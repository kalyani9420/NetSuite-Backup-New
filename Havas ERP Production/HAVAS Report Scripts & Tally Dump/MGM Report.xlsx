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2"/>
  </bookViews>
  <sheets>
    <sheet name="HAVASMGMReportKBCUpdatedResult" sheetId="1" r:id="rId1"/>
    <sheet name="MGM Report - Final" sheetId="2" r:id="rId2"/>
    <sheet name="Sheet4" sheetId="5" r:id="rId3"/>
  </sheets>
  <externalReferences>
    <externalReference r:id="rId4"/>
    <externalReference r:id="rId5"/>
  </externalReferences>
  <definedNames>
    <definedName name="_xlnm._FilterDatabase" localSheetId="0" hidden="1">HAVASMGMReportKBCUpdatedResult!$A$1:$AN$238</definedName>
    <definedName name="_xlnm._FilterDatabase" localSheetId="1" hidden="1">'MGM Report - Final'!$A$1:$AM$238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<sst xmlns="http://schemas.openxmlformats.org/spreadsheetml/2006/main" count="2827" uniqueCount="634">
  <si>
    <t>Project Creation Date</t>
  </si>
  <si>
    <t>Location</t>
  </si>
  <si>
    <t>Department</t>
  </si>
  <si>
    <t>Customer</t>
  </si>
  <si>
    <t>Project Code</t>
  </si>
  <si>
    <t>SB Code</t>
  </si>
  <si>
    <t>SO Value</t>
  </si>
  <si>
    <t>SO Value Tally</t>
  </si>
  <si>
    <t>Status</t>
  </si>
  <si>
    <t>SB Value</t>
  </si>
  <si>
    <t>SB Value Tally</t>
  </si>
  <si>
    <t>JVValue(S)</t>
  </si>
  <si>
    <t>JV Value Tally</t>
  </si>
  <si>
    <t>Credit Note</t>
  </si>
  <si>
    <t>CN Tally</t>
  </si>
  <si>
    <t>Net Sales</t>
  </si>
  <si>
    <t>Net Sales Tally</t>
  </si>
  <si>
    <t>PO Value</t>
  </si>
  <si>
    <t>PO Value Tally</t>
  </si>
  <si>
    <t>PB Value</t>
  </si>
  <si>
    <t>PB Value Tally</t>
  </si>
  <si>
    <t>JVValue(P)</t>
  </si>
  <si>
    <t>Debit Note</t>
  </si>
  <si>
    <t>DN Tally</t>
  </si>
  <si>
    <t>Net Expenses</t>
  </si>
  <si>
    <t>Net Expenses Tally</t>
  </si>
  <si>
    <t>Planned Margin</t>
  </si>
  <si>
    <t>Mumbai</t>
  </si>
  <si>
    <t>- None -</t>
  </si>
  <si>
    <t>10764 TechnoBind Solutions Pvt Ltd</t>
  </si>
  <si>
    <t>SB22621 Towards T-shirts with branding - Partner Kick Off</t>
  </si>
  <si>
    <t>Bangalore</t>
  </si>
  <si>
    <t>10759 Bumblebee Networks</t>
  </si>
  <si>
    <t>SB22611 Bumblebee Fun Activities</t>
  </si>
  <si>
    <t>10769 Indo-French Chamber Of Commerce &amp; Industry</t>
  </si>
  <si>
    <t>SB22647 Indo IFCCI Seminar. </t>
  </si>
  <si>
    <t>10765 Shobiz Experiential Communications Pvt Ltd-Mum</t>
  </si>
  <si>
    <t>SB21992 Meeting Expenses</t>
  </si>
  <si>
    <t>Delhi/Gurgaon</t>
  </si>
  <si>
    <t>10669  Hewlett Packard Enterprise India Pvt Ltd</t>
  </si>
  <si>
    <t>SB22666 HPE Aruba CXO Meet</t>
  </si>
  <si>
    <t>10469  Amway India Enterprises Pvt Ltd</t>
  </si>
  <si>
    <t>SB22664 Amway BBS Multicity events</t>
  </si>
  <si>
    <t>10539  Tata Motors Ltd</t>
  </si>
  <si>
    <t>SB22662 Tata Fleet Management at Waves</t>
  </si>
  <si>
    <t>10642  Amazon Seller Services India Pvt Ltd</t>
  </si>
  <si>
    <t>SB22659 Amazon Day One at Work</t>
  </si>
  <si>
    <t>10174  Red Hat India Pvt Ltd</t>
  </si>
  <si>
    <t>SB22658 Red Hat Immersion Day</t>
  </si>
  <si>
    <t>10141  Google India Pvt Ltd</t>
  </si>
  <si>
    <t>SB22657 Google YT Shopping Lifestyle edition</t>
  </si>
  <si>
    <t>10518  OnePlus Technology India Pvt Ltd</t>
  </si>
  <si>
    <t>SB22656 OnePlus Masterclass</t>
  </si>
  <si>
    <t>SB22655 Red ACE Program - Aditya Birla Group</t>
  </si>
  <si>
    <t>SB22654 Amazon Transcend Graduation</t>
  </si>
  <si>
    <t>SB22652 Amazon collateral design and print</t>
  </si>
  <si>
    <t>10592  Kotak Mahindra Bank Ltd</t>
  </si>
  <si>
    <t>SB22650 Kotak Townhall with CEO</t>
  </si>
  <si>
    <t>SB22651 Amazon IN Finance Career Day 2025</t>
  </si>
  <si>
    <t>Chennai</t>
  </si>
  <si>
    <t>10306  Cognizant Technology Solutions India Pvt Ltd</t>
  </si>
  <si>
    <t>SB22649 Cognizant Zumba activity</t>
  </si>
  <si>
    <t>10496  Hero Motocorp Ltd</t>
  </si>
  <si>
    <t>SB22646 Hero Farwell event</t>
  </si>
  <si>
    <t>10412  Hindustan Unilever Ltd</t>
  </si>
  <si>
    <t>SB22645 Hul Shiva's Farewell Event,</t>
  </si>
  <si>
    <t>10288  WM Global Technology Services India Pvt Ltd</t>
  </si>
  <si>
    <t>SB22643 AI@Walmart</t>
  </si>
  <si>
    <t>SB22640 YTCC X-Waves</t>
  </si>
  <si>
    <t>10389  Brookprop Property Management Services Pvt Ltd</t>
  </si>
  <si>
    <t>SB22639 BROOKFIELD DC VS RCB IPL</t>
  </si>
  <si>
    <t>10181  Siemens Ltd</t>
  </si>
  <si>
    <t>SB22641 Siemens GBS SSON Visit</t>
  </si>
  <si>
    <t>SB22642 Amazon Townhall event</t>
  </si>
  <si>
    <t>SB22638 Red Hat F &amp; B</t>
  </si>
  <si>
    <t>SB22636 Walmart Townhall</t>
  </si>
  <si>
    <t>10249  NatWest Digital Services India Pvt Ltd (RBS Services India Pvt Ltd)</t>
  </si>
  <si>
    <t>SB22637 Natwest Ruchika Town Hall Meet</t>
  </si>
  <si>
    <t>SB22633 Cognizant - Client Visit</t>
  </si>
  <si>
    <t>SB22634 Red Hat Immersion Day - Mumbai | Q2</t>
  </si>
  <si>
    <t>SB22635 Amazon BOX Installation</t>
  </si>
  <si>
    <t>10203  Accenture Solutions Pvt Ltd</t>
  </si>
  <si>
    <t>SB22632 Accenture stall @ NASSCOM GCC Summit,</t>
  </si>
  <si>
    <t>SB22628 Red ABM Account Day</t>
  </si>
  <si>
    <t>SB22627 Natwest Nasscom GCC Summit 2025</t>
  </si>
  <si>
    <t>10273  STT Global Data Centres India Pvt Ltd</t>
  </si>
  <si>
    <t>SB22629 STT Advantage Employee offsite</t>
  </si>
  <si>
    <t>10258  Phonepe Pvt Ltd</t>
  </si>
  <si>
    <t>SB22624 Phone Pe - Converge</t>
  </si>
  <si>
    <t>10516  Novo Nordisk India Pvt Ltd</t>
  </si>
  <si>
    <t>SB22625 GBS Finance Offsite</t>
  </si>
  <si>
    <t>10467  Adobe Systems India Pvt Ltd</t>
  </si>
  <si>
    <t>SB22626 Adobe Elite Circle</t>
  </si>
  <si>
    <t>10426  Microsoft Corporation (I) Pvt Ltd</t>
  </si>
  <si>
    <t>SB22622 Townhall at Microsoft</t>
  </si>
  <si>
    <t>SB22623 HPE Zerto Enablement</t>
  </si>
  <si>
    <t>10257  Palo Alto Networks (India) Pvt Ltd</t>
  </si>
  <si>
    <t>SB22620 Palo Cybersecurity Leadership Summitt</t>
  </si>
  <si>
    <t>SB22617 Cognizant NW visit</t>
  </si>
  <si>
    <t>10587  Innocean Worldwide Communication Pvt Ltd</t>
  </si>
  <si>
    <t>SB22618 Hyundai Global Service Seminar 2025</t>
  </si>
  <si>
    <t>SB22619 Siemens - HR Offiste 2025</t>
  </si>
  <si>
    <t>10711  Tally Solutions Pvt Ltd</t>
  </si>
  <si>
    <t>SB22614 Tally Mahasabha 2025</t>
  </si>
  <si>
    <t>10583  Hitachi Vantara India Pvt Ltd</t>
  </si>
  <si>
    <t>SB22616  HDFC Bank Tech Workshop HYD</t>
  </si>
  <si>
    <t>SB22615 Kia Clavis Hybrid</t>
  </si>
  <si>
    <t>10722  Vinfast Auto India Pvt Ltd</t>
  </si>
  <si>
    <t>SB22613 VinFast Digital Promotions</t>
  </si>
  <si>
    <t>SB22610 Amazon Whiteboard Animation video project</t>
  </si>
  <si>
    <t>10493  Greenlam Industries Ltd</t>
  </si>
  <si>
    <t>SB22612 Greenlam GT Launch</t>
  </si>
  <si>
    <t>10043 Kiran Nadar Museum of Art</t>
  </si>
  <si>
    <t>SB22598 KNMA WithIn by Aditi Mangaldas</t>
  </si>
  <si>
    <t>SB21386 Accenture  FE Utsava - Carnival Artists</t>
  </si>
  <si>
    <t>Group CEO : CEO : BU South</t>
  </si>
  <si>
    <t>10753 Superhealth Hospitals Pvt Ltd</t>
  </si>
  <si>
    <t>SB22588 Superhealth Hospital Branding</t>
  </si>
  <si>
    <t>10757 Novo Nordisk Pharma (Singapore) Pte Ltd</t>
  </si>
  <si>
    <t>SB22601 Proposal for Novo Nordisk Q1 Digest</t>
  </si>
  <si>
    <t>Group CEO : CEO : BU West</t>
  </si>
  <si>
    <t>10751 Jamf India Pvt Ltd</t>
  </si>
  <si>
    <t>SB22579 CIO Summit event</t>
  </si>
  <si>
    <t>10727 Air India Express Ltd</t>
  </si>
  <si>
    <t>SB22509 Aircraft launch</t>
  </si>
  <si>
    <t>SB22485 Jamf CIO Summit event</t>
  </si>
  <si>
    <t>10748 Wella India Pvt Ltd</t>
  </si>
  <si>
    <t>SB22472 Wella Trendvision</t>
  </si>
  <si>
    <t>10738 Jubilant Foodworks Ltd</t>
  </si>
  <si>
    <t>SB22422 Jubilant Investor Meet 2025</t>
  </si>
  <si>
    <t>Group CEO : CEO : BU North</t>
  </si>
  <si>
    <t>10746 The Boston Consulting Group (India) Pvt Ltd</t>
  </si>
  <si>
    <t>SB22459 BCG Connect Day</t>
  </si>
  <si>
    <t>10741 NTT DATA Business Solutions Pvt Ltd</t>
  </si>
  <si>
    <t>SB22384 NTT Data - Transformation NOW</t>
  </si>
  <si>
    <t>10324  IKEA India Pvt Ltd</t>
  </si>
  <si>
    <t>SB22609 IKEA - April Activity</t>
  </si>
  <si>
    <t>SB22608 Siemens Mobility Works</t>
  </si>
  <si>
    <t>10188  TATA Consultancy Services Ltd</t>
  </si>
  <si>
    <t>SB22606 TCS W10K 2025</t>
  </si>
  <si>
    <t>10179  ServiceNow Software Development India Pvt Ltd</t>
  </si>
  <si>
    <t>SB22607 ServiceNow Giveaways</t>
  </si>
  <si>
    <t>SB22603 Siemens Individual PVC card with QR code</t>
  </si>
  <si>
    <t>10588  Intel Technology India Pvt Ltd</t>
  </si>
  <si>
    <t>SB22605 Intel Premium standee print</t>
  </si>
  <si>
    <t>SB22604 Amazon rockstars Gurgaon</t>
  </si>
  <si>
    <t>SB22602 HUL - B&amp;W JBP Myntra Meet 2025</t>
  </si>
  <si>
    <t>SB22600 Accenture Client event</t>
  </si>
  <si>
    <t>SB22596 Red Hat Tech Talk Event Series</t>
  </si>
  <si>
    <t>10264  SAP Labs India Pvt Ltd</t>
  </si>
  <si>
    <t>SB22599 SAP Innovation Days</t>
  </si>
  <si>
    <t>10196  Tvs Srichakra Ltd</t>
  </si>
  <si>
    <t>SB22597 Tvs Shiprocket Recharge</t>
  </si>
  <si>
    <t>SB22593 Cognizant Client Visit Raheja</t>
  </si>
  <si>
    <t>SB22595 IKEA - May Activity</t>
  </si>
  <si>
    <t>SB22594 Siemens 100 years traction: Bharat Mandapam Stall</t>
  </si>
  <si>
    <t>10397  Dell International Services India Pvt Ltd</t>
  </si>
  <si>
    <t>SB22591 Dell CSG Launch in Hyderabad</t>
  </si>
  <si>
    <t>SB22592 Adobe Director Summit</t>
  </si>
  <si>
    <t>SB22590 Dell ISG Launch in Pune</t>
  </si>
  <si>
    <t>SB22589 Amazon - L 7 Recognition</t>
  </si>
  <si>
    <t>SB22587 Towards Giveaway Production</t>
  </si>
  <si>
    <t>SB22585 Tata Giveaways</t>
  </si>
  <si>
    <t>10121  Asus Global Pte Ltd</t>
  </si>
  <si>
    <t>SB22584 Asus P series Launch</t>
  </si>
  <si>
    <t>SB22586 Hul R&amp;D Leadership Forum</t>
  </si>
  <si>
    <t>10560  BP Business Solutions India Pvt Ltd</t>
  </si>
  <si>
    <t>SB22582 BP Exploration</t>
  </si>
  <si>
    <t>10221  Dbs Bank India Ltd</t>
  </si>
  <si>
    <t>SB22583 DBS Webinar session with Navneet Munot</t>
  </si>
  <si>
    <t>SB22580 Towards CIO Roundtable in Bangalore</t>
  </si>
  <si>
    <t>SB22578 Siemens Switch board Factory 50 years</t>
  </si>
  <si>
    <t>10566  Clarivate Analytics India Pvt Ltd</t>
  </si>
  <si>
    <t>SB22581 Booking the hotel Aloft New Delhi</t>
  </si>
  <si>
    <t>SB22575 BP All India Townhall 2025</t>
  </si>
  <si>
    <t>10262  Renault Nissan Technology &amp; Business Centre India Pvt Ltd</t>
  </si>
  <si>
    <t>SB22576 RNTBCI Gemba visit</t>
  </si>
  <si>
    <t>SB22577 Hero DIC Zonal Meet</t>
  </si>
  <si>
    <t>SB22574 OnePlus OEF</t>
  </si>
  <si>
    <t>SB22573 Amazon Townhall Meeting</t>
  </si>
  <si>
    <t>SB22571 Intel Booth at Start Up Mahakumbh</t>
  </si>
  <si>
    <t>10297  Astrazeneca India Pvt Ltd</t>
  </si>
  <si>
    <t>SB22572 Team Bonding - Astrazeneca</t>
  </si>
  <si>
    <t>SB22570 Accenture Photographer Requirement - Multi City</t>
  </si>
  <si>
    <t>SB22567 DBS Plasma Installation</t>
  </si>
  <si>
    <t>10285  Vivo Mobile India Pvt Ltd</t>
  </si>
  <si>
    <t>SB22569 Vivo V50e in Mumbai</t>
  </si>
  <si>
    <t>SB22566 HUL MT Conference 2025</t>
  </si>
  <si>
    <t>10383  Apparel Resources Pvt Ltd</t>
  </si>
  <si>
    <t>SB22565 Apparel Fashion Tech World</t>
  </si>
  <si>
    <t>SB22564 BP India LT Dinner</t>
  </si>
  <si>
    <t>SB22563 Dell - Indian Express events in July - 2, 9 &amp; 16th July</t>
  </si>
  <si>
    <t>SB22562 Dell - Indian Express events in June - 4, 12 &amp; 18th June.</t>
  </si>
  <si>
    <t>SB22561 Dell - Indian Express events in May - 21, 22, 28 &amp; 30th May</t>
  </si>
  <si>
    <t>SB22560 HPE Aruba Networking Day</t>
  </si>
  <si>
    <t>SB22559 HPE Cloud Connect</t>
  </si>
  <si>
    <t>SB22558 Cognizant Nationwide Client Visit</t>
  </si>
  <si>
    <t>SB22557 OnePlus Jam Night in Delhi</t>
  </si>
  <si>
    <t>SB22555 Amazon AFBP Graduation Ceremony</t>
  </si>
  <si>
    <t>SB22556 Amazon Smart Wallet Launch</t>
  </si>
  <si>
    <t>SB22552 Hul  Grat Fest 2025</t>
  </si>
  <si>
    <t>SB22551 OnePlus pop-up</t>
  </si>
  <si>
    <t>SB22549 Siemens CEO Townhall Event</t>
  </si>
  <si>
    <t>10246  Metro Cash &amp; Carry India Pvt Ltd</t>
  </si>
  <si>
    <t>SB22550 Metro Cash &amp; Carry - Annual Meet</t>
  </si>
  <si>
    <t>10046 Lightspeed India Partners Advisors LLP</t>
  </si>
  <si>
    <t>SB22548 LSIP - Pickleball Tournament</t>
  </si>
  <si>
    <t>SB22547 Amazon Booth - Soul Sante</t>
  </si>
  <si>
    <t>SB22546 Cognizant Computershare Client Visit</t>
  </si>
  <si>
    <t>SB22545 Hitachi SKO 25</t>
  </si>
  <si>
    <t>SB22541 Networking Event @ IPL Chinnaswamy Stadium</t>
  </si>
  <si>
    <t>SB22543 BROOKFIELD POWAI - CUSTOMER EXPERIENCE JOURNEY</t>
  </si>
  <si>
    <t>10333  Mahindra &amp; Mahindra Ltd</t>
  </si>
  <si>
    <t>SB22538 Mahindra GSO Offsite Decor</t>
  </si>
  <si>
    <t>10177  SAP India Pvt Ltd</t>
  </si>
  <si>
    <t>SB22540 SAP NOW 2025</t>
  </si>
  <si>
    <t>SB22539 Amway Doug DeVos India Leadership Summit</t>
  </si>
  <si>
    <t>10305  Citi Bank</t>
  </si>
  <si>
    <t>SB22536 Citi Bank - Photographer</t>
  </si>
  <si>
    <t>SB22537 Siemens Dahod Ministry Visit</t>
  </si>
  <si>
    <t>SB22534 Cognizant US Bank Client Visit</t>
  </si>
  <si>
    <t>SB22532 Natwest Logistics Town Hall Meet</t>
  </si>
  <si>
    <t>SB22529 Cognizant Allianz Client Visit</t>
  </si>
  <si>
    <t>SB22526 Accenture International Women's Day 2025</t>
  </si>
  <si>
    <t>10664  GitHub India Pvt Ltd</t>
  </si>
  <si>
    <t>SB22527 GitHub connect - Razorpay in Bangalore</t>
  </si>
  <si>
    <t>SB22524 Amazon - eCF Leadership 2025</t>
  </si>
  <si>
    <t>SB22523 RNTBCI Cohort 2 Start Up Pitch awards</t>
  </si>
  <si>
    <t>10706  Skyflow Labs India Pvt Ltd</t>
  </si>
  <si>
    <t>SB22520 Towards Workshop - Delhi</t>
  </si>
  <si>
    <t>SB22517 Hitachi CIO Klub Chennai chapter event</t>
  </si>
  <si>
    <t>SB22518 TATA debossed diaries &amp; pens</t>
  </si>
  <si>
    <t>10374  Vmware Software India Pvt Ltd</t>
  </si>
  <si>
    <t>SB22513 VCF Experience Days and VMUG</t>
  </si>
  <si>
    <t>10431  Nvidia Graphics Pvt Ltd</t>
  </si>
  <si>
    <t>SB22512 Nvidia 2025</t>
  </si>
  <si>
    <t>SB22508 Intel AIPC Workshop</t>
  </si>
  <si>
    <t>SB22511 Accenture  Interns Welcome Networking Dinner</t>
  </si>
  <si>
    <t>SB22504 Amazon - AA Leadership Connect</t>
  </si>
  <si>
    <t>SB22503 HUL North Branch Meet 2025</t>
  </si>
  <si>
    <t>SB22501 Siemens MO Townhall</t>
  </si>
  <si>
    <t>SB22500 Tata Motors Stealth Mall Activation</t>
  </si>
  <si>
    <t>SB22502 Siemens Elevate at Siemens Office</t>
  </si>
  <si>
    <t>SB22498 OnePlus SFS pop-up</t>
  </si>
  <si>
    <t>SB22495 HUL SC Conference 2025</t>
  </si>
  <si>
    <t>SB22492 DBS Badminton Players  Meet &amp; Greet</t>
  </si>
  <si>
    <t>SB22494 Siemens GBS Townhall</t>
  </si>
  <si>
    <t>SB22491 Hul  Magnum x LFW</t>
  </si>
  <si>
    <t>10261  Redington Ltd</t>
  </si>
  <si>
    <t>SB22488 NetApp_CrossGen_RIL_Kochi_eventCustomer Event</t>
  </si>
  <si>
    <t>SB22487 Amazon Holi Event</t>
  </si>
  <si>
    <t>SB22483 Hero Xoom Media Drive</t>
  </si>
  <si>
    <t>SB22325 Infosys legal service delivery sessions</t>
  </si>
  <si>
    <t>SB22479 Brookfield IPC Event,</t>
  </si>
  <si>
    <t>SB22477 Google YT Shopping X Tech</t>
  </si>
  <si>
    <t>10385  Bangalore International Airport Ltd</t>
  </si>
  <si>
    <t>SB22471 BIAL Partner Connect 6.0</t>
  </si>
  <si>
    <t>SB22475 Hero International Women's Day</t>
  </si>
  <si>
    <t>SB22470 Novo Nordisk Townhall</t>
  </si>
  <si>
    <t>SB22469 Cognizant RBC Client Visit 2025</t>
  </si>
  <si>
    <t>SB22465 HUL CEO Review</t>
  </si>
  <si>
    <t>SB22460 HMI Townhall Event 2025</t>
  </si>
  <si>
    <t>SB22461 Holi 2025 : Pan India Celebration</t>
  </si>
  <si>
    <t>SB22455 Vivo IQOO 10R Launch</t>
  </si>
  <si>
    <t>SB22451 Phonepe Converge</t>
  </si>
  <si>
    <t>10505  Lenovo Global Technology (India) Pvt Ltd</t>
  </si>
  <si>
    <t>SB22448 Adobe Make it</t>
  </si>
  <si>
    <t>SB22449 Siemens Digital Kiosk</t>
  </si>
  <si>
    <t>SB22446 Cognizant MACY'S Client Visit</t>
  </si>
  <si>
    <t>SB22445 Tvs RRC &amp; MMC SOUTH</t>
  </si>
  <si>
    <t>10281  Thoughtworks Technologies India Pvt Ltd</t>
  </si>
  <si>
    <t>SB22443 THOUGHTWORKS BOOTH at the NASSCOM event</t>
  </si>
  <si>
    <t>10088 CIO Association</t>
  </si>
  <si>
    <t>SB22444 CIO Netskope_CIOKlub event</t>
  </si>
  <si>
    <t>SB22439 Red Hat Q1 Tech Webinar Series</t>
  </si>
  <si>
    <t>10008 Asia Pacific Travel Retail Association</t>
  </si>
  <si>
    <t>SB22437 Aptra India Conference 2025</t>
  </si>
  <si>
    <t>10533  Softcell Technologies Global Pvt Ltd</t>
  </si>
  <si>
    <t>SB22433 SOFTCELL Netapp Event</t>
  </si>
  <si>
    <t>SB22428 SAP Industry Summit at Westin, Powai</t>
  </si>
  <si>
    <t>SB22424 Cognizant Impact Awards 2025</t>
  </si>
  <si>
    <t>SB22417 Brookprpo ESG REPORT LAUNCH</t>
  </si>
  <si>
    <t>SB22416 DBS Bank IBG Townhall 2025</t>
  </si>
  <si>
    <t>SB22414 Adobe MakeIT</t>
  </si>
  <si>
    <t>SB22411 Amazon Insurgents &amp; EBE - Summit</t>
  </si>
  <si>
    <t>SB22410 CNBC x HUL - Lime Season</t>
  </si>
  <si>
    <t>SB22405 Amway Diamond Forum</t>
  </si>
  <si>
    <t>SB22404 GitHub Connect in Chennai</t>
  </si>
  <si>
    <t>SB22400 RHEL + Ansible Workshop</t>
  </si>
  <si>
    <t>10108 Indian Electrical &amp; Electronics</t>
  </si>
  <si>
    <t>SB22401 Elecrama ieema, WUS Dinner,</t>
  </si>
  <si>
    <t>10558  Autodesk India Pvt Ltd</t>
  </si>
  <si>
    <t>SB22399 Autodesk Design &amp; Manufacturing Summit 2025</t>
  </si>
  <si>
    <t>SB22397 Intel Cab and Bus for GPTW</t>
  </si>
  <si>
    <t>SB22396 Dell CSG Launch event</t>
  </si>
  <si>
    <t>SB22395 Hul Cornetto Stall at Zomaland</t>
  </si>
  <si>
    <t>SB22392 Lightspeed - Lift Off 2025</t>
  </si>
  <si>
    <t>SB22394 Siemens Veronika Townhall  2025</t>
  </si>
  <si>
    <t>SB22391 Siemens - SRE Event</t>
  </si>
  <si>
    <t>SB22387 Hul CD conference 2025</t>
  </si>
  <si>
    <t>SB22381 Amway Star Awards</t>
  </si>
  <si>
    <t>SB22376 Ascension Health Client Visit</t>
  </si>
  <si>
    <t>SB22374 Intel Laptop storage space</t>
  </si>
  <si>
    <t>SB22375 Siemens locomotive model</t>
  </si>
  <si>
    <t>SB22366 NatWest Ruchika Panesar Town Hall Meet</t>
  </si>
  <si>
    <t>SB22363 BIAL V day installations</t>
  </si>
  <si>
    <t>SB22356 RNTBCi Innovfest 25</t>
  </si>
  <si>
    <t>SB22354 HUL PC Summit</t>
  </si>
  <si>
    <t>10586  Indian Explosives Pvt Ltd</t>
  </si>
  <si>
    <t>SB22347 Orica Kshitej</t>
  </si>
  <si>
    <t>SB22344 GitHub Galaxy 2025</t>
  </si>
  <si>
    <t>SB22343 OnePlus Pop-up</t>
  </si>
  <si>
    <t>SB22338 SAP Invent 3.0</t>
  </si>
  <si>
    <t>10619  Singapore Investcorp India Pvt Ltd</t>
  </si>
  <si>
    <t>SB22332 Singapore GIC 15th Anniversary Celebration</t>
  </si>
  <si>
    <t>SB22327 Siemens Healthineers DC</t>
  </si>
  <si>
    <t>10266  Sheela Foam Ltd</t>
  </si>
  <si>
    <t>SB22329 Sleepwell's Founders Day</t>
  </si>
  <si>
    <t>SB22323 Tele Lead Gen Campaign - Dragonfly accounts</t>
  </si>
  <si>
    <t>SB22326 Red Hat Tech Talks Series</t>
  </si>
  <si>
    <t>SB22324 Hul Board Meeting 2025</t>
  </si>
  <si>
    <t>SB22320 Dell AI &amp; Innovation Forum events</t>
  </si>
  <si>
    <t>SB22321 Q4 Webinar Registration</t>
  </si>
  <si>
    <t>SB22318 Dell WPC &amp; AI events in Feb 2025</t>
  </si>
  <si>
    <t>SB22319 Dell WPC events in March 2025</t>
  </si>
  <si>
    <t>10126  CA (India)Technologies Pvt Ltd</t>
  </si>
  <si>
    <t>SB22317 VCF Experience Day</t>
  </si>
  <si>
    <t>10325  Infosys Ltd</t>
  </si>
  <si>
    <t>SB22316 Infosys event &amp; Giveaways in Feb 2025</t>
  </si>
  <si>
    <t>10171  Pernod Ricard India Pvt Ltd</t>
  </si>
  <si>
    <t>SB22311 Perno store promotion installation</t>
  </si>
  <si>
    <t>SB22306 Dell ISG Launch 13th to 19th March</t>
  </si>
  <si>
    <t>SB22305 Dell CSG Launch on 9th April in Andaz New Delhi</t>
  </si>
  <si>
    <t>10555  Amazon Pay (India) Pvt Ltd</t>
  </si>
  <si>
    <t>SB22282 Amazone  IESP</t>
  </si>
  <si>
    <t>SB22280 Cognizant Cultural Event @ Multicity</t>
  </si>
  <si>
    <t>10569  Delta Electronics India Pvt Ltd</t>
  </si>
  <si>
    <t>SB22278 Delta Elecrama 2025 at Noida</t>
  </si>
  <si>
    <t>10562  BYD India Pvt Ltd</t>
  </si>
  <si>
    <t>SB22272 BYD Auto Expo 2025 @ Pragti Maidan</t>
  </si>
  <si>
    <t>SB22268 Hitachi Idea Cafe CIO events - Feb 2025</t>
  </si>
  <si>
    <t>SB22263 Google YT Creator Collective Q1 &amp; Q2 2025</t>
  </si>
  <si>
    <t>SB22254 HPE Ignite in Athens, Greece</t>
  </si>
  <si>
    <t>SB22223 Towards Webinar Registrations</t>
  </si>
  <si>
    <t>SB22204 Kia Syros Content making</t>
  </si>
  <si>
    <t>SB22205 amazon Sambhav Collateral Decor</t>
  </si>
  <si>
    <t>SB22190 Season of Smiles</t>
  </si>
  <si>
    <t>10336  Minda Corporation Ltd</t>
  </si>
  <si>
    <t>SB22158 Spark Minda Auto Expo 2025,</t>
  </si>
  <si>
    <t>SB22159 VinFast Auto Expo 2025,</t>
  </si>
  <si>
    <t>SB22124 Winner &amp; Partner Trophies for INDUS Conclave &amp; SAP ACE Awards</t>
  </si>
  <si>
    <t>10346  Orient Electric Ltd</t>
  </si>
  <si>
    <t>SB22115 Orient Electric Dealer Meet</t>
  </si>
  <si>
    <t>SB22083 SAP Come Alive</t>
  </si>
  <si>
    <t>SB21947 NetApp Targus Roundtable Conference</t>
  </si>
  <si>
    <t>SB21859 NVIDIA - AI Summit at  23rd to 25th Oct 2024</t>
  </si>
  <si>
    <t xml:space="preserve"> None </t>
  </si>
  <si>
    <t>SB22621 Towards Tshirts with branding  Partner Kick Off</t>
  </si>
  <si>
    <t>SB22621</t>
  </si>
  <si>
    <t>SB22611</t>
  </si>
  <si>
    <t>10769 IndoFrench Chamber Of Commerce &amp; Industry</t>
  </si>
  <si>
    <t>SB22647</t>
  </si>
  <si>
    <t>10765 Shobiz Experiential Communications Pvt LtdMum</t>
  </si>
  <si>
    <t>SB21992</t>
  </si>
  <si>
    <t>SB22666</t>
  </si>
  <si>
    <t>SB22664</t>
  </si>
  <si>
    <t>SB22662</t>
  </si>
  <si>
    <t>SB22659</t>
  </si>
  <si>
    <t>SB22658</t>
  </si>
  <si>
    <t>SB22657</t>
  </si>
  <si>
    <t>SB22656</t>
  </si>
  <si>
    <t>SB22655 Red ACE Program  Aditya Birla Group</t>
  </si>
  <si>
    <t>SB22655</t>
  </si>
  <si>
    <t>SB22654</t>
  </si>
  <si>
    <t>SB22652</t>
  </si>
  <si>
    <t>SB22650</t>
  </si>
  <si>
    <t>SB22651</t>
  </si>
  <si>
    <t>SB22649</t>
  </si>
  <si>
    <t>SB22646</t>
  </si>
  <si>
    <t>SB22645</t>
  </si>
  <si>
    <t>treu</t>
  </si>
  <si>
    <t>SB22643</t>
  </si>
  <si>
    <t>SB22640 YTCC XWaves</t>
  </si>
  <si>
    <t>SB22640</t>
  </si>
  <si>
    <t>SB22639</t>
  </si>
  <si>
    <t>SB22641</t>
  </si>
  <si>
    <t>SB22642</t>
  </si>
  <si>
    <t>SB22638</t>
  </si>
  <si>
    <t>SB22636</t>
  </si>
  <si>
    <t>SB22637</t>
  </si>
  <si>
    <t>SB22633 Cognizant  Client Visit</t>
  </si>
  <si>
    <t>SB22633</t>
  </si>
  <si>
    <t>SB22634 Red Hat Immersion Day  Mumbai | Q2</t>
  </si>
  <si>
    <t>SB22634</t>
  </si>
  <si>
    <t>SB22635</t>
  </si>
  <si>
    <t>SB22632</t>
  </si>
  <si>
    <t>SB22628</t>
  </si>
  <si>
    <t>SB22627</t>
  </si>
  <si>
    <t>SB22629</t>
  </si>
  <si>
    <t>SB22624 Phone Pe  Converge</t>
  </si>
  <si>
    <t>SB22624</t>
  </si>
  <si>
    <t>SB22625</t>
  </si>
  <si>
    <t>SB22626</t>
  </si>
  <si>
    <t>SB22622</t>
  </si>
  <si>
    <t>SB22623</t>
  </si>
  <si>
    <t>SB22620</t>
  </si>
  <si>
    <t>SB22617</t>
  </si>
  <si>
    <t>SB22618</t>
  </si>
  <si>
    <t>SB22619 Siemens  HR Offiste 2025</t>
  </si>
  <si>
    <t>SB22619</t>
  </si>
  <si>
    <t>SB22614</t>
  </si>
  <si>
    <t>SB22616</t>
  </si>
  <si>
    <t>SB22615</t>
  </si>
  <si>
    <t>SB22613</t>
  </si>
  <si>
    <t>SB22610</t>
  </si>
  <si>
    <t>SB22612</t>
  </si>
  <si>
    <t>SB22598</t>
  </si>
  <si>
    <t>SB21386 Accenture  FE Utsava  Carnival Artists</t>
  </si>
  <si>
    <t>SB21386</t>
  </si>
  <si>
    <t>SB22588</t>
  </si>
  <si>
    <t>SB22601</t>
  </si>
  <si>
    <t>SB22579</t>
  </si>
  <si>
    <t>SB22509</t>
  </si>
  <si>
    <t>SB22485</t>
  </si>
  <si>
    <t>SB22472</t>
  </si>
  <si>
    <t>SB22422</t>
  </si>
  <si>
    <t>SB22459</t>
  </si>
  <si>
    <t>SB22384 NTT Data  Transformation NOW</t>
  </si>
  <si>
    <t>SB22384</t>
  </si>
  <si>
    <t>SB22609 IKEA  April Activity</t>
  </si>
  <si>
    <t>SB22609</t>
  </si>
  <si>
    <t>SB22608</t>
  </si>
  <si>
    <t>SB22606</t>
  </si>
  <si>
    <t>SB22607</t>
  </si>
  <si>
    <t>SB22603</t>
  </si>
  <si>
    <t>SB22605</t>
  </si>
  <si>
    <t>SB22604</t>
  </si>
  <si>
    <t>SB22602 HUL  B&amp;W JBP Myntra Meet 2025</t>
  </si>
  <si>
    <t>SB22602</t>
  </si>
  <si>
    <t>SB22600</t>
  </si>
  <si>
    <t>SB22596</t>
  </si>
  <si>
    <t>SB22599</t>
  </si>
  <si>
    <t>SB22597</t>
  </si>
  <si>
    <t>SB22593</t>
  </si>
  <si>
    <t>SB22595 IKEA  May Activity</t>
  </si>
  <si>
    <t>SB22595</t>
  </si>
  <si>
    <t>SB22594</t>
  </si>
  <si>
    <t>SB22591</t>
  </si>
  <si>
    <t>SB22592</t>
  </si>
  <si>
    <t>SB22590</t>
  </si>
  <si>
    <t>SB22589 Amazon  L 7 Recognition</t>
  </si>
  <si>
    <t>SB22589</t>
  </si>
  <si>
    <t>SB22587</t>
  </si>
  <si>
    <t>SB22585</t>
  </si>
  <si>
    <t>SB22584</t>
  </si>
  <si>
    <t>SB22586</t>
  </si>
  <si>
    <t>SB22582</t>
  </si>
  <si>
    <t>SB22583</t>
  </si>
  <si>
    <t>SB22580</t>
  </si>
  <si>
    <t>SB22578</t>
  </si>
  <si>
    <t>SB22581</t>
  </si>
  <si>
    <t>SB22575</t>
  </si>
  <si>
    <t>SB22576</t>
  </si>
  <si>
    <t>SB22577</t>
  </si>
  <si>
    <t>SB22574</t>
  </si>
  <si>
    <t>SB22573</t>
  </si>
  <si>
    <t>SB22571</t>
  </si>
  <si>
    <t>SB22572 Team Bonding  Astrazeneca</t>
  </si>
  <si>
    <t>SB22572</t>
  </si>
  <si>
    <t>SB22570 Accenture Photographer Requirement  Multi City</t>
  </si>
  <si>
    <t>SB22570</t>
  </si>
  <si>
    <t>SB22567</t>
  </si>
  <si>
    <t>SB22569</t>
  </si>
  <si>
    <t>SB22566</t>
  </si>
  <si>
    <t>SB22565</t>
  </si>
  <si>
    <t>SB22564</t>
  </si>
  <si>
    <t>SB22563 Dell  Indian Express events in July  2, 9 &amp; 16th July</t>
  </si>
  <si>
    <t>SB22563</t>
  </si>
  <si>
    <t>SB22562 Dell  Indian Express events in June  4, 12 &amp; 18th June.</t>
  </si>
  <si>
    <t>SB22562</t>
  </si>
  <si>
    <t>SB22561 Dell  Indian Express events in May  21, 22, 28 &amp; 30th May</t>
  </si>
  <si>
    <t>SB22561</t>
  </si>
  <si>
    <t>SB22560</t>
  </si>
  <si>
    <t>SB22559</t>
  </si>
  <si>
    <t>SB22558</t>
  </si>
  <si>
    <t>SB22557</t>
  </si>
  <si>
    <t>SB22555</t>
  </si>
  <si>
    <t>SB22556</t>
  </si>
  <si>
    <t>SB22552</t>
  </si>
  <si>
    <t>SB22551 OnePlus popup</t>
  </si>
  <si>
    <t>SB22551</t>
  </si>
  <si>
    <t>SB22549</t>
  </si>
  <si>
    <t>SB22550 Metro Cash &amp; Carry  Annual Meet</t>
  </si>
  <si>
    <t>SB22550</t>
  </si>
  <si>
    <t>SB22548 LSIP  Pickleball Tournament</t>
  </si>
  <si>
    <t>SB22548</t>
  </si>
  <si>
    <t>SB22547 Amazon Booth  Soul Sante</t>
  </si>
  <si>
    <t>SB22547</t>
  </si>
  <si>
    <t>SB22546</t>
  </si>
  <si>
    <t>SB22545</t>
  </si>
  <si>
    <t>SB22541</t>
  </si>
  <si>
    <t>SB22543 BROOKFIELD POWAI  CUSTOMER EXPERIENCE JOURNEY</t>
  </si>
  <si>
    <t>SB22543</t>
  </si>
  <si>
    <t>SB22538</t>
  </si>
  <si>
    <t>SB22540</t>
  </si>
  <si>
    <t>SB22539</t>
  </si>
  <si>
    <t>SB22536 Citi Bank  Photographer</t>
  </si>
  <si>
    <t>SB22536</t>
  </si>
  <si>
    <t>SB22537</t>
  </si>
  <si>
    <t>SB22534</t>
  </si>
  <si>
    <t>SB22532</t>
  </si>
  <si>
    <t>SB22529</t>
  </si>
  <si>
    <t>SB22526</t>
  </si>
  <si>
    <t>SB22527 GitHub connect  Razorpay in Bangalore</t>
  </si>
  <si>
    <t>SB22527</t>
  </si>
  <si>
    <t>SB22524 Amazon  eCF Leadership 2025</t>
  </si>
  <si>
    <t>SB22524</t>
  </si>
  <si>
    <t>SB22523</t>
  </si>
  <si>
    <t>SB22520 Towards Workshop  Delhi</t>
  </si>
  <si>
    <t>SB22520</t>
  </si>
  <si>
    <t>SB22517</t>
  </si>
  <si>
    <t>SB22518</t>
  </si>
  <si>
    <t>SB22513</t>
  </si>
  <si>
    <t>SB22512</t>
  </si>
  <si>
    <t>SB22508</t>
  </si>
  <si>
    <t>SB22511</t>
  </si>
  <si>
    <t>SB22504 Amazon  AA Leadership Connect</t>
  </si>
  <si>
    <t>SB22504</t>
  </si>
  <si>
    <t>SB22503</t>
  </si>
  <si>
    <t>SB22501</t>
  </si>
  <si>
    <t>SB22500</t>
  </si>
  <si>
    <t>SB22502</t>
  </si>
  <si>
    <t>SB22498 OnePlus SFS popup</t>
  </si>
  <si>
    <t>SB22498</t>
  </si>
  <si>
    <t>SB22495</t>
  </si>
  <si>
    <t>SB22492</t>
  </si>
  <si>
    <t>SB22494</t>
  </si>
  <si>
    <t>SB22491</t>
  </si>
  <si>
    <t>SB22488</t>
  </si>
  <si>
    <t>SB22487</t>
  </si>
  <si>
    <t>SB22483</t>
  </si>
  <si>
    <t>SB22325</t>
  </si>
  <si>
    <t>SB22479</t>
  </si>
  <si>
    <t>SB22477</t>
  </si>
  <si>
    <t>SB22471</t>
  </si>
  <si>
    <t>SB22475</t>
  </si>
  <si>
    <t>SB22470</t>
  </si>
  <si>
    <t>SB22469</t>
  </si>
  <si>
    <t>SB22465</t>
  </si>
  <si>
    <t>SB22460</t>
  </si>
  <si>
    <t>SB22461</t>
  </si>
  <si>
    <t>SB22455</t>
  </si>
  <si>
    <t>SB22451</t>
  </si>
  <si>
    <t>SB22448</t>
  </si>
  <si>
    <t>SB22449</t>
  </si>
  <si>
    <t>SB22446</t>
  </si>
  <si>
    <t>SB22445</t>
  </si>
  <si>
    <t>SB22443</t>
  </si>
  <si>
    <t>SB22444</t>
  </si>
  <si>
    <t>SB22439</t>
  </si>
  <si>
    <t>SB22437</t>
  </si>
  <si>
    <t>SB22433</t>
  </si>
  <si>
    <t>SB22428</t>
  </si>
  <si>
    <t>SB22424</t>
  </si>
  <si>
    <t>SB22417</t>
  </si>
  <si>
    <t>SB22416</t>
  </si>
  <si>
    <t>SB22414</t>
  </si>
  <si>
    <t>SB22411 Amazon Insurgents &amp; EBE  Summit</t>
  </si>
  <si>
    <t>SB22411</t>
  </si>
  <si>
    <t>SB22410 CNBC x HUL  Lime Season</t>
  </si>
  <si>
    <t>SB22410</t>
  </si>
  <si>
    <t>SB22405</t>
  </si>
  <si>
    <t>SB22404</t>
  </si>
  <si>
    <t>SB22400</t>
  </si>
  <si>
    <t>SB22401</t>
  </si>
  <si>
    <t>SB22399</t>
  </si>
  <si>
    <t>SB22397</t>
  </si>
  <si>
    <t>SB22396</t>
  </si>
  <si>
    <t>SB22395</t>
  </si>
  <si>
    <t>SB22392 Lightspeed  Lift Off 2025</t>
  </si>
  <si>
    <t>SB22392</t>
  </si>
  <si>
    <t>SB22394</t>
  </si>
  <si>
    <t>SB22391 Siemens  SRE Event</t>
  </si>
  <si>
    <t>SB22391</t>
  </si>
  <si>
    <t>SB22387</t>
  </si>
  <si>
    <t>SB22381</t>
  </si>
  <si>
    <t>SB22376</t>
  </si>
  <si>
    <t>SB22374</t>
  </si>
  <si>
    <t>SB22375</t>
  </si>
  <si>
    <t>SB22366</t>
  </si>
  <si>
    <t>SB22363</t>
  </si>
  <si>
    <t>SB22356</t>
  </si>
  <si>
    <t>SB22354</t>
  </si>
  <si>
    <t>SB22347</t>
  </si>
  <si>
    <t>SB22344</t>
  </si>
  <si>
    <t>SB22343 OnePlus Popup</t>
  </si>
  <si>
    <t>SB22343</t>
  </si>
  <si>
    <t>SB22338</t>
  </si>
  <si>
    <t>SB22332</t>
  </si>
  <si>
    <t>SB22327</t>
  </si>
  <si>
    <t>SB22329</t>
  </si>
  <si>
    <t>SB22323 Tele Lead Gen Campaign  Dragonfly accounts</t>
  </si>
  <si>
    <t>SB22323</t>
  </si>
  <si>
    <t>SB22326</t>
  </si>
  <si>
    <t>SB22324</t>
  </si>
  <si>
    <t>SB22320</t>
  </si>
  <si>
    <t>SB22321</t>
  </si>
  <si>
    <t>SB22318</t>
  </si>
  <si>
    <t>SB22319</t>
  </si>
  <si>
    <t>SB22317</t>
  </si>
  <si>
    <t>SB22316</t>
  </si>
  <si>
    <t>SB22311</t>
  </si>
  <si>
    <t>SB22306</t>
  </si>
  <si>
    <t>SB22305</t>
  </si>
  <si>
    <t>SB22282</t>
  </si>
  <si>
    <t>SB22280</t>
  </si>
  <si>
    <t>SB22278</t>
  </si>
  <si>
    <t>SB22272</t>
  </si>
  <si>
    <t>SB22268 Hitachi Idea Cafe CIO events  Feb 2025</t>
  </si>
  <si>
    <t>SB22268</t>
  </si>
  <si>
    <t>SB22263</t>
  </si>
  <si>
    <t>SB22254</t>
  </si>
  <si>
    <t>SB22223</t>
  </si>
  <si>
    <t>SB22204</t>
  </si>
  <si>
    <t>SB22205</t>
  </si>
  <si>
    <t>SB22190</t>
  </si>
  <si>
    <t>SB22158</t>
  </si>
  <si>
    <t>SB22159</t>
  </si>
  <si>
    <t>SB22124</t>
  </si>
  <si>
    <t>SB22115</t>
  </si>
  <si>
    <t>SB22083</t>
  </si>
  <si>
    <t>SB21947</t>
  </si>
  <si>
    <t>SB21859 NVIDIA  AI Summit at  23rd to 25th Oct 2024</t>
  </si>
  <si>
    <t>SB21859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</si>
</sst>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</numFmts>
  <fonts count="22">
    <font>
      <sz val="8"/>
      <name val="Arial"/>
      <charset val="134"/>
    </font>
    <font>
      <sz val="7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9">
    <xf numFmtId="0" fontId="0" fillId="0" borderId="0" xfId="0" applyNumberFormat="1" applyFont="1" applyFill="1" applyBorder="1" applyAlignment="1" applyProtection="1"/>
    <xf numFmtId="0" fontId="0" fillId="2" borderId="0" xfId="0" applyNumberFormat="1" applyFont="1" applyFill="1" applyBorder="1" applyAlignment="1" applyProtection="1"/>
    <xf numFmtId="0" fontId="0" fillId="3" borderId="0" xfId="0" applyNumberFormat="1" applyFont="1" applyFill="1" applyBorder="1" applyAlignment="1" applyProtection="1"/>
    <xf numFmtId="180" fontId="0" fillId="4" borderId="0" xfId="0" applyNumberFormat="1" applyFont="1" applyFill="1" applyBorder="1" applyAlignment="1" applyProtection="1"/>
    <xf numFmtId="0" fontId="0" fillId="4" borderId="0" xfId="0" applyNumberFormat="1" applyFont="1" applyFill="1" applyBorder="1" applyAlignment="1" applyProtection="1"/>
    <xf numFmtId="2" fontId="1" fillId="5" borderId="0" xfId="0" applyNumberFormat="1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2" fontId="0" fillId="0" borderId="0" xfId="0" applyNumberFormat="1" applyFont="1"/>
    <xf numFmtId="2" fontId="0" fillId="0" borderId="0" xfId="0" applyNumberFormat="1" applyFont="1"/>
    <xf numFmtId="2" fontId="0" fillId="2" borderId="0" xfId="0" applyNumberFormat="1" applyFont="1" applyFill="1"/>
    <xf numFmtId="2" fontId="1" fillId="3" borderId="0" xfId="0" applyNumberFormat="1" applyFont="1" applyFill="1" applyAlignment="1">
      <alignment horizontal="center" vertical="center"/>
    </xf>
    <xf numFmtId="2" fontId="1" fillId="4" borderId="0" xfId="0" applyNumberFormat="1" applyFont="1" applyFill="1" applyAlignment="1">
      <alignment horizontal="center" vertical="center"/>
    </xf>
    <xf numFmtId="2" fontId="0" fillId="3" borderId="0" xfId="0" applyNumberFormat="1" applyFont="1" applyFill="1"/>
    <xf numFmtId="2" fontId="0" fillId="4" borderId="0" xfId="0" applyNumberFormat="1" applyFont="1" applyFill="1"/>
    <xf numFmtId="0" fontId="0" fillId="0" borderId="0" xfId="0" applyFont="1"/>
    <xf numFmtId="0" fontId="0" fillId="2" borderId="0" xfId="0" applyFont="1" applyFill="1"/>
    <xf numFmtId="0" fontId="0" fillId="3" borderId="0" xfId="0" applyFont="1" applyFill="1"/>
    <xf numFmtId="180" fontId="0" fillId="4" borderId="0" xfId="0" applyNumberFormat="1" applyFont="1" applyFill="1"/>
    <xf numFmtId="0" fontId="0" fillId="4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lyaniChaudhari\Downloads\Management%20Report-Final%20(3)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lyaniChaudhari\Downloads\HAVASMGMReportKBCUpdatedResults545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ampaign report"/>
      <sheetName val="MGM Report"/>
      <sheetName val="Clientwise Cost summary"/>
      <sheetName val="Budget VS PO VS PB"/>
      <sheetName val="PO vs PB"/>
    </sheetNames>
    <sheetDataSet>
      <sheetData sheetId="0"/>
      <sheetData sheetId="1">
        <row r="1">
          <cell r="O1" t="str">
            <v>K+L+M+N</v>
          </cell>
          <cell r="P1" t="str">
            <v>K+L+M+N</v>
          </cell>
        </row>
        <row r="2">
          <cell r="D2" t="str">
            <v>ProfitCentreName</v>
          </cell>
          <cell r="E2" t="str">
            <v>SO Value</v>
          </cell>
          <cell r="F2" t="str">
            <v>SB Value</v>
          </cell>
          <cell r="G2" t="str">
            <v>JVValue (S)</v>
          </cell>
          <cell r="H2" t="str">
            <v>Credit Note</v>
          </cell>
          <cell r="I2" t="str">
            <v>Net Sales</v>
          </cell>
          <cell r="J2" t="str">
            <v>PO Value</v>
          </cell>
          <cell r="K2" t="str">
            <v>PB Value</v>
          </cell>
          <cell r="L2" t="str">
            <v>PV Value</v>
          </cell>
          <cell r="M2" t="str">
            <v>JV Value (P)</v>
          </cell>
          <cell r="N2" t="str">
            <v>Debit Note</v>
          </cell>
          <cell r="O2" t="str">
            <v>Net Expenses</v>
          </cell>
          <cell r="P2" t="str">
            <v>Gross Expenses</v>
          </cell>
          <cell r="Q2" t="str">
            <v>Planned Margin</v>
          </cell>
          <cell r="R2" t="str">
            <v>Planned Margin</v>
          </cell>
          <cell r="S2" t="str">
            <v>Actual Margin</v>
          </cell>
        </row>
        <row r="3">
          <cell r="D3" t="str">
            <v/>
          </cell>
          <cell r="E3">
            <v>105787078.03</v>
          </cell>
          <cell r="F3">
            <v>76660865.05</v>
          </cell>
          <cell r="G3">
            <v>16194912.94</v>
          </cell>
          <cell r="H3">
            <v>1513806.26</v>
          </cell>
          <cell r="I3">
            <v>91341971.73</v>
          </cell>
          <cell r="J3">
            <v>74107229.96</v>
          </cell>
          <cell r="K3">
            <v>56639623.39</v>
          </cell>
        </row>
        <row r="3">
          <cell r="M3">
            <v>21167972.36</v>
          </cell>
          <cell r="N3">
            <v>4866101</v>
          </cell>
          <cell r="O3">
            <v>72941494.75</v>
          </cell>
          <cell r="P3">
            <v>90409101.32</v>
          </cell>
          <cell r="Q3">
            <v>31679848.07</v>
          </cell>
        </row>
        <row r="3">
          <cell r="S3">
            <v>18400476.98</v>
          </cell>
        </row>
        <row r="4">
          <cell r="D4" t="str">
            <v/>
          </cell>
          <cell r="E4">
            <v>24311283.56</v>
          </cell>
          <cell r="F4">
            <v>18024587.56</v>
          </cell>
          <cell r="G4">
            <v>28412325.44</v>
          </cell>
          <cell r="H4">
            <v>394474</v>
          </cell>
          <cell r="I4">
            <v>46042439</v>
          </cell>
          <cell r="J4">
            <v>34057109.36</v>
          </cell>
          <cell r="K4">
            <v>23171450.44</v>
          </cell>
        </row>
        <row r="4">
          <cell r="M4">
            <v>20468870.39</v>
          </cell>
          <cell r="N4">
            <v>4535000</v>
          </cell>
          <cell r="O4">
            <v>39105320.83</v>
          </cell>
          <cell r="P4">
            <v>49990979.75</v>
          </cell>
          <cell r="Q4">
            <v>9745825.8</v>
          </cell>
        </row>
        <row r="4">
          <cell r="S4">
            <v>6937118.17</v>
          </cell>
        </row>
        <row r="5">
          <cell r="D5" t="str">
            <v/>
          </cell>
          <cell r="E5">
            <v>3528508.5</v>
          </cell>
          <cell r="F5">
            <v>2611812.5</v>
          </cell>
          <cell r="G5">
            <v>693710.5</v>
          </cell>
          <cell r="H5">
            <v>394474</v>
          </cell>
          <cell r="I5">
            <v>2911049</v>
          </cell>
          <cell r="J5">
            <v>1263329.09</v>
          </cell>
          <cell r="K5">
            <v>1209459.09</v>
          </cell>
        </row>
        <row r="5">
          <cell r="M5">
            <v>1266022.91</v>
          </cell>
        </row>
        <row r="5">
          <cell r="O5">
            <v>2475482</v>
          </cell>
          <cell r="P5">
            <v>2529352</v>
          </cell>
          <cell r="Q5">
            <v>2265179.41</v>
          </cell>
        </row>
        <row r="5">
          <cell r="S5">
            <v>435567</v>
          </cell>
        </row>
        <row r="6">
          <cell r="D6" t="str">
            <v>SB21386</v>
          </cell>
        </row>
        <row r="6">
          <cell r="H6">
            <v>394474</v>
          </cell>
          <cell r="I6">
            <v>394474</v>
          </cell>
        </row>
        <row r="6">
          <cell r="O6">
            <v>2475482</v>
          </cell>
          <cell r="P6">
            <v>2529352</v>
          </cell>
        </row>
        <row r="6">
          <cell r="S6">
            <v>394474</v>
          </cell>
        </row>
        <row r="7">
          <cell r="D7" t="str">
            <v>SB22376</v>
          </cell>
          <cell r="E7">
            <v>309507</v>
          </cell>
          <cell r="F7">
            <v>309507</v>
          </cell>
          <cell r="G7">
            <v>326914</v>
          </cell>
        </row>
        <row r="7">
          <cell r="I7">
            <v>17407</v>
          </cell>
        </row>
        <row r="7">
          <cell r="Q7">
            <v>309507</v>
          </cell>
        </row>
        <row r="7">
          <cell r="S7">
            <v>17407</v>
          </cell>
        </row>
        <row r="8">
          <cell r="D8" t="str">
            <v>SB22511</v>
          </cell>
          <cell r="E8">
            <v>1456383.5</v>
          </cell>
          <cell r="F8">
            <v>1456383.5</v>
          </cell>
          <cell r="G8">
            <v>943616.5</v>
          </cell>
        </row>
        <row r="8">
          <cell r="I8">
            <v>2400000</v>
          </cell>
          <cell r="J8">
            <v>1079750.09</v>
          </cell>
          <cell r="K8">
            <v>1036880.09</v>
          </cell>
        </row>
        <row r="8">
          <cell r="M8">
            <v>763119.91</v>
          </cell>
        </row>
        <row r="8">
          <cell r="O8">
            <v>1800000</v>
          </cell>
          <cell r="P8">
            <v>1842870</v>
          </cell>
          <cell r="Q8">
            <v>376633.41</v>
          </cell>
        </row>
        <row r="8">
          <cell r="S8">
            <v>600000</v>
          </cell>
        </row>
        <row r="9">
          <cell r="D9" t="str">
            <v>SB22526</v>
          </cell>
          <cell r="E9">
            <v>121792</v>
          </cell>
          <cell r="F9">
            <v>121792</v>
          </cell>
          <cell r="G9">
            <v>115008</v>
          </cell>
        </row>
        <row r="9">
          <cell r="I9">
            <v>6784</v>
          </cell>
        </row>
        <row r="9">
          <cell r="Q9">
            <v>121792</v>
          </cell>
        </row>
        <row r="9">
          <cell r="S9">
            <v>6784</v>
          </cell>
        </row>
        <row r="10">
          <cell r="D10" t="str">
            <v>SB22570</v>
          </cell>
          <cell r="E10">
            <v>342650</v>
          </cell>
          <cell r="F10">
            <v>171050</v>
          </cell>
        </row>
        <row r="10">
          <cell r="I10">
            <v>171050</v>
          </cell>
          <cell r="J10">
            <v>46000</v>
          </cell>
          <cell r="K10">
            <v>46000</v>
          </cell>
        </row>
        <row r="10">
          <cell r="M10">
            <v>48380</v>
          </cell>
        </row>
        <row r="10">
          <cell r="O10">
            <v>94380</v>
          </cell>
          <cell r="P10">
            <v>94380</v>
          </cell>
          <cell r="Q10">
            <v>296650</v>
          </cell>
        </row>
        <row r="10">
          <cell r="S10">
            <v>76670</v>
          </cell>
        </row>
        <row r="11">
          <cell r="D11" t="str">
            <v>SB22600</v>
          </cell>
          <cell r="E11">
            <v>192016</v>
          </cell>
        </row>
        <row r="11">
          <cell r="G11">
            <v>192016</v>
          </cell>
        </row>
        <row r="11">
          <cell r="I11">
            <v>192016</v>
          </cell>
          <cell r="J11">
            <v>600</v>
          </cell>
          <cell r="K11">
            <v>600</v>
          </cell>
        </row>
        <row r="11">
          <cell r="M11">
            <v>149100</v>
          </cell>
        </row>
        <row r="11">
          <cell r="O11">
            <v>149700</v>
          </cell>
          <cell r="P11">
            <v>149700</v>
          </cell>
          <cell r="Q11">
            <v>191416</v>
          </cell>
        </row>
        <row r="11">
          <cell r="S11">
            <v>42316</v>
          </cell>
        </row>
        <row r="12">
          <cell r="D12" t="str">
            <v>SB22632</v>
          </cell>
          <cell r="E12">
            <v>1106160</v>
          </cell>
          <cell r="F12">
            <v>553080</v>
          </cell>
        </row>
        <row r="12">
          <cell r="I12">
            <v>553080</v>
          </cell>
          <cell r="J12">
            <v>136979</v>
          </cell>
          <cell r="K12">
            <v>125979</v>
          </cell>
        </row>
        <row r="12">
          <cell r="M12">
            <v>305423</v>
          </cell>
        </row>
        <row r="12">
          <cell r="O12">
            <v>431402</v>
          </cell>
          <cell r="P12">
            <v>442402</v>
          </cell>
          <cell r="Q12">
            <v>969181</v>
          </cell>
        </row>
        <row r="12">
          <cell r="S12">
            <v>121678</v>
          </cell>
        </row>
        <row r="13">
          <cell r="D13" t="str">
            <v/>
          </cell>
          <cell r="E13">
            <v>771075</v>
          </cell>
          <cell r="F13">
            <v>771075</v>
          </cell>
        </row>
        <row r="13">
          <cell r="I13">
            <v>771075</v>
          </cell>
          <cell r="J13">
            <v>488131.99</v>
          </cell>
          <cell r="K13">
            <v>472583.99</v>
          </cell>
        </row>
        <row r="13">
          <cell r="M13">
            <v>38706.01</v>
          </cell>
        </row>
        <row r="13">
          <cell r="O13">
            <v>511290</v>
          </cell>
          <cell r="P13">
            <v>526838</v>
          </cell>
          <cell r="Q13">
            <v>282943.01</v>
          </cell>
        </row>
        <row r="13">
          <cell r="S13">
            <v>259785</v>
          </cell>
        </row>
        <row r="14">
          <cell r="D14" t="str">
            <v>SB22581</v>
          </cell>
          <cell r="E14">
            <v>771075</v>
          </cell>
          <cell r="F14">
            <v>771075</v>
          </cell>
        </row>
        <row r="14">
          <cell r="I14">
            <v>771075</v>
          </cell>
          <cell r="J14">
            <v>488131.99</v>
          </cell>
          <cell r="K14">
            <v>472583.99</v>
          </cell>
        </row>
        <row r="14">
          <cell r="M14">
            <v>38706.01</v>
          </cell>
        </row>
        <row r="14">
          <cell r="O14">
            <v>511290</v>
          </cell>
          <cell r="P14">
            <v>526838</v>
          </cell>
          <cell r="Q14">
            <v>282943.01</v>
          </cell>
        </row>
        <row r="14">
          <cell r="S14">
            <v>259785</v>
          </cell>
        </row>
        <row r="15">
          <cell r="D15" t="str">
            <v/>
          </cell>
        </row>
        <row r="15">
          <cell r="K15">
            <v>83600</v>
          </cell>
        </row>
        <row r="15">
          <cell r="M15">
            <v>83600</v>
          </cell>
        </row>
        <row r="15">
          <cell r="P15">
            <v>83600</v>
          </cell>
        </row>
        <row r="16">
          <cell r="D16" t="str">
            <v>SB22347</v>
          </cell>
        </row>
        <row r="16">
          <cell r="K16">
            <v>83600</v>
          </cell>
        </row>
        <row r="16">
          <cell r="M16">
            <v>83600</v>
          </cell>
        </row>
        <row r="16">
          <cell r="P16">
            <v>83600</v>
          </cell>
        </row>
        <row r="17">
          <cell r="D17" t="str">
            <v/>
          </cell>
          <cell r="E17">
            <v>854315</v>
          </cell>
          <cell r="F17">
            <v>854315</v>
          </cell>
        </row>
        <row r="17">
          <cell r="I17">
            <v>854315</v>
          </cell>
          <cell r="J17">
            <v>426201</v>
          </cell>
          <cell r="K17">
            <v>727110</v>
          </cell>
        </row>
        <row r="17">
          <cell r="M17">
            <v>300909</v>
          </cell>
        </row>
        <row r="17">
          <cell r="O17">
            <v>426201</v>
          </cell>
          <cell r="P17">
            <v>125292</v>
          </cell>
          <cell r="Q17">
            <v>428114</v>
          </cell>
        </row>
        <row r="17">
          <cell r="S17">
            <v>428114</v>
          </cell>
        </row>
        <row r="18">
          <cell r="D18" t="str">
            <v>SB22384</v>
          </cell>
          <cell r="E18">
            <v>854315</v>
          </cell>
          <cell r="F18">
            <v>854315</v>
          </cell>
        </row>
        <row r="18">
          <cell r="I18">
            <v>854315</v>
          </cell>
          <cell r="J18">
            <v>426201</v>
          </cell>
          <cell r="K18">
            <v>727110</v>
          </cell>
        </row>
        <row r="18">
          <cell r="M18">
            <v>300909</v>
          </cell>
        </row>
        <row r="18">
          <cell r="O18">
            <v>426201</v>
          </cell>
          <cell r="P18">
            <v>125292</v>
          </cell>
          <cell r="Q18">
            <v>428114</v>
          </cell>
        </row>
        <row r="18">
          <cell r="S18">
            <v>428114</v>
          </cell>
        </row>
        <row r="19">
          <cell r="D19" t="str">
            <v/>
          </cell>
          <cell r="E19">
            <v>19157385.06</v>
          </cell>
          <cell r="F19">
            <v>13787385.06</v>
          </cell>
          <cell r="G19">
            <v>27718614.94</v>
          </cell>
        </row>
        <row r="19">
          <cell r="I19">
            <v>41506000</v>
          </cell>
          <cell r="J19">
            <v>31879447.28</v>
          </cell>
          <cell r="K19">
            <v>20664197.36</v>
          </cell>
        </row>
        <row r="19">
          <cell r="M19">
            <v>19563150.47</v>
          </cell>
          <cell r="N19">
            <v>4535000</v>
          </cell>
          <cell r="O19">
            <v>35692347.83</v>
          </cell>
          <cell r="P19">
            <v>46907597.75</v>
          </cell>
          <cell r="Q19">
            <v>12722062.22</v>
          </cell>
        </row>
        <row r="19">
          <cell r="S19">
            <v>5813652.17</v>
          </cell>
        </row>
        <row r="20">
          <cell r="O20">
            <v>35692347.83</v>
          </cell>
          <cell r="P20">
            <v>46907597.75</v>
          </cell>
        </row>
        <row r="21">
          <cell r="D21" t="str">
            <v>SB22124</v>
          </cell>
        </row>
        <row r="21">
          <cell r="K21">
            <v>1545455</v>
          </cell>
        </row>
        <row r="21">
          <cell r="M21">
            <v>1545455</v>
          </cell>
        </row>
        <row r="21">
          <cell r="P21">
            <v>1545455</v>
          </cell>
        </row>
        <row r="22">
          <cell r="D22" t="str">
            <v>SB22428</v>
          </cell>
          <cell r="E22">
            <v>5492385.06</v>
          </cell>
          <cell r="F22">
            <v>5492385.06</v>
          </cell>
          <cell r="G22">
            <v>5492385.06</v>
          </cell>
        </row>
        <row r="22">
          <cell r="K22">
            <v>350000</v>
          </cell>
        </row>
        <row r="22">
          <cell r="M22">
            <v>350000</v>
          </cell>
        </row>
        <row r="22">
          <cell r="P22">
            <v>350000</v>
          </cell>
          <cell r="Q22">
            <v>5492385.06</v>
          </cell>
        </row>
        <row r="23">
          <cell r="D23" t="str">
            <v>SB22540</v>
          </cell>
          <cell r="E23">
            <v>13665000</v>
          </cell>
          <cell r="F23">
            <v>8295000</v>
          </cell>
          <cell r="G23">
            <v>33211000</v>
          </cell>
        </row>
        <row r="23">
          <cell r="I23">
            <v>41506000</v>
          </cell>
          <cell r="J23">
            <v>31879447.28</v>
          </cell>
          <cell r="K23">
            <v>18768742.36</v>
          </cell>
        </row>
        <row r="23">
          <cell r="M23">
            <v>21458605.47</v>
          </cell>
          <cell r="N23">
            <v>4535000</v>
          </cell>
          <cell r="O23">
            <v>35692347.83</v>
          </cell>
          <cell r="P23">
            <v>48803052.75</v>
          </cell>
          <cell r="Q23">
            <v>18214447.28</v>
          </cell>
        </row>
        <row r="23">
          <cell r="S23">
            <v>5813652.17</v>
          </cell>
        </row>
        <row r="24">
          <cell r="D24" t="str">
            <v/>
          </cell>
        </row>
        <row r="24">
          <cell r="K24">
            <v>14500</v>
          </cell>
        </row>
        <row r="24">
          <cell r="M24">
            <v>14500</v>
          </cell>
        </row>
        <row r="24">
          <cell r="P24">
            <v>14500</v>
          </cell>
        </row>
        <row r="25">
          <cell r="D25" t="str">
            <v>SB22443</v>
          </cell>
        </row>
        <row r="25">
          <cell r="K25">
            <v>14500</v>
          </cell>
        </row>
        <row r="25">
          <cell r="M25">
            <v>14500</v>
          </cell>
        </row>
        <row r="25">
          <cell r="P25">
            <v>14500</v>
          </cell>
        </row>
        <row r="26">
          <cell r="D26" t="str">
            <v/>
          </cell>
          <cell r="E26">
            <v>40901706.77</v>
          </cell>
          <cell r="F26">
            <v>10618103.25</v>
          </cell>
          <cell r="G26">
            <v>8985878</v>
          </cell>
        </row>
        <row r="26">
          <cell r="I26">
            <v>19603981.25</v>
          </cell>
          <cell r="J26">
            <v>19228295.06</v>
          </cell>
          <cell r="K26">
            <v>6455485.78</v>
          </cell>
        </row>
        <row r="26">
          <cell r="M26">
            <v>9448013.6</v>
          </cell>
          <cell r="N26">
            <v>32800</v>
          </cell>
          <cell r="O26">
            <v>15870699.38</v>
          </cell>
          <cell r="P26">
            <v>28643508.66</v>
          </cell>
          <cell r="Q26">
            <v>21673411.71</v>
          </cell>
        </row>
        <row r="26">
          <cell r="S26">
            <v>3733281.87</v>
          </cell>
        </row>
        <row r="27">
          <cell r="D27" t="str">
            <v/>
          </cell>
        </row>
        <row r="27">
          <cell r="K27">
            <v>12350</v>
          </cell>
        </row>
        <row r="27">
          <cell r="M27">
            <v>12350</v>
          </cell>
        </row>
        <row r="27">
          <cell r="P27">
            <v>12350</v>
          </cell>
        </row>
        <row r="28">
          <cell r="D28" t="str">
            <v>SB22399</v>
          </cell>
        </row>
        <row r="28">
          <cell r="K28">
            <v>12350</v>
          </cell>
        </row>
        <row r="28">
          <cell r="M28">
            <v>12350</v>
          </cell>
        </row>
        <row r="28">
          <cell r="P28">
            <v>12350</v>
          </cell>
        </row>
        <row r="29">
          <cell r="D29" t="str">
            <v/>
          </cell>
        </row>
        <row r="29">
          <cell r="J29">
            <v>42750</v>
          </cell>
          <cell r="K29">
            <v>46313</v>
          </cell>
        </row>
        <row r="29">
          <cell r="M29">
            <v>46313</v>
          </cell>
        </row>
        <row r="29">
          <cell r="P29">
            <v>3563</v>
          </cell>
          <cell r="Q29">
            <v>42750</v>
          </cell>
        </row>
        <row r="30">
          <cell r="D30" t="str">
            <v>SB22317</v>
          </cell>
        </row>
        <row r="30">
          <cell r="J30">
            <v>42750</v>
          </cell>
          <cell r="K30">
            <v>46313</v>
          </cell>
        </row>
        <row r="30">
          <cell r="M30">
            <v>46313</v>
          </cell>
        </row>
        <row r="30">
          <cell r="P30">
            <v>3563</v>
          </cell>
          <cell r="Q30">
            <v>42750</v>
          </cell>
        </row>
        <row r="31">
          <cell r="D31" t="str">
            <v/>
          </cell>
          <cell r="E31">
            <v>6677974</v>
          </cell>
          <cell r="F31">
            <v>1196000</v>
          </cell>
          <cell r="G31">
            <v>4087974</v>
          </cell>
        </row>
        <row r="31">
          <cell r="I31">
            <v>5283974</v>
          </cell>
          <cell r="J31">
            <v>5084782</v>
          </cell>
          <cell r="K31">
            <v>2114388</v>
          </cell>
        </row>
        <row r="31">
          <cell r="M31">
            <v>2320632</v>
          </cell>
        </row>
        <row r="31">
          <cell r="O31">
            <v>4435020</v>
          </cell>
          <cell r="P31">
            <v>7405414</v>
          </cell>
          <cell r="Q31">
            <v>1593192</v>
          </cell>
        </row>
        <row r="31">
          <cell r="S31">
            <v>848954</v>
          </cell>
        </row>
        <row r="32">
          <cell r="D32" t="str">
            <v>SB22223</v>
          </cell>
        </row>
        <row r="32">
          <cell r="K32">
            <v>142488</v>
          </cell>
        </row>
        <row r="32">
          <cell r="M32">
            <v>142488</v>
          </cell>
        </row>
        <row r="32">
          <cell r="P32">
            <v>142488</v>
          </cell>
        </row>
        <row r="33">
          <cell r="D33" t="str">
            <v>SB22268</v>
          </cell>
        </row>
        <row r="33">
          <cell r="J33">
            <v>195431.2</v>
          </cell>
          <cell r="K33">
            <v>128360</v>
          </cell>
        </row>
        <row r="33">
          <cell r="M33">
            <v>128360</v>
          </cell>
        </row>
        <row r="33">
          <cell r="P33">
            <v>67071.2</v>
          </cell>
          <cell r="Q33">
            <v>195431.2</v>
          </cell>
        </row>
        <row r="34">
          <cell r="D34" t="str">
            <v>SB22321</v>
          </cell>
        </row>
        <row r="34">
          <cell r="F34">
            <v>516000</v>
          </cell>
        </row>
        <row r="34">
          <cell r="I34">
            <v>516000</v>
          </cell>
        </row>
        <row r="34">
          <cell r="M34">
            <v>500000</v>
          </cell>
        </row>
        <row r="34">
          <cell r="O34">
            <v>500000</v>
          </cell>
          <cell r="P34">
            <v>500000</v>
          </cell>
        </row>
        <row r="34">
          <cell r="S34">
            <v>16000</v>
          </cell>
        </row>
        <row r="35">
          <cell r="D35" t="str">
            <v>SB22517</v>
          </cell>
          <cell r="E35">
            <v>1200000</v>
          </cell>
        </row>
        <row r="35">
          <cell r="J35">
            <v>1200000</v>
          </cell>
        </row>
        <row r="35">
          <cell r="P35">
            <v>1200000</v>
          </cell>
        </row>
        <row r="36">
          <cell r="D36" t="str">
            <v>SB22545</v>
          </cell>
          <cell r="E36">
            <v>4180020</v>
          </cell>
          <cell r="F36">
            <v>680000</v>
          </cell>
          <cell r="G36">
            <v>2820020</v>
          </cell>
        </row>
        <row r="36">
          <cell r="I36">
            <v>3500020</v>
          </cell>
          <cell r="J36">
            <v>3033592.8</v>
          </cell>
          <cell r="K36">
            <v>1187782</v>
          </cell>
        </row>
        <row r="36">
          <cell r="M36">
            <v>1612238</v>
          </cell>
        </row>
        <row r="36">
          <cell r="O36">
            <v>2800020</v>
          </cell>
          <cell r="P36">
            <v>4645830.8</v>
          </cell>
          <cell r="Q36">
            <v>1146427.2</v>
          </cell>
        </row>
        <row r="36">
          <cell r="S36">
            <v>700000</v>
          </cell>
        </row>
        <row r="37">
          <cell r="D37" t="str">
            <v>SB22580</v>
          </cell>
          <cell r="E37">
            <v>680000</v>
          </cell>
        </row>
        <row r="37">
          <cell r="G37">
            <v>650000</v>
          </cell>
        </row>
        <row r="37">
          <cell r="I37">
            <v>650000</v>
          </cell>
          <cell r="J37">
            <v>650000</v>
          </cell>
          <cell r="K37">
            <v>650000</v>
          </cell>
        </row>
        <row r="37">
          <cell r="O37">
            <v>650000</v>
          </cell>
          <cell r="P37">
            <v>650000</v>
          </cell>
          <cell r="Q37">
            <v>30000</v>
          </cell>
        </row>
        <row r="38">
          <cell r="D38" t="str">
            <v>SB22616</v>
          </cell>
          <cell r="E38">
            <v>617954</v>
          </cell>
        </row>
        <row r="38">
          <cell r="G38">
            <v>617954</v>
          </cell>
        </row>
        <row r="38">
          <cell r="I38">
            <v>617954</v>
          </cell>
          <cell r="J38">
            <v>5758</v>
          </cell>
          <cell r="K38">
            <v>5758</v>
          </cell>
        </row>
        <row r="38">
          <cell r="M38">
            <v>479242</v>
          </cell>
        </row>
        <row r="38">
          <cell r="O38">
            <v>485000</v>
          </cell>
          <cell r="P38">
            <v>485000</v>
          </cell>
          <cell r="Q38">
            <v>612196</v>
          </cell>
        </row>
        <row r="38">
          <cell r="S38">
            <v>132954</v>
          </cell>
        </row>
        <row r="39">
          <cell r="D39" t="str">
            <v/>
          </cell>
          <cell r="E39">
            <v>1908718</v>
          </cell>
          <cell r="F39">
            <v>3145289</v>
          </cell>
          <cell r="G39">
            <v>2271571</v>
          </cell>
        </row>
        <row r="39">
          <cell r="I39">
            <v>873718</v>
          </cell>
          <cell r="J39">
            <v>895429.88</v>
          </cell>
          <cell r="K39">
            <v>1446691.78</v>
          </cell>
        </row>
        <row r="39">
          <cell r="M39">
            <v>767261.78</v>
          </cell>
          <cell r="N39">
            <v>32800</v>
          </cell>
          <cell r="O39">
            <v>646630</v>
          </cell>
          <cell r="P39">
            <v>95368.1</v>
          </cell>
          <cell r="Q39">
            <v>1013288.12</v>
          </cell>
        </row>
        <row r="39">
          <cell r="S39">
            <v>227088</v>
          </cell>
        </row>
        <row r="40">
          <cell r="D40" t="str">
            <v>SB22485</v>
          </cell>
          <cell r="E40">
            <v>1035000</v>
          </cell>
          <cell r="F40">
            <v>2271571</v>
          </cell>
          <cell r="G40">
            <v>2271571</v>
          </cell>
        </row>
        <row r="40">
          <cell r="J40">
            <v>374412</v>
          </cell>
          <cell r="K40">
            <v>1117962</v>
          </cell>
        </row>
        <row r="40">
          <cell r="M40">
            <v>1074050</v>
          </cell>
          <cell r="N40">
            <v>21000</v>
          </cell>
          <cell r="O40">
            <v>22912</v>
          </cell>
          <cell r="P40">
            <v>720638</v>
          </cell>
          <cell r="Q40">
            <v>660588</v>
          </cell>
        </row>
        <row r="40">
          <cell r="S40">
            <v>22912</v>
          </cell>
        </row>
        <row r="41">
          <cell r="D41" t="str">
            <v>SB22579</v>
          </cell>
          <cell r="E41">
            <v>873718</v>
          </cell>
          <cell r="F41">
            <v>873718</v>
          </cell>
        </row>
        <row r="41">
          <cell r="I41">
            <v>873718</v>
          </cell>
          <cell r="J41">
            <v>521017.88</v>
          </cell>
          <cell r="K41">
            <v>328729.78</v>
          </cell>
        </row>
        <row r="41">
          <cell r="M41">
            <v>306788.22</v>
          </cell>
          <cell r="N41">
            <v>11800</v>
          </cell>
          <cell r="O41">
            <v>623718</v>
          </cell>
          <cell r="P41">
            <v>816006.1</v>
          </cell>
          <cell r="Q41">
            <v>352700.12</v>
          </cell>
        </row>
        <row r="41">
          <cell r="S41">
            <v>250000</v>
          </cell>
        </row>
        <row r="42">
          <cell r="D42" t="str">
            <v/>
          </cell>
          <cell r="E42">
            <v>15498045</v>
          </cell>
        </row>
        <row r="42">
          <cell r="J42">
            <v>7315000</v>
          </cell>
        </row>
        <row r="42">
          <cell r="P42">
            <v>7315000</v>
          </cell>
          <cell r="Q42">
            <v>8183045</v>
          </cell>
        </row>
        <row r="43">
          <cell r="D43" t="str">
            <v>SB22620</v>
          </cell>
          <cell r="E43">
            <v>15498045</v>
          </cell>
        </row>
        <row r="43">
          <cell r="J43">
            <v>7315000</v>
          </cell>
        </row>
        <row r="43">
          <cell r="P43">
            <v>7315000</v>
          </cell>
          <cell r="Q43">
            <v>8183045</v>
          </cell>
        </row>
        <row r="44">
          <cell r="D44" t="str">
            <v/>
          </cell>
          <cell r="E44">
            <v>7409329.92</v>
          </cell>
          <cell r="F44">
            <v>738000</v>
          </cell>
          <cell r="G44">
            <v>1279375</v>
          </cell>
        </row>
        <row r="44">
          <cell r="I44">
            <v>2017375</v>
          </cell>
          <cell r="J44">
            <v>1453530</v>
          </cell>
          <cell r="K44">
            <v>506619</v>
          </cell>
        </row>
        <row r="44">
          <cell r="M44">
            <v>1074796.21</v>
          </cell>
        </row>
        <row r="44">
          <cell r="O44">
            <v>1581415.21</v>
          </cell>
          <cell r="P44">
            <v>2528326.21</v>
          </cell>
          <cell r="Q44">
            <v>5955799.92</v>
          </cell>
        </row>
        <row r="44">
          <cell r="S44">
            <v>435959.79</v>
          </cell>
        </row>
        <row r="45">
          <cell r="D45" t="str">
            <v>SB22323</v>
          </cell>
          <cell r="E45">
            <v>738000</v>
          </cell>
          <cell r="F45">
            <v>738000</v>
          </cell>
        </row>
        <row r="45">
          <cell r="I45">
            <v>738000</v>
          </cell>
        </row>
        <row r="45">
          <cell r="M45">
            <v>575640</v>
          </cell>
        </row>
        <row r="45">
          <cell r="O45">
            <v>575640</v>
          </cell>
          <cell r="P45">
            <v>575640</v>
          </cell>
          <cell r="Q45">
            <v>738000</v>
          </cell>
        </row>
        <row r="45">
          <cell r="S45">
            <v>162360</v>
          </cell>
        </row>
        <row r="46">
          <cell r="D46" t="str">
            <v>SB22326</v>
          </cell>
        </row>
        <row r="46">
          <cell r="K46">
            <v>191318</v>
          </cell>
        </row>
        <row r="46">
          <cell r="M46">
            <v>193885.79</v>
          </cell>
        </row>
        <row r="46">
          <cell r="O46">
            <v>2567.79</v>
          </cell>
          <cell r="P46">
            <v>193885.79</v>
          </cell>
        </row>
        <row r="46">
          <cell r="S46">
            <v>2567.79</v>
          </cell>
        </row>
        <row r="47">
          <cell r="D47" t="str">
            <v>SB22400</v>
          </cell>
        </row>
        <row r="47">
          <cell r="J47">
            <v>1399430</v>
          </cell>
          <cell r="K47">
            <v>261201</v>
          </cell>
        </row>
        <row r="47">
          <cell r="M47">
            <v>250771</v>
          </cell>
        </row>
        <row r="47">
          <cell r="O47">
            <v>10430</v>
          </cell>
          <cell r="P47">
            <v>1148659</v>
          </cell>
          <cell r="Q47">
            <v>1399430</v>
          </cell>
        </row>
        <row r="47">
          <cell r="S47">
            <v>10430</v>
          </cell>
        </row>
        <row r="48">
          <cell r="D48" t="str">
            <v>SB22439</v>
          </cell>
        </row>
        <row r="48">
          <cell r="G48">
            <v>1232800</v>
          </cell>
        </row>
        <row r="48">
          <cell r="I48">
            <v>1232800</v>
          </cell>
          <cell r="J48">
            <v>54100</v>
          </cell>
          <cell r="K48">
            <v>54100</v>
          </cell>
        </row>
        <row r="48">
          <cell r="M48">
            <v>907484</v>
          </cell>
        </row>
        <row r="48">
          <cell r="O48">
            <v>961584</v>
          </cell>
          <cell r="P48">
            <v>961584</v>
          </cell>
          <cell r="Q48">
            <v>54100</v>
          </cell>
        </row>
        <row r="48">
          <cell r="S48">
            <v>271216</v>
          </cell>
        </row>
        <row r="49">
          <cell r="D49" t="str">
            <v>SB22596</v>
          </cell>
          <cell r="E49">
            <v>3701171.45</v>
          </cell>
        </row>
        <row r="49">
          <cell r="Q49">
            <v>3701171.45</v>
          </cell>
        </row>
        <row r="50">
          <cell r="D50" t="str">
            <v>SB22628</v>
          </cell>
          <cell r="E50">
            <v>822404</v>
          </cell>
        </row>
        <row r="50">
          <cell r="Q50">
            <v>822404</v>
          </cell>
        </row>
        <row r="51">
          <cell r="D51" t="str">
            <v>SB22634</v>
          </cell>
          <cell r="E51">
            <v>870929.47</v>
          </cell>
        </row>
        <row r="51">
          <cell r="Q51">
            <v>870929.47</v>
          </cell>
        </row>
        <row r="52">
          <cell r="D52" t="str">
            <v>SB22638</v>
          </cell>
        </row>
        <row r="52">
          <cell r="G52">
            <v>46575</v>
          </cell>
        </row>
        <row r="52">
          <cell r="I52">
            <v>46575</v>
          </cell>
        </row>
        <row r="52">
          <cell r="M52">
            <v>36329</v>
          </cell>
        </row>
        <row r="52">
          <cell r="O52">
            <v>36329</v>
          </cell>
          <cell r="P52">
            <v>36329</v>
          </cell>
        </row>
        <row r="52">
          <cell r="S52">
            <v>10246</v>
          </cell>
        </row>
        <row r="53">
          <cell r="D53" t="str">
            <v>SB22655</v>
          </cell>
          <cell r="E53">
            <v>823500</v>
          </cell>
        </row>
        <row r="53">
          <cell r="Q53">
            <v>823500</v>
          </cell>
        </row>
        <row r="54">
          <cell r="D54" t="str">
            <v>SB22658</v>
          </cell>
          <cell r="E54">
            <v>453325</v>
          </cell>
        </row>
        <row r="54">
          <cell r="Q54">
            <v>453325</v>
          </cell>
        </row>
        <row r="55">
          <cell r="D55" t="str">
            <v/>
          </cell>
          <cell r="E55">
            <v>3295421.25</v>
          </cell>
          <cell r="F55">
            <v>5119551.25</v>
          </cell>
        </row>
        <row r="55">
          <cell r="I55">
            <v>5119551.25</v>
          </cell>
          <cell r="J55">
            <v>1152270</v>
          </cell>
          <cell r="K55">
            <v>1415370</v>
          </cell>
        </row>
        <row r="55">
          <cell r="M55">
            <v>2910607.31</v>
          </cell>
        </row>
        <row r="55">
          <cell r="O55">
            <v>4325977.31</v>
          </cell>
          <cell r="P55">
            <v>4062877.31</v>
          </cell>
          <cell r="Q55">
            <v>2143151.25</v>
          </cell>
        </row>
        <row r="55">
          <cell r="S55">
            <v>793573.94</v>
          </cell>
        </row>
        <row r="56">
          <cell r="D56" t="str">
            <v>SB22325</v>
          </cell>
        </row>
        <row r="56">
          <cell r="K56">
            <v>263100</v>
          </cell>
        </row>
        <row r="56">
          <cell r="M56">
            <v>263100</v>
          </cell>
        </row>
        <row r="56">
          <cell r="P56">
            <v>263100</v>
          </cell>
        </row>
        <row r="57">
          <cell r="D57" t="str">
            <v>SB22541</v>
          </cell>
          <cell r="E57">
            <v>2929136.25</v>
          </cell>
          <cell r="F57">
            <v>4753266.25</v>
          </cell>
        </row>
        <row r="57">
          <cell r="I57">
            <v>4753266.25</v>
          </cell>
          <cell r="J57">
            <v>924455</v>
          </cell>
          <cell r="K57">
            <v>924455</v>
          </cell>
        </row>
        <row r="57">
          <cell r="M57">
            <v>3115821.31</v>
          </cell>
        </row>
        <row r="57">
          <cell r="O57">
            <v>4040276.31</v>
          </cell>
          <cell r="P57">
            <v>4040276.31</v>
          </cell>
          <cell r="Q57">
            <v>2004681.25</v>
          </cell>
        </row>
        <row r="57">
          <cell r="S57">
            <v>712989.94</v>
          </cell>
        </row>
        <row r="58">
          <cell r="D58" t="str">
            <v>SB22587</v>
          </cell>
          <cell r="E58">
            <v>29835</v>
          </cell>
          <cell r="F58">
            <v>29835</v>
          </cell>
        </row>
        <row r="58">
          <cell r="I58">
            <v>29835</v>
          </cell>
        </row>
        <row r="58">
          <cell r="M58">
            <v>23270</v>
          </cell>
        </row>
        <row r="58">
          <cell r="O58">
            <v>23270</v>
          </cell>
          <cell r="P58">
            <v>23270</v>
          </cell>
          <cell r="Q58">
            <v>29835</v>
          </cell>
        </row>
        <row r="58">
          <cell r="S58">
            <v>6565</v>
          </cell>
        </row>
        <row r="59">
          <cell r="D59" t="str">
            <v>SB22607</v>
          </cell>
          <cell r="E59">
            <v>336450</v>
          </cell>
          <cell r="F59">
            <v>336450</v>
          </cell>
        </row>
        <row r="59">
          <cell r="I59">
            <v>336450</v>
          </cell>
          <cell r="J59">
            <v>227815</v>
          </cell>
          <cell r="K59">
            <v>227815</v>
          </cell>
        </row>
        <row r="59">
          <cell r="M59">
            <v>34616</v>
          </cell>
        </row>
        <row r="59">
          <cell r="O59">
            <v>262431</v>
          </cell>
          <cell r="P59">
            <v>262431</v>
          </cell>
          <cell r="Q59">
            <v>108635</v>
          </cell>
        </row>
        <row r="59">
          <cell r="S59">
            <v>74019</v>
          </cell>
        </row>
        <row r="60">
          <cell r="D60" t="str">
            <v/>
          </cell>
        </row>
        <row r="60">
          <cell r="F60">
            <v>197144</v>
          </cell>
        </row>
        <row r="60">
          <cell r="I60">
            <v>197144</v>
          </cell>
          <cell r="J60">
            <v>88880</v>
          </cell>
          <cell r="K60">
            <v>126380</v>
          </cell>
        </row>
        <row r="60">
          <cell r="M60">
            <v>27392.32</v>
          </cell>
        </row>
        <row r="60">
          <cell r="O60">
            <v>153772.32</v>
          </cell>
          <cell r="P60">
            <v>116272.32</v>
          </cell>
          <cell r="Q60">
            <v>88880</v>
          </cell>
        </row>
        <row r="60">
          <cell r="S60">
            <v>43371.68</v>
          </cell>
        </row>
        <row r="61">
          <cell r="D61" t="str">
            <v>SB22520</v>
          </cell>
        </row>
        <row r="61">
          <cell r="F61">
            <v>197144</v>
          </cell>
        </row>
        <row r="61">
          <cell r="I61">
            <v>197144</v>
          </cell>
          <cell r="J61">
            <v>88880</v>
          </cell>
          <cell r="K61">
            <v>126380</v>
          </cell>
        </row>
        <row r="61">
          <cell r="M61">
            <v>27392.32</v>
          </cell>
        </row>
        <row r="61">
          <cell r="O61">
            <v>153772.32</v>
          </cell>
          <cell r="P61">
            <v>116272.32</v>
          </cell>
          <cell r="Q61">
            <v>88880</v>
          </cell>
        </row>
        <row r="61">
          <cell r="S61">
            <v>43371.68</v>
          </cell>
        </row>
        <row r="62">
          <cell r="D62" t="str">
            <v/>
          </cell>
          <cell r="E62">
            <v>5913843.6</v>
          </cell>
          <cell r="F62">
            <v>23744</v>
          </cell>
          <cell r="G62">
            <v>5890100</v>
          </cell>
        </row>
        <row r="62">
          <cell r="I62">
            <v>5913844</v>
          </cell>
          <cell r="J62">
            <v>2994408.18</v>
          </cell>
          <cell r="K62">
            <v>586129</v>
          </cell>
        </row>
        <row r="62">
          <cell r="M62">
            <v>3986755.54</v>
          </cell>
        </row>
        <row r="62">
          <cell r="O62">
            <v>4572884.54</v>
          </cell>
          <cell r="P62">
            <v>6981163.72</v>
          </cell>
          <cell r="Q62">
            <v>2919435.42</v>
          </cell>
        </row>
        <row r="62">
          <cell r="S62">
            <v>1340959.46</v>
          </cell>
        </row>
        <row r="63">
          <cell r="D63" t="str">
            <v>SB22518</v>
          </cell>
        </row>
        <row r="63">
          <cell r="F63">
            <v>17248</v>
          </cell>
          <cell r="G63">
            <v>17248</v>
          </cell>
        </row>
        <row r="64">
          <cell r="D64" t="str">
            <v>SB22585</v>
          </cell>
          <cell r="E64">
            <v>6496</v>
          </cell>
          <cell r="F64">
            <v>6496</v>
          </cell>
        </row>
        <row r="64">
          <cell r="I64">
            <v>6496</v>
          </cell>
          <cell r="J64">
            <v>3006</v>
          </cell>
          <cell r="K64">
            <v>306</v>
          </cell>
        </row>
        <row r="64">
          <cell r="M64">
            <v>4760.88</v>
          </cell>
        </row>
        <row r="64">
          <cell r="O64">
            <v>5066.88</v>
          </cell>
          <cell r="P64">
            <v>7766.88</v>
          </cell>
          <cell r="Q64">
            <v>3490</v>
          </cell>
        </row>
        <row r="64">
          <cell r="S64">
            <v>1429.12</v>
          </cell>
        </row>
        <row r="65">
          <cell r="D65" t="str">
            <v>SB22606</v>
          </cell>
          <cell r="E65">
            <v>5907347.6</v>
          </cell>
        </row>
        <row r="65">
          <cell r="G65">
            <v>5907348</v>
          </cell>
        </row>
        <row r="65">
          <cell r="I65">
            <v>5907348</v>
          </cell>
          <cell r="J65">
            <v>2991402.18</v>
          </cell>
          <cell r="K65">
            <v>585823</v>
          </cell>
        </row>
        <row r="65">
          <cell r="M65">
            <v>3981994.66</v>
          </cell>
        </row>
        <row r="65">
          <cell r="O65">
            <v>4567817.66</v>
          </cell>
          <cell r="P65">
            <v>6973396.84</v>
          </cell>
          <cell r="Q65">
            <v>2915945.42</v>
          </cell>
        </row>
        <row r="65">
          <cell r="S65">
            <v>1339530.34</v>
          </cell>
        </row>
        <row r="66">
          <cell r="D66" t="str">
            <v/>
          </cell>
          <cell r="E66">
            <v>198375</v>
          </cell>
          <cell r="F66">
            <v>198375</v>
          </cell>
        </row>
        <row r="66">
          <cell r="I66">
            <v>198375</v>
          </cell>
          <cell r="J66">
            <v>141550</v>
          </cell>
          <cell r="K66">
            <v>141550</v>
          </cell>
        </row>
        <row r="66">
          <cell r="M66">
            <v>13450</v>
          </cell>
        </row>
        <row r="66">
          <cell r="O66">
            <v>155000</v>
          </cell>
          <cell r="P66">
            <v>155000</v>
          </cell>
          <cell r="Q66">
            <v>56825</v>
          </cell>
        </row>
        <row r="66">
          <cell r="S66">
            <v>43375</v>
          </cell>
        </row>
        <row r="67">
          <cell r="D67" t="str">
            <v>SB22621</v>
          </cell>
          <cell r="E67">
            <v>198375</v>
          </cell>
          <cell r="F67">
            <v>198375</v>
          </cell>
        </row>
        <row r="67">
          <cell r="I67">
            <v>198375</v>
          </cell>
          <cell r="J67">
            <v>141550</v>
          </cell>
          <cell r="K67">
            <v>141550</v>
          </cell>
        </row>
        <row r="67">
          <cell r="M67">
            <v>13450</v>
          </cell>
        </row>
        <row r="67">
          <cell r="O67">
            <v>155000</v>
          </cell>
          <cell r="P67">
            <v>155000</v>
          </cell>
          <cell r="Q67">
            <v>56825</v>
          </cell>
        </row>
        <row r="67">
          <cell r="S67">
            <v>43375</v>
          </cell>
        </row>
        <row r="68">
          <cell r="D68" t="str">
            <v/>
          </cell>
        </row>
        <row r="68">
          <cell r="J68">
            <v>59695</v>
          </cell>
          <cell r="K68">
            <v>59695</v>
          </cell>
        </row>
        <row r="68">
          <cell r="M68">
            <v>59695</v>
          </cell>
        </row>
        <row r="68">
          <cell r="Q68">
            <v>59695</v>
          </cell>
        </row>
        <row r="69">
          <cell r="D69" t="str">
            <v>SB22513</v>
          </cell>
        </row>
        <row r="69">
          <cell r="J69">
            <v>59695</v>
          </cell>
          <cell r="K69">
            <v>59695</v>
          </cell>
        </row>
        <row r="69">
          <cell r="M69">
            <v>59695</v>
          </cell>
        </row>
        <row r="69">
          <cell r="Q69">
            <v>59695</v>
          </cell>
        </row>
        <row r="70">
          <cell r="D70" t="str">
            <v/>
          </cell>
          <cell r="E70">
            <v>79145</v>
          </cell>
          <cell r="F70">
            <v>1999832</v>
          </cell>
          <cell r="G70">
            <v>1871000</v>
          </cell>
        </row>
        <row r="70">
          <cell r="I70">
            <v>128832</v>
          </cell>
          <cell r="J70">
            <v>755999.57</v>
          </cell>
          <cell r="K70">
            <v>1223484.61</v>
          </cell>
        </row>
        <row r="70">
          <cell r="M70">
            <v>772237.65</v>
          </cell>
          <cell r="N70">
            <v>200000</v>
          </cell>
          <cell r="O70">
            <v>251246.96</v>
          </cell>
          <cell r="P70">
            <v>216238.08</v>
          </cell>
          <cell r="Q70">
            <v>676854.57</v>
          </cell>
        </row>
        <row r="70">
          <cell r="S70">
            <v>122414.96</v>
          </cell>
        </row>
        <row r="71">
          <cell r="D71" t="str">
            <v/>
          </cell>
          <cell r="E71">
            <v>79145</v>
          </cell>
          <cell r="F71">
            <v>1999832</v>
          </cell>
          <cell r="G71">
            <v>1871000</v>
          </cell>
        </row>
        <row r="71">
          <cell r="I71">
            <v>128832</v>
          </cell>
          <cell r="J71">
            <v>755999.57</v>
          </cell>
          <cell r="K71">
            <v>1223484.61</v>
          </cell>
        </row>
        <row r="71">
          <cell r="M71">
            <v>772237.65</v>
          </cell>
          <cell r="N71">
            <v>200000</v>
          </cell>
          <cell r="O71">
            <v>251246.96</v>
          </cell>
          <cell r="P71">
            <v>216238.08</v>
          </cell>
          <cell r="Q71">
            <v>676854.57</v>
          </cell>
        </row>
        <row r="71">
          <cell r="S71">
            <v>122414.96</v>
          </cell>
        </row>
        <row r="72">
          <cell r="D72" t="str">
            <v>SB22416</v>
          </cell>
        </row>
        <row r="72">
          <cell r="K72">
            <v>6000</v>
          </cell>
        </row>
        <row r="72">
          <cell r="M72">
            <v>6000</v>
          </cell>
        </row>
        <row r="72">
          <cell r="P72">
            <v>6000</v>
          </cell>
        </row>
        <row r="73">
          <cell r="D73" t="str">
            <v>SB22492</v>
          </cell>
        </row>
        <row r="73">
          <cell r="F73">
            <v>1920687</v>
          </cell>
          <cell r="G73">
            <v>1871000</v>
          </cell>
        </row>
        <row r="73">
          <cell r="I73">
            <v>49687</v>
          </cell>
          <cell r="J73">
            <v>742817.44</v>
          </cell>
          <cell r="K73">
            <v>1204302.48</v>
          </cell>
        </row>
        <row r="73">
          <cell r="M73">
            <v>779853.52</v>
          </cell>
          <cell r="N73">
            <v>200000</v>
          </cell>
          <cell r="O73">
            <v>224448.96</v>
          </cell>
          <cell r="P73">
            <v>237036.08</v>
          </cell>
          <cell r="Q73">
            <v>742817.44</v>
          </cell>
        </row>
        <row r="73">
          <cell r="S73">
            <v>174761.96</v>
          </cell>
        </row>
        <row r="74">
          <cell r="D74" t="str">
            <v>SB22506</v>
          </cell>
        </row>
        <row r="74">
          <cell r="M74">
            <v>434</v>
          </cell>
        </row>
        <row r="74">
          <cell r="O74">
            <v>434</v>
          </cell>
          <cell r="P74">
            <v>434</v>
          </cell>
        </row>
        <row r="74">
          <cell r="S74">
            <v>434</v>
          </cell>
        </row>
        <row r="75">
          <cell r="D75" t="str">
            <v>SB22567</v>
          </cell>
          <cell r="E75">
            <v>24145</v>
          </cell>
          <cell r="F75">
            <v>24145</v>
          </cell>
        </row>
        <row r="75">
          <cell r="I75">
            <v>24145</v>
          </cell>
          <cell r="J75">
            <v>3453.33</v>
          </cell>
          <cell r="K75">
            <v>3453.33</v>
          </cell>
        </row>
        <row r="75">
          <cell r="M75">
            <v>14049.87</v>
          </cell>
        </row>
        <row r="75">
          <cell r="O75">
            <v>17503.2</v>
          </cell>
          <cell r="P75">
            <v>17503.2</v>
          </cell>
          <cell r="Q75">
            <v>20691.67</v>
          </cell>
        </row>
        <row r="75">
          <cell r="S75">
            <v>6641.8</v>
          </cell>
        </row>
        <row r="76">
          <cell r="D76" t="str">
            <v>SB22583</v>
          </cell>
          <cell r="E76">
            <v>55000</v>
          </cell>
          <cell r="F76">
            <v>55000</v>
          </cell>
        </row>
        <row r="76">
          <cell r="I76">
            <v>55000</v>
          </cell>
          <cell r="J76">
            <v>9728.8</v>
          </cell>
          <cell r="K76">
            <v>9728.8</v>
          </cell>
        </row>
        <row r="76">
          <cell r="O76">
            <v>9728.8</v>
          </cell>
          <cell r="P76">
            <v>9728.8</v>
          </cell>
          <cell r="Q76">
            <v>45271.2</v>
          </cell>
        </row>
        <row r="76">
          <cell r="S76">
            <v>45271.2</v>
          </cell>
        </row>
        <row r="77">
          <cell r="D77" t="str">
            <v/>
          </cell>
          <cell r="E77">
            <v>40494942.7</v>
          </cell>
          <cell r="F77">
            <v>46018342.24</v>
          </cell>
          <cell r="G77">
            <v>19332290.5</v>
          </cell>
          <cell r="H77">
            <v>1119332.26</v>
          </cell>
          <cell r="I77">
            <v>25566719.48</v>
          </cell>
          <cell r="J77">
            <v>20065825.97</v>
          </cell>
          <cell r="K77">
            <v>25789202.56</v>
          </cell>
        </row>
        <row r="77">
          <cell r="M77">
            <v>7976673.98</v>
          </cell>
          <cell r="N77">
            <v>98301</v>
          </cell>
          <cell r="O77">
            <v>17714227.58</v>
          </cell>
          <cell r="P77">
            <v>11990850.99</v>
          </cell>
          <cell r="Q77">
            <v>20429116.73</v>
          </cell>
        </row>
        <row r="77">
          <cell r="S77">
            <v>7852491.9</v>
          </cell>
        </row>
        <row r="78">
          <cell r="D78" t="str">
            <v/>
          </cell>
          <cell r="E78">
            <v>2751197.6</v>
          </cell>
          <cell r="F78">
            <v>151005.6</v>
          </cell>
          <cell r="G78">
            <v>3167429.4</v>
          </cell>
        </row>
        <row r="78">
          <cell r="I78">
            <v>3318435</v>
          </cell>
          <cell r="J78">
            <v>1256398</v>
          </cell>
          <cell r="K78">
            <v>1120374</v>
          </cell>
        </row>
        <row r="78">
          <cell r="M78">
            <v>1509376</v>
          </cell>
          <cell r="N78">
            <v>6872</v>
          </cell>
          <cell r="O78">
            <v>2622878</v>
          </cell>
          <cell r="P78">
            <v>2758902</v>
          </cell>
          <cell r="Q78">
            <v>1494799.6</v>
          </cell>
        </row>
        <row r="78">
          <cell r="S78">
            <v>695557</v>
          </cell>
        </row>
        <row r="79">
          <cell r="D79" t="str">
            <v>SB22584</v>
          </cell>
          <cell r="E79">
            <v>2751197.6</v>
          </cell>
          <cell r="F79">
            <v>151005.6</v>
          </cell>
          <cell r="G79">
            <v>3167429.4</v>
          </cell>
        </row>
        <row r="79">
          <cell r="I79">
            <v>3318435</v>
          </cell>
          <cell r="J79">
            <v>1256398</v>
          </cell>
          <cell r="K79">
            <v>1120374</v>
          </cell>
        </row>
        <row r="79">
          <cell r="M79">
            <v>1509376</v>
          </cell>
          <cell r="N79">
            <v>6872</v>
          </cell>
          <cell r="O79">
            <v>2622878</v>
          </cell>
          <cell r="P79">
            <v>2758902</v>
          </cell>
          <cell r="Q79">
            <v>1494799.6</v>
          </cell>
        </row>
        <row r="79">
          <cell r="S79">
            <v>695557</v>
          </cell>
        </row>
        <row r="80">
          <cell r="D80" t="str">
            <v/>
          </cell>
          <cell r="E80">
            <v>973972</v>
          </cell>
        </row>
        <row r="80">
          <cell r="G80">
            <v>1991299</v>
          </cell>
        </row>
        <row r="80">
          <cell r="I80">
            <v>1991299</v>
          </cell>
          <cell r="J80">
            <v>356356.37</v>
          </cell>
          <cell r="K80">
            <v>798856.37</v>
          </cell>
        </row>
        <row r="80">
          <cell r="M80">
            <v>392082.06</v>
          </cell>
        </row>
        <row r="80">
          <cell r="O80">
            <v>1190938.43</v>
          </cell>
          <cell r="P80">
            <v>748438.43</v>
          </cell>
          <cell r="Q80">
            <v>617615.63</v>
          </cell>
        </row>
        <row r="80">
          <cell r="S80">
            <v>800360.57</v>
          </cell>
        </row>
        <row r="81">
          <cell r="D81" t="str">
            <v>SB22564</v>
          </cell>
        </row>
        <row r="81">
          <cell r="G81">
            <v>1017327</v>
          </cell>
        </row>
        <row r="81">
          <cell r="I81">
            <v>1017327</v>
          </cell>
          <cell r="J81">
            <v>54466.43</v>
          </cell>
          <cell r="K81">
            <v>496966.43</v>
          </cell>
        </row>
        <row r="81">
          <cell r="M81">
            <v>170000</v>
          </cell>
        </row>
        <row r="81">
          <cell r="O81">
            <v>666966.43</v>
          </cell>
          <cell r="P81">
            <v>224466.43</v>
          </cell>
          <cell r="Q81">
            <v>54466.43</v>
          </cell>
        </row>
        <row r="81">
          <cell r="S81">
            <v>350360.57</v>
          </cell>
        </row>
        <row r="82">
          <cell r="D82" t="str">
            <v>SB22575</v>
          </cell>
          <cell r="E82">
            <v>835524</v>
          </cell>
        </row>
        <row r="82">
          <cell r="G82">
            <v>835524</v>
          </cell>
        </row>
        <row r="82">
          <cell r="I82">
            <v>835524</v>
          </cell>
          <cell r="J82">
            <v>258689.94</v>
          </cell>
          <cell r="K82">
            <v>258689.94</v>
          </cell>
        </row>
        <row r="82">
          <cell r="M82">
            <v>176834.06</v>
          </cell>
        </row>
        <row r="82">
          <cell r="O82">
            <v>435524</v>
          </cell>
          <cell r="P82">
            <v>435524</v>
          </cell>
          <cell r="Q82">
            <v>576834.06</v>
          </cell>
        </row>
        <row r="82">
          <cell r="S82">
            <v>400000</v>
          </cell>
        </row>
        <row r="83">
          <cell r="D83" t="str">
            <v>SB22582</v>
          </cell>
          <cell r="E83">
            <v>138448</v>
          </cell>
        </row>
        <row r="83">
          <cell r="G83">
            <v>138448</v>
          </cell>
        </row>
        <row r="83">
          <cell r="I83">
            <v>138448</v>
          </cell>
          <cell r="J83">
            <v>43200</v>
          </cell>
          <cell r="K83">
            <v>43200</v>
          </cell>
        </row>
        <row r="83">
          <cell r="M83">
            <v>45248</v>
          </cell>
        </row>
        <row r="83">
          <cell r="O83">
            <v>88448</v>
          </cell>
          <cell r="P83">
            <v>88448</v>
          </cell>
          <cell r="Q83">
            <v>95248</v>
          </cell>
        </row>
        <row r="83">
          <cell r="S83">
            <v>50000</v>
          </cell>
        </row>
        <row r="84">
          <cell r="D84" t="str">
            <v/>
          </cell>
        </row>
        <row r="84">
          <cell r="F84">
            <v>11000</v>
          </cell>
          <cell r="G84">
            <v>10000</v>
          </cell>
        </row>
        <row r="84">
          <cell r="I84">
            <v>1000</v>
          </cell>
        </row>
        <row r="84">
          <cell r="S84">
            <v>1000</v>
          </cell>
        </row>
        <row r="85">
          <cell r="D85" t="str">
            <v>SB22536</v>
          </cell>
        </row>
        <row r="85">
          <cell r="F85">
            <v>11000</v>
          </cell>
          <cell r="G85">
            <v>10000</v>
          </cell>
        </row>
        <row r="85">
          <cell r="I85">
            <v>1000</v>
          </cell>
        </row>
        <row r="85">
          <cell r="S85">
            <v>1000</v>
          </cell>
        </row>
        <row r="86">
          <cell r="D86" t="str">
            <v/>
          </cell>
          <cell r="E86">
            <v>12800059.47</v>
          </cell>
          <cell r="F86">
            <v>30949523.97</v>
          </cell>
          <cell r="G86">
            <v>21779030.96</v>
          </cell>
        </row>
        <row r="86">
          <cell r="I86">
            <v>9170493.01</v>
          </cell>
          <cell r="J86">
            <v>8783539.77</v>
          </cell>
          <cell r="K86">
            <v>14306835.77</v>
          </cell>
        </row>
        <row r="86">
          <cell r="M86">
            <v>8543265.36</v>
          </cell>
        </row>
        <row r="86">
          <cell r="O86">
            <v>5763570.41</v>
          </cell>
          <cell r="P86">
            <v>240274.41</v>
          </cell>
          <cell r="Q86">
            <v>4016519.7</v>
          </cell>
        </row>
        <row r="86">
          <cell r="S86">
            <v>3406922.6</v>
          </cell>
        </row>
        <row r="87">
          <cell r="D87" t="str">
            <v>SB22324</v>
          </cell>
        </row>
        <row r="87">
          <cell r="F87">
            <v>1440862</v>
          </cell>
          <cell r="G87">
            <v>1301935</v>
          </cell>
        </row>
        <row r="87">
          <cell r="I87">
            <v>138927</v>
          </cell>
        </row>
        <row r="87">
          <cell r="S87">
            <v>138927</v>
          </cell>
        </row>
        <row r="88">
          <cell r="D88" t="str">
            <v>SB22354</v>
          </cell>
        </row>
        <row r="88">
          <cell r="K88">
            <v>32000</v>
          </cell>
        </row>
        <row r="88">
          <cell r="M88">
            <v>32000</v>
          </cell>
        </row>
        <row r="88">
          <cell r="P88">
            <v>32000</v>
          </cell>
        </row>
        <row r="89">
          <cell r="D89" t="str">
            <v>SB22387</v>
          </cell>
        </row>
        <row r="89">
          <cell r="K89">
            <v>3500</v>
          </cell>
        </row>
        <row r="89">
          <cell r="M89">
            <v>3500</v>
          </cell>
        </row>
        <row r="89">
          <cell r="P89">
            <v>3500</v>
          </cell>
        </row>
        <row r="90">
          <cell r="D90" t="str">
            <v>SB22395</v>
          </cell>
        </row>
        <row r="90">
          <cell r="K90">
            <v>49700</v>
          </cell>
        </row>
        <row r="90">
          <cell r="M90">
            <v>49700</v>
          </cell>
        </row>
        <row r="90">
          <cell r="P90">
            <v>49700</v>
          </cell>
        </row>
        <row r="91">
          <cell r="D91" t="str">
            <v>SB22410</v>
          </cell>
        </row>
        <row r="91">
          <cell r="K91">
            <v>40000</v>
          </cell>
        </row>
        <row r="91">
          <cell r="M91">
            <v>40000</v>
          </cell>
        </row>
        <row r="91">
          <cell r="P91">
            <v>40000</v>
          </cell>
        </row>
        <row r="92">
          <cell r="D92" t="str">
            <v>SB22465</v>
          </cell>
        </row>
        <row r="92">
          <cell r="F92">
            <v>2500000</v>
          </cell>
          <cell r="G92">
            <v>2500000</v>
          </cell>
        </row>
        <row r="92">
          <cell r="K92">
            <v>156000</v>
          </cell>
        </row>
        <row r="92">
          <cell r="M92">
            <v>156000</v>
          </cell>
        </row>
        <row r="92">
          <cell r="P92">
            <v>156000</v>
          </cell>
        </row>
        <row r="93">
          <cell r="D93" t="str">
            <v>SB22491</v>
          </cell>
          <cell r="E93">
            <v>800166</v>
          </cell>
          <cell r="F93">
            <v>15800720</v>
          </cell>
          <cell r="G93">
            <v>14900720.39</v>
          </cell>
        </row>
        <row r="93">
          <cell r="I93">
            <v>899999.61</v>
          </cell>
          <cell r="J93">
            <v>2868336.67</v>
          </cell>
          <cell r="K93">
            <v>6416420.67</v>
          </cell>
        </row>
        <row r="93">
          <cell r="M93">
            <v>5959838.19</v>
          </cell>
        </row>
        <row r="93">
          <cell r="O93">
            <v>456582.48</v>
          </cell>
          <cell r="P93">
            <v>3091501.52</v>
          </cell>
          <cell r="Q93">
            <v>2068170.67</v>
          </cell>
        </row>
        <row r="93">
          <cell r="S93">
            <v>443417.13</v>
          </cell>
        </row>
        <row r="94">
          <cell r="D94" t="str">
            <v>SB22495</v>
          </cell>
          <cell r="E94">
            <v>2741972</v>
          </cell>
        </row>
        <row r="94">
          <cell r="K94">
            <v>658382</v>
          </cell>
        </row>
        <row r="94">
          <cell r="M94">
            <v>657910</v>
          </cell>
        </row>
        <row r="94">
          <cell r="O94">
            <v>472</v>
          </cell>
          <cell r="P94">
            <v>657910</v>
          </cell>
          <cell r="Q94">
            <v>2741972</v>
          </cell>
        </row>
        <row r="94">
          <cell r="S94">
            <v>472</v>
          </cell>
        </row>
        <row r="95">
          <cell r="D95" t="str">
            <v>SB22503</v>
          </cell>
          <cell r="E95">
            <v>500000</v>
          </cell>
          <cell r="F95">
            <v>2500043</v>
          </cell>
          <cell r="G95">
            <v>2500000</v>
          </cell>
        </row>
        <row r="95">
          <cell r="I95">
            <v>43</v>
          </cell>
        </row>
        <row r="95">
          <cell r="K95">
            <v>1100000</v>
          </cell>
        </row>
        <row r="95">
          <cell r="M95">
            <v>1100000</v>
          </cell>
        </row>
        <row r="95">
          <cell r="P95">
            <v>1100000</v>
          </cell>
          <cell r="Q95">
            <v>500000</v>
          </cell>
        </row>
        <row r="95">
          <cell r="S95">
            <v>43</v>
          </cell>
        </row>
        <row r="96">
          <cell r="D96" t="str">
            <v>SB22552</v>
          </cell>
        </row>
        <row r="96">
          <cell r="J96">
            <v>603830.29</v>
          </cell>
          <cell r="K96">
            <v>751830.29</v>
          </cell>
        </row>
        <row r="96">
          <cell r="M96">
            <v>790000</v>
          </cell>
        </row>
        <row r="96">
          <cell r="O96">
            <v>38169.71</v>
          </cell>
          <cell r="P96">
            <v>186169.71</v>
          </cell>
          <cell r="Q96">
            <v>603830.29</v>
          </cell>
        </row>
        <row r="96">
          <cell r="S96">
            <v>38169.71</v>
          </cell>
        </row>
        <row r="97">
          <cell r="D97" t="str">
            <v>SB22566</v>
          </cell>
          <cell r="E97">
            <v>2060170.57</v>
          </cell>
          <cell r="F97">
            <v>2060170.57</v>
          </cell>
          <cell r="G97">
            <v>2060170.57</v>
          </cell>
        </row>
        <row r="97">
          <cell r="J97">
            <v>994503</v>
          </cell>
          <cell r="K97">
            <v>2793503</v>
          </cell>
        </row>
        <row r="97">
          <cell r="M97">
            <v>2877500</v>
          </cell>
        </row>
        <row r="97">
          <cell r="O97">
            <v>83997</v>
          </cell>
          <cell r="P97">
            <v>1882997</v>
          </cell>
          <cell r="Q97">
            <v>1065667.57</v>
          </cell>
        </row>
        <row r="97">
          <cell r="S97">
            <v>83997</v>
          </cell>
        </row>
        <row r="98">
          <cell r="D98" t="str">
            <v>SB22586</v>
          </cell>
          <cell r="E98">
            <v>2778994.9</v>
          </cell>
          <cell r="F98">
            <v>2728972.4</v>
          </cell>
        </row>
        <row r="98">
          <cell r="I98">
            <v>2728972.4</v>
          </cell>
          <cell r="J98">
            <v>2025813.57</v>
          </cell>
          <cell r="K98">
            <v>1689013.57</v>
          </cell>
        </row>
        <row r="98">
          <cell r="M98">
            <v>377517.83</v>
          </cell>
        </row>
        <row r="98">
          <cell r="O98">
            <v>2066531.4</v>
          </cell>
          <cell r="P98">
            <v>2403331.4</v>
          </cell>
          <cell r="Q98">
            <v>753181.33</v>
          </cell>
        </row>
        <row r="98">
          <cell r="S98">
            <v>662441</v>
          </cell>
        </row>
        <row r="99">
          <cell r="D99" t="str">
            <v>SB22602</v>
          </cell>
          <cell r="E99">
            <v>1102551</v>
          </cell>
          <cell r="F99">
            <v>1102551</v>
          </cell>
        </row>
        <row r="99">
          <cell r="I99">
            <v>1102551</v>
          </cell>
          <cell r="J99">
            <v>712151.24</v>
          </cell>
          <cell r="K99">
            <v>608501.24</v>
          </cell>
        </row>
        <row r="99">
          <cell r="M99">
            <v>103650</v>
          </cell>
        </row>
        <row r="99">
          <cell r="O99">
            <v>712151.24</v>
          </cell>
          <cell r="P99">
            <v>815801.24</v>
          </cell>
          <cell r="Q99">
            <v>390399.76</v>
          </cell>
        </row>
        <row r="99">
          <cell r="S99">
            <v>390399.76</v>
          </cell>
        </row>
        <row r="100">
          <cell r="D100" t="str">
            <v>SB22645</v>
          </cell>
          <cell r="E100">
            <v>2816205</v>
          </cell>
          <cell r="F100">
            <v>2816205</v>
          </cell>
          <cell r="G100">
            <v>1483795</v>
          </cell>
        </row>
        <row r="100">
          <cell r="I100">
            <v>4300000</v>
          </cell>
          <cell r="J100">
            <v>1578905</v>
          </cell>
          <cell r="K100">
            <v>7985</v>
          </cell>
        </row>
        <row r="100">
          <cell r="M100">
            <v>2642015</v>
          </cell>
        </row>
        <row r="100">
          <cell r="O100">
            <v>2650000</v>
          </cell>
          <cell r="P100">
            <v>4220920</v>
          </cell>
          <cell r="Q100">
            <v>1237300</v>
          </cell>
        </row>
        <row r="100">
          <cell r="S100">
            <v>1650000</v>
          </cell>
        </row>
        <row r="101">
          <cell r="D101" t="str">
            <v/>
          </cell>
          <cell r="E101">
            <v>3293400</v>
          </cell>
        </row>
        <row r="101">
          <cell r="G101">
            <v>713240</v>
          </cell>
        </row>
        <row r="101">
          <cell r="I101">
            <v>713240</v>
          </cell>
          <cell r="J101">
            <v>927012.82</v>
          </cell>
          <cell r="K101">
            <v>902292</v>
          </cell>
        </row>
        <row r="101">
          <cell r="M101">
            <v>346292</v>
          </cell>
        </row>
        <row r="101">
          <cell r="O101">
            <v>556000</v>
          </cell>
          <cell r="P101">
            <v>580720.82</v>
          </cell>
          <cell r="Q101">
            <v>2366387.18</v>
          </cell>
        </row>
        <row r="101">
          <cell r="S101">
            <v>157240</v>
          </cell>
        </row>
        <row r="102">
          <cell r="D102" t="str">
            <v>SB22595</v>
          </cell>
          <cell r="E102">
            <v>2580160</v>
          </cell>
        </row>
        <row r="102">
          <cell r="J102">
            <v>850000</v>
          </cell>
          <cell r="K102">
            <v>850000</v>
          </cell>
        </row>
        <row r="102">
          <cell r="M102">
            <v>850000</v>
          </cell>
        </row>
        <row r="102">
          <cell r="Q102">
            <v>1730160</v>
          </cell>
        </row>
        <row r="103">
          <cell r="D103" t="str">
            <v>SB22609</v>
          </cell>
          <cell r="E103">
            <v>713240</v>
          </cell>
        </row>
        <row r="103">
          <cell r="G103">
            <v>713240</v>
          </cell>
        </row>
        <row r="103">
          <cell r="I103">
            <v>713240</v>
          </cell>
          <cell r="J103">
            <v>77012.82</v>
          </cell>
          <cell r="K103">
            <v>52292</v>
          </cell>
        </row>
        <row r="103">
          <cell r="M103">
            <v>503708</v>
          </cell>
        </row>
        <row r="103">
          <cell r="O103">
            <v>556000</v>
          </cell>
          <cell r="P103">
            <v>580720.82</v>
          </cell>
          <cell r="Q103">
            <v>636227.18</v>
          </cell>
        </row>
        <row r="103">
          <cell r="S103">
            <v>157240</v>
          </cell>
        </row>
        <row r="104">
          <cell r="D104" t="str">
            <v/>
          </cell>
        </row>
        <row r="104">
          <cell r="H104">
            <v>138800</v>
          </cell>
          <cell r="I104">
            <v>138800</v>
          </cell>
        </row>
        <row r="104">
          <cell r="S104">
            <v>138800</v>
          </cell>
        </row>
        <row r="105">
          <cell r="D105" t="str">
            <v>SB22401</v>
          </cell>
        </row>
        <row r="105">
          <cell r="H105">
            <v>138800</v>
          </cell>
          <cell r="I105">
            <v>138800</v>
          </cell>
        </row>
        <row r="105">
          <cell r="S105">
            <v>138800</v>
          </cell>
        </row>
        <row r="106">
          <cell r="D106" t="str">
            <v/>
          </cell>
          <cell r="E106">
            <v>1721092.49</v>
          </cell>
          <cell r="F106">
            <v>1721092.49</v>
          </cell>
        </row>
        <row r="106">
          <cell r="I106">
            <v>1721092.49</v>
          </cell>
          <cell r="J106">
            <v>1181572</v>
          </cell>
          <cell r="K106">
            <v>1181572</v>
          </cell>
        </row>
        <row r="106">
          <cell r="M106">
            <v>318428</v>
          </cell>
        </row>
        <row r="106">
          <cell r="O106">
            <v>1500000</v>
          </cell>
          <cell r="P106">
            <v>1500000</v>
          </cell>
          <cell r="Q106">
            <v>539520.49</v>
          </cell>
        </row>
        <row r="106">
          <cell r="S106">
            <v>221092.49</v>
          </cell>
        </row>
        <row r="107">
          <cell r="D107" t="str">
            <v>SB22571</v>
          </cell>
          <cell r="E107">
            <v>1721092.49</v>
          </cell>
          <cell r="F107">
            <v>1721092.49</v>
          </cell>
        </row>
        <row r="107">
          <cell r="I107">
            <v>1721092.49</v>
          </cell>
          <cell r="J107">
            <v>1181572</v>
          </cell>
          <cell r="K107">
            <v>1181572</v>
          </cell>
        </row>
        <row r="107">
          <cell r="M107">
            <v>318428</v>
          </cell>
        </row>
        <row r="107">
          <cell r="O107">
            <v>1500000</v>
          </cell>
          <cell r="P107">
            <v>1500000</v>
          </cell>
          <cell r="Q107">
            <v>539520.49</v>
          </cell>
        </row>
        <row r="107">
          <cell r="S107">
            <v>221092.49</v>
          </cell>
        </row>
        <row r="108">
          <cell r="D108" t="str">
            <v/>
          </cell>
        </row>
        <row r="108">
          <cell r="K108">
            <v>6000</v>
          </cell>
        </row>
        <row r="108">
          <cell r="M108">
            <v>6000</v>
          </cell>
        </row>
        <row r="108">
          <cell r="P108">
            <v>6000</v>
          </cell>
        </row>
        <row r="109">
          <cell r="D109" t="str">
            <v>SB22422</v>
          </cell>
        </row>
        <row r="109">
          <cell r="K109">
            <v>6000</v>
          </cell>
        </row>
        <row r="109">
          <cell r="M109">
            <v>6000</v>
          </cell>
        </row>
        <row r="109">
          <cell r="P109">
            <v>6000</v>
          </cell>
        </row>
        <row r="110">
          <cell r="D110" t="str">
            <v/>
          </cell>
          <cell r="E110">
            <v>581460</v>
          </cell>
          <cell r="F110">
            <v>581460</v>
          </cell>
        </row>
        <row r="110">
          <cell r="H110">
            <v>581460</v>
          </cell>
        </row>
        <row r="110">
          <cell r="J110">
            <v>83363</v>
          </cell>
          <cell r="K110">
            <v>223038</v>
          </cell>
        </row>
        <row r="110">
          <cell r="M110">
            <v>269675</v>
          </cell>
        </row>
        <row r="110">
          <cell r="O110">
            <v>46637</v>
          </cell>
          <cell r="P110">
            <v>186312</v>
          </cell>
          <cell r="Q110">
            <v>498097</v>
          </cell>
        </row>
        <row r="110">
          <cell r="S110">
            <v>46637</v>
          </cell>
        </row>
        <row r="111">
          <cell r="D111" t="str">
            <v>SB22392</v>
          </cell>
        </row>
        <row r="111">
          <cell r="K111">
            <v>26000</v>
          </cell>
        </row>
        <row r="111">
          <cell r="M111">
            <v>26000</v>
          </cell>
        </row>
        <row r="111">
          <cell r="P111">
            <v>26000</v>
          </cell>
        </row>
        <row r="112">
          <cell r="D112" t="str">
            <v>SB22548</v>
          </cell>
          <cell r="E112">
            <v>581460</v>
          </cell>
          <cell r="F112">
            <v>581460</v>
          </cell>
        </row>
        <row r="112">
          <cell r="H112">
            <v>581460</v>
          </cell>
        </row>
        <row r="112">
          <cell r="J112">
            <v>83363</v>
          </cell>
          <cell r="K112">
            <v>197038</v>
          </cell>
        </row>
        <row r="112">
          <cell r="M112">
            <v>243675</v>
          </cell>
        </row>
        <row r="112">
          <cell r="O112">
            <v>46637</v>
          </cell>
          <cell r="P112">
            <v>160312</v>
          </cell>
          <cell r="Q112">
            <v>498097</v>
          </cell>
        </row>
        <row r="112">
          <cell r="S112">
            <v>46637</v>
          </cell>
        </row>
        <row r="113">
          <cell r="D113" t="str">
            <v/>
          </cell>
        </row>
        <row r="113">
          <cell r="F113">
            <v>63910</v>
          </cell>
          <cell r="G113">
            <v>64000</v>
          </cell>
        </row>
        <row r="113">
          <cell r="I113">
            <v>90</v>
          </cell>
        </row>
        <row r="113">
          <cell r="K113">
            <v>700</v>
          </cell>
        </row>
        <row r="113">
          <cell r="M113">
            <v>700</v>
          </cell>
        </row>
        <row r="113">
          <cell r="P113">
            <v>700</v>
          </cell>
        </row>
        <row r="113">
          <cell r="S113">
            <v>90</v>
          </cell>
        </row>
        <row r="114">
          <cell r="D114" t="str">
            <v>SB22538</v>
          </cell>
        </row>
        <row r="114">
          <cell r="F114">
            <v>63910</v>
          </cell>
          <cell r="G114">
            <v>64000</v>
          </cell>
        </row>
        <row r="114">
          <cell r="I114">
            <v>90</v>
          </cell>
        </row>
        <row r="114">
          <cell r="K114">
            <v>700</v>
          </cell>
        </row>
        <row r="114">
          <cell r="M114">
            <v>700</v>
          </cell>
        </row>
        <row r="114">
          <cell r="P114">
            <v>700</v>
          </cell>
        </row>
        <row r="114">
          <cell r="S114">
            <v>90</v>
          </cell>
        </row>
        <row r="115">
          <cell r="D115" t="str">
            <v/>
          </cell>
        </row>
        <row r="115">
          <cell r="K115">
            <v>19848.91</v>
          </cell>
        </row>
        <row r="115">
          <cell r="M115">
            <v>19848.91</v>
          </cell>
        </row>
        <row r="115">
          <cell r="P115">
            <v>19848.91</v>
          </cell>
        </row>
        <row r="116">
          <cell r="D116" t="str">
            <v>SB21992</v>
          </cell>
        </row>
        <row r="116">
          <cell r="K116">
            <v>19848.91</v>
          </cell>
        </row>
        <row r="116">
          <cell r="M116">
            <v>19848.91</v>
          </cell>
        </row>
        <row r="116">
          <cell r="P116">
            <v>19848.91</v>
          </cell>
        </row>
        <row r="117">
          <cell r="D117" t="str">
            <v/>
          </cell>
        </row>
        <row r="117">
          <cell r="F117">
            <v>2226654</v>
          </cell>
          <cell r="G117">
            <v>2117000</v>
          </cell>
        </row>
        <row r="117">
          <cell r="I117">
            <v>109654</v>
          </cell>
          <cell r="J117">
            <v>1335025.02</v>
          </cell>
          <cell r="K117">
            <v>1260505.02</v>
          </cell>
        </row>
        <row r="117">
          <cell r="M117">
            <v>1258076.02</v>
          </cell>
          <cell r="N117">
            <v>2429</v>
          </cell>
        </row>
        <row r="117">
          <cell r="P117">
            <v>74520</v>
          </cell>
          <cell r="Q117">
            <v>1335025.02</v>
          </cell>
        </row>
        <row r="117">
          <cell r="S117">
            <v>109654</v>
          </cell>
        </row>
        <row r="118">
          <cell r="D118" t="str">
            <v>SB22550</v>
          </cell>
        </row>
        <row r="118">
          <cell r="F118">
            <v>2226654</v>
          </cell>
          <cell r="G118">
            <v>2117000</v>
          </cell>
        </row>
        <row r="118">
          <cell r="I118">
            <v>109654</v>
          </cell>
          <cell r="J118">
            <v>1335025.02</v>
          </cell>
          <cell r="K118">
            <v>1260505.02</v>
          </cell>
        </row>
        <row r="118">
          <cell r="M118">
            <v>1258076.02</v>
          </cell>
          <cell r="N118">
            <v>2429</v>
          </cell>
        </row>
        <row r="118">
          <cell r="P118">
            <v>74520</v>
          </cell>
          <cell r="Q118">
            <v>1335025.02</v>
          </cell>
        </row>
        <row r="118">
          <cell r="S118">
            <v>109654</v>
          </cell>
        </row>
        <row r="119">
          <cell r="D119" t="str">
            <v/>
          </cell>
          <cell r="E119">
            <v>1000000</v>
          </cell>
        </row>
        <row r="119">
          <cell r="J119">
            <v>559134.47</v>
          </cell>
          <cell r="K119">
            <v>559134.47</v>
          </cell>
        </row>
        <row r="119">
          <cell r="M119">
            <v>574927.53</v>
          </cell>
        </row>
        <row r="119">
          <cell r="O119">
            <v>15793.06</v>
          </cell>
          <cell r="P119">
            <v>15793.06</v>
          </cell>
          <cell r="Q119">
            <v>440865.53</v>
          </cell>
        </row>
        <row r="119">
          <cell r="S119">
            <v>15793.06</v>
          </cell>
        </row>
        <row r="120">
          <cell r="D120" t="str">
            <v>SB21859</v>
          </cell>
        </row>
        <row r="120">
          <cell r="M120">
            <v>15793.06</v>
          </cell>
        </row>
        <row r="120">
          <cell r="O120">
            <v>15793.06</v>
          </cell>
          <cell r="P120">
            <v>15793.06</v>
          </cell>
        </row>
        <row r="120">
          <cell r="S120">
            <v>15793.06</v>
          </cell>
        </row>
        <row r="121">
          <cell r="D121" t="str">
            <v>SB22512</v>
          </cell>
          <cell r="E121">
            <v>1000000</v>
          </cell>
        </row>
        <row r="121">
          <cell r="J121">
            <v>559134.47</v>
          </cell>
          <cell r="K121">
            <v>559134.47</v>
          </cell>
        </row>
        <row r="121">
          <cell r="M121">
            <v>559134.47</v>
          </cell>
        </row>
        <row r="121">
          <cell r="Q121">
            <v>440865.53</v>
          </cell>
        </row>
        <row r="122">
          <cell r="D122" t="str">
            <v/>
          </cell>
          <cell r="E122">
            <v>13936912.34</v>
          </cell>
          <cell r="F122">
            <v>6876847.38</v>
          </cell>
          <cell r="G122">
            <v>1621017.46</v>
          </cell>
          <cell r="H122">
            <v>399072.26</v>
          </cell>
          <cell r="I122">
            <v>8098792.58</v>
          </cell>
          <cell r="J122">
            <v>5315277.85</v>
          </cell>
          <cell r="K122">
            <v>4473871.35</v>
          </cell>
        </row>
        <row r="122">
          <cell r="M122">
            <v>1487735.78</v>
          </cell>
        </row>
        <row r="122">
          <cell r="O122">
            <v>5961607.13</v>
          </cell>
          <cell r="P122">
            <v>6803013.63</v>
          </cell>
          <cell r="Q122">
            <v>8621634.49</v>
          </cell>
        </row>
        <row r="122">
          <cell r="S122">
            <v>2137185.45</v>
          </cell>
        </row>
        <row r="123">
          <cell r="D123" t="str">
            <v>SB22327</v>
          </cell>
        </row>
        <row r="123">
          <cell r="K123">
            <v>461394</v>
          </cell>
        </row>
        <row r="123">
          <cell r="M123">
            <v>461394</v>
          </cell>
        </row>
        <row r="123">
          <cell r="P123">
            <v>461394</v>
          </cell>
        </row>
        <row r="124">
          <cell r="D124" t="str">
            <v>SB22375</v>
          </cell>
        </row>
        <row r="124">
          <cell r="F124">
            <v>292464.5</v>
          </cell>
          <cell r="G124">
            <v>292462</v>
          </cell>
        </row>
        <row r="124">
          <cell r="I124">
            <v>2.5</v>
          </cell>
        </row>
        <row r="124">
          <cell r="S124">
            <v>2.5</v>
          </cell>
        </row>
        <row r="125">
          <cell r="D125" t="str">
            <v>SB22391</v>
          </cell>
        </row>
        <row r="125">
          <cell r="K125">
            <v>3500</v>
          </cell>
        </row>
        <row r="125">
          <cell r="M125">
            <v>3500</v>
          </cell>
        </row>
        <row r="125">
          <cell r="P125">
            <v>3500</v>
          </cell>
        </row>
        <row r="126">
          <cell r="D126" t="str">
            <v>SB22394</v>
          </cell>
        </row>
        <row r="126">
          <cell r="K126">
            <v>39500</v>
          </cell>
        </row>
        <row r="126">
          <cell r="M126">
            <v>39500</v>
          </cell>
        </row>
        <row r="126">
          <cell r="P126">
            <v>39500</v>
          </cell>
        </row>
        <row r="127">
          <cell r="D127" t="str">
            <v>SB22449</v>
          </cell>
          <cell r="E127">
            <v>399072.26</v>
          </cell>
          <cell r="F127">
            <v>399072.26</v>
          </cell>
        </row>
        <row r="127">
          <cell r="H127">
            <v>399072.26</v>
          </cell>
        </row>
        <row r="127">
          <cell r="Q127">
            <v>399072.26</v>
          </cell>
        </row>
        <row r="128">
          <cell r="D128" t="str">
            <v>SB22494</v>
          </cell>
        </row>
        <row r="128">
          <cell r="K128">
            <v>26000</v>
          </cell>
        </row>
        <row r="128">
          <cell r="M128">
            <v>26000</v>
          </cell>
        </row>
        <row r="128">
          <cell r="P128">
            <v>26000</v>
          </cell>
        </row>
        <row r="129">
          <cell r="D129" t="str">
            <v>SB22501</v>
          </cell>
        </row>
        <row r="129">
          <cell r="K129">
            <v>180000</v>
          </cell>
        </row>
        <row r="129">
          <cell r="M129">
            <v>180000</v>
          </cell>
        </row>
        <row r="129">
          <cell r="P129">
            <v>180000</v>
          </cell>
        </row>
        <row r="130">
          <cell r="D130" t="str">
            <v>SB22502</v>
          </cell>
        </row>
        <row r="130">
          <cell r="J130">
            <v>267108.3</v>
          </cell>
          <cell r="K130">
            <v>428608.3</v>
          </cell>
        </row>
        <row r="130">
          <cell r="M130">
            <v>486500</v>
          </cell>
        </row>
        <row r="130">
          <cell r="O130">
            <v>57891.7</v>
          </cell>
          <cell r="P130">
            <v>219391.7</v>
          </cell>
          <cell r="Q130">
            <v>267108.3</v>
          </cell>
        </row>
        <row r="130">
          <cell r="S130">
            <v>57891.7</v>
          </cell>
        </row>
        <row r="131">
          <cell r="D131" t="str">
            <v>SB22537</v>
          </cell>
        </row>
        <row r="131">
          <cell r="K131">
            <v>330000</v>
          </cell>
        </row>
        <row r="131">
          <cell r="M131">
            <v>330000</v>
          </cell>
        </row>
        <row r="131">
          <cell r="P131">
            <v>330000</v>
          </cell>
        </row>
        <row r="132">
          <cell r="D132" t="str">
            <v>SB22549</v>
          </cell>
        </row>
        <row r="132">
          <cell r="F132">
            <v>286859.98</v>
          </cell>
          <cell r="G132">
            <v>301859.98</v>
          </cell>
        </row>
        <row r="132">
          <cell r="I132">
            <v>15000</v>
          </cell>
        </row>
        <row r="132">
          <cell r="K132">
            <v>94000</v>
          </cell>
        </row>
        <row r="132">
          <cell r="M132">
            <v>94000</v>
          </cell>
        </row>
        <row r="132">
          <cell r="P132">
            <v>94000</v>
          </cell>
        </row>
        <row r="132">
          <cell r="S132">
            <v>15000</v>
          </cell>
        </row>
        <row r="133">
          <cell r="D133" t="str">
            <v>SB22578</v>
          </cell>
          <cell r="E133">
            <v>10667872.81</v>
          </cell>
          <cell r="F133">
            <v>5333936.81</v>
          </cell>
        </row>
        <row r="133">
          <cell r="I133">
            <v>5333936.81</v>
          </cell>
          <cell r="J133">
            <v>3377971.05</v>
          </cell>
          <cell r="K133">
            <v>2128089.05</v>
          </cell>
        </row>
        <row r="133">
          <cell r="M133">
            <v>1705846.95</v>
          </cell>
        </row>
        <row r="133">
          <cell r="O133">
            <v>3833936</v>
          </cell>
          <cell r="P133">
            <v>5083818</v>
          </cell>
          <cell r="Q133">
            <v>7289901.76</v>
          </cell>
        </row>
        <row r="133">
          <cell r="S133">
            <v>1500000.81</v>
          </cell>
        </row>
        <row r="134">
          <cell r="D134" t="str">
            <v>SB22594</v>
          </cell>
          <cell r="E134">
            <v>1022599</v>
          </cell>
        </row>
        <row r="134">
          <cell r="G134">
            <v>1022599</v>
          </cell>
        </row>
        <row r="134">
          <cell r="I134">
            <v>1022599</v>
          </cell>
          <cell r="J134">
            <v>551803</v>
          </cell>
          <cell r="K134">
            <v>536803</v>
          </cell>
        </row>
        <row r="134">
          <cell r="M134">
            <v>185197</v>
          </cell>
        </row>
        <row r="134">
          <cell r="O134">
            <v>722000</v>
          </cell>
          <cell r="P134">
            <v>737000</v>
          </cell>
          <cell r="Q134">
            <v>470796</v>
          </cell>
        </row>
        <row r="134">
          <cell r="S134">
            <v>300599</v>
          </cell>
        </row>
        <row r="135">
          <cell r="D135" t="str">
            <v>SB22603</v>
          </cell>
          <cell r="E135">
            <v>105114</v>
          </cell>
        </row>
        <row r="135">
          <cell r="Q135">
            <v>105114</v>
          </cell>
        </row>
        <row r="136">
          <cell r="D136" t="str">
            <v>SB22608</v>
          </cell>
          <cell r="E136">
            <v>564513.83</v>
          </cell>
          <cell r="F136">
            <v>564513.83</v>
          </cell>
        </row>
        <row r="136">
          <cell r="I136">
            <v>564513.83</v>
          </cell>
          <cell r="J136">
            <v>253014.5</v>
          </cell>
          <cell r="K136">
            <v>188596</v>
          </cell>
        </row>
        <row r="136">
          <cell r="M136">
            <v>275266.83</v>
          </cell>
        </row>
        <row r="136">
          <cell r="O136">
            <v>463862.83</v>
          </cell>
          <cell r="P136">
            <v>528281.33</v>
          </cell>
          <cell r="Q136">
            <v>311499.33</v>
          </cell>
        </row>
        <row r="136">
          <cell r="S136">
            <v>100651</v>
          </cell>
        </row>
        <row r="137">
          <cell r="D137" t="str">
            <v>SB22619</v>
          </cell>
          <cell r="E137">
            <v>1077740.44</v>
          </cell>
        </row>
        <row r="137">
          <cell r="G137">
            <v>1077740.44</v>
          </cell>
        </row>
        <row r="137">
          <cell r="I137">
            <v>1077740.44</v>
          </cell>
          <cell r="J137">
            <v>865381</v>
          </cell>
          <cell r="K137">
            <v>57381</v>
          </cell>
        </row>
        <row r="137">
          <cell r="M137">
            <v>852619</v>
          </cell>
        </row>
        <row r="137">
          <cell r="O137">
            <v>910000</v>
          </cell>
          <cell r="P137">
            <v>1718000</v>
          </cell>
          <cell r="Q137">
            <v>212359.44</v>
          </cell>
        </row>
        <row r="137">
          <cell r="S137">
            <v>167740.44</v>
          </cell>
        </row>
        <row r="138">
          <cell r="D138" t="str">
            <v>SB22641</v>
          </cell>
          <cell r="E138">
            <v>100000</v>
          </cell>
        </row>
        <row r="138">
          <cell r="G138">
            <v>115000</v>
          </cell>
        </row>
        <row r="138">
          <cell r="I138">
            <v>115000</v>
          </cell>
        </row>
        <row r="138">
          <cell r="M138">
            <v>89700</v>
          </cell>
        </row>
        <row r="138">
          <cell r="O138">
            <v>89700</v>
          </cell>
          <cell r="P138">
            <v>89700</v>
          </cell>
          <cell r="Q138">
            <v>100000</v>
          </cell>
        </row>
        <row r="138">
          <cell r="S138">
            <v>25300</v>
          </cell>
        </row>
        <row r="139">
          <cell r="D139" t="str">
            <v/>
          </cell>
          <cell r="E139">
            <v>349503</v>
          </cell>
          <cell r="F139">
            <v>349503</v>
          </cell>
        </row>
        <row r="139">
          <cell r="I139">
            <v>349503</v>
          </cell>
          <cell r="J139">
            <v>58146.67</v>
          </cell>
          <cell r="K139">
            <v>58146.67</v>
          </cell>
        </row>
        <row r="139">
          <cell r="N139">
            <v>89000</v>
          </cell>
          <cell r="O139">
            <v>30853.33</v>
          </cell>
          <cell r="P139">
            <v>30853.33</v>
          </cell>
          <cell r="Q139">
            <v>291356.33</v>
          </cell>
        </row>
        <row r="139">
          <cell r="S139">
            <v>318649.67</v>
          </cell>
        </row>
        <row r="140">
          <cell r="D140" t="str">
            <v>SB22332</v>
          </cell>
          <cell r="E140">
            <v>349503</v>
          </cell>
          <cell r="F140">
            <v>349503</v>
          </cell>
        </row>
        <row r="140">
          <cell r="I140">
            <v>349503</v>
          </cell>
          <cell r="J140">
            <v>58146.67</v>
          </cell>
          <cell r="K140">
            <v>58146.67</v>
          </cell>
        </row>
        <row r="140">
          <cell r="N140">
            <v>89000</v>
          </cell>
          <cell r="O140">
            <v>30853.33</v>
          </cell>
          <cell r="P140">
            <v>30853.33</v>
          </cell>
          <cell r="Q140">
            <v>291356.33</v>
          </cell>
        </row>
        <row r="140">
          <cell r="S140">
            <v>318649.67</v>
          </cell>
        </row>
        <row r="141">
          <cell r="D141" t="str">
            <v/>
          </cell>
          <cell r="E141">
            <v>3087345.8</v>
          </cell>
          <cell r="F141">
            <v>3087345.8</v>
          </cell>
          <cell r="G141">
            <v>2855245.4</v>
          </cell>
        </row>
        <row r="141">
          <cell r="I141">
            <v>232100.4</v>
          </cell>
          <cell r="J141">
            <v>210000</v>
          </cell>
          <cell r="K141">
            <v>878028</v>
          </cell>
        </row>
        <row r="141">
          <cell r="M141">
            <v>665511</v>
          </cell>
        </row>
        <row r="141">
          <cell r="O141">
            <v>212517</v>
          </cell>
          <cell r="P141">
            <v>455511</v>
          </cell>
          <cell r="Q141">
            <v>2877345.8</v>
          </cell>
        </row>
        <row r="141">
          <cell r="S141">
            <v>19583.4</v>
          </cell>
        </row>
        <row r="142">
          <cell r="D142" t="str">
            <v>SB22472</v>
          </cell>
          <cell r="E142">
            <v>3087345.8</v>
          </cell>
          <cell r="F142">
            <v>3087345.8</v>
          </cell>
          <cell r="G142">
            <v>2855245.4</v>
          </cell>
        </row>
        <row r="142">
          <cell r="I142">
            <v>232100.4</v>
          </cell>
          <cell r="J142">
            <v>210000</v>
          </cell>
          <cell r="K142">
            <v>878028</v>
          </cell>
        </row>
        <row r="142">
          <cell r="M142">
            <v>665511</v>
          </cell>
        </row>
        <row r="142">
          <cell r="O142">
            <v>212517</v>
          </cell>
          <cell r="P142">
            <v>455511</v>
          </cell>
          <cell r="Q142">
            <v>2877345.8</v>
          </cell>
        </row>
        <row r="142">
          <cell r="S142">
            <v>19583.4</v>
          </cell>
        </row>
        <row r="143">
          <cell r="D143" t="str">
            <v/>
          </cell>
          <cell r="E143">
            <v>32089393.34</v>
          </cell>
          <cell r="F143">
            <v>12752369.1</v>
          </cell>
          <cell r="G143">
            <v>6405888.58</v>
          </cell>
          <cell r="H143">
            <v>1372057.5</v>
          </cell>
          <cell r="I143">
            <v>17786200.18</v>
          </cell>
          <cell r="J143">
            <v>10397353.77</v>
          </cell>
          <cell r="K143">
            <v>14346418.29</v>
          </cell>
        </row>
        <row r="143">
          <cell r="M143">
            <v>427406.91</v>
          </cell>
          <cell r="N143">
            <v>17815</v>
          </cell>
          <cell r="O143">
            <v>13901196.38</v>
          </cell>
          <cell r="P143">
            <v>9952131.86</v>
          </cell>
          <cell r="Q143">
            <v>21692039.57</v>
          </cell>
        </row>
        <row r="143">
          <cell r="S143">
            <v>3885003.8</v>
          </cell>
        </row>
        <row r="144">
          <cell r="D144" t="str">
            <v/>
          </cell>
          <cell r="E144">
            <v>32089393.34</v>
          </cell>
          <cell r="F144">
            <v>12752369.1</v>
          </cell>
          <cell r="G144">
            <v>6405888.58</v>
          </cell>
          <cell r="H144">
            <v>1372057.5</v>
          </cell>
          <cell r="I144">
            <v>17786200.18</v>
          </cell>
          <cell r="J144">
            <v>10397353.77</v>
          </cell>
          <cell r="K144">
            <v>14346418.29</v>
          </cell>
        </row>
        <row r="144">
          <cell r="M144">
            <v>427406.91</v>
          </cell>
          <cell r="N144">
            <v>17815</v>
          </cell>
          <cell r="O144">
            <v>13901196.38</v>
          </cell>
          <cell r="P144">
            <v>9952131.86</v>
          </cell>
          <cell r="Q144">
            <v>21692039.57</v>
          </cell>
        </row>
        <row r="144">
          <cell r="S144">
            <v>3885003.8</v>
          </cell>
        </row>
        <row r="145">
          <cell r="D145" t="str">
            <v/>
          </cell>
        </row>
        <row r="145">
          <cell r="K145">
            <v>1691</v>
          </cell>
        </row>
        <row r="145">
          <cell r="M145">
            <v>1691</v>
          </cell>
        </row>
        <row r="145">
          <cell r="P145">
            <v>1691</v>
          </cell>
        </row>
        <row r="146">
          <cell r="D146" t="str">
            <v>SB22509</v>
          </cell>
        </row>
        <row r="146">
          <cell r="K146">
            <v>1691</v>
          </cell>
        </row>
        <row r="146">
          <cell r="M146">
            <v>1691</v>
          </cell>
        </row>
        <row r="146">
          <cell r="P146">
            <v>1691</v>
          </cell>
        </row>
        <row r="147">
          <cell r="D147" t="str">
            <v/>
          </cell>
        </row>
        <row r="147">
          <cell r="K147">
            <v>133500</v>
          </cell>
        </row>
        <row r="147">
          <cell r="M147">
            <v>133500</v>
          </cell>
        </row>
        <row r="147">
          <cell r="P147">
            <v>133500</v>
          </cell>
        </row>
        <row r="148">
          <cell r="D148" t="str">
            <v>SB22282</v>
          </cell>
        </row>
        <row r="148">
          <cell r="K148">
            <v>133500</v>
          </cell>
        </row>
        <row r="148">
          <cell r="M148">
            <v>133500</v>
          </cell>
        </row>
        <row r="148">
          <cell r="P148">
            <v>133500</v>
          </cell>
        </row>
        <row r="149">
          <cell r="D149" t="str">
            <v/>
          </cell>
          <cell r="E149">
            <v>1814897.04</v>
          </cell>
          <cell r="F149">
            <v>34100</v>
          </cell>
          <cell r="G149">
            <v>2213203</v>
          </cell>
        </row>
        <row r="149">
          <cell r="I149">
            <v>2247303</v>
          </cell>
          <cell r="J149">
            <v>710668</v>
          </cell>
          <cell r="K149">
            <v>932457</v>
          </cell>
        </row>
        <row r="149">
          <cell r="M149">
            <v>643822</v>
          </cell>
        </row>
        <row r="149">
          <cell r="O149">
            <v>1576279</v>
          </cell>
          <cell r="P149">
            <v>1354490</v>
          </cell>
          <cell r="Q149">
            <v>1104229.04</v>
          </cell>
        </row>
        <row r="149">
          <cell r="S149">
            <v>671024</v>
          </cell>
        </row>
        <row r="150">
          <cell r="D150" t="str">
            <v>SB22205</v>
          </cell>
        </row>
        <row r="150">
          <cell r="K150">
            <v>37050</v>
          </cell>
        </row>
        <row r="150">
          <cell r="M150">
            <v>37050</v>
          </cell>
        </row>
        <row r="150">
          <cell r="P150">
            <v>37050</v>
          </cell>
        </row>
        <row r="151">
          <cell r="D151" t="str">
            <v>SB22411</v>
          </cell>
        </row>
        <row r="151">
          <cell r="K151">
            <v>7552</v>
          </cell>
        </row>
        <row r="151">
          <cell r="M151">
            <v>7552</v>
          </cell>
        </row>
        <row r="151">
          <cell r="P151">
            <v>7552</v>
          </cell>
        </row>
        <row r="152">
          <cell r="D152" t="str">
            <v>SB22487</v>
          </cell>
        </row>
        <row r="152">
          <cell r="K152">
            <v>36830</v>
          </cell>
        </row>
        <row r="152">
          <cell r="M152">
            <v>36830</v>
          </cell>
        </row>
        <row r="152">
          <cell r="P152">
            <v>36830</v>
          </cell>
        </row>
        <row r="153">
          <cell r="D153" t="str">
            <v>SB22504</v>
          </cell>
        </row>
        <row r="153">
          <cell r="K153">
            <v>8391</v>
          </cell>
        </row>
        <row r="153">
          <cell r="M153">
            <v>8391</v>
          </cell>
        </row>
        <row r="153">
          <cell r="P153">
            <v>8391</v>
          </cell>
        </row>
        <row r="154">
          <cell r="D154" t="str">
            <v>SB22524</v>
          </cell>
        </row>
        <row r="154">
          <cell r="K154">
            <v>22800</v>
          </cell>
        </row>
        <row r="154">
          <cell r="M154">
            <v>22800</v>
          </cell>
        </row>
        <row r="154">
          <cell r="P154">
            <v>22800</v>
          </cell>
        </row>
        <row r="155">
          <cell r="D155" t="str">
            <v>SB22547</v>
          </cell>
        </row>
        <row r="155">
          <cell r="K155">
            <v>42110</v>
          </cell>
        </row>
        <row r="155">
          <cell r="M155">
            <v>42110</v>
          </cell>
        </row>
        <row r="155">
          <cell r="P155">
            <v>42110</v>
          </cell>
        </row>
        <row r="156">
          <cell r="D156" t="str">
            <v>SB22555</v>
          </cell>
        </row>
        <row r="156">
          <cell r="K156">
            <v>15000</v>
          </cell>
        </row>
        <row r="156">
          <cell r="M156">
            <v>15000</v>
          </cell>
        </row>
        <row r="156">
          <cell r="P156">
            <v>15000</v>
          </cell>
        </row>
        <row r="157">
          <cell r="D157" t="str">
            <v>SB22556</v>
          </cell>
        </row>
        <row r="157">
          <cell r="K157">
            <v>52056</v>
          </cell>
        </row>
        <row r="157">
          <cell r="M157">
            <v>52056</v>
          </cell>
        </row>
        <row r="157">
          <cell r="P157">
            <v>52056</v>
          </cell>
        </row>
        <row r="158">
          <cell r="D158" t="str">
            <v>SB22573</v>
          </cell>
        </row>
        <row r="158">
          <cell r="G158">
            <v>33583</v>
          </cell>
        </row>
        <row r="158">
          <cell r="I158">
            <v>33583</v>
          </cell>
          <cell r="J158">
            <v>1903</v>
          </cell>
          <cell r="K158">
            <v>1903</v>
          </cell>
        </row>
        <row r="158">
          <cell r="M158">
            <v>20097</v>
          </cell>
        </row>
        <row r="158">
          <cell r="O158">
            <v>22000</v>
          </cell>
          <cell r="P158">
            <v>22000</v>
          </cell>
          <cell r="Q158">
            <v>1903</v>
          </cell>
        </row>
        <row r="158">
          <cell r="S158">
            <v>11583</v>
          </cell>
        </row>
        <row r="159">
          <cell r="D159" t="str">
            <v>SB22589</v>
          </cell>
          <cell r="E159">
            <v>34100</v>
          </cell>
          <cell r="F159">
            <v>34100</v>
          </cell>
        </row>
        <row r="159">
          <cell r="I159">
            <v>34100</v>
          </cell>
        </row>
        <row r="159">
          <cell r="M159">
            <v>23000</v>
          </cell>
        </row>
        <row r="159">
          <cell r="O159">
            <v>23000</v>
          </cell>
          <cell r="P159">
            <v>23000</v>
          </cell>
          <cell r="Q159">
            <v>34100</v>
          </cell>
        </row>
        <row r="159">
          <cell r="S159">
            <v>11100</v>
          </cell>
        </row>
        <row r="160">
          <cell r="D160" t="str">
            <v>SB22604</v>
          </cell>
          <cell r="E160">
            <v>1014046</v>
          </cell>
        </row>
        <row r="160">
          <cell r="G160">
            <v>1014046</v>
          </cell>
        </row>
        <row r="160">
          <cell r="I160">
            <v>1014046</v>
          </cell>
          <cell r="J160">
            <v>708765</v>
          </cell>
          <cell r="K160">
            <v>708765</v>
          </cell>
        </row>
        <row r="160">
          <cell r="O160">
            <v>708765</v>
          </cell>
          <cell r="P160">
            <v>708765</v>
          </cell>
          <cell r="Q160">
            <v>305281</v>
          </cell>
        </row>
        <row r="160">
          <cell r="S160">
            <v>305281</v>
          </cell>
        </row>
        <row r="161">
          <cell r="D161" t="str">
            <v>SB22610</v>
          </cell>
          <cell r="E161">
            <v>71500</v>
          </cell>
        </row>
        <row r="161">
          <cell r="G161">
            <v>71500</v>
          </cell>
        </row>
        <row r="161">
          <cell r="I161">
            <v>71500</v>
          </cell>
        </row>
        <row r="161">
          <cell r="M161">
            <v>40000</v>
          </cell>
        </row>
        <row r="161">
          <cell r="O161">
            <v>40000</v>
          </cell>
          <cell r="P161">
            <v>40000</v>
          </cell>
          <cell r="Q161">
            <v>71500</v>
          </cell>
        </row>
        <row r="161">
          <cell r="S161">
            <v>31500</v>
          </cell>
        </row>
        <row r="162">
          <cell r="D162" t="str">
            <v>SB22635</v>
          </cell>
        </row>
        <row r="162">
          <cell r="G162">
            <v>179520</v>
          </cell>
        </row>
        <row r="162">
          <cell r="I162">
            <v>179520</v>
          </cell>
        </row>
        <row r="162">
          <cell r="M162">
            <v>120000</v>
          </cell>
        </row>
        <row r="162">
          <cell r="O162">
            <v>120000</v>
          </cell>
          <cell r="P162">
            <v>120000</v>
          </cell>
        </row>
        <row r="162">
          <cell r="S162">
            <v>59520</v>
          </cell>
        </row>
        <row r="163">
          <cell r="D163" t="str">
            <v>SB22642</v>
          </cell>
          <cell r="E163">
            <v>80014</v>
          </cell>
        </row>
        <row r="163">
          <cell r="G163">
            <v>80014</v>
          </cell>
        </row>
        <row r="163">
          <cell r="I163">
            <v>80014</v>
          </cell>
        </row>
        <row r="163">
          <cell r="M163">
            <v>55014</v>
          </cell>
        </row>
        <row r="163">
          <cell r="O163">
            <v>55014</v>
          </cell>
          <cell r="P163">
            <v>55014</v>
          </cell>
          <cell r="Q163">
            <v>80014</v>
          </cell>
        </row>
        <row r="163">
          <cell r="S163">
            <v>25000</v>
          </cell>
        </row>
        <row r="164">
          <cell r="D164" t="str">
            <v>SB22651</v>
          </cell>
          <cell r="E164">
            <v>437059.04</v>
          </cell>
        </row>
        <row r="164">
          <cell r="G164">
            <v>437059</v>
          </cell>
        </row>
        <row r="164">
          <cell r="I164">
            <v>437059</v>
          </cell>
        </row>
        <row r="164">
          <cell r="M164">
            <v>310000</v>
          </cell>
        </row>
        <row r="164">
          <cell r="O164">
            <v>310000</v>
          </cell>
          <cell r="P164">
            <v>310000</v>
          </cell>
          <cell r="Q164">
            <v>437059.04</v>
          </cell>
        </row>
        <row r="164">
          <cell r="S164">
            <v>127059</v>
          </cell>
        </row>
        <row r="165">
          <cell r="D165" t="str">
            <v>SB22652</v>
          </cell>
        </row>
        <row r="165">
          <cell r="G165">
            <v>10010</v>
          </cell>
        </row>
        <row r="165">
          <cell r="I165">
            <v>10010</v>
          </cell>
        </row>
        <row r="165">
          <cell r="M165">
            <v>7500</v>
          </cell>
        </row>
        <row r="165">
          <cell r="O165">
            <v>7500</v>
          </cell>
          <cell r="P165">
            <v>7500</v>
          </cell>
        </row>
        <row r="165">
          <cell r="S165">
            <v>2510</v>
          </cell>
        </row>
        <row r="166">
          <cell r="D166" t="str">
            <v>SB22654</v>
          </cell>
        </row>
        <row r="166">
          <cell r="G166">
            <v>209293</v>
          </cell>
        </row>
        <row r="166">
          <cell r="I166">
            <v>209293</v>
          </cell>
        </row>
        <row r="166">
          <cell r="M166">
            <v>150000</v>
          </cell>
        </row>
        <row r="166">
          <cell r="O166">
            <v>150000</v>
          </cell>
          <cell r="P166">
            <v>150000</v>
          </cell>
        </row>
        <row r="166">
          <cell r="S166">
            <v>59293</v>
          </cell>
        </row>
        <row r="167">
          <cell r="D167" t="str">
            <v>SB22659</v>
          </cell>
          <cell r="E167">
            <v>178178</v>
          </cell>
        </row>
        <row r="167">
          <cell r="G167">
            <v>178178</v>
          </cell>
        </row>
        <row r="167">
          <cell r="I167">
            <v>178178</v>
          </cell>
        </row>
        <row r="167">
          <cell r="M167">
            <v>140000</v>
          </cell>
        </row>
        <row r="167">
          <cell r="O167">
            <v>140000</v>
          </cell>
          <cell r="P167">
            <v>140000</v>
          </cell>
          <cell r="Q167">
            <v>178178</v>
          </cell>
        </row>
        <row r="167">
          <cell r="S167">
            <v>38178</v>
          </cell>
        </row>
        <row r="168">
          <cell r="D168" t="str">
            <v/>
          </cell>
          <cell r="E168">
            <v>1804616</v>
          </cell>
        </row>
        <row r="168">
          <cell r="G168">
            <v>1804616</v>
          </cell>
        </row>
        <row r="168">
          <cell r="I168">
            <v>1804616</v>
          </cell>
          <cell r="J168">
            <v>133928</v>
          </cell>
          <cell r="K168">
            <v>133928</v>
          </cell>
        </row>
        <row r="168">
          <cell r="M168">
            <v>1515043</v>
          </cell>
          <cell r="N168">
            <v>11315</v>
          </cell>
          <cell r="O168">
            <v>1637656</v>
          </cell>
          <cell r="P168">
            <v>1637656</v>
          </cell>
          <cell r="Q168">
            <v>1670688</v>
          </cell>
        </row>
        <row r="168">
          <cell r="S168">
            <v>166960</v>
          </cell>
        </row>
        <row r="169">
          <cell r="D169" t="str">
            <v>SB22565</v>
          </cell>
          <cell r="E169">
            <v>1804616</v>
          </cell>
        </row>
        <row r="169">
          <cell r="G169">
            <v>1804616</v>
          </cell>
        </row>
        <row r="169">
          <cell r="I169">
            <v>1804616</v>
          </cell>
          <cell r="J169">
            <v>133928</v>
          </cell>
          <cell r="K169">
            <v>133928</v>
          </cell>
        </row>
        <row r="169">
          <cell r="M169">
            <v>1515043</v>
          </cell>
          <cell r="N169">
            <v>11315</v>
          </cell>
          <cell r="O169">
            <v>1637656</v>
          </cell>
          <cell r="P169">
            <v>1637656</v>
          </cell>
          <cell r="Q169">
            <v>1670688</v>
          </cell>
        </row>
        <row r="169">
          <cell r="S169">
            <v>166960</v>
          </cell>
        </row>
        <row r="170">
          <cell r="D170" t="str">
            <v/>
          </cell>
          <cell r="E170">
            <v>660000</v>
          </cell>
          <cell r="F170">
            <v>2452010</v>
          </cell>
          <cell r="G170">
            <v>2469610</v>
          </cell>
        </row>
        <row r="170">
          <cell r="I170">
            <v>17600</v>
          </cell>
          <cell r="J170">
            <v>102685</v>
          </cell>
          <cell r="K170">
            <v>131485</v>
          </cell>
        </row>
        <row r="170">
          <cell r="M170">
            <v>131485</v>
          </cell>
        </row>
        <row r="170">
          <cell r="P170">
            <v>28800</v>
          </cell>
          <cell r="Q170">
            <v>557315</v>
          </cell>
        </row>
        <row r="170">
          <cell r="S170">
            <v>17600</v>
          </cell>
        </row>
        <row r="171">
          <cell r="D171" t="str">
            <v>SB22190</v>
          </cell>
          <cell r="E171">
            <v>660000</v>
          </cell>
          <cell r="F171">
            <v>660000</v>
          </cell>
          <cell r="G171">
            <v>660000</v>
          </cell>
        </row>
        <row r="171">
          <cell r="Q171">
            <v>660000</v>
          </cell>
        </row>
        <row r="172">
          <cell r="D172" t="str">
            <v>SB22363</v>
          </cell>
        </row>
        <row r="172">
          <cell r="F172">
            <v>1792010</v>
          </cell>
          <cell r="G172">
            <v>1809610</v>
          </cell>
        </row>
        <row r="172">
          <cell r="I172">
            <v>17600</v>
          </cell>
        </row>
        <row r="172">
          <cell r="K172">
            <v>28800</v>
          </cell>
        </row>
        <row r="172">
          <cell r="M172">
            <v>28800</v>
          </cell>
        </row>
        <row r="172">
          <cell r="P172">
            <v>28800</v>
          </cell>
        </row>
        <row r="172">
          <cell r="S172">
            <v>17600</v>
          </cell>
        </row>
        <row r="173">
          <cell r="D173" t="str">
            <v>SB22471</v>
          </cell>
        </row>
        <row r="173">
          <cell r="J173">
            <v>102685</v>
          </cell>
          <cell r="K173">
            <v>102685</v>
          </cell>
        </row>
        <row r="173">
          <cell r="M173">
            <v>102685</v>
          </cell>
        </row>
        <row r="173">
          <cell r="Q173">
            <v>102685</v>
          </cell>
        </row>
        <row r="174">
          <cell r="D174" t="str">
            <v/>
          </cell>
          <cell r="E174">
            <v>4823680.7</v>
          </cell>
          <cell r="F174">
            <v>7800550.2</v>
          </cell>
          <cell r="G174">
            <v>6125992.7</v>
          </cell>
          <cell r="H174">
            <v>1372057.5</v>
          </cell>
          <cell r="I174">
            <v>302500</v>
          </cell>
          <cell r="J174">
            <v>4838507.77</v>
          </cell>
          <cell r="K174">
            <v>9164404</v>
          </cell>
        </row>
        <row r="174">
          <cell r="M174">
            <v>8734304</v>
          </cell>
          <cell r="N174">
            <v>6500</v>
          </cell>
          <cell r="O174">
            <v>423600</v>
          </cell>
          <cell r="P174">
            <v>3902296.23</v>
          </cell>
          <cell r="Q174">
            <v>14827.07</v>
          </cell>
        </row>
        <row r="174">
          <cell r="S174">
            <v>121100</v>
          </cell>
        </row>
        <row r="175">
          <cell r="D175" t="str">
            <v>SB22417</v>
          </cell>
        </row>
        <row r="175">
          <cell r="K175">
            <v>110000</v>
          </cell>
        </row>
        <row r="175">
          <cell r="M175">
            <v>110000</v>
          </cell>
        </row>
        <row r="175">
          <cell r="P175">
            <v>110000</v>
          </cell>
        </row>
        <row r="176">
          <cell r="D176" t="str">
            <v>SB22461</v>
          </cell>
          <cell r="E176">
            <v>3011623.2</v>
          </cell>
          <cell r="F176">
            <v>3011623.2</v>
          </cell>
          <cell r="G176">
            <v>3011623.2</v>
          </cell>
        </row>
        <row r="176">
          <cell r="J176">
            <v>830100</v>
          </cell>
          <cell r="K176">
            <v>5690525</v>
          </cell>
        </row>
        <row r="176">
          <cell r="M176">
            <v>5660425</v>
          </cell>
          <cell r="N176">
            <v>6500</v>
          </cell>
          <cell r="O176">
            <v>23600</v>
          </cell>
          <cell r="P176">
            <v>4836825</v>
          </cell>
          <cell r="Q176">
            <v>2181523.2</v>
          </cell>
        </row>
        <row r="176">
          <cell r="S176">
            <v>23600</v>
          </cell>
        </row>
        <row r="177">
          <cell r="D177" t="str">
            <v>SB22479</v>
          </cell>
        </row>
        <row r="177">
          <cell r="F177">
            <v>3416869.5</v>
          </cell>
          <cell r="G177">
            <v>3554369.5</v>
          </cell>
        </row>
        <row r="177">
          <cell r="I177">
            <v>137500</v>
          </cell>
          <cell r="J177">
            <v>2623008.77</v>
          </cell>
          <cell r="K177">
            <v>1942440</v>
          </cell>
        </row>
        <row r="177">
          <cell r="M177">
            <v>1942440</v>
          </cell>
        </row>
        <row r="177">
          <cell r="P177">
            <v>680568.77</v>
          </cell>
          <cell r="Q177">
            <v>2623008.77</v>
          </cell>
        </row>
        <row r="177">
          <cell r="S177">
            <v>137500</v>
          </cell>
        </row>
        <row r="178">
          <cell r="D178" t="str">
            <v>SB22543</v>
          </cell>
          <cell r="E178">
            <v>1372057.5</v>
          </cell>
          <cell r="F178">
            <v>1372057.5</v>
          </cell>
        </row>
        <row r="178">
          <cell r="H178">
            <v>1372057.5</v>
          </cell>
        </row>
        <row r="178">
          <cell r="J178">
            <v>985399</v>
          </cell>
          <cell r="K178">
            <v>1021439</v>
          </cell>
        </row>
        <row r="178">
          <cell r="M178">
            <v>1021439</v>
          </cell>
        </row>
        <row r="178">
          <cell r="P178">
            <v>36040</v>
          </cell>
          <cell r="Q178">
            <v>386658.5</v>
          </cell>
        </row>
        <row r="179">
          <cell r="D179" t="str">
            <v>SB22639</v>
          </cell>
          <cell r="E179">
            <v>440000</v>
          </cell>
        </row>
        <row r="179">
          <cell r="G179">
            <v>440000</v>
          </cell>
        </row>
        <row r="179">
          <cell r="I179">
            <v>440000</v>
          </cell>
          <cell r="J179">
            <v>400000</v>
          </cell>
          <cell r="K179">
            <v>400000</v>
          </cell>
        </row>
        <row r="179">
          <cell r="O179">
            <v>400000</v>
          </cell>
          <cell r="P179">
            <v>400000</v>
          </cell>
          <cell r="Q179">
            <v>40000</v>
          </cell>
        </row>
        <row r="179">
          <cell r="S179">
            <v>40000</v>
          </cell>
        </row>
        <row r="180">
          <cell r="D180" t="str">
            <v/>
          </cell>
          <cell r="E180">
            <v>381205</v>
          </cell>
          <cell r="F180">
            <v>381205</v>
          </cell>
        </row>
        <row r="180">
          <cell r="I180">
            <v>381205</v>
          </cell>
          <cell r="J180">
            <v>221945</v>
          </cell>
          <cell r="K180">
            <v>205945</v>
          </cell>
        </row>
        <row r="180">
          <cell r="M180">
            <v>16000</v>
          </cell>
        </row>
        <row r="180">
          <cell r="O180">
            <v>221945</v>
          </cell>
          <cell r="P180">
            <v>237945</v>
          </cell>
          <cell r="Q180">
            <v>159260</v>
          </cell>
        </row>
        <row r="180">
          <cell r="S180">
            <v>159260</v>
          </cell>
        </row>
        <row r="181">
          <cell r="D181" t="str">
            <v>SB22611</v>
          </cell>
          <cell r="E181">
            <v>381205</v>
          </cell>
          <cell r="F181">
            <v>381205</v>
          </cell>
        </row>
        <row r="181">
          <cell r="I181">
            <v>381205</v>
          </cell>
          <cell r="J181">
            <v>221945</v>
          </cell>
          <cell r="K181">
            <v>205945</v>
          </cell>
        </row>
        <row r="181">
          <cell r="M181">
            <v>16000</v>
          </cell>
        </row>
        <row r="181">
          <cell r="O181">
            <v>221945</v>
          </cell>
          <cell r="P181">
            <v>237945</v>
          </cell>
          <cell r="Q181">
            <v>159260</v>
          </cell>
        </row>
        <row r="181">
          <cell r="S181">
            <v>159260</v>
          </cell>
        </row>
        <row r="182">
          <cell r="D182" t="str">
            <v/>
          </cell>
          <cell r="E182">
            <v>175142</v>
          </cell>
          <cell r="F182">
            <v>175142</v>
          </cell>
          <cell r="G182">
            <v>175142</v>
          </cell>
        </row>
        <row r="182">
          <cell r="J182">
            <v>140066</v>
          </cell>
          <cell r="K182">
            <v>192445</v>
          </cell>
        </row>
        <row r="182">
          <cell r="M182">
            <v>192445</v>
          </cell>
        </row>
        <row r="182">
          <cell r="P182">
            <v>52379</v>
          </cell>
          <cell r="Q182">
            <v>35076</v>
          </cell>
        </row>
        <row r="183">
          <cell r="D183" t="str">
            <v>SB22444</v>
          </cell>
          <cell r="E183">
            <v>175142</v>
          </cell>
          <cell r="F183">
            <v>175142</v>
          </cell>
          <cell r="G183">
            <v>175142</v>
          </cell>
        </row>
        <row r="183">
          <cell r="J183">
            <v>140066</v>
          </cell>
          <cell r="K183">
            <v>192445</v>
          </cell>
        </row>
        <row r="183">
          <cell r="M183">
            <v>192445</v>
          </cell>
        </row>
        <row r="183">
          <cell r="P183">
            <v>52379</v>
          </cell>
          <cell r="Q183">
            <v>35076</v>
          </cell>
        </row>
        <row r="184">
          <cell r="D184" t="str">
            <v/>
          </cell>
        </row>
        <row r="184">
          <cell r="G184">
            <v>97440</v>
          </cell>
        </row>
        <row r="184">
          <cell r="I184">
            <v>97440</v>
          </cell>
        </row>
        <row r="184">
          <cell r="M184">
            <v>65000</v>
          </cell>
        </row>
        <row r="184">
          <cell r="O184">
            <v>65000</v>
          </cell>
          <cell r="P184">
            <v>65000</v>
          </cell>
        </row>
        <row r="184">
          <cell r="S184">
            <v>32440</v>
          </cell>
        </row>
        <row r="185">
          <cell r="D185" t="str">
            <v>SB22647</v>
          </cell>
        </row>
        <row r="185">
          <cell r="G185">
            <v>97440</v>
          </cell>
        </row>
        <row r="185">
          <cell r="I185">
            <v>97440</v>
          </cell>
        </row>
        <row r="185">
          <cell r="M185">
            <v>65000</v>
          </cell>
        </row>
        <row r="185">
          <cell r="O185">
            <v>65000</v>
          </cell>
          <cell r="P185">
            <v>65000</v>
          </cell>
        </row>
        <row r="185">
          <cell r="S185">
            <v>32440</v>
          </cell>
        </row>
        <row r="186">
          <cell r="D186" t="str">
            <v/>
          </cell>
          <cell r="E186">
            <v>535992.5</v>
          </cell>
          <cell r="F186">
            <v>535992.5</v>
          </cell>
          <cell r="G186">
            <v>1263051.28</v>
          </cell>
        </row>
        <row r="186">
          <cell r="I186">
            <v>1799043.78</v>
          </cell>
          <cell r="J186">
            <v>253483</v>
          </cell>
          <cell r="K186">
            <v>253483</v>
          </cell>
        </row>
        <row r="186">
          <cell r="M186">
            <v>1069108.28</v>
          </cell>
        </row>
        <row r="186">
          <cell r="O186">
            <v>1322591.28</v>
          </cell>
          <cell r="P186">
            <v>1322591.28</v>
          </cell>
          <cell r="Q186">
            <v>282509.5</v>
          </cell>
        </row>
        <row r="186">
          <cell r="S186">
            <v>476452.5</v>
          </cell>
        </row>
        <row r="187">
          <cell r="D187" t="str">
            <v>SB22374</v>
          </cell>
          <cell r="E187">
            <v>522500</v>
          </cell>
          <cell r="F187">
            <v>522500</v>
          </cell>
        </row>
        <row r="187">
          <cell r="I187">
            <v>522500</v>
          </cell>
          <cell r="J187">
            <v>68559</v>
          </cell>
          <cell r="K187">
            <v>68559</v>
          </cell>
        </row>
        <row r="187">
          <cell r="M187">
            <v>131441</v>
          </cell>
        </row>
        <row r="187">
          <cell r="O187">
            <v>200000</v>
          </cell>
          <cell r="P187">
            <v>200000</v>
          </cell>
          <cell r="Q187">
            <v>453941</v>
          </cell>
        </row>
        <row r="187">
          <cell r="S187">
            <v>322500</v>
          </cell>
        </row>
        <row r="188">
          <cell r="D188" t="str">
            <v>SB22397</v>
          </cell>
        </row>
        <row r="188">
          <cell r="G188">
            <v>1263051.28</v>
          </cell>
        </row>
        <row r="188">
          <cell r="I188">
            <v>1263051.28</v>
          </cell>
          <cell r="J188">
            <v>151500</v>
          </cell>
          <cell r="K188">
            <v>151500</v>
          </cell>
        </row>
        <row r="188">
          <cell r="M188">
            <v>961551.28</v>
          </cell>
        </row>
        <row r="188">
          <cell r="O188">
            <v>1113051.28</v>
          </cell>
          <cell r="P188">
            <v>1113051.28</v>
          </cell>
          <cell r="Q188">
            <v>151500</v>
          </cell>
        </row>
        <row r="188">
          <cell r="S188">
            <v>150000</v>
          </cell>
        </row>
        <row r="189">
          <cell r="D189" t="str">
            <v>SB22508</v>
          </cell>
        </row>
        <row r="189">
          <cell r="J189">
            <v>24024</v>
          </cell>
          <cell r="K189">
            <v>24024</v>
          </cell>
        </row>
        <row r="189">
          <cell r="M189">
            <v>23884</v>
          </cell>
        </row>
        <row r="189">
          <cell r="O189">
            <v>140</v>
          </cell>
          <cell r="P189">
            <v>140</v>
          </cell>
          <cell r="Q189">
            <v>24024</v>
          </cell>
        </row>
        <row r="189">
          <cell r="S189">
            <v>140</v>
          </cell>
        </row>
        <row r="190">
          <cell r="D190" t="str">
            <v>SB22605</v>
          </cell>
          <cell r="E190">
            <v>13492.5</v>
          </cell>
          <cell r="F190">
            <v>13492.5</v>
          </cell>
        </row>
        <row r="190">
          <cell r="I190">
            <v>13492.5</v>
          </cell>
          <cell r="J190">
            <v>9400</v>
          </cell>
          <cell r="K190">
            <v>9400</v>
          </cell>
        </row>
        <row r="190">
          <cell r="O190">
            <v>9400</v>
          </cell>
          <cell r="P190">
            <v>9400</v>
          </cell>
          <cell r="Q190">
            <v>4092.5</v>
          </cell>
        </row>
        <row r="190">
          <cell r="S190">
            <v>4092.5</v>
          </cell>
        </row>
        <row r="191">
          <cell r="D191" t="str">
            <v/>
          </cell>
          <cell r="E191">
            <v>1478362.5</v>
          </cell>
        </row>
        <row r="191">
          <cell r="Q191">
            <v>1478362.5</v>
          </cell>
        </row>
        <row r="192">
          <cell r="D192" t="str">
            <v>SB22650</v>
          </cell>
          <cell r="E192">
            <v>1478362.5</v>
          </cell>
        </row>
        <row r="192">
          <cell r="Q192">
            <v>1478362.5</v>
          </cell>
        </row>
        <row r="193">
          <cell r="D193" t="str">
            <v/>
          </cell>
          <cell r="E193">
            <v>30800</v>
          </cell>
        </row>
        <row r="193">
          <cell r="G193">
            <v>30800</v>
          </cell>
        </row>
        <row r="193">
          <cell r="I193">
            <v>30800</v>
          </cell>
        </row>
        <row r="193">
          <cell r="K193">
            <v>33353</v>
          </cell>
        </row>
        <row r="193">
          <cell r="M193">
            <v>9353</v>
          </cell>
        </row>
        <row r="193">
          <cell r="O193">
            <v>24000</v>
          </cell>
          <cell r="P193">
            <v>9353</v>
          </cell>
          <cell r="Q193">
            <v>30800</v>
          </cell>
        </row>
        <row r="193">
          <cell r="S193">
            <v>6800</v>
          </cell>
        </row>
        <row r="194">
          <cell r="D194" t="str">
            <v>SB22470</v>
          </cell>
        </row>
        <row r="194">
          <cell r="K194">
            <v>33353</v>
          </cell>
        </row>
        <row r="194">
          <cell r="M194">
            <v>33353</v>
          </cell>
        </row>
        <row r="194">
          <cell r="P194">
            <v>33353</v>
          </cell>
        </row>
        <row r="195">
          <cell r="D195" t="str">
            <v>SB22625</v>
          </cell>
          <cell r="E195">
            <v>30800</v>
          </cell>
        </row>
        <row r="195">
          <cell r="G195">
            <v>30800</v>
          </cell>
        </row>
        <row r="195">
          <cell r="I195">
            <v>30800</v>
          </cell>
        </row>
        <row r="195">
          <cell r="M195">
            <v>24000</v>
          </cell>
        </row>
        <row r="195">
          <cell r="O195">
            <v>24000</v>
          </cell>
          <cell r="P195">
            <v>24000</v>
          </cell>
          <cell r="Q195">
            <v>30800</v>
          </cell>
        </row>
        <row r="195">
          <cell r="S195">
            <v>6800</v>
          </cell>
        </row>
        <row r="196">
          <cell r="D196" t="str">
            <v/>
          </cell>
          <cell r="E196">
            <v>72600</v>
          </cell>
          <cell r="F196">
            <v>72600</v>
          </cell>
        </row>
        <row r="196">
          <cell r="I196">
            <v>72600</v>
          </cell>
        </row>
        <row r="196">
          <cell r="M196">
            <v>25000</v>
          </cell>
        </row>
        <row r="196">
          <cell r="O196">
            <v>25000</v>
          </cell>
          <cell r="P196">
            <v>25000</v>
          </cell>
          <cell r="Q196">
            <v>72600</v>
          </cell>
        </row>
        <row r="196">
          <cell r="S196">
            <v>47600</v>
          </cell>
        </row>
        <row r="197">
          <cell r="D197" t="str">
            <v>SB22601</v>
          </cell>
          <cell r="E197">
            <v>72600</v>
          </cell>
          <cell r="F197">
            <v>72600</v>
          </cell>
        </row>
        <row r="197">
          <cell r="I197">
            <v>72600</v>
          </cell>
        </row>
        <row r="197">
          <cell r="M197">
            <v>25000</v>
          </cell>
        </row>
        <row r="197">
          <cell r="O197">
            <v>25000</v>
          </cell>
          <cell r="P197">
            <v>25000</v>
          </cell>
          <cell r="Q197">
            <v>72600</v>
          </cell>
        </row>
        <row r="197">
          <cell r="S197">
            <v>47600</v>
          </cell>
        </row>
        <row r="198">
          <cell r="D198" t="str">
            <v/>
          </cell>
        </row>
        <row r="198">
          <cell r="K198">
            <v>4000</v>
          </cell>
        </row>
        <row r="198">
          <cell r="M198">
            <v>4000</v>
          </cell>
        </row>
        <row r="198">
          <cell r="P198">
            <v>4000</v>
          </cell>
        </row>
        <row r="199">
          <cell r="D199" t="str">
            <v>SB22311</v>
          </cell>
        </row>
        <row r="199">
          <cell r="K199">
            <v>4000</v>
          </cell>
        </row>
        <row r="199">
          <cell r="M199">
            <v>4000</v>
          </cell>
        </row>
        <row r="199">
          <cell r="P199">
            <v>4000</v>
          </cell>
        </row>
        <row r="200">
          <cell r="D200" t="str">
            <v/>
          </cell>
          <cell r="E200">
            <v>723561.28</v>
          </cell>
        </row>
        <row r="200">
          <cell r="G200">
            <v>703084</v>
          </cell>
        </row>
        <row r="200">
          <cell r="I200">
            <v>703084</v>
          </cell>
          <cell r="J200">
            <v>451057</v>
          </cell>
          <cell r="K200">
            <v>1031136.79</v>
          </cell>
        </row>
        <row r="200">
          <cell r="M200">
            <v>405956.79</v>
          </cell>
        </row>
        <row r="200">
          <cell r="O200">
            <v>625180</v>
          </cell>
          <cell r="P200">
            <v>45100.21</v>
          </cell>
          <cell r="Q200">
            <v>272504.28</v>
          </cell>
        </row>
        <row r="200">
          <cell r="S200">
            <v>77904</v>
          </cell>
        </row>
        <row r="201">
          <cell r="D201" t="str">
            <v>SB22451</v>
          </cell>
        </row>
        <row r="201">
          <cell r="K201">
            <v>585000.79</v>
          </cell>
        </row>
        <row r="201">
          <cell r="M201">
            <v>585000.79</v>
          </cell>
        </row>
        <row r="201">
          <cell r="P201">
            <v>585000.79</v>
          </cell>
        </row>
        <row r="202">
          <cell r="D202" t="str">
            <v>SB22624</v>
          </cell>
          <cell r="E202">
            <v>723561.28</v>
          </cell>
        </row>
        <row r="202">
          <cell r="G202">
            <v>703084</v>
          </cell>
        </row>
        <row r="202">
          <cell r="I202">
            <v>703084</v>
          </cell>
          <cell r="J202">
            <v>451057</v>
          </cell>
          <cell r="K202">
            <v>446136</v>
          </cell>
        </row>
        <row r="202">
          <cell r="M202">
            <v>179044</v>
          </cell>
        </row>
        <row r="202">
          <cell r="O202">
            <v>625180</v>
          </cell>
          <cell r="P202">
            <v>630101</v>
          </cell>
          <cell r="Q202">
            <v>272504.28</v>
          </cell>
        </row>
        <row r="202">
          <cell r="S202">
            <v>77904</v>
          </cell>
        </row>
        <row r="203">
          <cell r="D203" t="str">
            <v/>
          </cell>
        </row>
        <row r="203">
          <cell r="F203">
            <v>339093</v>
          </cell>
          <cell r="G203">
            <v>339093</v>
          </cell>
        </row>
        <row r="203">
          <cell r="K203">
            <v>58820</v>
          </cell>
        </row>
        <row r="203">
          <cell r="M203">
            <v>63170</v>
          </cell>
        </row>
        <row r="203">
          <cell r="O203">
            <v>4350</v>
          </cell>
          <cell r="P203">
            <v>63170</v>
          </cell>
        </row>
        <row r="203">
          <cell r="S203">
            <v>4350</v>
          </cell>
        </row>
        <row r="204">
          <cell r="D204" t="str">
            <v>SB21947</v>
          </cell>
        </row>
        <row r="204">
          <cell r="M204">
            <v>4350</v>
          </cell>
        </row>
        <row r="204">
          <cell r="O204">
            <v>4350</v>
          </cell>
          <cell r="P204">
            <v>4350</v>
          </cell>
        </row>
        <row r="204">
          <cell r="S204">
            <v>4350</v>
          </cell>
        </row>
        <row r="205">
          <cell r="D205" t="str">
            <v>SB22488</v>
          </cell>
        </row>
        <row r="205">
          <cell r="F205">
            <v>339093</v>
          </cell>
          <cell r="G205">
            <v>339093</v>
          </cell>
        </row>
        <row r="205">
          <cell r="K205">
            <v>58820</v>
          </cell>
        </row>
        <row r="205">
          <cell r="M205">
            <v>58820</v>
          </cell>
        </row>
        <row r="205">
          <cell r="P205">
            <v>58820</v>
          </cell>
        </row>
        <row r="206">
          <cell r="D206" t="str">
            <v/>
          </cell>
          <cell r="E206">
            <v>2644498</v>
          </cell>
          <cell r="F206">
            <v>644498</v>
          </cell>
          <cell r="G206">
            <v>2000000</v>
          </cell>
        </row>
        <row r="206">
          <cell r="I206">
            <v>2644498</v>
          </cell>
          <cell r="J206">
            <v>1399384</v>
          </cell>
          <cell r="K206">
            <v>351203</v>
          </cell>
        </row>
        <row r="206">
          <cell r="M206">
            <v>1483906</v>
          </cell>
        </row>
        <row r="206">
          <cell r="O206">
            <v>1835109</v>
          </cell>
          <cell r="P206">
            <v>2883290</v>
          </cell>
          <cell r="Q206">
            <v>1245114</v>
          </cell>
        </row>
        <row r="206">
          <cell r="S206">
            <v>809389</v>
          </cell>
        </row>
        <row r="207">
          <cell r="D207" t="str">
            <v>SB22083</v>
          </cell>
        </row>
        <row r="207">
          <cell r="K207">
            <v>70000</v>
          </cell>
        </row>
        <row r="207">
          <cell r="M207">
            <v>70000</v>
          </cell>
        </row>
        <row r="207">
          <cell r="P207">
            <v>70000</v>
          </cell>
        </row>
        <row r="208">
          <cell r="D208" t="str">
            <v>SB22338</v>
          </cell>
          <cell r="E208">
            <v>2000000</v>
          </cell>
        </row>
        <row r="208">
          <cell r="G208">
            <v>2000000</v>
          </cell>
        </row>
        <row r="208">
          <cell r="I208">
            <v>2000000</v>
          </cell>
          <cell r="J208">
            <v>837893</v>
          </cell>
          <cell r="K208">
            <v>205612</v>
          </cell>
        </row>
        <row r="208">
          <cell r="M208">
            <v>1068006</v>
          </cell>
        </row>
        <row r="208">
          <cell r="O208">
            <v>1273618</v>
          </cell>
          <cell r="P208">
            <v>1905899</v>
          </cell>
          <cell r="Q208">
            <v>1162107</v>
          </cell>
        </row>
        <row r="208">
          <cell r="S208">
            <v>726382</v>
          </cell>
        </row>
        <row r="209">
          <cell r="D209" t="str">
            <v>SB22599</v>
          </cell>
          <cell r="E209">
            <v>644498</v>
          </cell>
          <cell r="F209">
            <v>644498</v>
          </cell>
        </row>
        <row r="209">
          <cell r="I209">
            <v>644498</v>
          </cell>
          <cell r="J209">
            <v>561491</v>
          </cell>
          <cell r="K209">
            <v>75591</v>
          </cell>
        </row>
        <row r="209">
          <cell r="M209">
            <v>485900</v>
          </cell>
        </row>
        <row r="209">
          <cell r="O209">
            <v>561491</v>
          </cell>
          <cell r="P209">
            <v>1047391</v>
          </cell>
          <cell r="Q209">
            <v>83007</v>
          </cell>
        </row>
        <row r="209">
          <cell r="S209">
            <v>83007</v>
          </cell>
        </row>
        <row r="210">
          <cell r="D210" t="str">
            <v/>
          </cell>
          <cell r="E210">
            <v>317178.4</v>
          </cell>
          <cell r="F210">
            <v>317178.4</v>
          </cell>
          <cell r="G210">
            <v>317178</v>
          </cell>
        </row>
        <row r="210">
          <cell r="I210">
            <v>0.4</v>
          </cell>
        </row>
        <row r="210">
          <cell r="K210">
            <v>58437.5</v>
          </cell>
        </row>
        <row r="210">
          <cell r="M210">
            <v>58437.5</v>
          </cell>
        </row>
        <row r="210">
          <cell r="P210">
            <v>58437.5</v>
          </cell>
          <cell r="Q210">
            <v>317178.4</v>
          </cell>
        </row>
        <row r="210">
          <cell r="S210">
            <v>0.4</v>
          </cell>
        </row>
        <row r="211">
          <cell r="D211" t="str">
            <v>SB22433</v>
          </cell>
          <cell r="E211">
            <v>317178.4</v>
          </cell>
          <cell r="F211">
            <v>317178.4</v>
          </cell>
          <cell r="G211">
            <v>317178</v>
          </cell>
        </row>
        <row r="211">
          <cell r="I211">
            <v>0.4</v>
          </cell>
        </row>
        <row r="211">
          <cell r="K211">
            <v>58437.5</v>
          </cell>
        </row>
        <row r="211">
          <cell r="M211">
            <v>58437.5</v>
          </cell>
        </row>
        <row r="211">
          <cell r="P211">
            <v>58437.5</v>
          </cell>
          <cell r="Q211">
            <v>317178.4</v>
          </cell>
        </row>
        <row r="211">
          <cell r="S211">
            <v>0.4</v>
          </cell>
        </row>
        <row r="212">
          <cell r="D212" t="str">
            <v/>
          </cell>
          <cell r="E212">
            <v>11232890</v>
          </cell>
        </row>
        <row r="212">
          <cell r="J212">
            <v>4000</v>
          </cell>
          <cell r="K212">
            <v>4000</v>
          </cell>
        </row>
        <row r="212">
          <cell r="M212">
            <v>4000</v>
          </cell>
        </row>
        <row r="212">
          <cell r="Q212">
            <v>11228890</v>
          </cell>
        </row>
        <row r="213">
          <cell r="D213" t="str">
            <v>SB22629</v>
          </cell>
          <cell r="E213">
            <v>11232890</v>
          </cell>
        </row>
        <row r="213">
          <cell r="J213">
            <v>4000</v>
          </cell>
          <cell r="K213">
            <v>4000</v>
          </cell>
        </row>
        <row r="213">
          <cell r="M213">
            <v>4000</v>
          </cell>
        </row>
        <row r="213">
          <cell r="Q213">
            <v>11228890</v>
          </cell>
        </row>
        <row r="214">
          <cell r="D214" t="str">
            <v/>
          </cell>
          <cell r="E214">
            <v>509179.06</v>
          </cell>
        </row>
        <row r="214">
          <cell r="G214">
            <v>451386</v>
          </cell>
        </row>
        <row r="214">
          <cell r="I214">
            <v>451386</v>
          </cell>
          <cell r="J214">
            <v>6130</v>
          </cell>
          <cell r="K214">
            <v>6130</v>
          </cell>
        </row>
        <row r="214">
          <cell r="M214">
            <v>349312.1</v>
          </cell>
        </row>
        <row r="214">
          <cell r="O214">
            <v>355442.1</v>
          </cell>
          <cell r="P214">
            <v>355442.1</v>
          </cell>
          <cell r="Q214">
            <v>503049.06</v>
          </cell>
        </row>
        <row r="214">
          <cell r="S214">
            <v>95943.9</v>
          </cell>
        </row>
        <row r="215">
          <cell r="D215" t="str">
            <v>SB22588</v>
          </cell>
          <cell r="E215">
            <v>509179.06</v>
          </cell>
        </row>
        <row r="215">
          <cell r="G215">
            <v>451386</v>
          </cell>
        </row>
        <row r="215">
          <cell r="I215">
            <v>451386</v>
          </cell>
          <cell r="J215">
            <v>6130</v>
          </cell>
          <cell r="K215">
            <v>6130</v>
          </cell>
        </row>
        <row r="215">
          <cell r="M215">
            <v>349312.1</v>
          </cell>
        </row>
        <row r="215">
          <cell r="O215">
            <v>355442.1</v>
          </cell>
          <cell r="P215">
            <v>355442.1</v>
          </cell>
          <cell r="Q215">
            <v>503049.06</v>
          </cell>
        </row>
        <row r="215">
          <cell r="S215">
            <v>95943.9</v>
          </cell>
        </row>
        <row r="216">
          <cell r="D216" t="str">
            <v/>
          </cell>
          <cell r="E216">
            <v>4884790.86</v>
          </cell>
        </row>
        <row r="216">
          <cell r="G216">
            <v>4949340</v>
          </cell>
        </row>
        <row r="216">
          <cell r="I216">
            <v>4949340</v>
          </cell>
          <cell r="J216">
            <v>2135500</v>
          </cell>
          <cell r="K216">
            <v>1650000</v>
          </cell>
        </row>
        <row r="216">
          <cell r="M216">
            <v>2299340</v>
          </cell>
        </row>
        <row r="216">
          <cell r="O216">
            <v>3949340</v>
          </cell>
          <cell r="P216">
            <v>4434840</v>
          </cell>
          <cell r="Q216">
            <v>2749290.86</v>
          </cell>
        </row>
        <row r="216">
          <cell r="S216">
            <v>1000000</v>
          </cell>
        </row>
        <row r="217">
          <cell r="D217" t="str">
            <v>SB22614</v>
          </cell>
          <cell r="E217">
            <v>4884790.86</v>
          </cell>
        </row>
        <row r="217">
          <cell r="G217">
            <v>4949340</v>
          </cell>
        </row>
        <row r="217">
          <cell r="I217">
            <v>4949340</v>
          </cell>
          <cell r="J217">
            <v>2135500</v>
          </cell>
          <cell r="K217">
            <v>1650000</v>
          </cell>
        </row>
        <row r="217">
          <cell r="M217">
            <v>2299340</v>
          </cell>
        </row>
        <row r="217">
          <cell r="O217">
            <v>3949340</v>
          </cell>
          <cell r="P217">
            <v>4434840</v>
          </cell>
          <cell r="Q217">
            <v>2749290.86</v>
          </cell>
        </row>
        <row r="217">
          <cell r="S217">
            <v>1000000</v>
          </cell>
        </row>
        <row r="218">
          <cell r="D218" t="str">
            <v/>
          </cell>
        </row>
        <row r="218">
          <cell r="G218">
            <v>2319984</v>
          </cell>
        </row>
        <row r="218">
          <cell r="I218">
            <v>2319984</v>
          </cell>
        </row>
        <row r="218">
          <cell r="M218">
            <v>1844404</v>
          </cell>
        </row>
        <row r="218">
          <cell r="O218">
            <v>1844404</v>
          </cell>
          <cell r="P218">
            <v>1844404</v>
          </cell>
        </row>
        <row r="218">
          <cell r="S218">
            <v>475580</v>
          </cell>
        </row>
        <row r="219">
          <cell r="D219" t="str">
            <v>SB22636</v>
          </cell>
        </row>
        <row r="219">
          <cell r="G219">
            <v>535700</v>
          </cell>
        </row>
        <row r="219">
          <cell r="I219">
            <v>535700</v>
          </cell>
        </row>
        <row r="219">
          <cell r="M219">
            <v>425700</v>
          </cell>
        </row>
        <row r="219">
          <cell r="O219">
            <v>425700</v>
          </cell>
          <cell r="P219">
            <v>425700</v>
          </cell>
        </row>
        <row r="219">
          <cell r="S219">
            <v>110000</v>
          </cell>
        </row>
        <row r="220">
          <cell r="D220" t="str">
            <v>SB22643</v>
          </cell>
        </row>
        <row r="220">
          <cell r="G220">
            <v>1784284</v>
          </cell>
        </row>
        <row r="220">
          <cell r="I220">
            <v>1784284</v>
          </cell>
        </row>
        <row r="220">
          <cell r="M220">
            <v>1418704</v>
          </cell>
        </row>
        <row r="220">
          <cell r="O220">
            <v>1418704</v>
          </cell>
          <cell r="P220">
            <v>1418704</v>
          </cell>
        </row>
        <row r="220">
          <cell r="S220">
            <v>365580</v>
          </cell>
        </row>
        <row r="221">
          <cell r="D221" t="str">
            <v/>
          </cell>
          <cell r="E221">
            <v>5795720.7</v>
          </cell>
          <cell r="F221">
            <v>8764987.7</v>
          </cell>
          <cell r="G221">
            <v>4786100.6</v>
          </cell>
        </row>
        <row r="221">
          <cell r="I221">
            <v>3978887.1</v>
          </cell>
          <cell r="J221">
            <v>3304822.07</v>
          </cell>
          <cell r="K221">
            <v>5863922.07</v>
          </cell>
        </row>
        <row r="221">
          <cell r="M221">
            <v>2670151.03</v>
          </cell>
          <cell r="N221">
            <v>126649</v>
          </cell>
          <cell r="O221">
            <v>3067122.04</v>
          </cell>
          <cell r="P221">
            <v>508022.04</v>
          </cell>
          <cell r="Q221">
            <v>2490898.63</v>
          </cell>
        </row>
        <row r="221">
          <cell r="S221">
            <v>911765.06</v>
          </cell>
        </row>
        <row r="222">
          <cell r="D222" t="str">
            <v/>
          </cell>
          <cell r="E222">
            <v>5795720.7</v>
          </cell>
          <cell r="F222">
            <v>8764987.7</v>
          </cell>
          <cell r="G222">
            <v>4786100.6</v>
          </cell>
        </row>
        <row r="222">
          <cell r="I222">
            <v>3978887.1</v>
          </cell>
          <cell r="J222">
            <v>3304822.07</v>
          </cell>
          <cell r="K222">
            <v>5863922.07</v>
          </cell>
        </row>
        <row r="222">
          <cell r="M222">
            <v>2670151.03</v>
          </cell>
          <cell r="N222">
            <v>126649</v>
          </cell>
          <cell r="O222">
            <v>3067122.04</v>
          </cell>
          <cell r="P222">
            <v>508022.04</v>
          </cell>
          <cell r="Q222">
            <v>2490898.63</v>
          </cell>
        </row>
        <row r="222">
          <cell r="S222">
            <v>911765.06</v>
          </cell>
        </row>
        <row r="223">
          <cell r="D223" t="str">
            <v/>
          </cell>
          <cell r="E223">
            <v>94072</v>
          </cell>
          <cell r="F223">
            <v>94072</v>
          </cell>
        </row>
        <row r="223">
          <cell r="I223">
            <v>94072</v>
          </cell>
          <cell r="J223">
            <v>45000</v>
          </cell>
          <cell r="K223">
            <v>36000</v>
          </cell>
        </row>
        <row r="223">
          <cell r="M223">
            <v>33072</v>
          </cell>
        </row>
        <row r="223">
          <cell r="O223">
            <v>69072</v>
          </cell>
          <cell r="P223">
            <v>78072</v>
          </cell>
          <cell r="Q223">
            <v>49072</v>
          </cell>
        </row>
        <row r="223">
          <cell r="S223">
            <v>25000</v>
          </cell>
        </row>
        <row r="224">
          <cell r="D224" t="str">
            <v>SB22572</v>
          </cell>
          <cell r="E224">
            <v>94072</v>
          </cell>
          <cell r="F224">
            <v>94072</v>
          </cell>
        </row>
        <row r="224">
          <cell r="I224">
            <v>94072</v>
          </cell>
          <cell r="J224">
            <v>45000</v>
          </cell>
          <cell r="K224">
            <v>36000</v>
          </cell>
        </row>
        <row r="224">
          <cell r="M224">
            <v>33072</v>
          </cell>
        </row>
        <row r="224">
          <cell r="O224">
            <v>69072</v>
          </cell>
          <cell r="P224">
            <v>78072</v>
          </cell>
          <cell r="Q224">
            <v>49072</v>
          </cell>
        </row>
        <row r="224">
          <cell r="S224">
            <v>25000</v>
          </cell>
        </row>
        <row r="225">
          <cell r="D225" t="str">
            <v/>
          </cell>
          <cell r="E225">
            <v>4440399.7</v>
          </cell>
          <cell r="F225">
            <v>7821975.7</v>
          </cell>
          <cell r="G225">
            <v>5556546.6</v>
          </cell>
        </row>
        <row r="225">
          <cell r="I225">
            <v>2265429.1</v>
          </cell>
          <cell r="J225">
            <v>2328446.04</v>
          </cell>
          <cell r="K225">
            <v>4717642.04</v>
          </cell>
        </row>
        <row r="225">
          <cell r="M225">
            <v>2863178</v>
          </cell>
          <cell r="N225">
            <v>126649</v>
          </cell>
          <cell r="O225">
            <v>1727815.04</v>
          </cell>
          <cell r="P225">
            <v>661380.96</v>
          </cell>
          <cell r="Q225">
            <v>2111953.66</v>
          </cell>
        </row>
        <row r="225">
          <cell r="S225">
            <v>537614.06</v>
          </cell>
        </row>
        <row r="226">
          <cell r="D226" t="str">
            <v>SB22280</v>
          </cell>
        </row>
        <row r="226">
          <cell r="K226">
            <v>11500</v>
          </cell>
        </row>
        <row r="226">
          <cell r="M226">
            <v>11500</v>
          </cell>
        </row>
        <row r="226">
          <cell r="P226">
            <v>11500</v>
          </cell>
        </row>
        <row r="227">
          <cell r="D227" t="str">
            <v>SB22424</v>
          </cell>
        </row>
        <row r="227">
          <cell r="M227">
            <v>34233</v>
          </cell>
          <cell r="N227">
            <v>126649</v>
          </cell>
          <cell r="O227">
            <v>92416</v>
          </cell>
          <cell r="P227">
            <v>92416</v>
          </cell>
        </row>
        <row r="227">
          <cell r="S227">
            <v>92416</v>
          </cell>
        </row>
        <row r="228">
          <cell r="D228" t="str">
            <v>SB22446</v>
          </cell>
          <cell r="E228">
            <v>207625</v>
          </cell>
          <cell r="F228">
            <v>1668425</v>
          </cell>
          <cell r="G228">
            <v>1668425</v>
          </cell>
        </row>
        <row r="228">
          <cell r="Q228">
            <v>207625</v>
          </cell>
        </row>
        <row r="229">
          <cell r="D229" t="str">
            <v>SB22469</v>
          </cell>
          <cell r="E229">
            <v>1142097</v>
          </cell>
          <cell r="F229">
            <v>3631001</v>
          </cell>
          <cell r="G229">
            <v>3600229.6</v>
          </cell>
        </row>
        <row r="229">
          <cell r="I229">
            <v>30771.4</v>
          </cell>
          <cell r="J229">
            <v>870000</v>
          </cell>
          <cell r="K229">
            <v>2261631</v>
          </cell>
        </row>
        <row r="229">
          <cell r="M229">
            <v>2261631</v>
          </cell>
        </row>
        <row r="229">
          <cell r="P229">
            <v>1391631</v>
          </cell>
          <cell r="Q229">
            <v>272097</v>
          </cell>
        </row>
        <row r="229">
          <cell r="S229">
            <v>30771.4</v>
          </cell>
        </row>
        <row r="230">
          <cell r="D230" t="str">
            <v>SB22529</v>
          </cell>
          <cell r="E230">
            <v>86020</v>
          </cell>
          <cell r="F230">
            <v>656271</v>
          </cell>
          <cell r="G230">
            <v>656271</v>
          </cell>
        </row>
        <row r="230">
          <cell r="K230">
            <v>490814</v>
          </cell>
        </row>
        <row r="230">
          <cell r="M230">
            <v>490814</v>
          </cell>
        </row>
        <row r="230">
          <cell r="P230">
            <v>490814</v>
          </cell>
          <cell r="Q230">
            <v>86020</v>
          </cell>
        </row>
        <row r="231">
          <cell r="D231" t="str">
            <v>SB22534</v>
          </cell>
          <cell r="E231">
            <v>1679447</v>
          </cell>
          <cell r="F231">
            <v>909447</v>
          </cell>
        </row>
        <row r="231">
          <cell r="I231">
            <v>909447</v>
          </cell>
          <cell r="J231">
            <v>364700</v>
          </cell>
          <cell r="K231">
            <v>614211</v>
          </cell>
        </row>
        <row r="231">
          <cell r="M231">
            <v>110540</v>
          </cell>
        </row>
        <row r="231">
          <cell r="O231">
            <v>724751</v>
          </cell>
          <cell r="P231">
            <v>475240</v>
          </cell>
          <cell r="Q231">
            <v>1314747</v>
          </cell>
        </row>
        <row r="231">
          <cell r="S231">
            <v>184696</v>
          </cell>
        </row>
        <row r="232">
          <cell r="D232" t="str">
            <v>SB22546</v>
          </cell>
        </row>
        <row r="232">
          <cell r="K232">
            <v>330740</v>
          </cell>
        </row>
        <row r="232">
          <cell r="M232">
            <v>330740</v>
          </cell>
        </row>
        <row r="232">
          <cell r="P232">
            <v>330740</v>
          </cell>
        </row>
        <row r="233">
          <cell r="D233" t="str">
            <v>SB22558</v>
          </cell>
          <cell r="E233">
            <v>224730</v>
          </cell>
          <cell r="F233">
            <v>224730</v>
          </cell>
        </row>
        <row r="233">
          <cell r="I233">
            <v>224730</v>
          </cell>
          <cell r="J233">
            <v>180250</v>
          </cell>
          <cell r="K233">
            <v>180250</v>
          </cell>
        </row>
        <row r="233">
          <cell r="O233">
            <v>180250</v>
          </cell>
          <cell r="P233">
            <v>180250</v>
          </cell>
          <cell r="Q233">
            <v>44480</v>
          </cell>
        </row>
        <row r="233">
          <cell r="S233">
            <v>44480</v>
          </cell>
        </row>
        <row r="234">
          <cell r="D234" t="str">
            <v>SB22593</v>
          </cell>
          <cell r="E234">
            <v>268279</v>
          </cell>
        </row>
        <row r="234">
          <cell r="G234">
            <v>268279</v>
          </cell>
        </row>
        <row r="234">
          <cell r="I234">
            <v>268279</v>
          </cell>
          <cell r="J234">
            <v>241305</v>
          </cell>
          <cell r="K234">
            <v>241305</v>
          </cell>
        </row>
        <row r="234">
          <cell r="O234">
            <v>241305</v>
          </cell>
          <cell r="P234">
            <v>241305</v>
          </cell>
          <cell r="Q234">
            <v>26974</v>
          </cell>
        </row>
        <row r="234">
          <cell r="S234">
            <v>26974</v>
          </cell>
        </row>
        <row r="235">
          <cell r="D235" t="str">
            <v>SB22617</v>
          </cell>
          <cell r="E235">
            <v>706801.7</v>
          </cell>
          <cell r="F235">
            <v>706801.7</v>
          </cell>
        </row>
        <row r="235">
          <cell r="I235">
            <v>706801.7</v>
          </cell>
          <cell r="J235">
            <v>569191.04</v>
          </cell>
          <cell r="K235">
            <v>569191.04</v>
          </cell>
        </row>
        <row r="235">
          <cell r="O235">
            <v>569191.04</v>
          </cell>
          <cell r="P235">
            <v>569191.04</v>
          </cell>
          <cell r="Q235">
            <v>137610.66</v>
          </cell>
        </row>
        <row r="235">
          <cell r="S235">
            <v>137610.66</v>
          </cell>
        </row>
        <row r="236">
          <cell r="D236" t="str">
            <v>SB22633</v>
          </cell>
          <cell r="E236">
            <v>25300</v>
          </cell>
          <cell r="F236">
            <v>25300</v>
          </cell>
        </row>
        <row r="236">
          <cell r="I236">
            <v>25300</v>
          </cell>
          <cell r="J236">
            <v>18000</v>
          </cell>
          <cell r="K236">
            <v>18000</v>
          </cell>
        </row>
        <row r="236">
          <cell r="M236">
            <v>1734</v>
          </cell>
        </row>
        <row r="236">
          <cell r="O236">
            <v>19734</v>
          </cell>
          <cell r="P236">
            <v>19734</v>
          </cell>
          <cell r="Q236">
            <v>7300</v>
          </cell>
        </row>
        <row r="236">
          <cell r="S236">
            <v>5566</v>
          </cell>
        </row>
        <row r="237">
          <cell r="D237" t="str">
            <v>SB22649</v>
          </cell>
          <cell r="E237">
            <v>100100</v>
          </cell>
        </row>
        <row r="237">
          <cell r="G237">
            <v>100100</v>
          </cell>
        </row>
        <row r="237">
          <cell r="I237">
            <v>100100</v>
          </cell>
          <cell r="J237">
            <v>85000</v>
          </cell>
        </row>
        <row r="237">
          <cell r="M237">
            <v>85000</v>
          </cell>
        </row>
        <row r="237">
          <cell r="O237">
            <v>85000</v>
          </cell>
          <cell r="P237">
            <v>170000</v>
          </cell>
          <cell r="Q237">
            <v>15100</v>
          </cell>
        </row>
        <row r="237">
          <cell r="S237">
            <v>15100</v>
          </cell>
        </row>
        <row r="238">
          <cell r="D238" t="str">
            <v/>
          </cell>
          <cell r="E238">
            <v>754018</v>
          </cell>
          <cell r="F238">
            <v>646365</v>
          </cell>
          <cell r="G238">
            <v>65280</v>
          </cell>
        </row>
        <row r="238">
          <cell r="I238">
            <v>711645</v>
          </cell>
          <cell r="J238">
            <v>272522</v>
          </cell>
          <cell r="K238">
            <v>342569</v>
          </cell>
        </row>
        <row r="238">
          <cell r="M238">
            <v>212516</v>
          </cell>
        </row>
        <row r="238">
          <cell r="O238">
            <v>555085</v>
          </cell>
          <cell r="P238">
            <v>485038</v>
          </cell>
          <cell r="Q238">
            <v>481496</v>
          </cell>
        </row>
        <row r="238">
          <cell r="S238">
            <v>156560</v>
          </cell>
        </row>
        <row r="239">
          <cell r="D239" t="str">
            <v>SB22366</v>
          </cell>
        </row>
        <row r="239">
          <cell r="F239">
            <v>308665</v>
          </cell>
          <cell r="G239">
            <v>308665</v>
          </cell>
        </row>
        <row r="240">
          <cell r="D240" t="str">
            <v>SB22532</v>
          </cell>
        </row>
        <row r="240">
          <cell r="F240">
            <v>337700</v>
          </cell>
          <cell r="G240">
            <v>337700</v>
          </cell>
        </row>
        <row r="240">
          <cell r="K240">
            <v>255000</v>
          </cell>
        </row>
        <row r="240">
          <cell r="M240">
            <v>255000</v>
          </cell>
        </row>
        <row r="240">
          <cell r="P240">
            <v>255000</v>
          </cell>
        </row>
        <row r="241">
          <cell r="D241" t="str">
            <v>SB22627</v>
          </cell>
          <cell r="E241">
            <v>394253</v>
          </cell>
        </row>
        <row r="241">
          <cell r="G241">
            <v>361880</v>
          </cell>
        </row>
        <row r="241">
          <cell r="I241">
            <v>361880</v>
          </cell>
          <cell r="J241">
            <v>6379</v>
          </cell>
          <cell r="K241">
            <v>6379</v>
          </cell>
        </row>
        <row r="241">
          <cell r="M241">
            <v>275886</v>
          </cell>
        </row>
        <row r="241">
          <cell r="O241">
            <v>282265</v>
          </cell>
          <cell r="P241">
            <v>282265</v>
          </cell>
          <cell r="Q241">
            <v>387874</v>
          </cell>
        </row>
        <row r="241">
          <cell r="S241">
            <v>79615</v>
          </cell>
        </row>
        <row r="242">
          <cell r="D242" t="str">
            <v>SB22637</v>
          </cell>
          <cell r="E242">
            <v>359765</v>
          </cell>
        </row>
        <row r="242">
          <cell r="G242">
            <v>349765</v>
          </cell>
        </row>
        <row r="242">
          <cell r="I242">
            <v>349765</v>
          </cell>
          <cell r="J242">
            <v>266143</v>
          </cell>
          <cell r="K242">
            <v>81190</v>
          </cell>
        </row>
        <row r="242">
          <cell r="M242">
            <v>191630</v>
          </cell>
        </row>
        <row r="242">
          <cell r="O242">
            <v>272820</v>
          </cell>
          <cell r="P242">
            <v>457773</v>
          </cell>
          <cell r="Q242">
            <v>93622</v>
          </cell>
        </row>
        <row r="242">
          <cell r="S242">
            <v>76945</v>
          </cell>
        </row>
        <row r="243">
          <cell r="D243" t="str">
            <v/>
          </cell>
          <cell r="E243">
            <v>491106</v>
          </cell>
          <cell r="F243">
            <v>186450</v>
          </cell>
          <cell r="G243">
            <v>705166</v>
          </cell>
        </row>
        <row r="243">
          <cell r="I243">
            <v>891616</v>
          </cell>
          <cell r="J243">
            <v>643704.03</v>
          </cell>
          <cell r="K243">
            <v>737154.03</v>
          </cell>
        </row>
        <row r="243">
          <cell r="M243">
            <v>37154.03</v>
          </cell>
        </row>
        <row r="243">
          <cell r="O243">
            <v>700000</v>
          </cell>
          <cell r="P243">
            <v>606550</v>
          </cell>
          <cell r="Q243">
            <v>152598.03</v>
          </cell>
        </row>
        <row r="243">
          <cell r="S243">
            <v>191616</v>
          </cell>
        </row>
        <row r="244">
          <cell r="D244" t="str">
            <v>SB22356</v>
          </cell>
        </row>
        <row r="244">
          <cell r="K244">
            <v>81200</v>
          </cell>
        </row>
        <row r="244">
          <cell r="M244">
            <v>81200</v>
          </cell>
        </row>
        <row r="244">
          <cell r="P244">
            <v>81200</v>
          </cell>
        </row>
        <row r="245">
          <cell r="D245" t="str">
            <v>SB22523</v>
          </cell>
          <cell r="E245">
            <v>186450</v>
          </cell>
          <cell r="F245">
            <v>186450</v>
          </cell>
          <cell r="G245">
            <v>186450</v>
          </cell>
        </row>
        <row r="245">
          <cell r="K245">
            <v>15000</v>
          </cell>
        </row>
        <row r="245">
          <cell r="M245">
            <v>15000</v>
          </cell>
        </row>
        <row r="245">
          <cell r="P245">
            <v>15000</v>
          </cell>
          <cell r="Q245">
            <v>186450</v>
          </cell>
        </row>
        <row r="246">
          <cell r="D246" t="str">
            <v>SB22576</v>
          </cell>
          <cell r="E246">
            <v>304656</v>
          </cell>
        </row>
        <row r="246">
          <cell r="G246">
            <v>891616</v>
          </cell>
        </row>
        <row r="246">
          <cell r="I246">
            <v>891616</v>
          </cell>
          <cell r="J246">
            <v>643704.03</v>
          </cell>
          <cell r="K246">
            <v>640954.03</v>
          </cell>
        </row>
        <row r="246">
          <cell r="M246">
            <v>59045.97</v>
          </cell>
        </row>
        <row r="246">
          <cell r="O246">
            <v>700000</v>
          </cell>
          <cell r="P246">
            <v>702750</v>
          </cell>
          <cell r="Q246">
            <v>339048.03</v>
          </cell>
        </row>
        <row r="246">
          <cell r="S246">
            <v>191616</v>
          </cell>
        </row>
        <row r="247">
          <cell r="D247" t="str">
            <v/>
          </cell>
          <cell r="E247">
            <v>16125</v>
          </cell>
          <cell r="F247">
            <v>16125</v>
          </cell>
        </row>
        <row r="247">
          <cell r="I247">
            <v>16125</v>
          </cell>
          <cell r="J247">
            <v>15150</v>
          </cell>
          <cell r="K247">
            <v>30557</v>
          </cell>
        </row>
        <row r="247">
          <cell r="M247">
            <v>15407</v>
          </cell>
        </row>
        <row r="247">
          <cell r="O247">
            <v>15150</v>
          </cell>
          <cell r="P247">
            <v>257</v>
          </cell>
          <cell r="Q247">
            <v>975</v>
          </cell>
        </row>
        <row r="247">
          <cell r="S247">
            <v>975</v>
          </cell>
        </row>
        <row r="248">
          <cell r="D248" t="str">
            <v>SB22445</v>
          </cell>
        </row>
        <row r="248">
          <cell r="K248">
            <v>15407</v>
          </cell>
        </row>
        <row r="248">
          <cell r="M248">
            <v>15407</v>
          </cell>
        </row>
        <row r="248">
          <cell r="P248">
            <v>15407</v>
          </cell>
        </row>
        <row r="249">
          <cell r="D249" t="str">
            <v>SB22597</v>
          </cell>
          <cell r="E249">
            <v>16125</v>
          </cell>
          <cell r="F249">
            <v>16125</v>
          </cell>
        </row>
        <row r="249">
          <cell r="I249">
            <v>16125</v>
          </cell>
          <cell r="J249">
            <v>15150</v>
          </cell>
          <cell r="K249">
            <v>15150</v>
          </cell>
        </row>
        <row r="249">
          <cell r="O249">
            <v>15150</v>
          </cell>
          <cell r="P249">
            <v>15150</v>
          </cell>
          <cell r="Q249">
            <v>975</v>
          </cell>
        </row>
        <row r="249">
          <cell r="S249">
            <v>975</v>
          </cell>
        </row>
        <row r="250">
          <cell r="D250" t="str">
            <v/>
          </cell>
          <cell r="E250">
            <v>168829885</v>
          </cell>
          <cell r="F250">
            <v>126814952</v>
          </cell>
          <cell r="G250">
            <v>23344793</v>
          </cell>
          <cell r="H250">
            <v>569904</v>
          </cell>
          <cell r="I250">
            <v>102900255</v>
          </cell>
          <cell r="J250">
            <v>81579071.99</v>
          </cell>
          <cell r="K250">
            <v>74001312.55</v>
          </cell>
        </row>
        <row r="250">
          <cell r="M250">
            <v>6698816.23</v>
          </cell>
          <cell r="N250">
            <v>112621</v>
          </cell>
          <cell r="O250">
            <v>80587507.78</v>
          </cell>
          <cell r="P250">
            <v>88165267.22</v>
          </cell>
          <cell r="Q250">
            <v>87250813.01</v>
          </cell>
        </row>
        <row r="250">
          <cell r="S250">
            <v>22312747.22</v>
          </cell>
        </row>
        <row r="251">
          <cell r="D251" t="str">
            <v/>
          </cell>
          <cell r="E251">
            <v>87664889</v>
          </cell>
          <cell r="F251">
            <v>75409234</v>
          </cell>
          <cell r="G251">
            <v>10616995</v>
          </cell>
        </row>
        <row r="251">
          <cell r="I251">
            <v>64792239</v>
          </cell>
          <cell r="J251">
            <v>50847068.16</v>
          </cell>
          <cell r="K251">
            <v>46115747.47</v>
          </cell>
        </row>
        <row r="251">
          <cell r="M251">
            <v>341700.17</v>
          </cell>
          <cell r="N251">
            <v>62621</v>
          </cell>
          <cell r="O251">
            <v>46394826.64</v>
          </cell>
          <cell r="P251">
            <v>51126147.33</v>
          </cell>
          <cell r="Q251">
            <v>36817820.84</v>
          </cell>
        </row>
        <row r="251">
          <cell r="S251">
            <v>18397412.36</v>
          </cell>
        </row>
        <row r="252">
          <cell r="D252" t="str">
            <v/>
          </cell>
          <cell r="E252">
            <v>1456000</v>
          </cell>
          <cell r="F252">
            <v>1456000</v>
          </cell>
        </row>
        <row r="252">
          <cell r="I252">
            <v>1456000</v>
          </cell>
          <cell r="J252">
            <v>620826.06</v>
          </cell>
          <cell r="K252">
            <v>620826.06</v>
          </cell>
        </row>
        <row r="252">
          <cell r="M252">
            <v>129173.94</v>
          </cell>
        </row>
        <row r="252">
          <cell r="O252">
            <v>750000</v>
          </cell>
          <cell r="P252">
            <v>750000</v>
          </cell>
          <cell r="Q252">
            <v>835173.94</v>
          </cell>
        </row>
        <row r="252">
          <cell r="S252">
            <v>706000</v>
          </cell>
        </row>
        <row r="253">
          <cell r="D253" t="str">
            <v>SB22592</v>
          </cell>
          <cell r="E253">
            <v>1456000</v>
          </cell>
          <cell r="F253">
            <v>1456000</v>
          </cell>
        </row>
        <row r="253">
          <cell r="I253">
            <v>1456000</v>
          </cell>
          <cell r="J253">
            <v>620826.06</v>
          </cell>
          <cell r="K253">
            <v>620826.06</v>
          </cell>
        </row>
        <row r="253">
          <cell r="M253">
            <v>129173.94</v>
          </cell>
        </row>
        <row r="253">
          <cell r="O253">
            <v>750000</v>
          </cell>
          <cell r="P253">
            <v>750000</v>
          </cell>
          <cell r="Q253">
            <v>835173.94</v>
          </cell>
        </row>
        <row r="253">
          <cell r="S253">
            <v>706000</v>
          </cell>
        </row>
        <row r="254">
          <cell r="D254" t="str">
            <v/>
          </cell>
          <cell r="E254">
            <v>12525656</v>
          </cell>
          <cell r="F254">
            <v>13074051</v>
          </cell>
          <cell r="G254">
            <v>10218498</v>
          </cell>
        </row>
        <row r="254">
          <cell r="I254">
            <v>2855553</v>
          </cell>
          <cell r="J254">
            <v>5774400.69</v>
          </cell>
          <cell r="K254">
            <v>4492429.69</v>
          </cell>
        </row>
        <row r="254">
          <cell r="M254">
            <v>3374760.19</v>
          </cell>
          <cell r="N254">
            <v>6450</v>
          </cell>
          <cell r="O254">
            <v>1111219.5</v>
          </cell>
          <cell r="P254">
            <v>2393190.5</v>
          </cell>
          <cell r="Q254">
            <v>6751255.31</v>
          </cell>
        </row>
        <row r="254">
          <cell r="S254">
            <v>1744333.5</v>
          </cell>
        </row>
        <row r="255">
          <cell r="D255" t="str">
            <v>SB22381</v>
          </cell>
        </row>
        <row r="255">
          <cell r="J255">
            <v>1163442.5</v>
          </cell>
          <cell r="K255">
            <v>3154805.5</v>
          </cell>
        </row>
        <row r="255">
          <cell r="M255">
            <v>3154806</v>
          </cell>
        </row>
        <row r="255">
          <cell r="O255">
            <v>0.5</v>
          </cell>
          <cell r="P255">
            <v>1991363.5</v>
          </cell>
          <cell r="Q255">
            <v>1163442.5</v>
          </cell>
        </row>
        <row r="255">
          <cell r="S255">
            <v>0.5</v>
          </cell>
        </row>
        <row r="256">
          <cell r="D256" t="str">
            <v>SB22405</v>
          </cell>
        </row>
        <row r="256">
          <cell r="F256">
            <v>5313598</v>
          </cell>
          <cell r="G256">
            <v>5313598</v>
          </cell>
        </row>
        <row r="257">
          <cell r="D257" t="str">
            <v>SB22539</v>
          </cell>
        </row>
        <row r="257">
          <cell r="F257">
            <v>7760453</v>
          </cell>
          <cell r="G257">
            <v>4904900</v>
          </cell>
        </row>
        <row r="257">
          <cell r="I257">
            <v>2855553</v>
          </cell>
          <cell r="J257">
            <v>4610958.19</v>
          </cell>
          <cell r="K257">
            <v>1337624.19</v>
          </cell>
        </row>
        <row r="257">
          <cell r="M257">
            <v>219954.19</v>
          </cell>
          <cell r="N257">
            <v>6450</v>
          </cell>
          <cell r="O257">
            <v>1111220</v>
          </cell>
          <cell r="P257">
            <v>4384554</v>
          </cell>
          <cell r="Q257">
            <v>4610958.19</v>
          </cell>
        </row>
        <row r="257">
          <cell r="S257">
            <v>1744333</v>
          </cell>
        </row>
        <row r="258">
          <cell r="D258" t="str">
            <v>SB22664</v>
          </cell>
          <cell r="E258">
            <v>12525656</v>
          </cell>
        </row>
        <row r="258">
          <cell r="Q258">
            <v>12525656</v>
          </cell>
        </row>
        <row r="259">
          <cell r="D259" t="str">
            <v/>
          </cell>
          <cell r="E259">
            <v>1197840</v>
          </cell>
          <cell r="F259">
            <v>7053358</v>
          </cell>
        </row>
        <row r="259">
          <cell r="I259">
            <v>7053358</v>
          </cell>
          <cell r="J259">
            <v>1027945.06</v>
          </cell>
          <cell r="K259">
            <v>1073620.06</v>
          </cell>
        </row>
        <row r="259">
          <cell r="M259">
            <v>2932529.94</v>
          </cell>
          <cell r="N259">
            <v>6150</v>
          </cell>
          <cell r="O259">
            <v>4000000</v>
          </cell>
          <cell r="P259">
            <v>3954325</v>
          </cell>
          <cell r="Q259">
            <v>169894.94</v>
          </cell>
        </row>
        <row r="259">
          <cell r="S259">
            <v>3053358</v>
          </cell>
        </row>
        <row r="260">
          <cell r="D260" t="str">
            <v>SB22437</v>
          </cell>
          <cell r="E260">
            <v>1197840</v>
          </cell>
          <cell r="F260">
            <v>7053358</v>
          </cell>
        </row>
        <row r="260">
          <cell r="I260">
            <v>7053358</v>
          </cell>
          <cell r="J260">
            <v>1027945.06</v>
          </cell>
          <cell r="K260">
            <v>1073620.06</v>
          </cell>
        </row>
        <row r="260">
          <cell r="M260">
            <v>2932529.94</v>
          </cell>
          <cell r="N260">
            <v>6150</v>
          </cell>
          <cell r="O260">
            <v>4000000</v>
          </cell>
          <cell r="P260">
            <v>3954325</v>
          </cell>
          <cell r="Q260">
            <v>169894.94</v>
          </cell>
        </row>
        <row r="260">
          <cell r="S260">
            <v>3053358</v>
          </cell>
        </row>
        <row r="261">
          <cell r="D261" t="str">
            <v/>
          </cell>
          <cell r="E261">
            <v>484950</v>
          </cell>
          <cell r="F261">
            <v>484950</v>
          </cell>
          <cell r="G261">
            <v>480693</v>
          </cell>
        </row>
        <row r="261">
          <cell r="I261">
            <v>4257</v>
          </cell>
        </row>
        <row r="261">
          <cell r="Q261">
            <v>484950</v>
          </cell>
        </row>
        <row r="261">
          <cell r="S261">
            <v>4257</v>
          </cell>
        </row>
        <row r="262">
          <cell r="D262" t="str">
            <v>SB22272</v>
          </cell>
          <cell r="E262">
            <v>484950</v>
          </cell>
          <cell r="F262">
            <v>484950</v>
          </cell>
          <cell r="G262">
            <v>480693</v>
          </cell>
        </row>
        <row r="262">
          <cell r="I262">
            <v>4257</v>
          </cell>
        </row>
        <row r="262">
          <cell r="Q262">
            <v>484950</v>
          </cell>
        </row>
        <row r="262">
          <cell r="S262">
            <v>4257</v>
          </cell>
        </row>
        <row r="263">
          <cell r="D263" t="str">
            <v/>
          </cell>
          <cell r="E263">
            <v>65828520</v>
          </cell>
          <cell r="F263">
            <v>34032480</v>
          </cell>
          <cell r="G263">
            <v>1650000</v>
          </cell>
        </row>
        <row r="263">
          <cell r="I263">
            <v>35682480</v>
          </cell>
          <cell r="J263">
            <v>38085139</v>
          </cell>
          <cell r="K263">
            <v>25685401.31</v>
          </cell>
        </row>
        <row r="263">
          <cell r="M263">
            <v>827217.23</v>
          </cell>
          <cell r="N263">
            <v>12618</v>
          </cell>
          <cell r="O263">
            <v>26500000.54</v>
          </cell>
          <cell r="P263">
            <v>38899738.23</v>
          </cell>
          <cell r="Q263">
            <v>27743381</v>
          </cell>
        </row>
        <row r="263">
          <cell r="S263">
            <v>9182479.46</v>
          </cell>
        </row>
        <row r="264">
          <cell r="D264" t="str">
            <v>SB22305</v>
          </cell>
        </row>
        <row r="264">
          <cell r="F264">
            <v>23332480</v>
          </cell>
          <cell r="G264">
            <v>1650000</v>
          </cell>
        </row>
        <row r="264">
          <cell r="I264">
            <v>24982480</v>
          </cell>
          <cell r="J264">
            <v>9728235.71</v>
          </cell>
          <cell r="K264">
            <v>14050951.51</v>
          </cell>
        </row>
        <row r="264">
          <cell r="M264">
            <v>3761666.49</v>
          </cell>
          <cell r="N264">
            <v>12618</v>
          </cell>
          <cell r="O264">
            <v>17800000</v>
          </cell>
          <cell r="P264">
            <v>13477284.2</v>
          </cell>
          <cell r="Q264">
            <v>9728235.71</v>
          </cell>
        </row>
        <row r="264">
          <cell r="S264">
            <v>7182480</v>
          </cell>
        </row>
        <row r="265">
          <cell r="D265" t="str">
            <v>SB22306</v>
          </cell>
        </row>
        <row r="265">
          <cell r="J265">
            <v>228043.35</v>
          </cell>
          <cell r="K265">
            <v>1799035.11</v>
          </cell>
        </row>
        <row r="265">
          <cell r="M265">
            <v>1799034.76</v>
          </cell>
        </row>
        <row r="265">
          <cell r="O265">
            <v>0.35</v>
          </cell>
          <cell r="P265">
            <v>1570991.41</v>
          </cell>
          <cell r="Q265">
            <v>228043.35</v>
          </cell>
        </row>
        <row r="265">
          <cell r="S265">
            <v>0.35</v>
          </cell>
        </row>
        <row r="266">
          <cell r="D266" t="str">
            <v>SB22318</v>
          </cell>
        </row>
        <row r="266">
          <cell r="K266">
            <v>329500</v>
          </cell>
        </row>
        <row r="266">
          <cell r="M266">
            <v>329500</v>
          </cell>
        </row>
        <row r="266">
          <cell r="P266">
            <v>329500</v>
          </cell>
        </row>
        <row r="267">
          <cell r="D267" t="str">
            <v>SB22319</v>
          </cell>
        </row>
        <row r="267">
          <cell r="J267">
            <v>77239.69</v>
          </cell>
          <cell r="K267">
            <v>1930784.69</v>
          </cell>
        </row>
        <row r="267">
          <cell r="M267">
            <v>1930784.5</v>
          </cell>
        </row>
        <row r="267">
          <cell r="O267">
            <v>0.19</v>
          </cell>
          <cell r="P267">
            <v>1853544.81</v>
          </cell>
          <cell r="Q267">
            <v>77239.69</v>
          </cell>
        </row>
        <row r="267">
          <cell r="S267">
            <v>0.19</v>
          </cell>
        </row>
        <row r="268">
          <cell r="D268" t="str">
            <v>SB22320</v>
          </cell>
        </row>
        <row r="268">
          <cell r="F268">
            <v>10700000</v>
          </cell>
        </row>
        <row r="268">
          <cell r="I268">
            <v>10700000</v>
          </cell>
          <cell r="J268">
            <v>4425233</v>
          </cell>
          <cell r="K268">
            <v>4853328</v>
          </cell>
        </row>
        <row r="268">
          <cell r="M268">
            <v>3846672</v>
          </cell>
        </row>
        <row r="268">
          <cell r="O268">
            <v>8700000</v>
          </cell>
          <cell r="P268">
            <v>8271905</v>
          </cell>
          <cell r="Q268">
            <v>4425233</v>
          </cell>
        </row>
        <row r="268">
          <cell r="S268">
            <v>2000000</v>
          </cell>
        </row>
        <row r="269">
          <cell r="D269" t="str">
            <v>SB22396</v>
          </cell>
          <cell r="E269">
            <v>3900000</v>
          </cell>
        </row>
        <row r="269">
          <cell r="J269">
            <v>3521802</v>
          </cell>
          <cell r="K269">
            <v>2721802</v>
          </cell>
        </row>
        <row r="269">
          <cell r="M269">
            <v>2721802</v>
          </cell>
        </row>
        <row r="269">
          <cell r="P269">
            <v>800000</v>
          </cell>
          <cell r="Q269">
            <v>378198</v>
          </cell>
        </row>
        <row r="270">
          <cell r="D270" t="str">
            <v>SB22561</v>
          </cell>
          <cell r="E270">
            <v>15300000</v>
          </cell>
        </row>
        <row r="270">
          <cell r="J270">
            <v>5635612.25</v>
          </cell>
        </row>
        <row r="270">
          <cell r="P270">
            <v>5635612.25</v>
          </cell>
          <cell r="Q270">
            <v>9664387.75</v>
          </cell>
        </row>
        <row r="271">
          <cell r="D271" t="str">
            <v>SB22562</v>
          </cell>
          <cell r="E271">
            <v>12000000</v>
          </cell>
        </row>
        <row r="271">
          <cell r="J271">
            <v>3988277</v>
          </cell>
        </row>
        <row r="271">
          <cell r="P271">
            <v>3988277</v>
          </cell>
          <cell r="Q271">
            <v>8011723</v>
          </cell>
        </row>
        <row r="272">
          <cell r="D272" t="str">
            <v>SB22563</v>
          </cell>
          <cell r="E272">
            <v>12000000</v>
          </cell>
        </row>
        <row r="272">
          <cell r="J272">
            <v>4042500</v>
          </cell>
        </row>
        <row r="272">
          <cell r="P272">
            <v>4042500</v>
          </cell>
          <cell r="Q272">
            <v>7957500</v>
          </cell>
        </row>
        <row r="273">
          <cell r="D273" t="str">
            <v>SB22590</v>
          </cell>
          <cell r="E273">
            <v>11903320</v>
          </cell>
        </row>
        <row r="273">
          <cell r="J273">
            <v>2955196</v>
          </cell>
        </row>
        <row r="273">
          <cell r="P273">
            <v>2955196</v>
          </cell>
          <cell r="Q273">
            <v>8948124</v>
          </cell>
        </row>
        <row r="274">
          <cell r="D274" t="str">
            <v>SB22591</v>
          </cell>
          <cell r="E274">
            <v>10725200</v>
          </cell>
        </row>
        <row r="274">
          <cell r="J274">
            <v>3483000</v>
          </cell>
        </row>
        <row r="274">
          <cell r="P274">
            <v>3483000</v>
          </cell>
          <cell r="Q274">
            <v>7242200</v>
          </cell>
        </row>
        <row r="275">
          <cell r="D275" t="str">
            <v/>
          </cell>
          <cell r="E275">
            <v>2917310</v>
          </cell>
          <cell r="F275">
            <v>2917310</v>
          </cell>
          <cell r="G275">
            <v>2917310</v>
          </cell>
        </row>
        <row r="275">
          <cell r="K275">
            <v>191040</v>
          </cell>
        </row>
        <row r="275">
          <cell r="M275">
            <v>191040</v>
          </cell>
        </row>
        <row r="275">
          <cell r="P275">
            <v>191040</v>
          </cell>
          <cell r="Q275">
            <v>2917310</v>
          </cell>
        </row>
        <row r="276">
          <cell r="D276" t="str">
            <v>SB22278</v>
          </cell>
          <cell r="E276">
            <v>2917310</v>
          </cell>
          <cell r="F276">
            <v>2917310</v>
          </cell>
          <cell r="G276">
            <v>2917310</v>
          </cell>
        </row>
        <row r="276">
          <cell r="K276">
            <v>191040</v>
          </cell>
        </row>
        <row r="276">
          <cell r="M276">
            <v>191040</v>
          </cell>
        </row>
        <row r="276">
          <cell r="P276">
            <v>191040</v>
          </cell>
          <cell r="Q276">
            <v>2917310</v>
          </cell>
        </row>
        <row r="277">
          <cell r="D277" t="str">
            <v/>
          </cell>
        </row>
        <row r="277">
          <cell r="F277">
            <v>12605686</v>
          </cell>
          <cell r="G277">
            <v>284211</v>
          </cell>
        </row>
        <row r="277">
          <cell r="I277">
            <v>12321475</v>
          </cell>
          <cell r="J277">
            <v>1748290</v>
          </cell>
          <cell r="K277">
            <v>4960265</v>
          </cell>
        </row>
        <row r="277">
          <cell r="M277">
            <v>4977138</v>
          </cell>
          <cell r="N277">
            <v>37403</v>
          </cell>
          <cell r="O277">
            <v>9900000</v>
          </cell>
          <cell r="P277">
            <v>6688025</v>
          </cell>
          <cell r="Q277">
            <v>1748290</v>
          </cell>
        </row>
        <row r="277">
          <cell r="S277">
            <v>2421475</v>
          </cell>
        </row>
        <row r="278">
          <cell r="D278" t="str">
            <v>SB22344</v>
          </cell>
        </row>
        <row r="278">
          <cell r="F278">
            <v>12321475</v>
          </cell>
        </row>
        <row r="278">
          <cell r="I278">
            <v>12321475</v>
          </cell>
          <cell r="J278">
            <v>1573290</v>
          </cell>
          <cell r="K278">
            <v>4949540</v>
          </cell>
        </row>
        <row r="278">
          <cell r="M278">
            <v>4987863</v>
          </cell>
          <cell r="N278">
            <v>37403</v>
          </cell>
          <cell r="O278">
            <v>9900000</v>
          </cell>
          <cell r="P278">
            <v>6523750</v>
          </cell>
          <cell r="Q278">
            <v>1573290</v>
          </cell>
        </row>
        <row r="278">
          <cell r="S278">
            <v>2421475</v>
          </cell>
        </row>
        <row r="279">
          <cell r="D279" t="str">
            <v>SB22404</v>
          </cell>
        </row>
        <row r="279">
          <cell r="K279">
            <v>10725</v>
          </cell>
        </row>
        <row r="279">
          <cell r="M279">
            <v>10725</v>
          </cell>
        </row>
        <row r="279">
          <cell r="P279">
            <v>10725</v>
          </cell>
        </row>
        <row r="280">
          <cell r="D280" t="str">
            <v>SB22527</v>
          </cell>
        </row>
        <row r="280">
          <cell r="F280">
            <v>284211</v>
          </cell>
          <cell r="G280">
            <v>284211</v>
          </cell>
        </row>
        <row r="280">
          <cell r="J280">
            <v>175000</v>
          </cell>
        </row>
        <row r="280">
          <cell r="P280">
            <v>175000</v>
          </cell>
          <cell r="Q280">
            <v>175000</v>
          </cell>
        </row>
        <row r="281">
          <cell r="D281" t="str">
            <v/>
          </cell>
          <cell r="E281">
            <v>2099625</v>
          </cell>
        </row>
        <row r="281">
          <cell r="G281">
            <v>2099625</v>
          </cell>
        </row>
        <row r="281">
          <cell r="I281">
            <v>2099625</v>
          </cell>
          <cell r="J281">
            <v>1547166</v>
          </cell>
          <cell r="K281">
            <v>1547166</v>
          </cell>
        </row>
        <row r="281">
          <cell r="M281">
            <v>52459</v>
          </cell>
        </row>
        <row r="281">
          <cell r="O281">
            <v>1599625</v>
          </cell>
          <cell r="P281">
            <v>1599625</v>
          </cell>
          <cell r="Q281">
            <v>552459</v>
          </cell>
        </row>
        <row r="281">
          <cell r="S281">
            <v>500000</v>
          </cell>
        </row>
        <row r="282">
          <cell r="D282" t="str">
            <v>SB22612</v>
          </cell>
          <cell r="E282">
            <v>2099625</v>
          </cell>
        </row>
        <row r="282">
          <cell r="G282">
            <v>2099625</v>
          </cell>
        </row>
        <row r="282">
          <cell r="I282">
            <v>2099625</v>
          </cell>
          <cell r="J282">
            <v>1547166</v>
          </cell>
          <cell r="K282">
            <v>1547166</v>
          </cell>
        </row>
        <row r="282">
          <cell r="M282">
            <v>52459</v>
          </cell>
        </row>
        <row r="282">
          <cell r="O282">
            <v>1599625</v>
          </cell>
          <cell r="P282">
            <v>1599625</v>
          </cell>
          <cell r="Q282">
            <v>552459</v>
          </cell>
        </row>
        <row r="282">
          <cell r="S282">
            <v>500000</v>
          </cell>
        </row>
        <row r="283">
          <cell r="D283" t="str">
            <v/>
          </cell>
        </row>
        <row r="283">
          <cell r="K283">
            <v>30000</v>
          </cell>
        </row>
        <row r="283">
          <cell r="M283">
            <v>30000</v>
          </cell>
        </row>
        <row r="283">
          <cell r="P283">
            <v>30000</v>
          </cell>
        </row>
        <row r="284">
          <cell r="D284" t="str">
            <v>SB22254</v>
          </cell>
        </row>
        <row r="284">
          <cell r="K284">
            <v>30000</v>
          </cell>
        </row>
        <row r="284">
          <cell r="M284">
            <v>30000</v>
          </cell>
        </row>
        <row r="284">
          <cell r="P284">
            <v>30000</v>
          </cell>
        </row>
        <row r="285">
          <cell r="D285" t="str">
            <v/>
          </cell>
        </row>
        <row r="285">
          <cell r="K285">
            <v>1553200</v>
          </cell>
        </row>
        <row r="285">
          <cell r="M285">
            <v>1553200</v>
          </cell>
        </row>
        <row r="285">
          <cell r="P285">
            <v>1553200</v>
          </cell>
        </row>
        <row r="286">
          <cell r="D286" t="str">
            <v>SB22316</v>
          </cell>
        </row>
        <row r="286">
          <cell r="K286">
            <v>1553200</v>
          </cell>
        </row>
        <row r="286">
          <cell r="M286">
            <v>1553200</v>
          </cell>
        </row>
        <row r="286">
          <cell r="P286">
            <v>1553200</v>
          </cell>
        </row>
        <row r="287">
          <cell r="D287" t="str">
            <v/>
          </cell>
        </row>
        <row r="287">
          <cell r="F287">
            <v>928816</v>
          </cell>
          <cell r="G287">
            <v>928816</v>
          </cell>
        </row>
        <row r="288">
          <cell r="D288" t="str">
            <v>SB22448</v>
          </cell>
        </row>
        <row r="288">
          <cell r="F288">
            <v>928816</v>
          </cell>
          <cell r="G288">
            <v>928816</v>
          </cell>
        </row>
        <row r="289">
          <cell r="D289" t="str">
            <v/>
          </cell>
          <cell r="E289">
            <v>437265</v>
          </cell>
        </row>
        <row r="289">
          <cell r="G289">
            <v>437265</v>
          </cell>
        </row>
        <row r="289">
          <cell r="I289">
            <v>437265</v>
          </cell>
        </row>
        <row r="289">
          <cell r="M289">
            <v>337265</v>
          </cell>
        </row>
        <row r="289">
          <cell r="O289">
            <v>337265</v>
          </cell>
          <cell r="P289">
            <v>337265</v>
          </cell>
          <cell r="Q289">
            <v>437265</v>
          </cell>
        </row>
        <row r="289">
          <cell r="S289">
            <v>100000</v>
          </cell>
        </row>
        <row r="290">
          <cell r="D290" t="str">
            <v>SB22622</v>
          </cell>
          <cell r="E290">
            <v>437265</v>
          </cell>
        </row>
        <row r="290">
          <cell r="G290">
            <v>437265</v>
          </cell>
        </row>
        <row r="290">
          <cell r="I290">
            <v>437265</v>
          </cell>
        </row>
        <row r="290">
          <cell r="M290">
            <v>337265</v>
          </cell>
        </row>
        <row r="290">
          <cell r="O290">
            <v>337265</v>
          </cell>
          <cell r="P290">
            <v>337265</v>
          </cell>
          <cell r="Q290">
            <v>437265</v>
          </cell>
        </row>
        <row r="290">
          <cell r="S290">
            <v>100000</v>
          </cell>
        </row>
        <row r="291">
          <cell r="D291" t="str">
            <v/>
          </cell>
        </row>
        <row r="291">
          <cell r="K291">
            <v>692150</v>
          </cell>
        </row>
        <row r="291">
          <cell r="M291">
            <v>692150</v>
          </cell>
        </row>
        <row r="291">
          <cell r="P291">
            <v>692150</v>
          </cell>
        </row>
        <row r="292">
          <cell r="D292" t="str">
            <v>SB22158</v>
          </cell>
        </row>
        <row r="292">
          <cell r="K292">
            <v>692150</v>
          </cell>
        </row>
        <row r="292">
          <cell r="M292">
            <v>692150</v>
          </cell>
        </row>
        <row r="292">
          <cell r="P292">
            <v>692150</v>
          </cell>
        </row>
        <row r="293">
          <cell r="D293" t="str">
            <v/>
          </cell>
          <cell r="E293">
            <v>717723</v>
          </cell>
          <cell r="F293">
            <v>2856583</v>
          </cell>
          <cell r="G293">
            <v>25643</v>
          </cell>
        </row>
        <row r="293">
          <cell r="I293">
            <v>2882226</v>
          </cell>
          <cell r="J293">
            <v>1845301.35</v>
          </cell>
          <cell r="K293">
            <v>4674751.35</v>
          </cell>
        </row>
        <row r="293">
          <cell r="M293">
            <v>2478034.75</v>
          </cell>
        </row>
        <row r="293">
          <cell r="O293">
            <v>2196716.6</v>
          </cell>
          <cell r="P293">
            <v>632733.4</v>
          </cell>
          <cell r="Q293">
            <v>1127578.35</v>
          </cell>
        </row>
        <row r="293">
          <cell r="S293">
            <v>685509.4</v>
          </cell>
        </row>
        <row r="294">
          <cell r="D294" t="str">
            <v>SB22343</v>
          </cell>
        </row>
        <row r="294">
          <cell r="K294">
            <v>3075000</v>
          </cell>
        </row>
        <row r="294">
          <cell r="M294">
            <v>3075000</v>
          </cell>
        </row>
        <row r="294">
          <cell r="P294">
            <v>3075000</v>
          </cell>
        </row>
        <row r="295">
          <cell r="D295" t="str">
            <v>SB22498</v>
          </cell>
        </row>
        <row r="295">
          <cell r="J295">
            <v>99741.6</v>
          </cell>
          <cell r="K295">
            <v>119741.6</v>
          </cell>
        </row>
        <row r="295">
          <cell r="M295">
            <v>119741</v>
          </cell>
        </row>
        <row r="295">
          <cell r="O295">
            <v>0.6</v>
          </cell>
          <cell r="P295">
            <v>19999.4</v>
          </cell>
          <cell r="Q295">
            <v>99741.6</v>
          </cell>
        </row>
        <row r="295">
          <cell r="S295">
            <v>0.6</v>
          </cell>
        </row>
        <row r="296">
          <cell r="D296" t="str">
            <v>SB22551</v>
          </cell>
        </row>
        <row r="296">
          <cell r="F296">
            <v>699894</v>
          </cell>
          <cell r="G296">
            <v>699894</v>
          </cell>
        </row>
        <row r="296">
          <cell r="J296">
            <v>458120</v>
          </cell>
          <cell r="K296">
            <v>303120</v>
          </cell>
        </row>
        <row r="296">
          <cell r="M296">
            <v>303120</v>
          </cell>
        </row>
        <row r="296">
          <cell r="P296">
            <v>155000</v>
          </cell>
          <cell r="Q296">
            <v>458120</v>
          </cell>
        </row>
        <row r="297">
          <cell r="D297" t="str">
            <v>SB22557</v>
          </cell>
        </row>
        <row r="297">
          <cell r="K297">
            <v>138700</v>
          </cell>
        </row>
        <row r="297">
          <cell r="M297">
            <v>138700</v>
          </cell>
        </row>
        <row r="297">
          <cell r="P297">
            <v>138700</v>
          </cell>
        </row>
        <row r="298">
          <cell r="D298" t="str">
            <v>SB22574</v>
          </cell>
        </row>
        <row r="298">
          <cell r="F298">
            <v>2156689</v>
          </cell>
        </row>
        <row r="298">
          <cell r="I298">
            <v>2156689</v>
          </cell>
          <cell r="J298">
            <v>1038189.75</v>
          </cell>
          <cell r="K298">
            <v>1038189.75</v>
          </cell>
        </row>
        <row r="298">
          <cell r="M298">
            <v>582989.25</v>
          </cell>
        </row>
        <row r="298">
          <cell r="O298">
            <v>1621179</v>
          </cell>
          <cell r="P298">
            <v>1621179</v>
          </cell>
          <cell r="Q298">
            <v>1038189.75</v>
          </cell>
        </row>
        <row r="298">
          <cell r="S298">
            <v>535510</v>
          </cell>
        </row>
        <row r="299">
          <cell r="D299" t="str">
            <v>SB22656</v>
          </cell>
          <cell r="E299">
            <v>717723</v>
          </cell>
        </row>
        <row r="299">
          <cell r="G299">
            <v>725537</v>
          </cell>
        </row>
        <row r="299">
          <cell r="I299">
            <v>725537</v>
          </cell>
          <cell r="J299">
            <v>249250</v>
          </cell>
        </row>
        <row r="299">
          <cell r="M299">
            <v>575537</v>
          </cell>
        </row>
        <row r="299">
          <cell r="O299">
            <v>575537</v>
          </cell>
          <cell r="P299">
            <v>824787</v>
          </cell>
          <cell r="Q299">
            <v>468473</v>
          </cell>
        </row>
        <row r="299">
          <cell r="S299">
            <v>150000</v>
          </cell>
        </row>
        <row r="300">
          <cell r="D300" t="str">
            <v/>
          </cell>
        </row>
        <row r="300">
          <cell r="J300">
            <v>198000</v>
          </cell>
          <cell r="K300">
            <v>45000</v>
          </cell>
        </row>
        <row r="300">
          <cell r="M300">
            <v>45000</v>
          </cell>
        </row>
        <row r="300">
          <cell r="P300">
            <v>153000</v>
          </cell>
          <cell r="Q300">
            <v>198000</v>
          </cell>
        </row>
        <row r="301">
          <cell r="D301" t="str">
            <v>SB22115</v>
          </cell>
        </row>
        <row r="301">
          <cell r="J301">
            <v>198000</v>
          </cell>
          <cell r="K301">
            <v>45000</v>
          </cell>
        </row>
        <row r="301">
          <cell r="M301">
            <v>45000</v>
          </cell>
        </row>
        <row r="301">
          <cell r="P301">
            <v>153000</v>
          </cell>
          <cell r="Q301">
            <v>198000</v>
          </cell>
        </row>
        <row r="302">
          <cell r="D302" t="str">
            <v/>
          </cell>
        </row>
        <row r="302">
          <cell r="K302">
            <v>541000</v>
          </cell>
        </row>
        <row r="302">
          <cell r="M302">
            <v>541000</v>
          </cell>
        </row>
        <row r="302">
          <cell r="P302">
            <v>541000</v>
          </cell>
        </row>
        <row r="303">
          <cell r="D303" t="str">
            <v>SB22329</v>
          </cell>
        </row>
        <row r="303">
          <cell r="K303">
            <v>541000</v>
          </cell>
        </row>
        <row r="303">
          <cell r="M303">
            <v>541000</v>
          </cell>
        </row>
        <row r="303">
          <cell r="P303">
            <v>541000</v>
          </cell>
        </row>
        <row r="304">
          <cell r="D304" t="str">
            <v/>
          </cell>
        </row>
        <row r="304">
          <cell r="K304">
            <v>8898</v>
          </cell>
        </row>
        <row r="304">
          <cell r="M304">
            <v>8898</v>
          </cell>
        </row>
        <row r="304">
          <cell r="P304">
            <v>8898</v>
          </cell>
        </row>
        <row r="305">
          <cell r="D305" t="str">
            <v>SB22459</v>
          </cell>
        </row>
        <row r="305">
          <cell r="K305">
            <v>8898</v>
          </cell>
        </row>
        <row r="305">
          <cell r="M305">
            <v>8898</v>
          </cell>
        </row>
        <row r="305">
          <cell r="P305">
            <v>8898</v>
          </cell>
        </row>
        <row r="306">
          <cell r="D306" t="str">
            <v/>
          </cell>
          <cell r="E306">
            <v>24023845</v>
          </cell>
          <cell r="F306">
            <v>4235</v>
          </cell>
          <cell r="G306">
            <v>3518535</v>
          </cell>
          <cell r="H306">
            <v>54004</v>
          </cell>
          <cell r="I306">
            <v>3468766</v>
          </cell>
          <cell r="J306">
            <v>9547357.27</v>
          </cell>
          <cell r="K306">
            <v>8922050.75</v>
          </cell>
        </row>
        <row r="306">
          <cell r="M306">
            <v>6111280.75</v>
          </cell>
        </row>
        <row r="306">
          <cell r="O306">
            <v>2810770</v>
          </cell>
          <cell r="P306">
            <v>3436076.52</v>
          </cell>
          <cell r="Q306">
            <v>14476487.73</v>
          </cell>
        </row>
        <row r="306">
          <cell r="S306">
            <v>657996</v>
          </cell>
        </row>
        <row r="307">
          <cell r="D307" t="str">
            <v/>
          </cell>
          <cell r="E307">
            <v>24023845</v>
          </cell>
          <cell r="F307">
            <v>4235</v>
          </cell>
          <cell r="G307">
            <v>3518535</v>
          </cell>
          <cell r="H307">
            <v>54004</v>
          </cell>
          <cell r="I307">
            <v>3468766</v>
          </cell>
          <cell r="J307">
            <v>9547357.27</v>
          </cell>
          <cell r="K307">
            <v>8922050.75</v>
          </cell>
        </row>
        <row r="307">
          <cell r="M307">
            <v>6111280.75</v>
          </cell>
        </row>
        <row r="307">
          <cell r="O307">
            <v>2810770</v>
          </cell>
          <cell r="P307">
            <v>3436076.52</v>
          </cell>
          <cell r="Q307">
            <v>14476487.73</v>
          </cell>
        </row>
        <row r="307">
          <cell r="S307">
            <v>657996</v>
          </cell>
        </row>
        <row r="308">
          <cell r="D308" t="str">
            <v>SB22204</v>
          </cell>
        </row>
        <row r="308">
          <cell r="H308">
            <v>54004</v>
          </cell>
          <cell r="I308">
            <v>54004</v>
          </cell>
        </row>
        <row r="308">
          <cell r="S308">
            <v>54004</v>
          </cell>
        </row>
        <row r="309">
          <cell r="D309" t="str">
            <v>SB22460</v>
          </cell>
        </row>
        <row r="309">
          <cell r="K309">
            <v>55000</v>
          </cell>
        </row>
        <row r="309">
          <cell r="M309">
            <v>55000</v>
          </cell>
        </row>
        <row r="309">
          <cell r="P309">
            <v>55000</v>
          </cell>
        </row>
        <row r="310">
          <cell r="D310" t="str">
            <v>SB22615</v>
          </cell>
          <cell r="E310">
            <v>24019610</v>
          </cell>
        </row>
        <row r="310">
          <cell r="J310">
            <v>9431153.77</v>
          </cell>
          <cell r="K310">
            <v>8867050.75</v>
          </cell>
        </row>
        <row r="310">
          <cell r="M310">
            <v>8867050.75</v>
          </cell>
        </row>
        <row r="310">
          <cell r="P310">
            <v>564103.02</v>
          </cell>
          <cell r="Q310">
            <v>14588456.23</v>
          </cell>
        </row>
        <row r="311">
          <cell r="D311" t="str">
            <v>SB22618</v>
          </cell>
          <cell r="E311">
            <v>4235</v>
          </cell>
          <cell r="F311">
            <v>4235</v>
          </cell>
          <cell r="G311">
            <v>3518535</v>
          </cell>
        </row>
        <row r="311">
          <cell r="I311">
            <v>3522770</v>
          </cell>
          <cell r="J311">
            <v>116203.5</v>
          </cell>
        </row>
        <row r="311">
          <cell r="M311">
            <v>2810770</v>
          </cell>
        </row>
        <row r="311">
          <cell r="O311">
            <v>2810770</v>
          </cell>
          <cell r="P311">
            <v>2926973.5</v>
          </cell>
          <cell r="Q311">
            <v>111968.5</v>
          </cell>
        </row>
        <row r="311">
          <cell r="S311">
            <v>712000</v>
          </cell>
        </row>
        <row r="312">
          <cell r="D312" t="str">
            <v/>
          </cell>
          <cell r="E312">
            <v>8383360</v>
          </cell>
          <cell r="F312">
            <v>1798800</v>
          </cell>
          <cell r="G312">
            <v>3620460</v>
          </cell>
          <cell r="H312">
            <v>515900</v>
          </cell>
          <cell r="I312">
            <v>4903360</v>
          </cell>
          <cell r="J312">
            <v>3784789.22</v>
          </cell>
          <cell r="K312">
            <v>1798443.99</v>
          </cell>
        </row>
        <row r="312">
          <cell r="M312">
            <v>2304916.01</v>
          </cell>
        </row>
        <row r="312">
          <cell r="O312">
            <v>4103360</v>
          </cell>
          <cell r="P312">
            <v>6089705.23</v>
          </cell>
          <cell r="Q312">
            <v>4598570.78</v>
          </cell>
        </row>
        <row r="312">
          <cell r="S312">
            <v>800000</v>
          </cell>
        </row>
        <row r="313">
          <cell r="D313" t="str">
            <v/>
          </cell>
          <cell r="E313">
            <v>2050000</v>
          </cell>
          <cell r="F313">
            <v>250000</v>
          </cell>
          <cell r="G313">
            <v>250000</v>
          </cell>
        </row>
        <row r="313">
          <cell r="J313">
            <v>899726.73</v>
          </cell>
          <cell r="K313">
            <v>1139500</v>
          </cell>
        </row>
        <row r="313">
          <cell r="M313">
            <v>1139500</v>
          </cell>
        </row>
        <row r="313">
          <cell r="P313">
            <v>239773.27</v>
          </cell>
          <cell r="Q313">
            <v>1150273.27</v>
          </cell>
        </row>
        <row r="314">
          <cell r="D314" t="str">
            <v>SB22414</v>
          </cell>
          <cell r="E314">
            <v>250000</v>
          </cell>
          <cell r="F314">
            <v>250000</v>
          </cell>
          <cell r="G314">
            <v>250000</v>
          </cell>
        </row>
        <row r="314">
          <cell r="K314">
            <v>1139500</v>
          </cell>
        </row>
        <row r="314">
          <cell r="M314">
            <v>1139500</v>
          </cell>
        </row>
        <row r="314">
          <cell r="P314">
            <v>1139500</v>
          </cell>
          <cell r="Q314">
            <v>250000</v>
          </cell>
        </row>
        <row r="315">
          <cell r="D315" t="str">
            <v>SB22626</v>
          </cell>
          <cell r="E315">
            <v>1800000</v>
          </cell>
        </row>
        <row r="315">
          <cell r="J315">
            <v>899726.73</v>
          </cell>
        </row>
        <row r="315">
          <cell r="P315">
            <v>899726.73</v>
          </cell>
          <cell r="Q315">
            <v>900273.27</v>
          </cell>
        </row>
        <row r="316">
          <cell r="D316" t="str">
            <v/>
          </cell>
          <cell r="E316">
            <v>6333360</v>
          </cell>
          <cell r="F316">
            <v>1548800</v>
          </cell>
          <cell r="G316">
            <v>3870460</v>
          </cell>
          <cell r="H316">
            <v>515900</v>
          </cell>
          <cell r="I316">
            <v>4903360</v>
          </cell>
          <cell r="J316">
            <v>2885062.49</v>
          </cell>
          <cell r="K316">
            <v>658943.99</v>
          </cell>
        </row>
        <row r="316">
          <cell r="M316">
            <v>3444416.01</v>
          </cell>
        </row>
        <row r="316">
          <cell r="O316">
            <v>4103360</v>
          </cell>
          <cell r="P316">
            <v>6329478.5</v>
          </cell>
          <cell r="Q316">
            <v>3448297.51</v>
          </cell>
        </row>
        <row r="316">
          <cell r="S316">
            <v>800000</v>
          </cell>
        </row>
        <row r="317">
          <cell r="D317" t="str">
            <v>SB22559</v>
          </cell>
          <cell r="E317">
            <v>2150500</v>
          </cell>
        </row>
        <row r="317">
          <cell r="G317">
            <v>2150500</v>
          </cell>
        </row>
        <row r="317">
          <cell r="I317">
            <v>2150500</v>
          </cell>
          <cell r="J317">
            <v>1561642.5</v>
          </cell>
          <cell r="K317">
            <v>299730</v>
          </cell>
        </row>
        <row r="317">
          <cell r="M317">
            <v>1550770</v>
          </cell>
        </row>
        <row r="317">
          <cell r="O317">
            <v>1850500</v>
          </cell>
          <cell r="P317">
            <v>3112412.5</v>
          </cell>
          <cell r="Q317">
            <v>588857.5</v>
          </cell>
        </row>
        <row r="317">
          <cell r="S317">
            <v>300000</v>
          </cell>
        </row>
        <row r="318">
          <cell r="D318" t="str">
            <v>SB22560</v>
          </cell>
          <cell r="E318">
            <v>515900</v>
          </cell>
          <cell r="F318">
            <v>1548800</v>
          </cell>
        </row>
        <row r="318">
          <cell r="H318">
            <v>515900</v>
          </cell>
          <cell r="I318">
            <v>1032900</v>
          </cell>
          <cell r="J318">
            <v>302103.99</v>
          </cell>
          <cell r="K318">
            <v>351863.99</v>
          </cell>
        </row>
        <row r="318">
          <cell r="M318">
            <v>481036.01</v>
          </cell>
        </row>
        <row r="318">
          <cell r="O318">
            <v>832900</v>
          </cell>
          <cell r="P318">
            <v>783140</v>
          </cell>
          <cell r="Q318">
            <v>213796.01</v>
          </cell>
        </row>
        <row r="318">
          <cell r="S318">
            <v>200000</v>
          </cell>
        </row>
        <row r="319">
          <cell r="D319" t="str">
            <v>SB22623</v>
          </cell>
          <cell r="E319">
            <v>1719960</v>
          </cell>
        </row>
        <row r="319">
          <cell r="G319">
            <v>1719960</v>
          </cell>
        </row>
        <row r="319">
          <cell r="I319">
            <v>1719960</v>
          </cell>
          <cell r="J319">
            <v>1021316</v>
          </cell>
          <cell r="K319">
            <v>7350</v>
          </cell>
        </row>
        <row r="319">
          <cell r="M319">
            <v>1412610</v>
          </cell>
        </row>
        <row r="319">
          <cell r="O319">
            <v>1419960</v>
          </cell>
          <cell r="P319">
            <v>2433926</v>
          </cell>
          <cell r="Q319">
            <v>698644</v>
          </cell>
        </row>
        <row r="319">
          <cell r="S319">
            <v>300000</v>
          </cell>
        </row>
        <row r="320">
          <cell r="D320" t="str">
            <v>SB22666</v>
          </cell>
          <cell r="E320">
            <v>1947000</v>
          </cell>
        </row>
        <row r="320">
          <cell r="Q320">
            <v>1947000</v>
          </cell>
        </row>
        <row r="321">
          <cell r="D321" t="str">
            <v/>
          </cell>
          <cell r="E321">
            <v>48757791</v>
          </cell>
          <cell r="F321">
            <v>49602683</v>
          </cell>
          <cell r="G321">
            <v>19866793</v>
          </cell>
        </row>
        <row r="321">
          <cell r="I321">
            <v>29735890</v>
          </cell>
          <cell r="J321">
            <v>17399857.34</v>
          </cell>
          <cell r="K321">
            <v>17165070.34</v>
          </cell>
        </row>
        <row r="321">
          <cell r="M321">
            <v>10163480.8</v>
          </cell>
          <cell r="N321">
            <v>50000</v>
          </cell>
          <cell r="O321">
            <v>27278551.14</v>
          </cell>
          <cell r="P321">
            <v>27513338.14</v>
          </cell>
          <cell r="Q321">
            <v>31357933.66</v>
          </cell>
        </row>
        <row r="321">
          <cell r="S321">
            <v>2457338.86</v>
          </cell>
        </row>
        <row r="322">
          <cell r="D322" t="str">
            <v/>
          </cell>
          <cell r="E322">
            <v>19101302</v>
          </cell>
          <cell r="F322">
            <v>1568753</v>
          </cell>
          <cell r="G322">
            <v>5322150</v>
          </cell>
        </row>
        <row r="322">
          <cell r="I322">
            <v>6890903</v>
          </cell>
          <cell r="J322">
            <v>9547136.74</v>
          </cell>
          <cell r="K322">
            <v>4906791.74</v>
          </cell>
        </row>
        <row r="322">
          <cell r="M322">
            <v>865505.4</v>
          </cell>
        </row>
        <row r="322">
          <cell r="O322">
            <v>5772297.14</v>
          </cell>
          <cell r="P322">
            <v>10412642.14</v>
          </cell>
          <cell r="Q322">
            <v>9554165.26</v>
          </cell>
        </row>
        <row r="322">
          <cell r="S322">
            <v>1118605.86</v>
          </cell>
        </row>
        <row r="323">
          <cell r="D323" t="str">
            <v>SB22263</v>
          </cell>
        </row>
        <row r="323">
          <cell r="G323">
            <v>6890903</v>
          </cell>
        </row>
        <row r="323">
          <cell r="I323">
            <v>6890903</v>
          </cell>
          <cell r="J323">
            <v>7489269.6</v>
          </cell>
          <cell r="K323">
            <v>3695140.6</v>
          </cell>
        </row>
        <row r="323">
          <cell r="M323">
            <v>2077155.4</v>
          </cell>
        </row>
        <row r="323">
          <cell r="O323">
            <v>5772296</v>
          </cell>
          <cell r="P323">
            <v>9566425</v>
          </cell>
          <cell r="Q323">
            <v>7489269.6</v>
          </cell>
        </row>
        <row r="323">
          <cell r="S323">
            <v>1118607</v>
          </cell>
        </row>
        <row r="324">
          <cell r="D324" t="str">
            <v>SB22477</v>
          </cell>
        </row>
        <row r="324">
          <cell r="F324">
            <v>1568753</v>
          </cell>
          <cell r="G324">
            <v>1568753</v>
          </cell>
        </row>
        <row r="324">
          <cell r="J324">
            <v>849067.14</v>
          </cell>
          <cell r="K324">
            <v>1211651.14</v>
          </cell>
        </row>
        <row r="324">
          <cell r="M324">
            <v>1211650</v>
          </cell>
        </row>
        <row r="324">
          <cell r="O324">
            <v>1.14</v>
          </cell>
          <cell r="P324">
            <v>362582.86</v>
          </cell>
          <cell r="Q324">
            <v>849067.14</v>
          </cell>
        </row>
        <row r="324">
          <cell r="S324">
            <v>1.14</v>
          </cell>
        </row>
        <row r="325">
          <cell r="D325" t="str">
            <v>SB22640</v>
          </cell>
          <cell r="E325">
            <v>10901297</v>
          </cell>
        </row>
        <row r="325">
          <cell r="J325">
            <v>1133800</v>
          </cell>
        </row>
        <row r="325">
          <cell r="P325">
            <v>1133800</v>
          </cell>
          <cell r="Q325">
            <v>9767497</v>
          </cell>
        </row>
        <row r="326">
          <cell r="D326" t="str">
            <v>SB22657</v>
          </cell>
          <cell r="E326">
            <v>8200005</v>
          </cell>
        </row>
        <row r="326">
          <cell r="J326">
            <v>75000</v>
          </cell>
        </row>
        <row r="326">
          <cell r="P326">
            <v>75000</v>
          </cell>
          <cell r="Q326">
            <v>8125005</v>
          </cell>
        </row>
        <row r="327">
          <cell r="D327" t="str">
            <v/>
          </cell>
          <cell r="E327">
            <v>3311169</v>
          </cell>
          <cell r="F327">
            <v>2475150</v>
          </cell>
          <cell r="G327">
            <v>779970</v>
          </cell>
        </row>
        <row r="327">
          <cell r="I327">
            <v>1695180</v>
          </cell>
          <cell r="J327">
            <v>292512.5</v>
          </cell>
          <cell r="K327">
            <v>1608692.5</v>
          </cell>
        </row>
        <row r="327">
          <cell r="M327">
            <v>375938.5</v>
          </cell>
        </row>
        <row r="327">
          <cell r="O327">
            <v>1232754</v>
          </cell>
          <cell r="P327">
            <v>83426</v>
          </cell>
          <cell r="Q327">
            <v>3018656.5</v>
          </cell>
        </row>
        <row r="327">
          <cell r="S327">
            <v>462426</v>
          </cell>
        </row>
        <row r="328">
          <cell r="D328" t="str">
            <v>SB22475</v>
          </cell>
        </row>
        <row r="328">
          <cell r="K328">
            <v>1312055</v>
          </cell>
        </row>
        <row r="328">
          <cell r="M328">
            <v>1312055</v>
          </cell>
        </row>
        <row r="328">
          <cell r="P328">
            <v>1312055</v>
          </cell>
        </row>
        <row r="329">
          <cell r="D329" t="str">
            <v>SB22483</v>
          </cell>
        </row>
        <row r="329">
          <cell r="F329">
            <v>2475150</v>
          </cell>
          <cell r="G329">
            <v>2475150</v>
          </cell>
        </row>
        <row r="329">
          <cell r="K329">
            <v>187950</v>
          </cell>
        </row>
        <row r="329">
          <cell r="M329">
            <v>187950</v>
          </cell>
        </row>
        <row r="329">
          <cell r="P329">
            <v>187950</v>
          </cell>
        </row>
        <row r="330">
          <cell r="D330" t="str">
            <v>SB22577</v>
          </cell>
          <cell r="E330">
            <v>2450000</v>
          </cell>
        </row>
        <row r="330">
          <cell r="G330">
            <v>832754</v>
          </cell>
        </row>
        <row r="330">
          <cell r="I330">
            <v>832754</v>
          </cell>
          <cell r="J330">
            <v>63687.5</v>
          </cell>
          <cell r="K330">
            <v>63687.5</v>
          </cell>
        </row>
        <row r="330">
          <cell r="M330">
            <v>569066.5</v>
          </cell>
        </row>
        <row r="330">
          <cell r="O330">
            <v>632754</v>
          </cell>
          <cell r="P330">
            <v>632754</v>
          </cell>
          <cell r="Q330">
            <v>2386312.5</v>
          </cell>
        </row>
        <row r="330">
          <cell r="S330">
            <v>200000</v>
          </cell>
        </row>
        <row r="331">
          <cell r="D331" t="str">
            <v>SB22646</v>
          </cell>
          <cell r="E331">
            <v>861169</v>
          </cell>
        </row>
        <row r="331">
          <cell r="G331">
            <v>862426</v>
          </cell>
        </row>
        <row r="331">
          <cell r="I331">
            <v>862426</v>
          </cell>
          <cell r="J331">
            <v>228825</v>
          </cell>
          <cell r="K331">
            <v>45000</v>
          </cell>
        </row>
        <row r="331">
          <cell r="M331">
            <v>555000</v>
          </cell>
        </row>
        <row r="331">
          <cell r="O331">
            <v>600000</v>
          </cell>
          <cell r="P331">
            <v>783825</v>
          </cell>
          <cell r="Q331">
            <v>632344</v>
          </cell>
        </row>
        <row r="331">
          <cell r="S331">
            <v>262426</v>
          </cell>
        </row>
        <row r="332">
          <cell r="D332" t="str">
            <v/>
          </cell>
          <cell r="E332">
            <v>1662370</v>
          </cell>
        </row>
        <row r="332">
          <cell r="G332">
            <v>1610670</v>
          </cell>
        </row>
        <row r="332">
          <cell r="I332">
            <v>1610670</v>
          </cell>
          <cell r="J332">
            <v>5188</v>
          </cell>
          <cell r="K332">
            <v>5188</v>
          </cell>
        </row>
        <row r="332">
          <cell r="M332">
            <v>994812</v>
          </cell>
        </row>
        <row r="332">
          <cell r="O332">
            <v>1000000</v>
          </cell>
          <cell r="P332">
            <v>1000000</v>
          </cell>
          <cell r="Q332">
            <v>1657182</v>
          </cell>
        </row>
        <row r="332">
          <cell r="S332">
            <v>610670</v>
          </cell>
        </row>
        <row r="333">
          <cell r="D333" t="str">
            <v>SB22598</v>
          </cell>
          <cell r="E333">
            <v>1662370</v>
          </cell>
        </row>
        <row r="333">
          <cell r="G333">
            <v>1610670</v>
          </cell>
        </row>
        <row r="333">
          <cell r="I333">
            <v>1610670</v>
          </cell>
          <cell r="J333">
            <v>5188</v>
          </cell>
          <cell r="K333">
            <v>5188</v>
          </cell>
        </row>
        <row r="333">
          <cell r="M333">
            <v>994812</v>
          </cell>
        </row>
        <row r="333">
          <cell r="O333">
            <v>1000000</v>
          </cell>
          <cell r="P333">
            <v>1000000</v>
          </cell>
          <cell r="Q333">
            <v>1657182</v>
          </cell>
        </row>
        <row r="333">
          <cell r="S333">
            <v>610670</v>
          </cell>
        </row>
        <row r="334">
          <cell r="D334" t="str">
            <v/>
          </cell>
          <cell r="E334">
            <v>3031200</v>
          </cell>
          <cell r="F334">
            <v>7892880</v>
          </cell>
          <cell r="G334">
            <v>7894260</v>
          </cell>
        </row>
        <row r="334">
          <cell r="I334">
            <v>1380</v>
          </cell>
          <cell r="J334">
            <v>2168447.76</v>
          </cell>
          <cell r="K334">
            <v>4785048.76</v>
          </cell>
        </row>
        <row r="334">
          <cell r="M334">
            <v>4735048.76</v>
          </cell>
          <cell r="N334">
            <v>50000</v>
          </cell>
        </row>
        <row r="334">
          <cell r="P334">
            <v>2616601</v>
          </cell>
          <cell r="Q334">
            <v>862752.24</v>
          </cell>
        </row>
        <row r="334">
          <cell r="S334">
            <v>1380</v>
          </cell>
        </row>
        <row r="335">
          <cell r="D335" t="str">
            <v>SB22500</v>
          </cell>
        </row>
        <row r="335">
          <cell r="F335">
            <v>7892880</v>
          </cell>
          <cell r="G335">
            <v>7894260</v>
          </cell>
        </row>
        <row r="335">
          <cell r="I335">
            <v>1380</v>
          </cell>
          <cell r="J335">
            <v>1002047.76</v>
          </cell>
          <cell r="K335">
            <v>4785048.76</v>
          </cell>
        </row>
        <row r="335">
          <cell r="M335">
            <v>4735048.76</v>
          </cell>
          <cell r="N335">
            <v>50000</v>
          </cell>
        </row>
        <row r="335">
          <cell r="P335">
            <v>3783001</v>
          </cell>
          <cell r="Q335">
            <v>1002047.76</v>
          </cell>
        </row>
        <row r="335">
          <cell r="S335">
            <v>1380</v>
          </cell>
        </row>
        <row r="336">
          <cell r="D336" t="str">
            <v>SB22662</v>
          </cell>
          <cell r="E336">
            <v>3031200</v>
          </cell>
        </row>
        <row r="336">
          <cell r="J336">
            <v>1166400</v>
          </cell>
        </row>
        <row r="336">
          <cell r="P336">
            <v>1166400</v>
          </cell>
          <cell r="Q336">
            <v>1864800</v>
          </cell>
        </row>
        <row r="337">
          <cell r="D337" t="str">
            <v/>
          </cell>
          <cell r="E337">
            <v>16052150</v>
          </cell>
          <cell r="F337">
            <v>16052150</v>
          </cell>
          <cell r="G337">
            <v>11025023</v>
          </cell>
        </row>
        <row r="337">
          <cell r="I337">
            <v>5027127</v>
          </cell>
        </row>
        <row r="337">
          <cell r="M337">
            <v>6873500</v>
          </cell>
        </row>
        <row r="337">
          <cell r="O337">
            <v>6873500</v>
          </cell>
          <cell r="P337">
            <v>6873500</v>
          </cell>
          <cell r="Q337">
            <v>16052150</v>
          </cell>
        </row>
        <row r="337">
          <cell r="S337">
            <v>1846373</v>
          </cell>
        </row>
        <row r="338">
          <cell r="D338" t="str">
            <v>SB22159</v>
          </cell>
          <cell r="E338">
            <v>9178650</v>
          </cell>
          <cell r="F338">
            <v>9178650</v>
          </cell>
          <cell r="G338">
            <v>11025023</v>
          </cell>
        </row>
        <row r="338">
          <cell r="I338">
            <v>1846373</v>
          </cell>
        </row>
        <row r="338">
          <cell r="Q338">
            <v>9178650</v>
          </cell>
        </row>
        <row r="338">
          <cell r="S338">
            <v>1846373</v>
          </cell>
        </row>
        <row r="339">
          <cell r="D339" t="str">
            <v>SB22613</v>
          </cell>
          <cell r="E339">
            <v>6873500</v>
          </cell>
          <cell r="F339">
            <v>6873500</v>
          </cell>
        </row>
        <row r="339">
          <cell r="I339">
            <v>6873500</v>
          </cell>
        </row>
        <row r="339">
          <cell r="M339">
            <v>6873500</v>
          </cell>
        </row>
        <row r="339">
          <cell r="O339">
            <v>6873500</v>
          </cell>
          <cell r="P339">
            <v>6873500</v>
          </cell>
          <cell r="Q339">
            <v>6873500</v>
          </cell>
        </row>
        <row r="340">
          <cell r="D340" t="str">
            <v/>
          </cell>
          <cell r="E340">
            <v>5599600</v>
          </cell>
          <cell r="F340">
            <v>21613750</v>
          </cell>
          <cell r="G340">
            <v>7100360</v>
          </cell>
        </row>
        <row r="340">
          <cell r="I340">
            <v>14513390</v>
          </cell>
          <cell r="J340">
            <v>5386572.34</v>
          </cell>
          <cell r="K340">
            <v>5859349.34</v>
          </cell>
        </row>
        <row r="340">
          <cell r="M340">
            <v>6540650.66</v>
          </cell>
        </row>
        <row r="340">
          <cell r="O340">
            <v>12400000</v>
          </cell>
          <cell r="P340">
            <v>11927223</v>
          </cell>
          <cell r="Q340">
            <v>213027.66</v>
          </cell>
        </row>
        <row r="340">
          <cell r="S340">
            <v>2113390</v>
          </cell>
        </row>
        <row r="341">
          <cell r="D341" t="str">
            <v>SB22455</v>
          </cell>
        </row>
        <row r="341">
          <cell r="F341">
            <v>14000000</v>
          </cell>
          <cell r="G341">
            <v>14000000</v>
          </cell>
        </row>
        <row r="341">
          <cell r="J341">
            <v>550000</v>
          </cell>
          <cell r="K341">
            <v>3294032</v>
          </cell>
        </row>
        <row r="341">
          <cell r="M341">
            <v>3294032</v>
          </cell>
        </row>
        <row r="341">
          <cell r="P341">
            <v>2744032</v>
          </cell>
          <cell r="Q341">
            <v>550000</v>
          </cell>
        </row>
        <row r="342">
          <cell r="D342" t="str">
            <v>SB22569</v>
          </cell>
          <cell r="E342">
            <v>5599600</v>
          </cell>
          <cell r="F342">
            <v>7613750</v>
          </cell>
          <cell r="G342">
            <v>6899640</v>
          </cell>
        </row>
        <row r="342">
          <cell r="I342">
            <v>14513390</v>
          </cell>
          <cell r="J342">
            <v>4836572.34</v>
          </cell>
          <cell r="K342">
            <v>2565317.34</v>
          </cell>
        </row>
        <row r="342">
          <cell r="M342">
            <v>9834682.66</v>
          </cell>
        </row>
        <row r="342">
          <cell r="O342">
            <v>12400000</v>
          </cell>
          <cell r="P342">
            <v>14671255</v>
          </cell>
          <cell r="Q342">
            <v>763027.66</v>
          </cell>
        </row>
        <row r="342">
          <cell r="S342">
            <v>2113390</v>
          </cell>
        </row>
        <row r="343">
          <cell r="D343" t="str">
            <v/>
          </cell>
          <cell r="E343">
            <v>134164</v>
          </cell>
          <cell r="F343">
            <v>134164</v>
          </cell>
        </row>
        <row r="343">
          <cell r="I343">
            <v>134164</v>
          </cell>
        </row>
        <row r="343">
          <cell r="Q343">
            <v>134164</v>
          </cell>
        </row>
        <row r="343">
          <cell r="S343">
            <v>134164</v>
          </cell>
        </row>
        <row r="344">
          <cell r="D344" t="str">
            <v/>
          </cell>
          <cell r="E344">
            <v>134164</v>
          </cell>
          <cell r="F344">
            <v>134164</v>
          </cell>
        </row>
        <row r="344">
          <cell r="I344">
            <v>134164</v>
          </cell>
        </row>
        <row r="344">
          <cell r="Q344">
            <v>134164</v>
          </cell>
        </row>
        <row r="344">
          <cell r="S344">
            <v>134164</v>
          </cell>
        </row>
        <row r="345">
          <cell r="D345" t="str">
            <v>SB21466</v>
          </cell>
          <cell r="E345">
            <v>134164</v>
          </cell>
          <cell r="F345">
            <v>134164</v>
          </cell>
        </row>
        <row r="345">
          <cell r="I345">
            <v>134164</v>
          </cell>
        </row>
        <row r="345">
          <cell r="Q345">
            <v>134164</v>
          </cell>
        </row>
        <row r="345">
          <cell r="S345">
            <v>134164</v>
          </cell>
        </row>
        <row r="346">
          <cell r="D346" t="str">
            <v/>
          </cell>
          <cell r="E346" t="str">
            <v>31,26,36,241.07</v>
          </cell>
          <cell r="F346" t="str">
            <v>22,51,27,337.85</v>
          </cell>
          <cell r="G346" t="str">
            <v>(-)55,30,092.08</v>
          </cell>
          <cell r="H346" t="str">
            <v>34,55,767.76</v>
          </cell>
          <cell r="I346" t="str">
            <v>21,61,41,478.01</v>
          </cell>
          <cell r="J346" t="str">
            <v>16,93,88,477.79</v>
          </cell>
          <cell r="K346" t="str">
            <v>15,08,51,276.30</v>
          </cell>
          <cell r="L346" t="str">
            <v/>
          </cell>
          <cell r="M346" t="str">
            <v>2,47,69,230.65</v>
          </cell>
          <cell r="N346" t="str">
            <v>51,23,186.00</v>
          </cell>
          <cell r="O346" t="str">
            <v>17,04,97,320.95</v>
          </cell>
          <cell r="P346" t="str">
            <v>18,90,34,522.44</v>
          </cell>
          <cell r="Q346" t="str">
            <v>14,32,47,763.28</v>
          </cell>
          <cell r="R346" t="str">
            <v/>
          </cell>
          <cell r="S346" t="str">
            <v>4,56,44,157.06</v>
          </cell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AVASMGMReportKBCUpdatedResult"/>
    </sheetNames>
    <sheetDataSet>
      <sheetData sheetId="0">
        <row r="1">
          <cell r="G1" t="str">
            <v>SO Value</v>
          </cell>
          <cell r="H1" t="str">
            <v>SB Value</v>
          </cell>
          <cell r="I1" t="str">
            <v>JVValue(S)</v>
          </cell>
          <cell r="J1" t="str">
            <v>Credit Note</v>
          </cell>
          <cell r="K1" t="str">
            <v>Net Sales</v>
          </cell>
          <cell r="L1" t="str">
            <v>PO Value</v>
          </cell>
          <cell r="M1" t="str">
            <v>PB Value</v>
          </cell>
          <cell r="N1" t="str">
            <v>JVValue(P)</v>
          </cell>
          <cell r="O1" t="str">
            <v>Debit Note</v>
          </cell>
          <cell r="P1" t="str">
            <v>Net Expenses</v>
          </cell>
          <cell r="Q1" t="str">
            <v>Gross Expenses</v>
          </cell>
          <cell r="R1" t="str">
            <v>Planned Margin</v>
          </cell>
        </row>
        <row r="2">
          <cell r="F2" t="str">
            <v>SB22621</v>
          </cell>
          <cell r="G2">
            <v>198375</v>
          </cell>
          <cell r="H2">
            <v>198375</v>
          </cell>
          <cell r="I2">
            <v>0</v>
          </cell>
          <cell r="J2">
            <v>0</v>
          </cell>
          <cell r="K2">
            <v>198375</v>
          </cell>
          <cell r="L2">
            <v>141550</v>
          </cell>
          <cell r="M2">
            <v>141550</v>
          </cell>
          <cell r="N2">
            <v>13450</v>
          </cell>
          <cell r="O2">
            <v>0</v>
          </cell>
          <cell r="P2">
            <v>155000</v>
          </cell>
          <cell r="Q2">
            <v>155000</v>
          </cell>
          <cell r="R2">
            <v>56825</v>
          </cell>
        </row>
        <row r="3">
          <cell r="F3" t="str">
            <v>SB22611</v>
          </cell>
          <cell r="G3">
            <v>381205</v>
          </cell>
          <cell r="H3">
            <v>381205</v>
          </cell>
          <cell r="I3">
            <v>0</v>
          </cell>
          <cell r="J3">
            <v>0</v>
          </cell>
          <cell r="K3">
            <v>381205</v>
          </cell>
          <cell r="L3">
            <v>218856</v>
          </cell>
          <cell r="M3">
            <v>205945</v>
          </cell>
          <cell r="N3">
            <v>16000</v>
          </cell>
          <cell r="O3">
            <v>0</v>
          </cell>
          <cell r="P3">
            <v>221945</v>
          </cell>
          <cell r="Q3">
            <v>234856</v>
          </cell>
          <cell r="R3">
            <v>162349</v>
          </cell>
        </row>
        <row r="4">
          <cell r="F4" t="str">
            <v>SB22647</v>
          </cell>
          <cell r="G4">
            <v>0</v>
          </cell>
          <cell r="H4">
            <v>0</v>
          </cell>
          <cell r="I4">
            <v>97440</v>
          </cell>
          <cell r="J4">
            <v>0</v>
          </cell>
          <cell r="K4">
            <v>97440</v>
          </cell>
          <cell r="L4">
            <v>0</v>
          </cell>
          <cell r="M4">
            <v>0</v>
          </cell>
          <cell r="N4">
            <v>65000</v>
          </cell>
          <cell r="O4">
            <v>0</v>
          </cell>
          <cell r="P4">
            <v>65000</v>
          </cell>
          <cell r="Q4">
            <v>65000</v>
          </cell>
          <cell r="R4">
            <v>0</v>
          </cell>
        </row>
        <row r="5">
          <cell r="F5" t="str">
            <v>SB21992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8869</v>
          </cell>
          <cell r="N5">
            <v>-19848.91</v>
          </cell>
          <cell r="O5">
            <v>0</v>
          </cell>
          <cell r="P5">
            <v>-10979.91</v>
          </cell>
          <cell r="Q5">
            <v>-19848.91</v>
          </cell>
          <cell r="R5">
            <v>0</v>
          </cell>
        </row>
        <row r="6">
          <cell r="F6" t="str">
            <v>SB22666</v>
          </cell>
          <cell r="G6">
            <v>1947000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603426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603426</v>
          </cell>
          <cell r="R6">
            <v>1343574</v>
          </cell>
        </row>
        <row r="7">
          <cell r="F7" t="str">
            <v>SB22664</v>
          </cell>
          <cell r="G7">
            <v>4000000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4000000</v>
          </cell>
        </row>
        <row r="8">
          <cell r="F8" t="str">
            <v>SB22662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1166400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1166400</v>
          </cell>
          <cell r="R8">
            <v>-1166400</v>
          </cell>
        </row>
        <row r="9">
          <cell r="F9" t="str">
            <v>SB22659</v>
          </cell>
          <cell r="G9">
            <v>178178</v>
          </cell>
          <cell r="H9">
            <v>0</v>
          </cell>
          <cell r="I9">
            <v>178178</v>
          </cell>
          <cell r="J9">
            <v>0</v>
          </cell>
          <cell r="K9">
            <v>178178</v>
          </cell>
          <cell r="L9">
            <v>0</v>
          </cell>
          <cell r="M9">
            <v>0</v>
          </cell>
          <cell r="N9">
            <v>140000</v>
          </cell>
          <cell r="O9">
            <v>0</v>
          </cell>
          <cell r="P9">
            <v>140000</v>
          </cell>
          <cell r="Q9">
            <v>140000</v>
          </cell>
          <cell r="R9">
            <v>178178</v>
          </cell>
        </row>
        <row r="10">
          <cell r="F10" t="str">
            <v>SB22658</v>
          </cell>
          <cell r="G10">
            <v>453325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453325</v>
          </cell>
        </row>
        <row r="11">
          <cell r="F11" t="str">
            <v>SB22657</v>
          </cell>
          <cell r="G11">
            <v>8200005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8200005</v>
          </cell>
        </row>
        <row r="12">
          <cell r="F12" t="str">
            <v>SB22656</v>
          </cell>
          <cell r="G12">
            <v>717723</v>
          </cell>
          <cell r="H12">
            <v>0</v>
          </cell>
          <cell r="I12">
            <v>725537</v>
          </cell>
          <cell r="J12">
            <v>0</v>
          </cell>
          <cell r="K12">
            <v>725537</v>
          </cell>
          <cell r="L12">
            <v>249250</v>
          </cell>
          <cell r="M12">
            <v>0</v>
          </cell>
          <cell r="N12">
            <v>575537</v>
          </cell>
          <cell r="O12">
            <v>0</v>
          </cell>
          <cell r="P12">
            <v>575537</v>
          </cell>
          <cell r="Q12">
            <v>824787</v>
          </cell>
          <cell r="R12">
            <v>468473</v>
          </cell>
        </row>
        <row r="13">
          <cell r="F13" t="str">
            <v>SB22655</v>
          </cell>
          <cell r="G13">
            <v>822946.97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822946.97</v>
          </cell>
        </row>
        <row r="14">
          <cell r="F14" t="str">
            <v>SB22654</v>
          </cell>
          <cell r="G14">
            <v>0</v>
          </cell>
          <cell r="H14">
            <v>0</v>
          </cell>
          <cell r="I14">
            <v>209293</v>
          </cell>
          <cell r="J14">
            <v>0</v>
          </cell>
          <cell r="K14">
            <v>209293</v>
          </cell>
          <cell r="L14">
            <v>0</v>
          </cell>
          <cell r="M14">
            <v>0</v>
          </cell>
          <cell r="N14">
            <v>150000</v>
          </cell>
          <cell r="O14">
            <v>0</v>
          </cell>
          <cell r="P14">
            <v>150000</v>
          </cell>
          <cell r="Q14">
            <v>150000</v>
          </cell>
          <cell r="R14">
            <v>0</v>
          </cell>
        </row>
        <row r="15">
          <cell r="F15" t="str">
            <v>SB22652</v>
          </cell>
          <cell r="G15">
            <v>0</v>
          </cell>
          <cell r="H15">
            <v>0</v>
          </cell>
          <cell r="I15">
            <v>10010</v>
          </cell>
          <cell r="J15">
            <v>0</v>
          </cell>
          <cell r="K15">
            <v>10010</v>
          </cell>
          <cell r="L15">
            <v>0</v>
          </cell>
          <cell r="M15">
            <v>0</v>
          </cell>
          <cell r="N15">
            <v>7500</v>
          </cell>
          <cell r="O15">
            <v>0</v>
          </cell>
          <cell r="P15">
            <v>7500</v>
          </cell>
          <cell r="Q15">
            <v>7500</v>
          </cell>
          <cell r="R15">
            <v>0</v>
          </cell>
        </row>
        <row r="16">
          <cell r="F16" t="str">
            <v>SB22650</v>
          </cell>
          <cell r="G16">
            <v>1478362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1478362</v>
          </cell>
        </row>
        <row r="17">
          <cell r="F17" t="str">
            <v>SB22651</v>
          </cell>
          <cell r="G17">
            <v>437059.04</v>
          </cell>
          <cell r="H17">
            <v>0</v>
          </cell>
          <cell r="I17">
            <v>437059</v>
          </cell>
          <cell r="J17">
            <v>0</v>
          </cell>
          <cell r="K17">
            <v>437059</v>
          </cell>
          <cell r="L17">
            <v>0</v>
          </cell>
          <cell r="M17">
            <v>0</v>
          </cell>
          <cell r="N17">
            <v>310000</v>
          </cell>
          <cell r="O17">
            <v>0</v>
          </cell>
          <cell r="P17">
            <v>310000</v>
          </cell>
          <cell r="Q17">
            <v>310000</v>
          </cell>
          <cell r="R17">
            <v>437059.04</v>
          </cell>
        </row>
        <row r="18">
          <cell r="F18" t="str">
            <v>SB22649</v>
          </cell>
          <cell r="G18">
            <v>100100</v>
          </cell>
          <cell r="H18">
            <v>0</v>
          </cell>
          <cell r="I18">
            <v>100100</v>
          </cell>
          <cell r="J18">
            <v>0</v>
          </cell>
          <cell r="K18">
            <v>100100</v>
          </cell>
          <cell r="L18">
            <v>85000</v>
          </cell>
          <cell r="M18">
            <v>0</v>
          </cell>
          <cell r="N18">
            <v>85000</v>
          </cell>
          <cell r="O18">
            <v>0</v>
          </cell>
          <cell r="P18">
            <v>85000</v>
          </cell>
          <cell r="Q18">
            <v>170000</v>
          </cell>
          <cell r="R18">
            <v>15100</v>
          </cell>
        </row>
        <row r="19">
          <cell r="F19" t="str">
            <v>SB22646</v>
          </cell>
          <cell r="G19">
            <v>861169</v>
          </cell>
          <cell r="H19">
            <v>0</v>
          </cell>
          <cell r="I19">
            <v>862426</v>
          </cell>
          <cell r="J19">
            <v>0</v>
          </cell>
          <cell r="K19">
            <v>862426</v>
          </cell>
          <cell r="L19">
            <v>228825</v>
          </cell>
          <cell r="M19">
            <v>0</v>
          </cell>
          <cell r="N19">
            <v>555000</v>
          </cell>
          <cell r="O19">
            <v>0</v>
          </cell>
          <cell r="P19">
            <v>555000</v>
          </cell>
          <cell r="Q19">
            <v>783825</v>
          </cell>
          <cell r="R19">
            <v>632344</v>
          </cell>
        </row>
        <row r="20">
          <cell r="F20" t="str">
            <v>SB22645</v>
          </cell>
          <cell r="G20">
            <v>2816205</v>
          </cell>
          <cell r="H20">
            <v>2816205</v>
          </cell>
          <cell r="I20">
            <v>1483795</v>
          </cell>
          <cell r="J20">
            <v>0</v>
          </cell>
          <cell r="K20">
            <v>4300000</v>
          </cell>
          <cell r="L20">
            <v>1570920</v>
          </cell>
          <cell r="M20">
            <v>7985</v>
          </cell>
          <cell r="N20">
            <v>2642015</v>
          </cell>
          <cell r="O20">
            <v>0</v>
          </cell>
          <cell r="P20">
            <v>2650000</v>
          </cell>
          <cell r="Q20">
            <v>4212935</v>
          </cell>
          <cell r="R20">
            <v>1245285</v>
          </cell>
        </row>
        <row r="21">
          <cell r="F21" t="str">
            <v>SB22643</v>
          </cell>
          <cell r="G21">
            <v>0</v>
          </cell>
          <cell r="H21">
            <v>0</v>
          </cell>
          <cell r="I21">
            <v>1784284</v>
          </cell>
          <cell r="J21">
            <v>0</v>
          </cell>
          <cell r="K21">
            <v>1784284</v>
          </cell>
          <cell r="L21">
            <v>0</v>
          </cell>
          <cell r="M21">
            <v>0</v>
          </cell>
          <cell r="N21">
            <v>1418704</v>
          </cell>
          <cell r="O21">
            <v>0</v>
          </cell>
          <cell r="P21">
            <v>1418704</v>
          </cell>
          <cell r="Q21">
            <v>1418704</v>
          </cell>
          <cell r="R21">
            <v>0</v>
          </cell>
        </row>
        <row r="22">
          <cell r="F22" t="str">
            <v>SB22640</v>
          </cell>
          <cell r="G22">
            <v>10901297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1133800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1133800</v>
          </cell>
          <cell r="R22">
            <v>9767497</v>
          </cell>
        </row>
        <row r="23">
          <cell r="F23" t="str">
            <v>SB22639</v>
          </cell>
          <cell r="G23">
            <v>0</v>
          </cell>
          <cell r="H23">
            <v>0</v>
          </cell>
          <cell r="I23">
            <v>440000</v>
          </cell>
          <cell r="J23">
            <v>0</v>
          </cell>
          <cell r="K23">
            <v>440000</v>
          </cell>
          <cell r="L23">
            <v>400000</v>
          </cell>
          <cell r="M23">
            <v>400000</v>
          </cell>
          <cell r="N23">
            <v>0</v>
          </cell>
          <cell r="O23">
            <v>0</v>
          </cell>
          <cell r="P23">
            <v>400000</v>
          </cell>
          <cell r="Q23">
            <v>400000</v>
          </cell>
          <cell r="R23">
            <v>-400000</v>
          </cell>
        </row>
        <row r="24">
          <cell r="F24" t="str">
            <v>SB22641</v>
          </cell>
          <cell r="G24">
            <v>0</v>
          </cell>
          <cell r="H24">
            <v>0</v>
          </cell>
          <cell r="I24">
            <v>115000</v>
          </cell>
          <cell r="J24">
            <v>0</v>
          </cell>
          <cell r="K24">
            <v>115000</v>
          </cell>
          <cell r="L24">
            <v>0</v>
          </cell>
          <cell r="M24">
            <v>0</v>
          </cell>
          <cell r="N24">
            <v>89700</v>
          </cell>
          <cell r="O24">
            <v>0</v>
          </cell>
          <cell r="P24">
            <v>89700</v>
          </cell>
          <cell r="Q24">
            <v>89700</v>
          </cell>
          <cell r="R24">
            <v>0</v>
          </cell>
        </row>
        <row r="25">
          <cell r="F25" t="str">
            <v>SB22642</v>
          </cell>
          <cell r="G25">
            <v>80014</v>
          </cell>
          <cell r="H25">
            <v>0</v>
          </cell>
          <cell r="I25">
            <v>80014</v>
          </cell>
          <cell r="J25">
            <v>0</v>
          </cell>
          <cell r="K25">
            <v>80014</v>
          </cell>
          <cell r="L25">
            <v>0</v>
          </cell>
          <cell r="M25">
            <v>0</v>
          </cell>
          <cell r="N25">
            <v>55014</v>
          </cell>
          <cell r="O25">
            <v>0</v>
          </cell>
          <cell r="P25">
            <v>55014</v>
          </cell>
          <cell r="Q25">
            <v>55014</v>
          </cell>
          <cell r="R25">
            <v>80014</v>
          </cell>
        </row>
        <row r="26">
          <cell r="F26" t="str">
            <v>SB22638</v>
          </cell>
          <cell r="G26">
            <v>0</v>
          </cell>
          <cell r="H26">
            <v>0</v>
          </cell>
          <cell r="I26">
            <v>46575</v>
          </cell>
          <cell r="J26">
            <v>0</v>
          </cell>
          <cell r="K26">
            <v>46575</v>
          </cell>
          <cell r="L26">
            <v>0</v>
          </cell>
          <cell r="M26">
            <v>0</v>
          </cell>
          <cell r="N26">
            <v>36329</v>
          </cell>
          <cell r="O26">
            <v>0</v>
          </cell>
          <cell r="P26">
            <v>36329</v>
          </cell>
          <cell r="Q26">
            <v>36329</v>
          </cell>
          <cell r="R26">
            <v>0</v>
          </cell>
        </row>
        <row r="27">
          <cell r="F27" t="str">
            <v>SB22636</v>
          </cell>
          <cell r="G27">
            <v>0</v>
          </cell>
          <cell r="H27">
            <v>0</v>
          </cell>
          <cell r="I27">
            <v>535700</v>
          </cell>
          <cell r="J27">
            <v>0</v>
          </cell>
          <cell r="K27">
            <v>535700</v>
          </cell>
          <cell r="L27">
            <v>0</v>
          </cell>
          <cell r="M27">
            <v>0</v>
          </cell>
          <cell r="N27">
            <v>425700</v>
          </cell>
          <cell r="O27">
            <v>0</v>
          </cell>
          <cell r="P27">
            <v>425700</v>
          </cell>
          <cell r="Q27">
            <v>425700</v>
          </cell>
          <cell r="R27">
            <v>0</v>
          </cell>
        </row>
        <row r="28">
          <cell r="F28" t="str">
            <v>SB22637</v>
          </cell>
          <cell r="G28">
            <v>359765</v>
          </cell>
          <cell r="H28">
            <v>0</v>
          </cell>
          <cell r="I28">
            <v>349765</v>
          </cell>
          <cell r="J28">
            <v>0</v>
          </cell>
          <cell r="K28">
            <v>349765</v>
          </cell>
          <cell r="L28">
            <v>265000</v>
          </cell>
          <cell r="M28">
            <v>81190</v>
          </cell>
          <cell r="N28">
            <v>191630</v>
          </cell>
          <cell r="O28">
            <v>0</v>
          </cell>
          <cell r="P28">
            <v>272820</v>
          </cell>
          <cell r="Q28">
            <v>456630</v>
          </cell>
          <cell r="R28">
            <v>94765</v>
          </cell>
        </row>
        <row r="29">
          <cell r="F29" t="str">
            <v>SB22633</v>
          </cell>
          <cell r="G29">
            <v>25300</v>
          </cell>
          <cell r="H29">
            <v>25300</v>
          </cell>
          <cell r="I29">
            <v>0</v>
          </cell>
          <cell r="J29">
            <v>0</v>
          </cell>
          <cell r="K29">
            <v>25300</v>
          </cell>
          <cell r="L29">
            <v>18000</v>
          </cell>
          <cell r="M29">
            <v>18000</v>
          </cell>
          <cell r="N29">
            <v>1734</v>
          </cell>
          <cell r="O29">
            <v>0</v>
          </cell>
          <cell r="P29">
            <v>19734</v>
          </cell>
          <cell r="Q29">
            <v>19734</v>
          </cell>
          <cell r="R29">
            <v>7300</v>
          </cell>
        </row>
        <row r="30">
          <cell r="F30" t="str">
            <v>SB22634</v>
          </cell>
          <cell r="G30">
            <v>870929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870929</v>
          </cell>
        </row>
        <row r="31">
          <cell r="F31" t="str">
            <v>SB22635</v>
          </cell>
          <cell r="G31">
            <v>0</v>
          </cell>
          <cell r="H31">
            <v>0</v>
          </cell>
          <cell r="I31">
            <v>179520</v>
          </cell>
          <cell r="J31">
            <v>0</v>
          </cell>
          <cell r="K31">
            <v>179520</v>
          </cell>
          <cell r="L31">
            <v>0</v>
          </cell>
          <cell r="M31">
            <v>0</v>
          </cell>
          <cell r="N31">
            <v>120000</v>
          </cell>
          <cell r="O31">
            <v>0</v>
          </cell>
          <cell r="P31">
            <v>120000</v>
          </cell>
          <cell r="Q31">
            <v>120000</v>
          </cell>
          <cell r="R31">
            <v>0</v>
          </cell>
        </row>
        <row r="32">
          <cell r="F32" t="str">
            <v>SB22632</v>
          </cell>
          <cell r="G32">
            <v>1106160</v>
          </cell>
          <cell r="H32">
            <v>553080</v>
          </cell>
          <cell r="I32">
            <v>0</v>
          </cell>
          <cell r="J32">
            <v>0</v>
          </cell>
          <cell r="K32">
            <v>553080</v>
          </cell>
          <cell r="L32">
            <v>124750</v>
          </cell>
          <cell r="M32">
            <v>125979</v>
          </cell>
          <cell r="N32">
            <v>305423</v>
          </cell>
          <cell r="O32">
            <v>0</v>
          </cell>
          <cell r="P32">
            <v>431402</v>
          </cell>
          <cell r="Q32">
            <v>430173</v>
          </cell>
          <cell r="R32">
            <v>981410</v>
          </cell>
        </row>
        <row r="33">
          <cell r="F33" t="str">
            <v>SB22628</v>
          </cell>
          <cell r="G33">
            <v>822404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822404</v>
          </cell>
        </row>
        <row r="34">
          <cell r="F34" t="str">
            <v>SB22627</v>
          </cell>
          <cell r="G34">
            <v>394253</v>
          </cell>
          <cell r="H34">
            <v>0</v>
          </cell>
          <cell r="I34">
            <v>361880</v>
          </cell>
          <cell r="J34">
            <v>0</v>
          </cell>
          <cell r="K34">
            <v>361880</v>
          </cell>
          <cell r="L34">
            <v>0</v>
          </cell>
          <cell r="M34">
            <v>6379</v>
          </cell>
          <cell r="N34">
            <v>275886</v>
          </cell>
          <cell r="O34">
            <v>0</v>
          </cell>
          <cell r="P34">
            <v>282265</v>
          </cell>
          <cell r="Q34">
            <v>275886</v>
          </cell>
          <cell r="R34">
            <v>394253</v>
          </cell>
        </row>
        <row r="35">
          <cell r="F35" t="str">
            <v>SB22629</v>
          </cell>
          <cell r="G35">
            <v>11232890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4000</v>
          </cell>
          <cell r="M35">
            <v>4000</v>
          </cell>
          <cell r="N35">
            <v>-4000</v>
          </cell>
          <cell r="O35">
            <v>0</v>
          </cell>
          <cell r="P35">
            <v>0</v>
          </cell>
          <cell r="Q35">
            <v>0</v>
          </cell>
          <cell r="R35">
            <v>11228890</v>
          </cell>
        </row>
        <row r="36">
          <cell r="F36" t="str">
            <v>SB22624</v>
          </cell>
          <cell r="G36">
            <v>723561.28</v>
          </cell>
          <cell r="H36">
            <v>0</v>
          </cell>
          <cell r="I36">
            <v>703084</v>
          </cell>
          <cell r="J36">
            <v>0</v>
          </cell>
          <cell r="K36">
            <v>703084</v>
          </cell>
          <cell r="L36">
            <v>443795</v>
          </cell>
          <cell r="M36">
            <v>446136</v>
          </cell>
          <cell r="N36">
            <v>179044</v>
          </cell>
          <cell r="O36">
            <v>0</v>
          </cell>
          <cell r="P36">
            <v>625180</v>
          </cell>
          <cell r="Q36">
            <v>622839</v>
          </cell>
          <cell r="R36">
            <v>279766.28</v>
          </cell>
        </row>
        <row r="37">
          <cell r="F37" t="str">
            <v>SB22625</v>
          </cell>
          <cell r="G37">
            <v>30800</v>
          </cell>
          <cell r="H37">
            <v>0</v>
          </cell>
          <cell r="I37">
            <v>30800</v>
          </cell>
          <cell r="J37">
            <v>0</v>
          </cell>
          <cell r="K37">
            <v>30800</v>
          </cell>
          <cell r="L37">
            <v>0</v>
          </cell>
          <cell r="M37">
            <v>0</v>
          </cell>
          <cell r="N37">
            <v>24000</v>
          </cell>
          <cell r="O37">
            <v>0</v>
          </cell>
          <cell r="P37">
            <v>24000</v>
          </cell>
          <cell r="Q37">
            <v>24000</v>
          </cell>
          <cell r="R37">
            <v>30800</v>
          </cell>
        </row>
        <row r="38">
          <cell r="F38" t="str">
            <v>SB22626</v>
          </cell>
          <cell r="G38">
            <v>1800000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899727.19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899727.19</v>
          </cell>
          <cell r="R38">
            <v>900272.81</v>
          </cell>
        </row>
        <row r="39">
          <cell r="F39" t="str">
            <v>SB22622</v>
          </cell>
          <cell r="G39">
            <v>437265</v>
          </cell>
          <cell r="H39">
            <v>0</v>
          </cell>
          <cell r="I39">
            <v>437265</v>
          </cell>
          <cell r="J39">
            <v>0</v>
          </cell>
          <cell r="K39">
            <v>437265</v>
          </cell>
          <cell r="L39">
            <v>0</v>
          </cell>
          <cell r="M39">
            <v>0</v>
          </cell>
          <cell r="N39">
            <v>337265</v>
          </cell>
          <cell r="O39">
            <v>0</v>
          </cell>
          <cell r="P39">
            <v>337265</v>
          </cell>
          <cell r="Q39">
            <v>337265</v>
          </cell>
          <cell r="R39">
            <v>437265</v>
          </cell>
        </row>
        <row r="40">
          <cell r="F40" t="str">
            <v>SB22623</v>
          </cell>
          <cell r="G40">
            <v>1719960</v>
          </cell>
          <cell r="H40">
            <v>0</v>
          </cell>
          <cell r="I40">
            <v>1719960</v>
          </cell>
          <cell r="J40">
            <v>0</v>
          </cell>
          <cell r="K40">
            <v>1719960</v>
          </cell>
          <cell r="L40">
            <v>410540</v>
          </cell>
          <cell r="M40">
            <v>0</v>
          </cell>
          <cell r="N40">
            <v>1412610</v>
          </cell>
          <cell r="O40">
            <v>0</v>
          </cell>
          <cell r="P40">
            <v>1412610</v>
          </cell>
          <cell r="Q40">
            <v>1823150</v>
          </cell>
          <cell r="R40">
            <v>1309420</v>
          </cell>
        </row>
        <row r="41">
          <cell r="F41" t="str">
            <v>SB22620</v>
          </cell>
          <cell r="G41">
            <v>11532500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7315000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7315000</v>
          </cell>
          <cell r="R41">
            <v>4217500</v>
          </cell>
        </row>
        <row r="42">
          <cell r="F42" t="str">
            <v>SB22617</v>
          </cell>
          <cell r="G42">
            <v>706801.7</v>
          </cell>
          <cell r="H42">
            <v>706801.7</v>
          </cell>
          <cell r="I42">
            <v>0</v>
          </cell>
          <cell r="J42">
            <v>0</v>
          </cell>
          <cell r="K42">
            <v>706801.7</v>
          </cell>
          <cell r="L42">
            <v>560504</v>
          </cell>
          <cell r="M42">
            <v>569191.04</v>
          </cell>
          <cell r="N42">
            <v>0</v>
          </cell>
          <cell r="O42">
            <v>0</v>
          </cell>
          <cell r="P42">
            <v>569191.04</v>
          </cell>
          <cell r="Q42">
            <v>560504</v>
          </cell>
          <cell r="R42">
            <v>146297.7</v>
          </cell>
        </row>
        <row r="43">
          <cell r="F43" t="str">
            <v>SB22618</v>
          </cell>
          <cell r="G43">
            <v>0</v>
          </cell>
          <cell r="H43">
            <v>0</v>
          </cell>
          <cell r="I43">
            <v>3518535</v>
          </cell>
          <cell r="J43">
            <v>0</v>
          </cell>
          <cell r="K43">
            <v>3518535</v>
          </cell>
          <cell r="L43">
            <v>116203.5</v>
          </cell>
          <cell r="M43">
            <v>0</v>
          </cell>
          <cell r="N43">
            <v>2810770</v>
          </cell>
          <cell r="O43">
            <v>0</v>
          </cell>
          <cell r="P43">
            <v>2810770</v>
          </cell>
          <cell r="Q43">
            <v>2926973.5</v>
          </cell>
          <cell r="R43">
            <v>-116203.5</v>
          </cell>
        </row>
        <row r="44">
          <cell r="F44" t="str">
            <v>SB22619</v>
          </cell>
          <cell r="G44">
            <v>1077740.44</v>
          </cell>
          <cell r="H44">
            <v>0</v>
          </cell>
          <cell r="I44">
            <v>1077740.44</v>
          </cell>
          <cell r="J44">
            <v>0</v>
          </cell>
          <cell r="K44">
            <v>1077740.44</v>
          </cell>
          <cell r="L44">
            <v>860280</v>
          </cell>
          <cell r="M44">
            <v>57381</v>
          </cell>
          <cell r="N44">
            <v>852619</v>
          </cell>
          <cell r="O44">
            <v>0</v>
          </cell>
          <cell r="P44">
            <v>910000</v>
          </cell>
          <cell r="Q44">
            <v>1712899</v>
          </cell>
          <cell r="R44">
            <v>217460.44</v>
          </cell>
        </row>
        <row r="45">
          <cell r="F45" t="str">
            <v>SB22614</v>
          </cell>
          <cell r="G45">
            <v>4884790.86</v>
          </cell>
          <cell r="H45">
            <v>0</v>
          </cell>
          <cell r="I45">
            <v>4949340</v>
          </cell>
          <cell r="J45">
            <v>0</v>
          </cell>
          <cell r="K45">
            <v>4949340</v>
          </cell>
          <cell r="L45">
            <v>2135500</v>
          </cell>
          <cell r="M45">
            <v>1650000</v>
          </cell>
          <cell r="N45">
            <v>2299340</v>
          </cell>
          <cell r="O45">
            <v>0</v>
          </cell>
          <cell r="P45">
            <v>3949340</v>
          </cell>
          <cell r="Q45">
            <v>4434840</v>
          </cell>
          <cell r="R45">
            <v>2749290.86</v>
          </cell>
        </row>
        <row r="46">
          <cell r="F46" t="str">
            <v>SB22616</v>
          </cell>
          <cell r="G46">
            <v>617954</v>
          </cell>
          <cell r="H46">
            <v>0</v>
          </cell>
          <cell r="I46">
            <v>617954</v>
          </cell>
          <cell r="J46">
            <v>0</v>
          </cell>
          <cell r="K46">
            <v>617954</v>
          </cell>
          <cell r="L46">
            <v>0</v>
          </cell>
          <cell r="M46">
            <v>5758</v>
          </cell>
          <cell r="N46">
            <v>479242</v>
          </cell>
          <cell r="O46">
            <v>0</v>
          </cell>
          <cell r="P46">
            <v>485000</v>
          </cell>
          <cell r="Q46">
            <v>479242</v>
          </cell>
          <cell r="R46">
            <v>617954</v>
          </cell>
        </row>
        <row r="47">
          <cell r="F47" t="str">
            <v>SB22615</v>
          </cell>
          <cell r="G47">
            <v>24019610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766857.42</v>
          </cell>
          <cell r="M47">
            <v>364772.75</v>
          </cell>
          <cell r="N47">
            <v>-8867050.75</v>
          </cell>
          <cell r="O47">
            <v>0</v>
          </cell>
          <cell r="P47">
            <v>-8502278</v>
          </cell>
          <cell r="Q47">
            <v>-8100193.33</v>
          </cell>
          <cell r="R47">
            <v>23252752.58</v>
          </cell>
        </row>
        <row r="48">
          <cell r="F48" t="str">
            <v>SB22613</v>
          </cell>
          <cell r="G48">
            <v>6873500</v>
          </cell>
          <cell r="H48">
            <v>6873500</v>
          </cell>
          <cell r="I48">
            <v>0</v>
          </cell>
          <cell r="J48">
            <v>0</v>
          </cell>
          <cell r="K48">
            <v>6873500</v>
          </cell>
          <cell r="L48">
            <v>0</v>
          </cell>
          <cell r="M48">
            <v>0</v>
          </cell>
          <cell r="N48">
            <v>6873500</v>
          </cell>
          <cell r="O48">
            <v>0</v>
          </cell>
          <cell r="P48">
            <v>6873500</v>
          </cell>
          <cell r="Q48">
            <v>6873500</v>
          </cell>
          <cell r="R48">
            <v>6873500</v>
          </cell>
        </row>
        <row r="49">
          <cell r="F49" t="str">
            <v>SB22610</v>
          </cell>
          <cell r="G49">
            <v>0</v>
          </cell>
          <cell r="H49">
            <v>0</v>
          </cell>
          <cell r="I49">
            <v>71500</v>
          </cell>
          <cell r="J49">
            <v>0</v>
          </cell>
          <cell r="K49">
            <v>71500</v>
          </cell>
          <cell r="L49">
            <v>0</v>
          </cell>
          <cell r="M49">
            <v>0</v>
          </cell>
          <cell r="N49">
            <v>40000</v>
          </cell>
          <cell r="O49">
            <v>0</v>
          </cell>
          <cell r="P49">
            <v>40000</v>
          </cell>
          <cell r="Q49">
            <v>40000</v>
          </cell>
          <cell r="R49">
            <v>0</v>
          </cell>
        </row>
        <row r="50">
          <cell r="F50" t="str">
            <v>SB22612</v>
          </cell>
          <cell r="G50">
            <v>2099625</v>
          </cell>
          <cell r="H50">
            <v>0</v>
          </cell>
          <cell r="I50">
            <v>2099625</v>
          </cell>
          <cell r="J50">
            <v>0</v>
          </cell>
          <cell r="K50">
            <v>2099625</v>
          </cell>
          <cell r="L50">
            <v>1537420</v>
          </cell>
          <cell r="M50">
            <v>1547166</v>
          </cell>
          <cell r="N50">
            <v>52459</v>
          </cell>
          <cell r="O50">
            <v>0</v>
          </cell>
          <cell r="P50">
            <v>1599625</v>
          </cell>
          <cell r="Q50">
            <v>1589879</v>
          </cell>
          <cell r="R50">
            <v>562205</v>
          </cell>
        </row>
        <row r="51">
          <cell r="F51" t="str">
            <v>SB22598</v>
          </cell>
          <cell r="G51">
            <v>1662370</v>
          </cell>
          <cell r="H51">
            <v>0</v>
          </cell>
          <cell r="I51">
            <v>1610670</v>
          </cell>
          <cell r="J51">
            <v>0</v>
          </cell>
          <cell r="K51">
            <v>1610670</v>
          </cell>
          <cell r="L51">
            <v>5188</v>
          </cell>
          <cell r="M51">
            <v>5188</v>
          </cell>
          <cell r="N51">
            <v>994812</v>
          </cell>
          <cell r="O51">
            <v>0</v>
          </cell>
          <cell r="P51">
            <v>1000000</v>
          </cell>
          <cell r="Q51">
            <v>1000000</v>
          </cell>
          <cell r="R51">
            <v>1657182</v>
          </cell>
        </row>
        <row r="52">
          <cell r="F52" t="str">
            <v>SB21386</v>
          </cell>
          <cell r="G52">
            <v>0</v>
          </cell>
          <cell r="H52">
            <v>0</v>
          </cell>
          <cell r="I52">
            <v>0</v>
          </cell>
          <cell r="J52">
            <v>-394474</v>
          </cell>
          <cell r="K52">
            <v>-394474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F53" t="str">
            <v>SB22588</v>
          </cell>
          <cell r="G53">
            <v>509179.06</v>
          </cell>
          <cell r="H53">
            <v>0</v>
          </cell>
          <cell r="I53">
            <v>451386</v>
          </cell>
          <cell r="J53">
            <v>0</v>
          </cell>
          <cell r="K53">
            <v>451386</v>
          </cell>
          <cell r="L53">
            <v>3000</v>
          </cell>
          <cell r="M53">
            <v>6130</v>
          </cell>
          <cell r="N53">
            <v>349312.1</v>
          </cell>
          <cell r="O53">
            <v>0</v>
          </cell>
          <cell r="P53">
            <v>355442.1</v>
          </cell>
          <cell r="Q53">
            <v>352312.1</v>
          </cell>
          <cell r="R53">
            <v>506179.06</v>
          </cell>
        </row>
        <row r="54">
          <cell r="F54" t="str">
            <v>SB22601</v>
          </cell>
          <cell r="G54">
            <v>72600</v>
          </cell>
          <cell r="H54">
            <v>72600</v>
          </cell>
          <cell r="I54">
            <v>0</v>
          </cell>
          <cell r="J54">
            <v>0</v>
          </cell>
          <cell r="K54">
            <v>72600</v>
          </cell>
          <cell r="L54">
            <v>0</v>
          </cell>
          <cell r="M54">
            <v>0</v>
          </cell>
          <cell r="N54">
            <v>25000</v>
          </cell>
          <cell r="O54">
            <v>0</v>
          </cell>
          <cell r="P54">
            <v>25000</v>
          </cell>
          <cell r="Q54">
            <v>25000</v>
          </cell>
          <cell r="R54">
            <v>72600</v>
          </cell>
        </row>
        <row r="55">
          <cell r="F55" t="str">
            <v>SB22579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508068.78</v>
          </cell>
          <cell r="M55">
            <v>328729.78</v>
          </cell>
          <cell r="N55">
            <v>306788.22</v>
          </cell>
          <cell r="O55">
            <v>-11800</v>
          </cell>
          <cell r="P55">
            <v>623718</v>
          </cell>
          <cell r="Q55">
            <v>803057</v>
          </cell>
          <cell r="R55">
            <v>-508068.78</v>
          </cell>
        </row>
        <row r="56">
          <cell r="F56" t="str">
            <v>SB22509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1691</v>
          </cell>
          <cell r="N56">
            <v>-1691</v>
          </cell>
          <cell r="O56">
            <v>0</v>
          </cell>
          <cell r="P56">
            <v>0</v>
          </cell>
          <cell r="Q56">
            <v>-1691</v>
          </cell>
          <cell r="R56">
            <v>0</v>
          </cell>
        </row>
        <row r="57">
          <cell r="F57" t="str">
            <v>SB22485</v>
          </cell>
          <cell r="G57">
            <v>1035000</v>
          </cell>
          <cell r="H57">
            <v>2271571</v>
          </cell>
          <cell r="I57">
            <v>-2271571</v>
          </cell>
          <cell r="J57">
            <v>0</v>
          </cell>
          <cell r="K57">
            <v>0</v>
          </cell>
          <cell r="L57">
            <v>373500</v>
          </cell>
          <cell r="M57">
            <v>1117962</v>
          </cell>
          <cell r="N57">
            <v>-1074050</v>
          </cell>
          <cell r="O57">
            <v>-21000</v>
          </cell>
          <cell r="P57">
            <v>22912</v>
          </cell>
          <cell r="Q57">
            <v>-721550</v>
          </cell>
          <cell r="R57">
            <v>661500</v>
          </cell>
        </row>
        <row r="58">
          <cell r="F58" t="str">
            <v>SB22472</v>
          </cell>
          <cell r="G58">
            <v>3087345.8</v>
          </cell>
          <cell r="H58">
            <v>3087345.8</v>
          </cell>
          <cell r="I58">
            <v>-2855245.4</v>
          </cell>
          <cell r="J58">
            <v>0</v>
          </cell>
          <cell r="K58">
            <v>232100.4</v>
          </cell>
          <cell r="L58">
            <v>210000</v>
          </cell>
          <cell r="M58">
            <v>878028</v>
          </cell>
          <cell r="N58">
            <v>-665511</v>
          </cell>
          <cell r="O58">
            <v>0</v>
          </cell>
          <cell r="P58">
            <v>212517</v>
          </cell>
          <cell r="Q58">
            <v>-455511</v>
          </cell>
          <cell r="R58">
            <v>2877345.8</v>
          </cell>
        </row>
        <row r="59">
          <cell r="F59" t="str">
            <v>SB22422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6000</v>
          </cell>
          <cell r="N59">
            <v>-6000</v>
          </cell>
          <cell r="O59">
            <v>0</v>
          </cell>
          <cell r="P59">
            <v>0</v>
          </cell>
          <cell r="Q59">
            <v>-6000</v>
          </cell>
          <cell r="R59">
            <v>0</v>
          </cell>
        </row>
        <row r="60">
          <cell r="F60" t="str">
            <v>SB22459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8898</v>
          </cell>
          <cell r="N60">
            <v>-8898</v>
          </cell>
          <cell r="O60">
            <v>0</v>
          </cell>
          <cell r="P60">
            <v>0</v>
          </cell>
          <cell r="Q60">
            <v>-8898</v>
          </cell>
          <cell r="R60">
            <v>0</v>
          </cell>
        </row>
        <row r="61">
          <cell r="F61" t="str">
            <v>SB22384</v>
          </cell>
          <cell r="G61">
            <v>854315</v>
          </cell>
          <cell r="H61">
            <v>854315</v>
          </cell>
          <cell r="I61">
            <v>0</v>
          </cell>
          <cell r="J61">
            <v>0</v>
          </cell>
          <cell r="K61">
            <v>854315</v>
          </cell>
          <cell r="L61">
            <v>426201</v>
          </cell>
          <cell r="M61">
            <v>727580</v>
          </cell>
          <cell r="N61">
            <v>-371859</v>
          </cell>
          <cell r="O61">
            <v>0</v>
          </cell>
          <cell r="P61">
            <v>355721</v>
          </cell>
          <cell r="Q61">
            <v>54342</v>
          </cell>
          <cell r="R61">
            <v>428114</v>
          </cell>
        </row>
        <row r="62">
          <cell r="F62" t="str">
            <v>SB22609</v>
          </cell>
          <cell r="G62">
            <v>713240</v>
          </cell>
          <cell r="H62">
            <v>0</v>
          </cell>
          <cell r="I62">
            <v>713240</v>
          </cell>
          <cell r="J62">
            <v>0</v>
          </cell>
          <cell r="K62">
            <v>713240</v>
          </cell>
          <cell r="L62">
            <v>74720.82</v>
          </cell>
          <cell r="M62">
            <v>52292</v>
          </cell>
          <cell r="N62">
            <v>503708</v>
          </cell>
          <cell r="O62">
            <v>0</v>
          </cell>
          <cell r="P62">
            <v>556000</v>
          </cell>
          <cell r="Q62">
            <v>578428.82</v>
          </cell>
          <cell r="R62">
            <v>638519.18</v>
          </cell>
        </row>
        <row r="63">
          <cell r="F63" t="str">
            <v>SB22608</v>
          </cell>
          <cell r="G63">
            <v>564513.83</v>
          </cell>
          <cell r="H63">
            <v>564513.83</v>
          </cell>
          <cell r="I63">
            <v>0</v>
          </cell>
          <cell r="J63">
            <v>0</v>
          </cell>
          <cell r="K63">
            <v>564513.83</v>
          </cell>
          <cell r="L63">
            <v>198200</v>
          </cell>
          <cell r="M63">
            <v>188596</v>
          </cell>
          <cell r="N63">
            <v>275266.83</v>
          </cell>
          <cell r="O63">
            <v>0</v>
          </cell>
          <cell r="P63">
            <v>463862.83</v>
          </cell>
          <cell r="Q63">
            <v>473466.83</v>
          </cell>
          <cell r="R63">
            <v>366313.83</v>
          </cell>
        </row>
        <row r="64">
          <cell r="F64" t="str">
            <v>SB22606</v>
          </cell>
          <cell r="G64">
            <v>5907347.6</v>
          </cell>
          <cell r="H64">
            <v>0</v>
          </cell>
          <cell r="I64">
            <v>5998107</v>
          </cell>
          <cell r="J64">
            <v>0</v>
          </cell>
          <cell r="K64">
            <v>5998107</v>
          </cell>
          <cell r="L64">
            <v>2848783.54</v>
          </cell>
          <cell r="M64">
            <v>585823</v>
          </cell>
          <cell r="N64">
            <v>3981994.66</v>
          </cell>
          <cell r="O64">
            <v>0</v>
          </cell>
          <cell r="P64">
            <v>4567817.66</v>
          </cell>
          <cell r="Q64">
            <v>6830778.2</v>
          </cell>
          <cell r="R64">
            <v>3058564.06</v>
          </cell>
        </row>
        <row r="65">
          <cell r="F65" t="str">
            <v>SB22607</v>
          </cell>
          <cell r="G65">
            <v>336450</v>
          </cell>
          <cell r="H65">
            <v>336450</v>
          </cell>
          <cell r="I65">
            <v>0</v>
          </cell>
          <cell r="J65">
            <v>0</v>
          </cell>
          <cell r="K65">
            <v>336450</v>
          </cell>
          <cell r="L65">
            <v>227815</v>
          </cell>
          <cell r="M65">
            <v>227815</v>
          </cell>
          <cell r="N65">
            <v>34616</v>
          </cell>
          <cell r="O65">
            <v>0</v>
          </cell>
          <cell r="P65">
            <v>262431</v>
          </cell>
          <cell r="Q65">
            <v>262431</v>
          </cell>
          <cell r="R65">
            <v>108635</v>
          </cell>
        </row>
        <row r="66">
          <cell r="F66" t="str">
            <v>SB22603</v>
          </cell>
          <cell r="G66">
            <v>52557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52557</v>
          </cell>
        </row>
        <row r="67">
          <cell r="F67" t="str">
            <v>SB22605</v>
          </cell>
          <cell r="G67">
            <v>13492.5</v>
          </cell>
          <cell r="H67">
            <v>13492.5</v>
          </cell>
          <cell r="I67">
            <v>0</v>
          </cell>
          <cell r="J67">
            <v>0</v>
          </cell>
          <cell r="K67">
            <v>13492.5</v>
          </cell>
          <cell r="L67">
            <v>9400</v>
          </cell>
          <cell r="M67">
            <v>9400</v>
          </cell>
          <cell r="N67">
            <v>0</v>
          </cell>
          <cell r="O67">
            <v>0</v>
          </cell>
          <cell r="P67">
            <v>9400</v>
          </cell>
          <cell r="Q67">
            <v>9400</v>
          </cell>
          <cell r="R67">
            <v>4092.5</v>
          </cell>
        </row>
        <row r="68">
          <cell r="F68" t="str">
            <v>SB22604</v>
          </cell>
          <cell r="G68">
            <v>0</v>
          </cell>
          <cell r="H68">
            <v>0</v>
          </cell>
          <cell r="I68">
            <v>1014046</v>
          </cell>
          <cell r="J68">
            <v>0</v>
          </cell>
          <cell r="K68">
            <v>1014046</v>
          </cell>
          <cell r="L68">
            <v>705944</v>
          </cell>
          <cell r="M68">
            <v>708765</v>
          </cell>
          <cell r="N68">
            <v>0</v>
          </cell>
          <cell r="O68">
            <v>0</v>
          </cell>
          <cell r="P68">
            <v>708765</v>
          </cell>
          <cell r="Q68">
            <v>705944</v>
          </cell>
          <cell r="R68">
            <v>-705944</v>
          </cell>
        </row>
        <row r="69">
          <cell r="F69" t="str">
            <v>SB22602</v>
          </cell>
          <cell r="G69">
            <v>1102551</v>
          </cell>
          <cell r="H69">
            <v>1102551</v>
          </cell>
          <cell r="I69">
            <v>0</v>
          </cell>
          <cell r="J69">
            <v>0</v>
          </cell>
          <cell r="K69">
            <v>1102551</v>
          </cell>
          <cell r="L69">
            <v>534310.5</v>
          </cell>
          <cell r="M69">
            <v>608501.24</v>
          </cell>
          <cell r="N69">
            <v>103650</v>
          </cell>
          <cell r="O69">
            <v>0</v>
          </cell>
          <cell r="P69">
            <v>712151.24</v>
          </cell>
          <cell r="Q69">
            <v>637960.5</v>
          </cell>
          <cell r="R69">
            <v>568240.5</v>
          </cell>
        </row>
        <row r="70">
          <cell r="F70" t="str">
            <v>SB22600</v>
          </cell>
          <cell r="G70">
            <v>192016</v>
          </cell>
          <cell r="H70">
            <v>0</v>
          </cell>
          <cell r="I70">
            <v>192016</v>
          </cell>
          <cell r="J70">
            <v>0</v>
          </cell>
          <cell r="K70">
            <v>192016</v>
          </cell>
          <cell r="L70">
            <v>600</v>
          </cell>
          <cell r="M70">
            <v>600</v>
          </cell>
          <cell r="N70">
            <v>149100</v>
          </cell>
          <cell r="O70">
            <v>0</v>
          </cell>
          <cell r="P70">
            <v>149700</v>
          </cell>
          <cell r="Q70">
            <v>149700</v>
          </cell>
          <cell r="R70">
            <v>191416</v>
          </cell>
        </row>
        <row r="71">
          <cell r="F71" t="str">
            <v>SB22596</v>
          </cell>
          <cell r="G71">
            <v>3705921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3705921</v>
          </cell>
        </row>
        <row r="72">
          <cell r="F72" t="str">
            <v>SB22599</v>
          </cell>
          <cell r="G72">
            <v>644498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560310</v>
          </cell>
          <cell r="M72">
            <v>75591</v>
          </cell>
          <cell r="N72">
            <v>485900</v>
          </cell>
          <cell r="O72">
            <v>0</v>
          </cell>
          <cell r="P72">
            <v>561491</v>
          </cell>
          <cell r="Q72">
            <v>1046210</v>
          </cell>
          <cell r="R72">
            <v>84188</v>
          </cell>
        </row>
        <row r="73">
          <cell r="F73" t="str">
            <v>SB22597</v>
          </cell>
          <cell r="G73">
            <v>16125</v>
          </cell>
          <cell r="H73">
            <v>16125</v>
          </cell>
          <cell r="I73">
            <v>0</v>
          </cell>
          <cell r="J73">
            <v>0</v>
          </cell>
          <cell r="K73">
            <v>16125</v>
          </cell>
          <cell r="L73">
            <v>15150</v>
          </cell>
          <cell r="M73">
            <v>15150</v>
          </cell>
          <cell r="N73">
            <v>0</v>
          </cell>
          <cell r="O73">
            <v>0</v>
          </cell>
          <cell r="P73">
            <v>15150</v>
          </cell>
          <cell r="Q73">
            <v>15150</v>
          </cell>
          <cell r="R73">
            <v>975</v>
          </cell>
        </row>
        <row r="74">
          <cell r="F74" t="str">
            <v>SB22593</v>
          </cell>
          <cell r="G74">
            <v>268279</v>
          </cell>
          <cell r="H74">
            <v>0</v>
          </cell>
          <cell r="I74">
            <v>268279</v>
          </cell>
          <cell r="J74">
            <v>0</v>
          </cell>
          <cell r="K74">
            <v>268279</v>
          </cell>
          <cell r="L74">
            <v>241305</v>
          </cell>
          <cell r="M74">
            <v>205805</v>
          </cell>
          <cell r="N74">
            <v>0</v>
          </cell>
          <cell r="O74">
            <v>0</v>
          </cell>
          <cell r="P74">
            <v>205805</v>
          </cell>
          <cell r="Q74">
            <v>241305</v>
          </cell>
          <cell r="R74">
            <v>26974</v>
          </cell>
        </row>
        <row r="75">
          <cell r="F75" t="str">
            <v>SB22595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850000</v>
          </cell>
          <cell r="M75">
            <v>850000</v>
          </cell>
          <cell r="N75">
            <v>-850000</v>
          </cell>
          <cell r="O75">
            <v>0</v>
          </cell>
          <cell r="P75">
            <v>0</v>
          </cell>
          <cell r="Q75">
            <v>0</v>
          </cell>
          <cell r="R75">
            <v>-850000</v>
          </cell>
        </row>
        <row r="76">
          <cell r="F76" t="str">
            <v>SB22594</v>
          </cell>
          <cell r="G76">
            <v>1022599</v>
          </cell>
          <cell r="H76">
            <v>0</v>
          </cell>
          <cell r="I76">
            <v>1022599</v>
          </cell>
          <cell r="J76">
            <v>0</v>
          </cell>
          <cell r="K76">
            <v>1022599</v>
          </cell>
          <cell r="L76">
            <v>511685</v>
          </cell>
          <cell r="M76">
            <v>536803</v>
          </cell>
          <cell r="N76">
            <v>185197</v>
          </cell>
          <cell r="O76">
            <v>0</v>
          </cell>
          <cell r="P76">
            <v>722000</v>
          </cell>
          <cell r="Q76">
            <v>696882</v>
          </cell>
          <cell r="R76">
            <v>510914</v>
          </cell>
        </row>
        <row r="77">
          <cell r="F77" t="str">
            <v>SB22591</v>
          </cell>
          <cell r="G77">
            <v>13936040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3483000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3483000</v>
          </cell>
          <cell r="R77">
            <v>10453040</v>
          </cell>
        </row>
        <row r="78">
          <cell r="F78" t="str">
            <v>SB22592</v>
          </cell>
          <cell r="G78">
            <v>1456000</v>
          </cell>
          <cell r="H78">
            <v>1456000</v>
          </cell>
          <cell r="I78">
            <v>0</v>
          </cell>
          <cell r="J78">
            <v>0</v>
          </cell>
          <cell r="K78">
            <v>1456000</v>
          </cell>
          <cell r="L78">
            <v>120826.06</v>
          </cell>
          <cell r="M78">
            <v>120826.06</v>
          </cell>
          <cell r="N78">
            <v>129173.94</v>
          </cell>
          <cell r="O78">
            <v>0</v>
          </cell>
          <cell r="P78">
            <v>250000</v>
          </cell>
          <cell r="Q78">
            <v>250000</v>
          </cell>
          <cell r="R78">
            <v>1335173.94</v>
          </cell>
        </row>
        <row r="79">
          <cell r="F79" t="str">
            <v>SB22590</v>
          </cell>
          <cell r="G79">
            <v>11903320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2955196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2955196</v>
          </cell>
          <cell r="R79">
            <v>8948124</v>
          </cell>
        </row>
        <row r="80">
          <cell r="F80" t="str">
            <v>SB22589</v>
          </cell>
          <cell r="G80">
            <v>34100</v>
          </cell>
          <cell r="H80">
            <v>34100</v>
          </cell>
          <cell r="I80">
            <v>0</v>
          </cell>
          <cell r="J80">
            <v>0</v>
          </cell>
          <cell r="K80">
            <v>34100</v>
          </cell>
          <cell r="L80">
            <v>0</v>
          </cell>
          <cell r="M80">
            <v>0</v>
          </cell>
          <cell r="N80">
            <v>23000</v>
          </cell>
          <cell r="O80">
            <v>0</v>
          </cell>
          <cell r="P80">
            <v>23000</v>
          </cell>
          <cell r="Q80">
            <v>23000</v>
          </cell>
          <cell r="R80">
            <v>34100</v>
          </cell>
        </row>
        <row r="81">
          <cell r="F81" t="str">
            <v>SB22587</v>
          </cell>
          <cell r="G81">
            <v>29835</v>
          </cell>
          <cell r="H81">
            <v>29835</v>
          </cell>
          <cell r="I81">
            <v>0</v>
          </cell>
          <cell r="J81">
            <v>0</v>
          </cell>
          <cell r="K81">
            <v>29835</v>
          </cell>
          <cell r="L81">
            <v>0</v>
          </cell>
          <cell r="M81">
            <v>0</v>
          </cell>
          <cell r="N81">
            <v>23270</v>
          </cell>
          <cell r="O81">
            <v>0</v>
          </cell>
          <cell r="P81">
            <v>23270</v>
          </cell>
          <cell r="Q81">
            <v>23270</v>
          </cell>
          <cell r="R81">
            <v>29835</v>
          </cell>
        </row>
        <row r="82">
          <cell r="F82" t="str">
            <v>SB22585</v>
          </cell>
          <cell r="G82">
            <v>6496</v>
          </cell>
          <cell r="H82">
            <v>6496</v>
          </cell>
          <cell r="I82">
            <v>0</v>
          </cell>
          <cell r="J82">
            <v>0</v>
          </cell>
          <cell r="K82">
            <v>6496</v>
          </cell>
          <cell r="L82">
            <v>2700</v>
          </cell>
          <cell r="M82">
            <v>306</v>
          </cell>
          <cell r="N82">
            <v>4760.88</v>
          </cell>
          <cell r="O82">
            <v>0</v>
          </cell>
          <cell r="P82">
            <v>5066.88</v>
          </cell>
          <cell r="Q82">
            <v>7460.88</v>
          </cell>
          <cell r="R82">
            <v>3796</v>
          </cell>
        </row>
        <row r="83">
          <cell r="F83" t="str">
            <v>SB22584</v>
          </cell>
          <cell r="G83">
            <v>2600192</v>
          </cell>
          <cell r="H83">
            <v>0</v>
          </cell>
          <cell r="I83">
            <v>3167429.4</v>
          </cell>
          <cell r="J83">
            <v>0</v>
          </cell>
          <cell r="K83">
            <v>3167429.4</v>
          </cell>
          <cell r="L83">
            <v>1248960</v>
          </cell>
          <cell r="M83">
            <v>1120374</v>
          </cell>
          <cell r="N83">
            <v>1509376</v>
          </cell>
          <cell r="O83">
            <v>-6872</v>
          </cell>
          <cell r="P83">
            <v>2622878</v>
          </cell>
          <cell r="Q83">
            <v>2751464</v>
          </cell>
          <cell r="R83">
            <v>1351232</v>
          </cell>
        </row>
        <row r="84">
          <cell r="F84" t="str">
            <v>SB22586</v>
          </cell>
          <cell r="G84">
            <v>2728972.4</v>
          </cell>
          <cell r="H84">
            <v>2728972.4</v>
          </cell>
          <cell r="I84">
            <v>0</v>
          </cell>
          <cell r="J84">
            <v>0</v>
          </cell>
          <cell r="K84">
            <v>2728972.4</v>
          </cell>
          <cell r="L84">
            <v>1768272.98</v>
          </cell>
          <cell r="M84">
            <v>1668833.57</v>
          </cell>
          <cell r="N84">
            <v>377517.83</v>
          </cell>
          <cell r="O84">
            <v>0</v>
          </cell>
          <cell r="P84">
            <v>2046351.4</v>
          </cell>
          <cell r="Q84">
            <v>2145790.81</v>
          </cell>
          <cell r="R84">
            <v>960699.42</v>
          </cell>
        </row>
        <row r="85">
          <cell r="F85" t="str">
            <v>SB22582</v>
          </cell>
          <cell r="G85">
            <v>138448</v>
          </cell>
          <cell r="H85">
            <v>0</v>
          </cell>
          <cell r="I85">
            <v>138448</v>
          </cell>
          <cell r="J85">
            <v>0</v>
          </cell>
          <cell r="K85">
            <v>138448</v>
          </cell>
          <cell r="L85">
            <v>43200</v>
          </cell>
          <cell r="M85">
            <v>43200</v>
          </cell>
          <cell r="N85">
            <v>45248</v>
          </cell>
          <cell r="O85">
            <v>0</v>
          </cell>
          <cell r="P85">
            <v>88448</v>
          </cell>
          <cell r="Q85">
            <v>88448</v>
          </cell>
          <cell r="R85">
            <v>95248</v>
          </cell>
        </row>
        <row r="86">
          <cell r="F86" t="str">
            <v>SB22583</v>
          </cell>
          <cell r="G86">
            <v>55000</v>
          </cell>
          <cell r="H86">
            <v>55000</v>
          </cell>
          <cell r="I86">
            <v>0</v>
          </cell>
          <cell r="J86">
            <v>0</v>
          </cell>
          <cell r="K86">
            <v>55000</v>
          </cell>
          <cell r="L86">
            <v>0</v>
          </cell>
          <cell r="M86">
            <v>9728.8</v>
          </cell>
          <cell r="N86">
            <v>0</v>
          </cell>
          <cell r="O86">
            <v>0</v>
          </cell>
          <cell r="P86">
            <v>9728.8</v>
          </cell>
          <cell r="Q86">
            <v>0</v>
          </cell>
          <cell r="R86">
            <v>55000</v>
          </cell>
        </row>
        <row r="87">
          <cell r="F87" t="str">
            <v>SB22580</v>
          </cell>
          <cell r="G87">
            <v>650000</v>
          </cell>
          <cell r="H87">
            <v>0</v>
          </cell>
          <cell r="I87">
            <v>650000</v>
          </cell>
          <cell r="J87">
            <v>0</v>
          </cell>
          <cell r="K87">
            <v>650000</v>
          </cell>
          <cell r="L87">
            <v>650000</v>
          </cell>
          <cell r="M87">
            <v>650000</v>
          </cell>
          <cell r="N87">
            <v>0</v>
          </cell>
          <cell r="O87">
            <v>0</v>
          </cell>
          <cell r="P87">
            <v>650000</v>
          </cell>
          <cell r="Q87">
            <v>650000</v>
          </cell>
          <cell r="R87">
            <v>0</v>
          </cell>
        </row>
        <row r="88">
          <cell r="F88" t="str">
            <v>SB22578</v>
          </cell>
          <cell r="G88">
            <v>5333936</v>
          </cell>
          <cell r="H88">
            <v>5333936.81</v>
          </cell>
          <cell r="I88">
            <v>0</v>
          </cell>
          <cell r="J88">
            <v>0</v>
          </cell>
          <cell r="K88">
            <v>5333936.81</v>
          </cell>
          <cell r="L88">
            <v>3147394</v>
          </cell>
          <cell r="M88">
            <v>2086639.61</v>
          </cell>
          <cell r="N88">
            <v>1705846.95</v>
          </cell>
          <cell r="O88">
            <v>0</v>
          </cell>
          <cell r="P88">
            <v>3792486.56</v>
          </cell>
          <cell r="Q88">
            <v>4853240.95</v>
          </cell>
          <cell r="R88">
            <v>2186542</v>
          </cell>
        </row>
        <row r="89">
          <cell r="F89" t="str">
            <v>SB22581</v>
          </cell>
          <cell r="G89">
            <v>771075</v>
          </cell>
          <cell r="H89">
            <v>771075</v>
          </cell>
          <cell r="I89">
            <v>0</v>
          </cell>
          <cell r="J89">
            <v>0</v>
          </cell>
          <cell r="K89">
            <v>771075</v>
          </cell>
          <cell r="L89">
            <v>398548</v>
          </cell>
          <cell r="M89">
            <v>472583.99</v>
          </cell>
          <cell r="N89">
            <v>38706.01</v>
          </cell>
          <cell r="O89">
            <v>0</v>
          </cell>
          <cell r="P89">
            <v>511290</v>
          </cell>
          <cell r="Q89">
            <v>437254.01</v>
          </cell>
          <cell r="R89">
            <v>372527</v>
          </cell>
        </row>
        <row r="90">
          <cell r="F90" t="str">
            <v>SB22575</v>
          </cell>
          <cell r="G90">
            <v>0</v>
          </cell>
          <cell r="H90">
            <v>0</v>
          </cell>
          <cell r="I90">
            <v>835524</v>
          </cell>
          <cell r="J90">
            <v>0</v>
          </cell>
          <cell r="K90">
            <v>835524</v>
          </cell>
          <cell r="L90">
            <v>236500</v>
          </cell>
          <cell r="M90">
            <v>258689.94</v>
          </cell>
          <cell r="N90">
            <v>176834.06</v>
          </cell>
          <cell r="O90">
            <v>0</v>
          </cell>
          <cell r="P90">
            <v>435524</v>
          </cell>
          <cell r="Q90">
            <v>413334.06</v>
          </cell>
          <cell r="R90">
            <v>-236500</v>
          </cell>
        </row>
        <row r="91">
          <cell r="F91" t="str">
            <v>SB22576</v>
          </cell>
          <cell r="G91">
            <v>304656</v>
          </cell>
          <cell r="H91">
            <v>0</v>
          </cell>
          <cell r="I91">
            <v>891616</v>
          </cell>
          <cell r="J91">
            <v>0</v>
          </cell>
          <cell r="K91">
            <v>891616</v>
          </cell>
          <cell r="L91">
            <v>618138.76</v>
          </cell>
          <cell r="M91">
            <v>640954.03</v>
          </cell>
          <cell r="N91">
            <v>59045.97</v>
          </cell>
          <cell r="O91">
            <v>0</v>
          </cell>
          <cell r="P91">
            <v>700000</v>
          </cell>
          <cell r="Q91">
            <v>677184.73</v>
          </cell>
          <cell r="R91">
            <v>-313482.76</v>
          </cell>
        </row>
        <row r="92">
          <cell r="F92" t="str">
            <v>SB22577</v>
          </cell>
          <cell r="G92">
            <v>2450000</v>
          </cell>
          <cell r="H92">
            <v>0</v>
          </cell>
          <cell r="I92">
            <v>832754</v>
          </cell>
          <cell r="J92">
            <v>0</v>
          </cell>
          <cell r="K92">
            <v>832754</v>
          </cell>
          <cell r="L92">
            <v>62197.5</v>
          </cell>
          <cell r="M92">
            <v>63687.5</v>
          </cell>
          <cell r="N92">
            <v>569066.5</v>
          </cell>
          <cell r="O92">
            <v>0</v>
          </cell>
          <cell r="P92">
            <v>632754</v>
          </cell>
          <cell r="Q92">
            <v>631264</v>
          </cell>
          <cell r="R92">
            <v>2387802.5</v>
          </cell>
        </row>
        <row r="93">
          <cell r="F93" t="str">
            <v>SB22574</v>
          </cell>
          <cell r="G93">
            <v>0</v>
          </cell>
          <cell r="H93">
            <v>2156689</v>
          </cell>
          <cell r="I93">
            <v>0</v>
          </cell>
          <cell r="J93">
            <v>0</v>
          </cell>
          <cell r="K93">
            <v>2156689</v>
          </cell>
          <cell r="L93">
            <v>990189.76</v>
          </cell>
          <cell r="M93">
            <v>990189.76</v>
          </cell>
          <cell r="N93">
            <v>582989.25</v>
          </cell>
          <cell r="O93">
            <v>0</v>
          </cell>
          <cell r="P93">
            <v>1573179.01</v>
          </cell>
          <cell r="Q93">
            <v>1573179.01</v>
          </cell>
          <cell r="R93">
            <v>-990189.76</v>
          </cell>
        </row>
        <row r="94">
          <cell r="F94" t="str">
            <v>SB22573</v>
          </cell>
          <cell r="G94">
            <v>0</v>
          </cell>
          <cell r="H94">
            <v>0</v>
          </cell>
          <cell r="I94">
            <v>33583</v>
          </cell>
          <cell r="J94">
            <v>0</v>
          </cell>
          <cell r="K94">
            <v>33583</v>
          </cell>
          <cell r="L94">
            <v>0</v>
          </cell>
          <cell r="M94">
            <v>1903</v>
          </cell>
          <cell r="N94">
            <v>20097</v>
          </cell>
          <cell r="O94">
            <v>0</v>
          </cell>
          <cell r="P94">
            <v>22000</v>
          </cell>
          <cell r="Q94">
            <v>20097</v>
          </cell>
          <cell r="R94">
            <v>0</v>
          </cell>
        </row>
        <row r="95">
          <cell r="F95" t="str">
            <v>SB22571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1148205</v>
          </cell>
          <cell r="M95">
            <v>1178072</v>
          </cell>
          <cell r="N95">
            <v>318428</v>
          </cell>
          <cell r="O95">
            <v>0</v>
          </cell>
          <cell r="P95">
            <v>1496500</v>
          </cell>
          <cell r="Q95">
            <v>1466633</v>
          </cell>
          <cell r="R95">
            <v>-1148205</v>
          </cell>
        </row>
        <row r="96">
          <cell r="F96" t="str">
            <v>SB22572</v>
          </cell>
          <cell r="G96">
            <v>94071.96</v>
          </cell>
          <cell r="H96">
            <v>94071.96</v>
          </cell>
          <cell r="I96">
            <v>0</v>
          </cell>
          <cell r="J96">
            <v>0</v>
          </cell>
          <cell r="K96">
            <v>94071.96</v>
          </cell>
          <cell r="L96">
            <v>45000</v>
          </cell>
          <cell r="M96">
            <v>36000</v>
          </cell>
          <cell r="N96">
            <v>33072</v>
          </cell>
          <cell r="O96">
            <v>0</v>
          </cell>
          <cell r="P96">
            <v>69072</v>
          </cell>
          <cell r="Q96">
            <v>78072</v>
          </cell>
          <cell r="R96">
            <v>49071.96</v>
          </cell>
        </row>
        <row r="97">
          <cell r="F97" t="str">
            <v>SB22570</v>
          </cell>
          <cell r="G97">
            <v>375100</v>
          </cell>
          <cell r="H97">
            <v>171050</v>
          </cell>
          <cell r="I97">
            <v>0</v>
          </cell>
          <cell r="J97">
            <v>0</v>
          </cell>
          <cell r="K97">
            <v>171050</v>
          </cell>
          <cell r="L97">
            <v>46000</v>
          </cell>
          <cell r="M97">
            <v>46000</v>
          </cell>
          <cell r="N97">
            <v>48380</v>
          </cell>
          <cell r="O97">
            <v>0</v>
          </cell>
          <cell r="P97">
            <v>94380</v>
          </cell>
          <cell r="Q97">
            <v>94380</v>
          </cell>
          <cell r="R97">
            <v>329100</v>
          </cell>
        </row>
        <row r="98">
          <cell r="F98" t="str">
            <v>SB22567</v>
          </cell>
          <cell r="G98">
            <v>24145</v>
          </cell>
          <cell r="H98">
            <v>24145</v>
          </cell>
          <cell r="I98">
            <v>0</v>
          </cell>
          <cell r="J98">
            <v>0</v>
          </cell>
          <cell r="K98">
            <v>24145</v>
          </cell>
          <cell r="L98">
            <v>0</v>
          </cell>
          <cell r="M98">
            <v>3453.33</v>
          </cell>
          <cell r="N98">
            <v>14049.87</v>
          </cell>
          <cell r="O98">
            <v>0</v>
          </cell>
          <cell r="P98">
            <v>17503.2</v>
          </cell>
          <cell r="Q98">
            <v>14049.87</v>
          </cell>
          <cell r="R98">
            <v>24145</v>
          </cell>
        </row>
        <row r="99">
          <cell r="F99" t="str">
            <v>SB22569</v>
          </cell>
          <cell r="G99">
            <v>5599600</v>
          </cell>
          <cell r="H99">
            <v>7613750</v>
          </cell>
          <cell r="I99">
            <v>6899640</v>
          </cell>
          <cell r="J99">
            <v>0</v>
          </cell>
          <cell r="K99">
            <v>14513390</v>
          </cell>
          <cell r="L99">
            <v>3855949.94</v>
          </cell>
          <cell r="M99">
            <v>2547292.34</v>
          </cell>
          <cell r="N99">
            <v>9834682.66</v>
          </cell>
          <cell r="O99">
            <v>0</v>
          </cell>
          <cell r="P99">
            <v>12381975</v>
          </cell>
          <cell r="Q99">
            <v>13690632.6</v>
          </cell>
          <cell r="R99">
            <v>1743650.06</v>
          </cell>
        </row>
        <row r="100">
          <cell r="F100" t="str">
            <v>SB22566</v>
          </cell>
          <cell r="G100">
            <v>2060170.57</v>
          </cell>
          <cell r="H100">
            <v>2060170.57</v>
          </cell>
          <cell r="I100">
            <v>-2060170.57</v>
          </cell>
          <cell r="J100">
            <v>0</v>
          </cell>
          <cell r="K100">
            <v>0</v>
          </cell>
          <cell r="L100">
            <v>968500</v>
          </cell>
          <cell r="M100">
            <v>2793503</v>
          </cell>
          <cell r="N100">
            <v>-2877500</v>
          </cell>
          <cell r="O100">
            <v>0</v>
          </cell>
          <cell r="P100">
            <v>-83997</v>
          </cell>
          <cell r="Q100">
            <v>-1909000</v>
          </cell>
          <cell r="R100">
            <v>1091670.57</v>
          </cell>
        </row>
        <row r="101">
          <cell r="F101" t="str">
            <v>SB22565</v>
          </cell>
          <cell r="G101">
            <v>1804616</v>
          </cell>
          <cell r="H101">
            <v>0</v>
          </cell>
          <cell r="I101">
            <v>1804616</v>
          </cell>
          <cell r="J101">
            <v>0</v>
          </cell>
          <cell r="K101">
            <v>1804616</v>
          </cell>
          <cell r="L101">
            <v>82324</v>
          </cell>
          <cell r="M101">
            <v>133928</v>
          </cell>
          <cell r="N101">
            <v>1515043</v>
          </cell>
          <cell r="O101">
            <v>-11315</v>
          </cell>
          <cell r="P101">
            <v>1637656</v>
          </cell>
          <cell r="Q101">
            <v>1586052</v>
          </cell>
          <cell r="R101">
            <v>1722292</v>
          </cell>
        </row>
        <row r="102">
          <cell r="F102" t="str">
            <v>SB22564</v>
          </cell>
          <cell r="G102">
            <v>0</v>
          </cell>
          <cell r="H102">
            <v>0</v>
          </cell>
          <cell r="I102">
            <v>1017327</v>
          </cell>
          <cell r="J102">
            <v>0</v>
          </cell>
          <cell r="K102">
            <v>1017327</v>
          </cell>
          <cell r="L102">
            <v>33050</v>
          </cell>
          <cell r="M102">
            <v>496966.43</v>
          </cell>
          <cell r="N102">
            <v>170000</v>
          </cell>
          <cell r="O102">
            <v>0</v>
          </cell>
          <cell r="P102">
            <v>666966.43</v>
          </cell>
          <cell r="Q102">
            <v>203050</v>
          </cell>
          <cell r="R102">
            <v>-33050</v>
          </cell>
        </row>
        <row r="103">
          <cell r="F103" t="str">
            <v>SB22563</v>
          </cell>
          <cell r="G103">
            <v>0</v>
          </cell>
          <cell r="H103">
            <v>0</v>
          </cell>
          <cell r="I103">
            <v>10634</v>
          </cell>
          <cell r="J103">
            <v>0</v>
          </cell>
          <cell r="K103">
            <v>10634</v>
          </cell>
          <cell r="L103">
            <v>2782500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2782500</v>
          </cell>
          <cell r="R103">
            <v>-2782500</v>
          </cell>
        </row>
        <row r="104">
          <cell r="F104" t="str">
            <v>SB22562</v>
          </cell>
          <cell r="G104">
            <v>0</v>
          </cell>
          <cell r="H104">
            <v>0</v>
          </cell>
          <cell r="I104">
            <v>24408</v>
          </cell>
          <cell r="J104">
            <v>0</v>
          </cell>
          <cell r="K104">
            <v>24408</v>
          </cell>
          <cell r="L104">
            <v>4279097.68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4279097.68</v>
          </cell>
          <cell r="R104">
            <v>-4279097.68</v>
          </cell>
        </row>
        <row r="105">
          <cell r="F105" t="str">
            <v>SB22561</v>
          </cell>
          <cell r="G105">
            <v>0</v>
          </cell>
          <cell r="H105">
            <v>0</v>
          </cell>
          <cell r="I105">
            <v>8163</v>
          </cell>
          <cell r="J105">
            <v>0</v>
          </cell>
          <cell r="K105">
            <v>8163</v>
          </cell>
          <cell r="L105">
            <v>5508391.25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5508391.25</v>
          </cell>
          <cell r="R105">
            <v>-5508391.25</v>
          </cell>
        </row>
        <row r="106">
          <cell r="F106" t="str">
            <v>SB22560</v>
          </cell>
          <cell r="G106">
            <v>515900</v>
          </cell>
          <cell r="H106">
            <v>1548800</v>
          </cell>
          <cell r="I106">
            <v>0</v>
          </cell>
          <cell r="J106">
            <v>-515900</v>
          </cell>
          <cell r="K106">
            <v>1032900</v>
          </cell>
          <cell r="L106">
            <v>213434.99</v>
          </cell>
          <cell r="M106">
            <v>351863.99</v>
          </cell>
          <cell r="N106">
            <v>481036.01</v>
          </cell>
          <cell r="O106">
            <v>0</v>
          </cell>
          <cell r="P106">
            <v>832900</v>
          </cell>
          <cell r="Q106">
            <v>694471</v>
          </cell>
          <cell r="R106">
            <v>302465.01</v>
          </cell>
        </row>
        <row r="107">
          <cell r="F107" t="str">
            <v>SB22559</v>
          </cell>
          <cell r="G107">
            <v>2150500</v>
          </cell>
          <cell r="H107">
            <v>0</v>
          </cell>
          <cell r="I107">
            <v>2150500</v>
          </cell>
          <cell r="J107">
            <v>0</v>
          </cell>
          <cell r="K107">
            <v>2150500</v>
          </cell>
          <cell r="L107">
            <v>1561642</v>
          </cell>
          <cell r="M107">
            <v>299730</v>
          </cell>
          <cell r="N107">
            <v>1550770</v>
          </cell>
          <cell r="O107">
            <v>0</v>
          </cell>
          <cell r="P107">
            <v>1850500</v>
          </cell>
          <cell r="Q107">
            <v>3112412</v>
          </cell>
          <cell r="R107">
            <v>588858</v>
          </cell>
        </row>
        <row r="108">
          <cell r="F108" t="str">
            <v>SB22558</v>
          </cell>
          <cell r="G108">
            <v>224730</v>
          </cell>
          <cell r="H108">
            <v>224730</v>
          </cell>
          <cell r="I108">
            <v>0</v>
          </cell>
          <cell r="J108">
            <v>0</v>
          </cell>
          <cell r="K108">
            <v>224730</v>
          </cell>
          <cell r="L108">
            <v>180250</v>
          </cell>
          <cell r="M108">
            <v>180250</v>
          </cell>
          <cell r="N108">
            <v>0</v>
          </cell>
          <cell r="O108">
            <v>0</v>
          </cell>
          <cell r="P108">
            <v>180250</v>
          </cell>
          <cell r="Q108">
            <v>180250</v>
          </cell>
          <cell r="R108">
            <v>44480</v>
          </cell>
        </row>
        <row r="109">
          <cell r="F109" t="str">
            <v>SB22557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138700</v>
          </cell>
          <cell r="N109">
            <v>-138700</v>
          </cell>
          <cell r="O109">
            <v>0</v>
          </cell>
          <cell r="P109">
            <v>0</v>
          </cell>
          <cell r="Q109">
            <v>-138700</v>
          </cell>
          <cell r="R109">
            <v>0</v>
          </cell>
        </row>
        <row r="110">
          <cell r="F110" t="str">
            <v>SB22555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15000</v>
          </cell>
          <cell r="N110">
            <v>-15000</v>
          </cell>
          <cell r="O110">
            <v>0</v>
          </cell>
          <cell r="P110">
            <v>0</v>
          </cell>
          <cell r="Q110">
            <v>-15000</v>
          </cell>
          <cell r="R110">
            <v>0</v>
          </cell>
        </row>
        <row r="111">
          <cell r="F111" t="str">
            <v>SB22556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52056</v>
          </cell>
          <cell r="N111">
            <v>-52056</v>
          </cell>
          <cell r="O111">
            <v>0</v>
          </cell>
          <cell r="P111">
            <v>0</v>
          </cell>
          <cell r="Q111">
            <v>-52056</v>
          </cell>
          <cell r="R111">
            <v>0</v>
          </cell>
        </row>
        <row r="112">
          <cell r="F112" t="str">
            <v>SB22552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573790.29</v>
          </cell>
          <cell r="M112">
            <v>751830.29</v>
          </cell>
          <cell r="N112">
            <v>-790000</v>
          </cell>
          <cell r="O112">
            <v>0</v>
          </cell>
          <cell r="P112">
            <v>-38169.71</v>
          </cell>
          <cell r="Q112">
            <v>-216209.71</v>
          </cell>
          <cell r="R112">
            <v>-573790.29</v>
          </cell>
        </row>
        <row r="113">
          <cell r="F113" t="str">
            <v>SB22551</v>
          </cell>
          <cell r="G113">
            <v>0</v>
          </cell>
          <cell r="H113">
            <v>699894</v>
          </cell>
          <cell r="I113">
            <v>-699894</v>
          </cell>
          <cell r="J113">
            <v>0</v>
          </cell>
          <cell r="K113">
            <v>0</v>
          </cell>
          <cell r="L113">
            <v>259000</v>
          </cell>
          <cell r="M113">
            <v>293950</v>
          </cell>
          <cell r="N113">
            <v>-303120</v>
          </cell>
          <cell r="O113">
            <v>0</v>
          </cell>
          <cell r="P113">
            <v>-9170</v>
          </cell>
          <cell r="Q113">
            <v>-44120</v>
          </cell>
          <cell r="R113">
            <v>-259000</v>
          </cell>
        </row>
        <row r="114">
          <cell r="F114" t="str">
            <v>SB22549</v>
          </cell>
          <cell r="G114">
            <v>0</v>
          </cell>
          <cell r="H114">
            <v>286859.98</v>
          </cell>
          <cell r="I114">
            <v>-301859.98</v>
          </cell>
          <cell r="J114">
            <v>0</v>
          </cell>
          <cell r="K114">
            <v>-15000</v>
          </cell>
          <cell r="L114">
            <v>0</v>
          </cell>
          <cell r="M114">
            <v>94000</v>
          </cell>
          <cell r="N114">
            <v>-94000</v>
          </cell>
          <cell r="O114">
            <v>0</v>
          </cell>
          <cell r="P114">
            <v>0</v>
          </cell>
          <cell r="Q114">
            <v>-94000</v>
          </cell>
          <cell r="R114">
            <v>0</v>
          </cell>
        </row>
        <row r="115">
          <cell r="F115" t="str">
            <v>SB22550</v>
          </cell>
          <cell r="G115">
            <v>0</v>
          </cell>
          <cell r="H115">
            <v>2226654</v>
          </cell>
          <cell r="I115">
            <v>-2117000</v>
          </cell>
          <cell r="J115">
            <v>0</v>
          </cell>
          <cell r="K115">
            <v>109654</v>
          </cell>
          <cell r="L115">
            <v>1283640</v>
          </cell>
          <cell r="M115">
            <v>1260505.02</v>
          </cell>
          <cell r="N115">
            <v>-1258076.02</v>
          </cell>
          <cell r="O115">
            <v>-2429</v>
          </cell>
          <cell r="P115">
            <v>0</v>
          </cell>
          <cell r="Q115">
            <v>23134.98</v>
          </cell>
          <cell r="R115">
            <v>-1283640</v>
          </cell>
        </row>
        <row r="116">
          <cell r="F116" t="str">
            <v>SB22548</v>
          </cell>
          <cell r="G116">
            <v>581460</v>
          </cell>
          <cell r="H116">
            <v>581460</v>
          </cell>
          <cell r="I116">
            <v>0</v>
          </cell>
          <cell r="J116">
            <v>-581460</v>
          </cell>
          <cell r="K116">
            <v>0</v>
          </cell>
          <cell r="L116">
            <v>83363</v>
          </cell>
          <cell r="M116">
            <v>197038</v>
          </cell>
          <cell r="N116">
            <v>-243675</v>
          </cell>
          <cell r="O116">
            <v>0</v>
          </cell>
          <cell r="P116">
            <v>-46637</v>
          </cell>
          <cell r="Q116">
            <v>-160312</v>
          </cell>
          <cell r="R116">
            <v>498097</v>
          </cell>
        </row>
        <row r="117">
          <cell r="F117" t="str">
            <v>SB22547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42110</v>
          </cell>
          <cell r="N117">
            <v>-42110</v>
          </cell>
          <cell r="O117">
            <v>0</v>
          </cell>
          <cell r="P117">
            <v>0</v>
          </cell>
          <cell r="Q117">
            <v>-42110</v>
          </cell>
          <cell r="R117">
            <v>0</v>
          </cell>
        </row>
        <row r="118">
          <cell r="F118" t="str">
            <v>SB22546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330740</v>
          </cell>
          <cell r="N118">
            <v>-330740</v>
          </cell>
          <cell r="O118">
            <v>0</v>
          </cell>
          <cell r="P118">
            <v>0</v>
          </cell>
          <cell r="Q118">
            <v>-330740</v>
          </cell>
          <cell r="R118">
            <v>0</v>
          </cell>
        </row>
        <row r="119">
          <cell r="F119" t="str">
            <v>SB22545</v>
          </cell>
          <cell r="G119">
            <v>3500020</v>
          </cell>
          <cell r="H119">
            <v>0</v>
          </cell>
          <cell r="I119">
            <v>2839466</v>
          </cell>
          <cell r="J119">
            <v>0</v>
          </cell>
          <cell r="K119">
            <v>2839466</v>
          </cell>
          <cell r="L119">
            <v>3027640.8</v>
          </cell>
          <cell r="M119">
            <v>1187782</v>
          </cell>
          <cell r="N119">
            <v>1612238</v>
          </cell>
          <cell r="O119">
            <v>0</v>
          </cell>
          <cell r="P119">
            <v>2800020</v>
          </cell>
          <cell r="Q119">
            <v>4639878.8</v>
          </cell>
          <cell r="R119">
            <v>472379.2</v>
          </cell>
        </row>
        <row r="120">
          <cell r="F120" t="str">
            <v>SB22541</v>
          </cell>
          <cell r="G120">
            <v>2929136.25</v>
          </cell>
          <cell r="H120">
            <v>4753266.25</v>
          </cell>
          <cell r="I120">
            <v>0</v>
          </cell>
          <cell r="J120">
            <v>0</v>
          </cell>
          <cell r="K120">
            <v>4753266.25</v>
          </cell>
          <cell r="L120">
            <v>924455</v>
          </cell>
          <cell r="M120">
            <v>924455</v>
          </cell>
          <cell r="N120">
            <v>3115821.31</v>
          </cell>
          <cell r="O120">
            <v>0</v>
          </cell>
          <cell r="P120">
            <v>4040276.31</v>
          </cell>
          <cell r="Q120">
            <v>4040276.31</v>
          </cell>
          <cell r="R120">
            <v>2004681.25</v>
          </cell>
        </row>
        <row r="121">
          <cell r="F121" t="str">
            <v>SB22543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985399</v>
          </cell>
          <cell r="M121">
            <v>1021439</v>
          </cell>
          <cell r="N121">
            <v>-1021439</v>
          </cell>
          <cell r="O121">
            <v>0</v>
          </cell>
          <cell r="P121">
            <v>0</v>
          </cell>
          <cell r="Q121">
            <v>-36040</v>
          </cell>
          <cell r="R121">
            <v>-985399</v>
          </cell>
        </row>
        <row r="122">
          <cell r="F122" t="str">
            <v>SB22538</v>
          </cell>
          <cell r="G122">
            <v>0</v>
          </cell>
          <cell r="H122">
            <v>63910</v>
          </cell>
          <cell r="I122">
            <v>-64000</v>
          </cell>
          <cell r="J122">
            <v>0</v>
          </cell>
          <cell r="K122">
            <v>-90</v>
          </cell>
          <cell r="L122">
            <v>0</v>
          </cell>
          <cell r="M122">
            <v>12149.44</v>
          </cell>
          <cell r="N122">
            <v>-700</v>
          </cell>
          <cell r="O122">
            <v>0</v>
          </cell>
          <cell r="P122">
            <v>11449.44</v>
          </cell>
          <cell r="Q122">
            <v>-700</v>
          </cell>
          <cell r="R122">
            <v>0</v>
          </cell>
        </row>
        <row r="123">
          <cell r="F123" t="str">
            <v>SB22540</v>
          </cell>
          <cell r="G123">
            <v>13665000</v>
          </cell>
          <cell r="H123">
            <v>8295000</v>
          </cell>
          <cell r="I123">
            <v>33211000</v>
          </cell>
          <cell r="J123">
            <v>0</v>
          </cell>
          <cell r="K123">
            <v>41506000</v>
          </cell>
          <cell r="L123">
            <v>31640035.8</v>
          </cell>
          <cell r="M123">
            <v>18769147.36</v>
          </cell>
          <cell r="N123">
            <v>21458605.47</v>
          </cell>
          <cell r="O123">
            <v>-4535000</v>
          </cell>
          <cell r="P123">
            <v>35692752.83</v>
          </cell>
          <cell r="Q123">
            <v>48563641.27</v>
          </cell>
          <cell r="R123">
            <v>-17975035.8</v>
          </cell>
        </row>
        <row r="124">
          <cell r="F124" t="str">
            <v>SB22539</v>
          </cell>
          <cell r="G124">
            <v>0</v>
          </cell>
          <cell r="H124">
            <v>7760453</v>
          </cell>
          <cell r="I124">
            <v>-4904900</v>
          </cell>
          <cell r="J124">
            <v>0</v>
          </cell>
          <cell r="K124">
            <v>2855553</v>
          </cell>
          <cell r="L124">
            <v>4576291.19</v>
          </cell>
          <cell r="M124">
            <v>1337624.19</v>
          </cell>
          <cell r="N124">
            <v>-219954.19</v>
          </cell>
          <cell r="O124">
            <v>-6450</v>
          </cell>
          <cell r="P124">
            <v>1111220</v>
          </cell>
          <cell r="Q124">
            <v>4349887</v>
          </cell>
          <cell r="R124">
            <v>-4576291.19</v>
          </cell>
        </row>
        <row r="125">
          <cell r="F125" t="str">
            <v>SB22536</v>
          </cell>
          <cell r="G125">
            <v>0</v>
          </cell>
          <cell r="H125">
            <v>0</v>
          </cell>
          <cell r="I125">
            <v>-10000</v>
          </cell>
          <cell r="J125">
            <v>0</v>
          </cell>
          <cell r="K125">
            <v>-10000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</row>
        <row r="126">
          <cell r="F126" t="str">
            <v>SB22537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330000</v>
          </cell>
          <cell r="N126">
            <v>-330000</v>
          </cell>
          <cell r="O126">
            <v>0</v>
          </cell>
          <cell r="P126">
            <v>0</v>
          </cell>
          <cell r="Q126">
            <v>-330000</v>
          </cell>
          <cell r="R126">
            <v>0</v>
          </cell>
        </row>
        <row r="127">
          <cell r="F127" t="str">
            <v>SB22534</v>
          </cell>
          <cell r="G127">
            <v>1679447</v>
          </cell>
          <cell r="H127">
            <v>909447</v>
          </cell>
          <cell r="I127">
            <v>0</v>
          </cell>
          <cell r="J127">
            <v>0</v>
          </cell>
          <cell r="K127">
            <v>909447</v>
          </cell>
          <cell r="L127">
            <v>351760</v>
          </cell>
          <cell r="M127">
            <v>614211</v>
          </cell>
          <cell r="N127">
            <v>110540</v>
          </cell>
          <cell r="O127">
            <v>0</v>
          </cell>
          <cell r="P127">
            <v>724751</v>
          </cell>
          <cell r="Q127">
            <v>462300</v>
          </cell>
          <cell r="R127">
            <v>1327687</v>
          </cell>
        </row>
        <row r="128">
          <cell r="F128" t="str">
            <v>SB22532</v>
          </cell>
          <cell r="G128">
            <v>0</v>
          </cell>
          <cell r="H128">
            <v>337700</v>
          </cell>
          <cell r="I128">
            <v>-337700</v>
          </cell>
          <cell r="J128">
            <v>0</v>
          </cell>
          <cell r="K128">
            <v>0</v>
          </cell>
          <cell r="L128">
            <v>0</v>
          </cell>
          <cell r="M128">
            <v>255000</v>
          </cell>
          <cell r="N128">
            <v>-255000</v>
          </cell>
          <cell r="O128">
            <v>0</v>
          </cell>
          <cell r="P128">
            <v>0</v>
          </cell>
          <cell r="Q128">
            <v>-255000</v>
          </cell>
          <cell r="R128">
            <v>0</v>
          </cell>
        </row>
        <row r="129">
          <cell r="F129" t="str">
            <v>SB22529</v>
          </cell>
          <cell r="G129">
            <v>86020</v>
          </cell>
          <cell r="H129">
            <v>656271</v>
          </cell>
          <cell r="I129">
            <v>-656271</v>
          </cell>
          <cell r="J129">
            <v>0</v>
          </cell>
          <cell r="K129">
            <v>0</v>
          </cell>
          <cell r="L129">
            <v>0</v>
          </cell>
          <cell r="M129">
            <v>490814</v>
          </cell>
          <cell r="N129">
            <v>-490814</v>
          </cell>
          <cell r="O129">
            <v>0</v>
          </cell>
          <cell r="P129">
            <v>0</v>
          </cell>
          <cell r="Q129">
            <v>-490814</v>
          </cell>
          <cell r="R129">
            <v>86020</v>
          </cell>
        </row>
        <row r="130">
          <cell r="F130" t="str">
            <v>SB22526</v>
          </cell>
          <cell r="G130">
            <v>121792</v>
          </cell>
          <cell r="H130">
            <v>121792</v>
          </cell>
          <cell r="I130">
            <v>-115008</v>
          </cell>
          <cell r="J130">
            <v>0</v>
          </cell>
          <cell r="K130">
            <v>6784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121792</v>
          </cell>
        </row>
        <row r="131">
          <cell r="F131" t="str">
            <v>SB22527</v>
          </cell>
          <cell r="G131">
            <v>0</v>
          </cell>
          <cell r="H131">
            <v>284211</v>
          </cell>
          <cell r="I131">
            <v>-284211</v>
          </cell>
          <cell r="J131">
            <v>0</v>
          </cell>
          <cell r="K131">
            <v>0</v>
          </cell>
          <cell r="L131">
            <v>175000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175000</v>
          </cell>
          <cell r="R131">
            <v>-175000</v>
          </cell>
        </row>
        <row r="132">
          <cell r="F132" t="str">
            <v>SB22524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22800</v>
          </cell>
          <cell r="N132">
            <v>-22800</v>
          </cell>
          <cell r="O132">
            <v>0</v>
          </cell>
          <cell r="P132">
            <v>0</v>
          </cell>
          <cell r="Q132">
            <v>-22800</v>
          </cell>
          <cell r="R132">
            <v>0</v>
          </cell>
        </row>
        <row r="133">
          <cell r="F133" t="str">
            <v>SB22523</v>
          </cell>
          <cell r="G133">
            <v>186450</v>
          </cell>
          <cell r="H133">
            <v>186450</v>
          </cell>
          <cell r="I133">
            <v>-186450</v>
          </cell>
          <cell r="J133">
            <v>0</v>
          </cell>
          <cell r="K133">
            <v>0</v>
          </cell>
          <cell r="L133">
            <v>0</v>
          </cell>
          <cell r="M133">
            <v>15000</v>
          </cell>
          <cell r="N133">
            <v>-15000</v>
          </cell>
          <cell r="O133">
            <v>0</v>
          </cell>
          <cell r="P133">
            <v>0</v>
          </cell>
          <cell r="Q133">
            <v>-15000</v>
          </cell>
          <cell r="R133">
            <v>186450</v>
          </cell>
        </row>
        <row r="134">
          <cell r="F134" t="str">
            <v>SB22520</v>
          </cell>
          <cell r="G134">
            <v>0</v>
          </cell>
          <cell r="H134">
            <v>197144</v>
          </cell>
          <cell r="I134">
            <v>0</v>
          </cell>
          <cell r="J134">
            <v>0</v>
          </cell>
          <cell r="K134">
            <v>197144</v>
          </cell>
          <cell r="L134">
            <v>88880</v>
          </cell>
          <cell r="M134">
            <v>126380</v>
          </cell>
          <cell r="N134">
            <v>27392.32</v>
          </cell>
          <cell r="O134">
            <v>0</v>
          </cell>
          <cell r="P134">
            <v>153772.32</v>
          </cell>
          <cell r="Q134">
            <v>116272.32</v>
          </cell>
          <cell r="R134">
            <v>-88880</v>
          </cell>
        </row>
        <row r="135">
          <cell r="F135" t="str">
            <v>SB22517</v>
          </cell>
          <cell r="G135">
            <v>1200000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1200000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1200000</v>
          </cell>
          <cell r="R135">
            <v>0</v>
          </cell>
        </row>
        <row r="136">
          <cell r="F136" t="str">
            <v>SB22518</v>
          </cell>
          <cell r="G136">
            <v>0</v>
          </cell>
          <cell r="H136">
            <v>17248</v>
          </cell>
          <cell r="I136">
            <v>-17248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F137" t="str">
            <v>SB22516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-126201.2</v>
          </cell>
          <cell r="O137">
            <v>0</v>
          </cell>
          <cell r="P137">
            <v>-126201.2</v>
          </cell>
          <cell r="Q137">
            <v>-126201.2</v>
          </cell>
          <cell r="R137">
            <v>0</v>
          </cell>
        </row>
        <row r="138">
          <cell r="F138" t="str">
            <v>SB22513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41100</v>
          </cell>
          <cell r="M138">
            <v>59695</v>
          </cell>
          <cell r="N138">
            <v>-59695</v>
          </cell>
          <cell r="O138">
            <v>0</v>
          </cell>
          <cell r="P138">
            <v>0</v>
          </cell>
          <cell r="Q138">
            <v>-18595</v>
          </cell>
          <cell r="R138">
            <v>-41100</v>
          </cell>
        </row>
        <row r="139">
          <cell r="F139" t="str">
            <v>SB22512</v>
          </cell>
          <cell r="G139">
            <v>1000000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559134.47</v>
          </cell>
          <cell r="N139">
            <v>-559134.47</v>
          </cell>
          <cell r="O139">
            <v>0</v>
          </cell>
          <cell r="P139">
            <v>0</v>
          </cell>
          <cell r="Q139">
            <v>-559134.47</v>
          </cell>
          <cell r="R139">
            <v>1000000</v>
          </cell>
        </row>
        <row r="140">
          <cell r="F140" t="str">
            <v>SB22508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10000</v>
          </cell>
          <cell r="M140">
            <v>24024</v>
          </cell>
          <cell r="N140">
            <v>-23884</v>
          </cell>
          <cell r="O140">
            <v>0</v>
          </cell>
          <cell r="P140">
            <v>140</v>
          </cell>
          <cell r="Q140">
            <v>-13884</v>
          </cell>
          <cell r="R140">
            <v>-10000</v>
          </cell>
        </row>
        <row r="141">
          <cell r="F141" t="str">
            <v>SB22511</v>
          </cell>
          <cell r="G141">
            <v>1456383.5</v>
          </cell>
          <cell r="H141">
            <v>1456383.5</v>
          </cell>
          <cell r="I141">
            <v>943616.5</v>
          </cell>
          <cell r="J141">
            <v>0</v>
          </cell>
          <cell r="K141">
            <v>2400000</v>
          </cell>
          <cell r="L141">
            <v>1051839.85</v>
          </cell>
          <cell r="M141">
            <v>1036880.09</v>
          </cell>
          <cell r="N141">
            <v>763119.91</v>
          </cell>
          <cell r="O141">
            <v>0</v>
          </cell>
          <cell r="P141">
            <v>1800000</v>
          </cell>
          <cell r="Q141">
            <v>1814959.76</v>
          </cell>
          <cell r="R141">
            <v>404543.65</v>
          </cell>
        </row>
        <row r="142">
          <cell r="F142" t="str">
            <v>SB22504</v>
          </cell>
          <cell r="G142">
            <v>0</v>
          </cell>
          <cell r="H142">
            <v>0</v>
          </cell>
          <cell r="I142">
            <v>290</v>
          </cell>
          <cell r="J142">
            <v>0</v>
          </cell>
          <cell r="K142">
            <v>290</v>
          </cell>
          <cell r="L142">
            <v>0</v>
          </cell>
          <cell r="M142">
            <v>8391</v>
          </cell>
          <cell r="N142">
            <v>-8391</v>
          </cell>
          <cell r="O142">
            <v>0</v>
          </cell>
          <cell r="P142">
            <v>0</v>
          </cell>
          <cell r="Q142">
            <v>-8391</v>
          </cell>
          <cell r="R142">
            <v>0</v>
          </cell>
        </row>
        <row r="143">
          <cell r="F143" t="str">
            <v>SB22503</v>
          </cell>
          <cell r="G143">
            <v>500000</v>
          </cell>
          <cell r="H143">
            <v>2500043</v>
          </cell>
          <cell r="I143">
            <v>-2500000</v>
          </cell>
          <cell r="J143">
            <v>0</v>
          </cell>
          <cell r="K143">
            <v>43</v>
          </cell>
          <cell r="L143">
            <v>0</v>
          </cell>
          <cell r="M143">
            <v>1100000</v>
          </cell>
          <cell r="N143">
            <v>-1100000</v>
          </cell>
          <cell r="O143">
            <v>0</v>
          </cell>
          <cell r="P143">
            <v>0</v>
          </cell>
          <cell r="Q143">
            <v>-1100000</v>
          </cell>
          <cell r="R143">
            <v>500000</v>
          </cell>
        </row>
        <row r="144">
          <cell r="F144" t="str">
            <v>SB22501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180000</v>
          </cell>
          <cell r="N144">
            <v>-180000</v>
          </cell>
          <cell r="O144">
            <v>0</v>
          </cell>
          <cell r="P144">
            <v>0</v>
          </cell>
          <cell r="Q144">
            <v>-180000</v>
          </cell>
          <cell r="R144">
            <v>0</v>
          </cell>
        </row>
        <row r="145">
          <cell r="F145" t="str">
            <v>SB22500</v>
          </cell>
          <cell r="G145">
            <v>0</v>
          </cell>
          <cell r="H145">
            <v>0</v>
          </cell>
          <cell r="I145">
            <v>-7894260</v>
          </cell>
          <cell r="J145">
            <v>0</v>
          </cell>
          <cell r="K145">
            <v>-7894260</v>
          </cell>
          <cell r="L145">
            <v>982055.76</v>
          </cell>
          <cell r="M145">
            <v>4785048.76</v>
          </cell>
          <cell r="N145">
            <v>-4735048.76</v>
          </cell>
          <cell r="O145">
            <v>-50000</v>
          </cell>
          <cell r="P145">
            <v>0</v>
          </cell>
          <cell r="Q145">
            <v>-3802993</v>
          </cell>
          <cell r="R145">
            <v>-982055.76</v>
          </cell>
        </row>
        <row r="146">
          <cell r="F146" t="str">
            <v>SB22502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142768</v>
          </cell>
          <cell r="M146">
            <v>428608.3</v>
          </cell>
          <cell r="N146">
            <v>-486500</v>
          </cell>
          <cell r="O146">
            <v>0</v>
          </cell>
          <cell r="P146">
            <v>-57891.7</v>
          </cell>
          <cell r="Q146">
            <v>-343732</v>
          </cell>
          <cell r="R146">
            <v>-142768</v>
          </cell>
        </row>
        <row r="147">
          <cell r="F147" t="str">
            <v>SB22498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99741.6</v>
          </cell>
          <cell r="M147">
            <v>119741.6</v>
          </cell>
          <cell r="N147">
            <v>-119741</v>
          </cell>
          <cell r="O147">
            <v>0</v>
          </cell>
          <cell r="P147">
            <v>0.6</v>
          </cell>
          <cell r="Q147">
            <v>-19999.4</v>
          </cell>
          <cell r="R147">
            <v>-99741.6</v>
          </cell>
        </row>
        <row r="148">
          <cell r="F148" t="str">
            <v>SB22495</v>
          </cell>
          <cell r="G148">
            <v>2741972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658382</v>
          </cell>
          <cell r="N148">
            <v>-657910</v>
          </cell>
          <cell r="O148">
            <v>0</v>
          </cell>
          <cell r="P148">
            <v>472</v>
          </cell>
          <cell r="Q148">
            <v>-657910</v>
          </cell>
          <cell r="R148">
            <v>2741972</v>
          </cell>
        </row>
        <row r="149">
          <cell r="F149" t="str">
            <v>SB22492</v>
          </cell>
          <cell r="G149">
            <v>0</v>
          </cell>
          <cell r="H149">
            <v>1920687</v>
          </cell>
          <cell r="I149">
            <v>-1871000</v>
          </cell>
          <cell r="J149">
            <v>0</v>
          </cell>
          <cell r="K149">
            <v>49687</v>
          </cell>
          <cell r="L149">
            <v>745579</v>
          </cell>
          <cell r="M149">
            <v>1222217.48</v>
          </cell>
          <cell r="N149">
            <v>-779853.52</v>
          </cell>
          <cell r="O149">
            <v>-200000</v>
          </cell>
          <cell r="P149">
            <v>242363.96</v>
          </cell>
          <cell r="Q149">
            <v>-234274.52</v>
          </cell>
          <cell r="R149">
            <v>-745579</v>
          </cell>
        </row>
        <row r="150">
          <cell r="F150" t="str">
            <v>SB22494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26000</v>
          </cell>
          <cell r="N150">
            <v>-26000</v>
          </cell>
          <cell r="O150">
            <v>0</v>
          </cell>
          <cell r="P150">
            <v>0</v>
          </cell>
          <cell r="Q150">
            <v>-26000</v>
          </cell>
          <cell r="R150">
            <v>0</v>
          </cell>
        </row>
        <row r="151">
          <cell r="F151" t="str">
            <v>SB22491</v>
          </cell>
          <cell r="G151">
            <v>800166</v>
          </cell>
          <cell r="H151">
            <v>15800720</v>
          </cell>
          <cell r="I151">
            <v>-14900720.39</v>
          </cell>
          <cell r="J151">
            <v>0</v>
          </cell>
          <cell r="K151">
            <v>899999.61</v>
          </cell>
          <cell r="L151">
            <v>2378944.5</v>
          </cell>
          <cell r="M151">
            <v>6289754.67</v>
          </cell>
          <cell r="N151">
            <v>-5959838.19</v>
          </cell>
          <cell r="O151">
            <v>0</v>
          </cell>
          <cell r="P151">
            <v>329916.48</v>
          </cell>
          <cell r="Q151">
            <v>-3580893.69</v>
          </cell>
          <cell r="R151">
            <v>-1578778.5</v>
          </cell>
        </row>
        <row r="152">
          <cell r="F152" t="str">
            <v>SB22488</v>
          </cell>
          <cell r="G152">
            <v>0</v>
          </cell>
          <cell r="H152">
            <v>339093</v>
          </cell>
          <cell r="I152">
            <v>-339093</v>
          </cell>
          <cell r="J152">
            <v>0</v>
          </cell>
          <cell r="K152">
            <v>0</v>
          </cell>
          <cell r="L152">
            <v>0</v>
          </cell>
          <cell r="M152">
            <v>58820</v>
          </cell>
          <cell r="N152">
            <v>-58820</v>
          </cell>
          <cell r="O152">
            <v>0</v>
          </cell>
          <cell r="P152">
            <v>0</v>
          </cell>
          <cell r="Q152">
            <v>-58820</v>
          </cell>
          <cell r="R152">
            <v>0</v>
          </cell>
        </row>
        <row r="153">
          <cell r="F153" t="str">
            <v>SB22487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36830</v>
          </cell>
          <cell r="N153">
            <v>-36830</v>
          </cell>
          <cell r="O153">
            <v>0</v>
          </cell>
          <cell r="P153">
            <v>0</v>
          </cell>
          <cell r="Q153">
            <v>-36830</v>
          </cell>
          <cell r="R153">
            <v>0</v>
          </cell>
        </row>
        <row r="154">
          <cell r="F154" t="str">
            <v>SB22483</v>
          </cell>
          <cell r="G154">
            <v>0</v>
          </cell>
          <cell r="H154">
            <v>2475150</v>
          </cell>
          <cell r="I154">
            <v>-2475150</v>
          </cell>
          <cell r="J154">
            <v>0</v>
          </cell>
          <cell r="K154">
            <v>0</v>
          </cell>
          <cell r="L154">
            <v>0</v>
          </cell>
          <cell r="M154">
            <v>187950</v>
          </cell>
          <cell r="N154">
            <v>-187950</v>
          </cell>
          <cell r="O154">
            <v>0</v>
          </cell>
          <cell r="P154">
            <v>0</v>
          </cell>
          <cell r="Q154">
            <v>-187950</v>
          </cell>
          <cell r="R154">
            <v>0</v>
          </cell>
        </row>
        <row r="155">
          <cell r="F155" t="str">
            <v>SB22325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263100</v>
          </cell>
          <cell r="N155">
            <v>-263100</v>
          </cell>
          <cell r="O155">
            <v>0</v>
          </cell>
          <cell r="P155">
            <v>0</v>
          </cell>
          <cell r="Q155">
            <v>-263100</v>
          </cell>
          <cell r="R155">
            <v>0</v>
          </cell>
        </row>
        <row r="156">
          <cell r="F156" t="str">
            <v>SB22479</v>
          </cell>
          <cell r="G156">
            <v>0</v>
          </cell>
          <cell r="H156">
            <v>0</v>
          </cell>
          <cell r="I156">
            <v>-3554369.5</v>
          </cell>
          <cell r="J156">
            <v>0</v>
          </cell>
          <cell r="K156">
            <v>-3554369.5</v>
          </cell>
          <cell r="L156">
            <v>2623008.77</v>
          </cell>
          <cell r="M156">
            <v>1942440</v>
          </cell>
          <cell r="N156">
            <v>-1942440</v>
          </cell>
          <cell r="O156">
            <v>0</v>
          </cell>
          <cell r="P156">
            <v>0</v>
          </cell>
          <cell r="Q156">
            <v>680568.77</v>
          </cell>
          <cell r="R156">
            <v>-2623008.77</v>
          </cell>
        </row>
        <row r="157">
          <cell r="F157" t="str">
            <v>SB22477</v>
          </cell>
          <cell r="G157">
            <v>0</v>
          </cell>
          <cell r="H157">
            <v>0</v>
          </cell>
          <cell r="I157">
            <v>-1568753</v>
          </cell>
          <cell r="J157">
            <v>0</v>
          </cell>
          <cell r="K157">
            <v>-1568753</v>
          </cell>
          <cell r="L157">
            <v>745067.14</v>
          </cell>
          <cell r="M157">
            <v>1211651.14</v>
          </cell>
          <cell r="N157">
            <v>-1211650</v>
          </cell>
          <cell r="O157">
            <v>0</v>
          </cell>
          <cell r="P157">
            <v>1.14</v>
          </cell>
          <cell r="Q157">
            <v>-466582.86</v>
          </cell>
          <cell r="R157">
            <v>-745067.14</v>
          </cell>
        </row>
        <row r="158">
          <cell r="F158" t="str">
            <v>SB22471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45451</v>
          </cell>
          <cell r="M158">
            <v>102685</v>
          </cell>
          <cell r="N158">
            <v>-102685</v>
          </cell>
          <cell r="O158">
            <v>0</v>
          </cell>
          <cell r="P158">
            <v>0</v>
          </cell>
          <cell r="Q158">
            <v>-57234</v>
          </cell>
          <cell r="R158">
            <v>-45451</v>
          </cell>
        </row>
        <row r="159">
          <cell r="F159" t="str">
            <v>SB22475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1312055</v>
          </cell>
          <cell r="N159">
            <v>-1312055</v>
          </cell>
          <cell r="O159">
            <v>0</v>
          </cell>
          <cell r="P159">
            <v>0</v>
          </cell>
          <cell r="Q159">
            <v>-1312055</v>
          </cell>
          <cell r="R159">
            <v>0</v>
          </cell>
        </row>
        <row r="160">
          <cell r="F160" t="str">
            <v>SB22470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33353</v>
          </cell>
          <cell r="N160">
            <v>-33353</v>
          </cell>
          <cell r="O160">
            <v>0</v>
          </cell>
          <cell r="P160">
            <v>0</v>
          </cell>
          <cell r="Q160">
            <v>-33353</v>
          </cell>
          <cell r="R160">
            <v>0</v>
          </cell>
        </row>
        <row r="161">
          <cell r="F161" t="str">
            <v>SB22469</v>
          </cell>
          <cell r="G161">
            <v>1142097</v>
          </cell>
          <cell r="H161">
            <v>3631001</v>
          </cell>
          <cell r="I161">
            <v>-3602429.6</v>
          </cell>
          <cell r="J161">
            <v>0</v>
          </cell>
          <cell r="K161">
            <v>28571.4</v>
          </cell>
          <cell r="L161">
            <v>838510</v>
          </cell>
          <cell r="M161">
            <v>2261631</v>
          </cell>
          <cell r="N161">
            <v>-3090870.27</v>
          </cell>
          <cell r="O161">
            <v>0</v>
          </cell>
          <cell r="P161">
            <v>-829239.27</v>
          </cell>
          <cell r="Q161">
            <v>-2252360.27</v>
          </cell>
          <cell r="R161">
            <v>303587</v>
          </cell>
        </row>
        <row r="162">
          <cell r="F162" t="str">
            <v>SB22465</v>
          </cell>
          <cell r="G162">
            <v>0</v>
          </cell>
          <cell r="H162">
            <v>2500000</v>
          </cell>
          <cell r="I162">
            <v>-2500000</v>
          </cell>
          <cell r="J162">
            <v>0</v>
          </cell>
          <cell r="K162">
            <v>0</v>
          </cell>
          <cell r="L162">
            <v>0</v>
          </cell>
          <cell r="M162">
            <v>11000</v>
          </cell>
          <cell r="N162">
            <v>-156000</v>
          </cell>
          <cell r="O162">
            <v>0</v>
          </cell>
          <cell r="P162">
            <v>-145000</v>
          </cell>
          <cell r="Q162">
            <v>-156000</v>
          </cell>
          <cell r="R162">
            <v>0</v>
          </cell>
        </row>
        <row r="163">
          <cell r="F163" t="str">
            <v>SB22460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55000</v>
          </cell>
          <cell r="N163">
            <v>-55000</v>
          </cell>
          <cell r="O163">
            <v>0</v>
          </cell>
          <cell r="P163">
            <v>0</v>
          </cell>
          <cell r="Q163">
            <v>-55000</v>
          </cell>
          <cell r="R163">
            <v>0</v>
          </cell>
        </row>
        <row r="164">
          <cell r="F164" t="str">
            <v>SB22461</v>
          </cell>
          <cell r="G164">
            <v>0</v>
          </cell>
          <cell r="H164">
            <v>0</v>
          </cell>
          <cell r="I164">
            <v>-3011623.2</v>
          </cell>
          <cell r="J164">
            <v>0</v>
          </cell>
          <cell r="K164">
            <v>-3011623.2</v>
          </cell>
          <cell r="L164">
            <v>827000</v>
          </cell>
          <cell r="M164">
            <v>5690525</v>
          </cell>
          <cell r="N164">
            <v>-5660425</v>
          </cell>
          <cell r="O164">
            <v>-6500</v>
          </cell>
          <cell r="P164">
            <v>23600</v>
          </cell>
          <cell r="Q164">
            <v>-4839925</v>
          </cell>
          <cell r="R164">
            <v>-827000</v>
          </cell>
        </row>
        <row r="165">
          <cell r="F165" t="str">
            <v>SB22456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145000</v>
          </cell>
          <cell r="N165">
            <v>0</v>
          </cell>
          <cell r="O165">
            <v>0</v>
          </cell>
          <cell r="P165">
            <v>145000</v>
          </cell>
          <cell r="Q165">
            <v>0</v>
          </cell>
          <cell r="R165">
            <v>0</v>
          </cell>
        </row>
        <row r="166">
          <cell r="F166" t="str">
            <v>SB22453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</row>
        <row r="167">
          <cell r="F167" t="str">
            <v>SB22455</v>
          </cell>
          <cell r="G167">
            <v>0</v>
          </cell>
          <cell r="H167">
            <v>14000000</v>
          </cell>
          <cell r="I167">
            <v>-14000000</v>
          </cell>
          <cell r="J167">
            <v>0</v>
          </cell>
          <cell r="K167">
            <v>0</v>
          </cell>
          <cell r="L167">
            <v>150000</v>
          </cell>
          <cell r="M167">
            <v>2044032</v>
          </cell>
          <cell r="N167">
            <v>-3294032</v>
          </cell>
          <cell r="O167">
            <v>0</v>
          </cell>
          <cell r="P167">
            <v>-1250000</v>
          </cell>
          <cell r="Q167">
            <v>-3144032</v>
          </cell>
          <cell r="R167">
            <v>-150000</v>
          </cell>
        </row>
        <row r="168">
          <cell r="F168" t="str">
            <v>SB22451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585000.79</v>
          </cell>
          <cell r="N168">
            <v>-585000.79</v>
          </cell>
          <cell r="O168">
            <v>0</v>
          </cell>
          <cell r="P168">
            <v>0</v>
          </cell>
          <cell r="Q168">
            <v>-585000.79</v>
          </cell>
          <cell r="R168">
            <v>0</v>
          </cell>
        </row>
        <row r="169">
          <cell r="F169" t="str">
            <v>SB22448</v>
          </cell>
          <cell r="G169">
            <v>0</v>
          </cell>
          <cell r="H169">
            <v>0</v>
          </cell>
          <cell r="I169">
            <v>-928816</v>
          </cell>
          <cell r="J169">
            <v>0</v>
          </cell>
          <cell r="K169">
            <v>-928816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F170" t="str">
            <v>SB22449</v>
          </cell>
          <cell r="G170">
            <v>399072.26</v>
          </cell>
          <cell r="H170">
            <v>399072.26</v>
          </cell>
          <cell r="I170">
            <v>0</v>
          </cell>
          <cell r="J170">
            <v>-399072.26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399072.26</v>
          </cell>
        </row>
        <row r="171">
          <cell r="F171" t="str">
            <v>SB22446</v>
          </cell>
          <cell r="G171">
            <v>207625</v>
          </cell>
          <cell r="H171">
            <v>1668425</v>
          </cell>
          <cell r="I171">
            <v>-1668425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207625</v>
          </cell>
        </row>
        <row r="172">
          <cell r="F172" t="str">
            <v>SB22445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15407</v>
          </cell>
          <cell r="N172">
            <v>-15407</v>
          </cell>
          <cell r="O172">
            <v>0</v>
          </cell>
          <cell r="P172">
            <v>0</v>
          </cell>
          <cell r="Q172">
            <v>-15407</v>
          </cell>
          <cell r="R172">
            <v>0</v>
          </cell>
        </row>
        <row r="173">
          <cell r="F173" t="str">
            <v>SB22443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14500</v>
          </cell>
          <cell r="N173">
            <v>-14500</v>
          </cell>
          <cell r="O173">
            <v>0</v>
          </cell>
          <cell r="P173">
            <v>0</v>
          </cell>
          <cell r="Q173">
            <v>-14500</v>
          </cell>
          <cell r="R173">
            <v>0</v>
          </cell>
        </row>
        <row r="174">
          <cell r="F174" t="str">
            <v>SB22444</v>
          </cell>
          <cell r="G174">
            <v>175142</v>
          </cell>
          <cell r="H174">
            <v>175142</v>
          </cell>
          <cell r="I174">
            <v>-175142</v>
          </cell>
          <cell r="J174">
            <v>0</v>
          </cell>
          <cell r="K174">
            <v>0</v>
          </cell>
          <cell r="L174">
            <v>140066</v>
          </cell>
          <cell r="M174">
            <v>192445</v>
          </cell>
          <cell r="N174">
            <v>-192445</v>
          </cell>
          <cell r="O174">
            <v>0</v>
          </cell>
          <cell r="P174">
            <v>0</v>
          </cell>
          <cell r="Q174">
            <v>-52379</v>
          </cell>
          <cell r="R174">
            <v>35076</v>
          </cell>
        </row>
        <row r="175">
          <cell r="F175" t="str">
            <v>SB22439</v>
          </cell>
          <cell r="G175">
            <v>0</v>
          </cell>
          <cell r="H175">
            <v>0</v>
          </cell>
          <cell r="I175">
            <v>1232800</v>
          </cell>
          <cell r="J175">
            <v>0</v>
          </cell>
          <cell r="K175">
            <v>1232800</v>
          </cell>
          <cell r="L175">
            <v>54100</v>
          </cell>
          <cell r="M175">
            <v>54100</v>
          </cell>
          <cell r="N175">
            <v>907484</v>
          </cell>
          <cell r="O175">
            <v>0</v>
          </cell>
          <cell r="P175">
            <v>961584</v>
          </cell>
          <cell r="Q175">
            <v>961584</v>
          </cell>
          <cell r="R175">
            <v>-54100</v>
          </cell>
        </row>
        <row r="176">
          <cell r="F176" t="str">
            <v>SB22437</v>
          </cell>
          <cell r="G176">
            <v>0</v>
          </cell>
          <cell r="H176">
            <v>5855518</v>
          </cell>
          <cell r="I176">
            <v>0</v>
          </cell>
          <cell r="J176">
            <v>0</v>
          </cell>
          <cell r="K176">
            <v>5855518</v>
          </cell>
          <cell r="L176">
            <v>944609.45</v>
          </cell>
          <cell r="M176">
            <v>1073620.06</v>
          </cell>
          <cell r="N176">
            <v>2932529.94</v>
          </cell>
          <cell r="O176">
            <v>-6150</v>
          </cell>
          <cell r="P176">
            <v>4000000</v>
          </cell>
          <cell r="Q176">
            <v>3870989.39</v>
          </cell>
          <cell r="R176">
            <v>-944609.45</v>
          </cell>
        </row>
        <row r="177">
          <cell r="F177" t="str">
            <v>SB22433</v>
          </cell>
          <cell r="G177">
            <v>317178.4</v>
          </cell>
          <cell r="H177">
            <v>317178.4</v>
          </cell>
          <cell r="I177">
            <v>-317178</v>
          </cell>
          <cell r="J177">
            <v>0</v>
          </cell>
          <cell r="K177">
            <v>0.4</v>
          </cell>
          <cell r="L177">
            <v>0</v>
          </cell>
          <cell r="M177">
            <v>58437.5</v>
          </cell>
          <cell r="N177">
            <v>-58437.5</v>
          </cell>
          <cell r="O177">
            <v>0</v>
          </cell>
          <cell r="P177">
            <v>0</v>
          </cell>
          <cell r="Q177">
            <v>-58437.5</v>
          </cell>
          <cell r="R177">
            <v>317178.4</v>
          </cell>
        </row>
        <row r="178">
          <cell r="F178" t="str">
            <v>SB22428</v>
          </cell>
          <cell r="G178">
            <v>5492385.06</v>
          </cell>
          <cell r="H178">
            <v>5492385.06</v>
          </cell>
          <cell r="I178">
            <v>-5492385.06</v>
          </cell>
          <cell r="J178">
            <v>0</v>
          </cell>
          <cell r="K178">
            <v>0</v>
          </cell>
          <cell r="L178">
            <v>0</v>
          </cell>
          <cell r="M178">
            <v>350000</v>
          </cell>
          <cell r="N178">
            <v>-350000</v>
          </cell>
          <cell r="O178">
            <v>0</v>
          </cell>
          <cell r="P178">
            <v>0</v>
          </cell>
          <cell r="Q178">
            <v>-350000</v>
          </cell>
          <cell r="R178">
            <v>5492385.06</v>
          </cell>
        </row>
        <row r="179">
          <cell r="F179" t="str">
            <v>SB22424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34233</v>
          </cell>
          <cell r="O179">
            <v>-126649</v>
          </cell>
          <cell r="P179">
            <v>-92416</v>
          </cell>
          <cell r="Q179">
            <v>-92416</v>
          </cell>
          <cell r="R179">
            <v>0</v>
          </cell>
        </row>
        <row r="180">
          <cell r="F180" t="str">
            <v>SB22417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110000</v>
          </cell>
          <cell r="N180">
            <v>-110000</v>
          </cell>
          <cell r="O180">
            <v>0</v>
          </cell>
          <cell r="P180">
            <v>0</v>
          </cell>
          <cell r="Q180">
            <v>-110000</v>
          </cell>
          <cell r="R180">
            <v>0</v>
          </cell>
        </row>
        <row r="181">
          <cell r="F181" t="str">
            <v>SB22416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6000</v>
          </cell>
          <cell r="N181">
            <v>-6000</v>
          </cell>
          <cell r="O181">
            <v>0</v>
          </cell>
          <cell r="P181">
            <v>0</v>
          </cell>
          <cell r="Q181">
            <v>-6000</v>
          </cell>
          <cell r="R181">
            <v>0</v>
          </cell>
        </row>
        <row r="182">
          <cell r="F182" t="str">
            <v>SB22414</v>
          </cell>
          <cell r="G182">
            <v>250000</v>
          </cell>
          <cell r="H182">
            <v>250000</v>
          </cell>
          <cell r="I182">
            <v>-250000</v>
          </cell>
          <cell r="J182">
            <v>0</v>
          </cell>
          <cell r="K182">
            <v>0</v>
          </cell>
          <cell r="L182">
            <v>0</v>
          </cell>
          <cell r="M182">
            <v>1139500</v>
          </cell>
          <cell r="N182">
            <v>-1139500</v>
          </cell>
          <cell r="O182">
            <v>0</v>
          </cell>
          <cell r="P182">
            <v>0</v>
          </cell>
          <cell r="Q182">
            <v>-1139500</v>
          </cell>
          <cell r="R182">
            <v>250000</v>
          </cell>
        </row>
        <row r="183">
          <cell r="F183" t="str">
            <v>SB22411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7552</v>
          </cell>
          <cell r="N183">
            <v>-7552</v>
          </cell>
          <cell r="O183">
            <v>0</v>
          </cell>
          <cell r="P183">
            <v>0</v>
          </cell>
          <cell r="Q183">
            <v>-7552</v>
          </cell>
          <cell r="R183">
            <v>0</v>
          </cell>
        </row>
        <row r="184">
          <cell r="F184" t="str">
            <v>SB22410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40000</v>
          </cell>
          <cell r="N184">
            <v>-40000</v>
          </cell>
          <cell r="O184">
            <v>0</v>
          </cell>
          <cell r="P184">
            <v>0</v>
          </cell>
          <cell r="Q184">
            <v>-40000</v>
          </cell>
          <cell r="R184">
            <v>0</v>
          </cell>
        </row>
        <row r="185">
          <cell r="F185" t="str">
            <v>SB22405</v>
          </cell>
          <cell r="G185">
            <v>0</v>
          </cell>
          <cell r="H185">
            <v>5313598</v>
          </cell>
          <cell r="I185">
            <v>-5313598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</row>
        <row r="186">
          <cell r="F186" t="str">
            <v>SB22404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10725</v>
          </cell>
          <cell r="N186">
            <v>-10725</v>
          </cell>
          <cell r="O186">
            <v>0</v>
          </cell>
          <cell r="P186">
            <v>0</v>
          </cell>
          <cell r="Q186">
            <v>-10725</v>
          </cell>
          <cell r="R186">
            <v>0</v>
          </cell>
        </row>
        <row r="187">
          <cell r="F187" t="str">
            <v>SB22400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1399430</v>
          </cell>
          <cell r="M187">
            <v>261201</v>
          </cell>
          <cell r="N187">
            <v>-250771</v>
          </cell>
          <cell r="O187">
            <v>0</v>
          </cell>
          <cell r="P187">
            <v>10430</v>
          </cell>
          <cell r="Q187">
            <v>1148659</v>
          </cell>
          <cell r="R187">
            <v>-1399430</v>
          </cell>
        </row>
        <row r="188">
          <cell r="F188" t="str">
            <v>SB22401</v>
          </cell>
          <cell r="G188">
            <v>0</v>
          </cell>
          <cell r="H188">
            <v>0</v>
          </cell>
          <cell r="I188">
            <v>0</v>
          </cell>
          <cell r="J188">
            <v>-138800</v>
          </cell>
          <cell r="K188">
            <v>-138800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</row>
        <row r="189">
          <cell r="F189" t="str">
            <v>SB22399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12350</v>
          </cell>
          <cell r="N189">
            <v>-12350</v>
          </cell>
          <cell r="O189">
            <v>0</v>
          </cell>
          <cell r="P189">
            <v>0</v>
          </cell>
          <cell r="Q189">
            <v>-12350</v>
          </cell>
          <cell r="R189">
            <v>0</v>
          </cell>
        </row>
        <row r="190">
          <cell r="F190" t="str">
            <v>SB22397</v>
          </cell>
          <cell r="G190">
            <v>0</v>
          </cell>
          <cell r="H190">
            <v>0</v>
          </cell>
          <cell r="I190">
            <v>1263051.28</v>
          </cell>
          <cell r="J190">
            <v>0</v>
          </cell>
          <cell r="K190">
            <v>1263051.28</v>
          </cell>
          <cell r="L190">
            <v>151500</v>
          </cell>
          <cell r="M190">
            <v>151500</v>
          </cell>
          <cell r="N190">
            <v>961551.28</v>
          </cell>
          <cell r="O190">
            <v>0</v>
          </cell>
          <cell r="P190">
            <v>1113051.28</v>
          </cell>
          <cell r="Q190">
            <v>1113051.28</v>
          </cell>
          <cell r="R190">
            <v>-151500</v>
          </cell>
        </row>
        <row r="191">
          <cell r="F191" t="str">
            <v>SB22396</v>
          </cell>
          <cell r="G191">
            <v>3900000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3521618</v>
          </cell>
          <cell r="M191">
            <v>2721802</v>
          </cell>
          <cell r="N191">
            <v>-2721802</v>
          </cell>
          <cell r="O191">
            <v>0</v>
          </cell>
          <cell r="P191">
            <v>0</v>
          </cell>
          <cell r="Q191">
            <v>799816</v>
          </cell>
          <cell r="R191">
            <v>378382</v>
          </cell>
        </row>
        <row r="192">
          <cell r="F192" t="str">
            <v>SB22395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49700</v>
          </cell>
          <cell r="N192">
            <v>-49700</v>
          </cell>
          <cell r="O192">
            <v>0</v>
          </cell>
          <cell r="P192">
            <v>0</v>
          </cell>
          <cell r="Q192">
            <v>-49700</v>
          </cell>
          <cell r="R192">
            <v>0</v>
          </cell>
        </row>
        <row r="193">
          <cell r="F193" t="str">
            <v>SB22392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26000</v>
          </cell>
          <cell r="N193">
            <v>-26000</v>
          </cell>
          <cell r="O193">
            <v>0</v>
          </cell>
          <cell r="P193">
            <v>0</v>
          </cell>
          <cell r="Q193">
            <v>-26000</v>
          </cell>
          <cell r="R193">
            <v>0</v>
          </cell>
        </row>
        <row r="194">
          <cell r="F194" t="str">
            <v>SB22394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39500</v>
          </cell>
          <cell r="N194">
            <v>-39500</v>
          </cell>
          <cell r="O194">
            <v>0</v>
          </cell>
          <cell r="P194">
            <v>0</v>
          </cell>
          <cell r="Q194">
            <v>-39500</v>
          </cell>
          <cell r="R194">
            <v>0</v>
          </cell>
        </row>
        <row r="195">
          <cell r="F195" t="str">
            <v>SB22391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3500</v>
          </cell>
          <cell r="N195">
            <v>-3500</v>
          </cell>
          <cell r="O195">
            <v>0</v>
          </cell>
          <cell r="P195">
            <v>0</v>
          </cell>
          <cell r="Q195">
            <v>-3500</v>
          </cell>
          <cell r="R195">
            <v>0</v>
          </cell>
        </row>
        <row r="196">
          <cell r="F196" t="str">
            <v>SB22387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3500</v>
          </cell>
          <cell r="N196">
            <v>-3500</v>
          </cell>
          <cell r="O196">
            <v>0</v>
          </cell>
          <cell r="P196">
            <v>0</v>
          </cell>
          <cell r="Q196">
            <v>-3500</v>
          </cell>
          <cell r="R196">
            <v>0</v>
          </cell>
        </row>
        <row r="197">
          <cell r="F197" t="str">
            <v>SB22381</v>
          </cell>
          <cell r="G197">
            <v>0</v>
          </cell>
          <cell r="H197">
            <v>0</v>
          </cell>
          <cell r="I197">
            <v>-6623</v>
          </cell>
          <cell r="J197">
            <v>0</v>
          </cell>
          <cell r="K197">
            <v>-6623</v>
          </cell>
          <cell r="L197">
            <v>1153952.5</v>
          </cell>
          <cell r="M197">
            <v>3154805.5</v>
          </cell>
          <cell r="N197">
            <v>-3154806</v>
          </cell>
          <cell r="O197">
            <v>0</v>
          </cell>
          <cell r="P197">
            <v>-0.5</v>
          </cell>
          <cell r="Q197">
            <v>-2000853.5</v>
          </cell>
          <cell r="R197">
            <v>-1153952.5</v>
          </cell>
        </row>
        <row r="198">
          <cell r="F198" t="str">
            <v>SB22376</v>
          </cell>
          <cell r="G198">
            <v>309507</v>
          </cell>
          <cell r="H198">
            <v>309507</v>
          </cell>
          <cell r="I198">
            <v>-326914</v>
          </cell>
          <cell r="J198">
            <v>0</v>
          </cell>
          <cell r="K198">
            <v>-17407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309507</v>
          </cell>
        </row>
        <row r="199">
          <cell r="F199" t="str">
            <v>SB22374</v>
          </cell>
          <cell r="G199">
            <v>522500</v>
          </cell>
          <cell r="H199">
            <v>522500</v>
          </cell>
          <cell r="I199">
            <v>0</v>
          </cell>
          <cell r="J199">
            <v>0</v>
          </cell>
          <cell r="K199">
            <v>522500</v>
          </cell>
          <cell r="L199">
            <v>59205</v>
          </cell>
          <cell r="M199">
            <v>68559</v>
          </cell>
          <cell r="N199">
            <v>131441</v>
          </cell>
          <cell r="O199">
            <v>0</v>
          </cell>
          <cell r="P199">
            <v>200000</v>
          </cell>
          <cell r="Q199">
            <v>190646</v>
          </cell>
          <cell r="R199">
            <v>463295</v>
          </cell>
        </row>
        <row r="200">
          <cell r="F200" t="str">
            <v>SB22375</v>
          </cell>
          <cell r="G200">
            <v>0</v>
          </cell>
          <cell r="H200">
            <v>292464.5</v>
          </cell>
          <cell r="I200">
            <v>-292462</v>
          </cell>
          <cell r="J200">
            <v>0</v>
          </cell>
          <cell r="K200">
            <v>2.5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</row>
        <row r="201">
          <cell r="F201" t="str">
            <v>SB22369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</row>
        <row r="202">
          <cell r="F202" t="str">
            <v>SB22366</v>
          </cell>
          <cell r="G202">
            <v>0</v>
          </cell>
          <cell r="H202">
            <v>308665</v>
          </cell>
          <cell r="I202">
            <v>-308665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</row>
        <row r="203">
          <cell r="F203" t="str">
            <v>SB22363</v>
          </cell>
          <cell r="G203">
            <v>0</v>
          </cell>
          <cell r="H203">
            <v>0</v>
          </cell>
          <cell r="I203">
            <v>-1809610</v>
          </cell>
          <cell r="J203">
            <v>0</v>
          </cell>
          <cell r="K203">
            <v>-1809610</v>
          </cell>
          <cell r="L203">
            <v>0</v>
          </cell>
          <cell r="M203">
            <v>28800</v>
          </cell>
          <cell r="N203">
            <v>-28800</v>
          </cell>
          <cell r="O203">
            <v>0</v>
          </cell>
          <cell r="P203">
            <v>0</v>
          </cell>
          <cell r="Q203">
            <v>-28800</v>
          </cell>
          <cell r="R203">
            <v>0</v>
          </cell>
        </row>
        <row r="204">
          <cell r="F204" t="str">
            <v>SB22356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81200</v>
          </cell>
          <cell r="N204">
            <v>-81200</v>
          </cell>
          <cell r="O204">
            <v>0</v>
          </cell>
          <cell r="P204">
            <v>0</v>
          </cell>
          <cell r="Q204">
            <v>-81200</v>
          </cell>
          <cell r="R204">
            <v>0</v>
          </cell>
        </row>
        <row r="205">
          <cell r="F205" t="str">
            <v>SB22354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32000</v>
          </cell>
          <cell r="N205">
            <v>-32000</v>
          </cell>
          <cell r="O205">
            <v>0</v>
          </cell>
          <cell r="P205">
            <v>0</v>
          </cell>
          <cell r="Q205">
            <v>-32000</v>
          </cell>
          <cell r="R205">
            <v>0</v>
          </cell>
        </row>
        <row r="206">
          <cell r="F206" t="str">
            <v>SB22347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83600</v>
          </cell>
          <cell r="N206">
            <v>-83600</v>
          </cell>
          <cell r="O206">
            <v>0</v>
          </cell>
          <cell r="P206">
            <v>0</v>
          </cell>
          <cell r="Q206">
            <v>-83600</v>
          </cell>
          <cell r="R206">
            <v>0</v>
          </cell>
        </row>
        <row r="207">
          <cell r="F207" t="str">
            <v>SB22344</v>
          </cell>
          <cell r="G207">
            <v>0</v>
          </cell>
          <cell r="H207">
            <v>12321475</v>
          </cell>
          <cell r="I207">
            <v>6346</v>
          </cell>
          <cell r="J207">
            <v>0</v>
          </cell>
          <cell r="K207">
            <v>12327821</v>
          </cell>
          <cell r="L207">
            <v>1441584</v>
          </cell>
          <cell r="M207">
            <v>4949540</v>
          </cell>
          <cell r="N207">
            <v>4987863</v>
          </cell>
          <cell r="O207">
            <v>-37403</v>
          </cell>
          <cell r="P207">
            <v>9900000</v>
          </cell>
          <cell r="Q207">
            <v>6392044</v>
          </cell>
          <cell r="R207">
            <v>-1441584</v>
          </cell>
        </row>
        <row r="208">
          <cell r="F208" t="str">
            <v>SB22343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3075000</v>
          </cell>
          <cell r="N208">
            <v>-3075000</v>
          </cell>
          <cell r="O208">
            <v>0</v>
          </cell>
          <cell r="P208">
            <v>0</v>
          </cell>
          <cell r="Q208">
            <v>-3075000</v>
          </cell>
          <cell r="R208">
            <v>0</v>
          </cell>
        </row>
        <row r="209">
          <cell r="F209" t="str">
            <v>SB22338</v>
          </cell>
          <cell r="G209">
            <v>2000000</v>
          </cell>
          <cell r="H209">
            <v>0</v>
          </cell>
          <cell r="I209">
            <v>2000000</v>
          </cell>
          <cell r="J209">
            <v>0</v>
          </cell>
          <cell r="K209">
            <v>2000000</v>
          </cell>
          <cell r="L209">
            <v>837893.5</v>
          </cell>
          <cell r="M209">
            <v>205612</v>
          </cell>
          <cell r="N209">
            <v>1068006</v>
          </cell>
          <cell r="O209">
            <v>0</v>
          </cell>
          <cell r="P209">
            <v>1273618</v>
          </cell>
          <cell r="Q209">
            <v>1905899.5</v>
          </cell>
          <cell r="R209">
            <v>1162106.5</v>
          </cell>
        </row>
        <row r="210">
          <cell r="F210" t="str">
            <v>SB22332</v>
          </cell>
          <cell r="G210">
            <v>349503</v>
          </cell>
          <cell r="H210">
            <v>349503</v>
          </cell>
          <cell r="I210">
            <v>0</v>
          </cell>
          <cell r="J210">
            <v>0</v>
          </cell>
          <cell r="K210">
            <v>349503</v>
          </cell>
          <cell r="L210">
            <v>58146.67</v>
          </cell>
          <cell r="M210">
            <v>58146.67</v>
          </cell>
          <cell r="N210">
            <v>0</v>
          </cell>
          <cell r="O210">
            <v>-89000</v>
          </cell>
          <cell r="P210">
            <v>-30853.33</v>
          </cell>
          <cell r="Q210">
            <v>-30853.33</v>
          </cell>
          <cell r="R210">
            <v>291356.33</v>
          </cell>
        </row>
        <row r="211">
          <cell r="F211" t="str">
            <v>SB22327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461394</v>
          </cell>
          <cell r="N211">
            <v>-461394</v>
          </cell>
          <cell r="O211">
            <v>0</v>
          </cell>
          <cell r="P211">
            <v>0</v>
          </cell>
          <cell r="Q211">
            <v>-461394</v>
          </cell>
          <cell r="R211">
            <v>0</v>
          </cell>
        </row>
        <row r="212">
          <cell r="F212" t="str">
            <v>SB22329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541000</v>
          </cell>
          <cell r="N212">
            <v>-541000</v>
          </cell>
          <cell r="O212">
            <v>0</v>
          </cell>
          <cell r="P212">
            <v>0</v>
          </cell>
          <cell r="Q212">
            <v>-541000</v>
          </cell>
          <cell r="R212">
            <v>0</v>
          </cell>
        </row>
        <row r="213">
          <cell r="F213" t="str">
            <v>SB22323</v>
          </cell>
          <cell r="G213">
            <v>738000</v>
          </cell>
          <cell r="H213">
            <v>738000</v>
          </cell>
          <cell r="I213">
            <v>0</v>
          </cell>
          <cell r="J213">
            <v>0</v>
          </cell>
          <cell r="K213">
            <v>738000</v>
          </cell>
          <cell r="L213">
            <v>0</v>
          </cell>
          <cell r="M213">
            <v>0</v>
          </cell>
          <cell r="N213">
            <v>575640</v>
          </cell>
          <cell r="O213">
            <v>0</v>
          </cell>
          <cell r="P213">
            <v>575640</v>
          </cell>
          <cell r="Q213">
            <v>575640</v>
          </cell>
          <cell r="R213">
            <v>738000</v>
          </cell>
        </row>
        <row r="214">
          <cell r="F214" t="str">
            <v>SB22326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191318</v>
          </cell>
          <cell r="N214">
            <v>-191318</v>
          </cell>
          <cell r="O214">
            <v>0</v>
          </cell>
          <cell r="P214">
            <v>0</v>
          </cell>
          <cell r="Q214">
            <v>-191318</v>
          </cell>
          <cell r="R214">
            <v>0</v>
          </cell>
        </row>
        <row r="215">
          <cell r="F215" t="str">
            <v>SB22324</v>
          </cell>
          <cell r="G215">
            <v>0</v>
          </cell>
          <cell r="H215">
            <v>1440862</v>
          </cell>
          <cell r="I215">
            <v>-1301935</v>
          </cell>
          <cell r="J215">
            <v>0</v>
          </cell>
          <cell r="K215">
            <v>138927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</row>
        <row r="216">
          <cell r="F216" t="str">
            <v>SB22320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3873219</v>
          </cell>
          <cell r="M216">
            <v>4364828</v>
          </cell>
          <cell r="N216">
            <v>3846672</v>
          </cell>
          <cell r="O216">
            <v>0</v>
          </cell>
          <cell r="P216">
            <v>8211500</v>
          </cell>
          <cell r="Q216">
            <v>7719891</v>
          </cell>
          <cell r="R216">
            <v>-3873219</v>
          </cell>
        </row>
        <row r="217">
          <cell r="F217" t="str">
            <v>SB22321</v>
          </cell>
          <cell r="G217">
            <v>0</v>
          </cell>
          <cell r="H217">
            <v>516000</v>
          </cell>
          <cell r="I217">
            <v>0</v>
          </cell>
          <cell r="J217">
            <v>0</v>
          </cell>
          <cell r="K217">
            <v>516000</v>
          </cell>
          <cell r="L217">
            <v>0</v>
          </cell>
          <cell r="M217">
            <v>0</v>
          </cell>
          <cell r="N217">
            <v>500000</v>
          </cell>
          <cell r="O217">
            <v>0</v>
          </cell>
          <cell r="P217">
            <v>500000</v>
          </cell>
          <cell r="Q217">
            <v>500000</v>
          </cell>
          <cell r="R217">
            <v>0</v>
          </cell>
        </row>
        <row r="218">
          <cell r="F218" t="str">
            <v>SB22318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319500</v>
          </cell>
          <cell r="N218">
            <v>-329500</v>
          </cell>
          <cell r="O218">
            <v>0</v>
          </cell>
          <cell r="P218">
            <v>-10000</v>
          </cell>
          <cell r="Q218">
            <v>-329500</v>
          </cell>
          <cell r="R218">
            <v>0</v>
          </cell>
        </row>
        <row r="219">
          <cell r="F219" t="str">
            <v>SB22319</v>
          </cell>
          <cell r="G219">
            <v>0</v>
          </cell>
          <cell r="H219">
            <v>0</v>
          </cell>
          <cell r="I219">
            <v>190438.5</v>
          </cell>
          <cell r="J219">
            <v>0</v>
          </cell>
          <cell r="K219">
            <v>190438.5</v>
          </cell>
          <cell r="L219">
            <v>77239.69</v>
          </cell>
          <cell r="M219">
            <v>1930784.69</v>
          </cell>
          <cell r="N219">
            <v>-1930784.5</v>
          </cell>
          <cell r="O219">
            <v>0</v>
          </cell>
          <cell r="P219">
            <v>0.19</v>
          </cell>
          <cell r="Q219">
            <v>-1853544.81</v>
          </cell>
          <cell r="R219">
            <v>-77239.69</v>
          </cell>
        </row>
        <row r="220">
          <cell r="F220" t="str">
            <v>SB22317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42750</v>
          </cell>
          <cell r="M220">
            <v>46313</v>
          </cell>
          <cell r="N220">
            <v>-46313</v>
          </cell>
          <cell r="O220">
            <v>0</v>
          </cell>
          <cell r="P220">
            <v>0</v>
          </cell>
          <cell r="Q220">
            <v>-3563</v>
          </cell>
          <cell r="R220">
            <v>-42750</v>
          </cell>
        </row>
        <row r="221">
          <cell r="F221" t="str">
            <v>SB22316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1553200</v>
          </cell>
          <cell r="N221">
            <v>-1553200</v>
          </cell>
          <cell r="O221">
            <v>0</v>
          </cell>
          <cell r="P221">
            <v>0</v>
          </cell>
          <cell r="Q221">
            <v>-1553200</v>
          </cell>
          <cell r="R221">
            <v>0</v>
          </cell>
        </row>
        <row r="222">
          <cell r="F222" t="str">
            <v>SB22311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4000</v>
          </cell>
          <cell r="N222">
            <v>-4000</v>
          </cell>
          <cell r="O222">
            <v>0</v>
          </cell>
          <cell r="P222">
            <v>0</v>
          </cell>
          <cell r="Q222">
            <v>-4000</v>
          </cell>
          <cell r="R222">
            <v>0</v>
          </cell>
        </row>
        <row r="223">
          <cell r="F223" t="str">
            <v>SB22306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223282.35</v>
          </cell>
          <cell r="M223">
            <v>1860395.71</v>
          </cell>
          <cell r="N223">
            <v>-1728084.76</v>
          </cell>
          <cell r="O223">
            <v>0</v>
          </cell>
          <cell r="P223">
            <v>132310.95</v>
          </cell>
          <cell r="Q223">
            <v>-1504802.41</v>
          </cell>
          <cell r="R223">
            <v>-223282.35</v>
          </cell>
        </row>
        <row r="224">
          <cell r="F224" t="str">
            <v>SB22305</v>
          </cell>
          <cell r="G224">
            <v>0</v>
          </cell>
          <cell r="H224">
            <v>19482480</v>
          </cell>
          <cell r="I224">
            <v>1650000</v>
          </cell>
          <cell r="J224">
            <v>0</v>
          </cell>
          <cell r="K224">
            <v>21132480</v>
          </cell>
          <cell r="L224">
            <v>9528706.46</v>
          </cell>
          <cell r="M224">
            <v>14011335.51</v>
          </cell>
          <cell r="N224">
            <v>3761666.49</v>
          </cell>
          <cell r="O224">
            <v>-12618</v>
          </cell>
          <cell r="P224">
            <v>17760384</v>
          </cell>
          <cell r="Q224">
            <v>13277754.95</v>
          </cell>
          <cell r="R224">
            <v>-9528706.46</v>
          </cell>
        </row>
        <row r="225">
          <cell r="F225" t="str">
            <v>SB22289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</row>
        <row r="226">
          <cell r="F226" t="str">
            <v>SB22282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133500</v>
          </cell>
          <cell r="N226">
            <v>-133500</v>
          </cell>
          <cell r="O226">
            <v>0</v>
          </cell>
          <cell r="P226">
            <v>0</v>
          </cell>
          <cell r="Q226">
            <v>-133500</v>
          </cell>
          <cell r="R226">
            <v>0</v>
          </cell>
        </row>
        <row r="227">
          <cell r="F227" t="str">
            <v>SB22280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11500</v>
          </cell>
          <cell r="N227">
            <v>-11500</v>
          </cell>
          <cell r="O227">
            <v>0</v>
          </cell>
          <cell r="P227">
            <v>0</v>
          </cell>
          <cell r="Q227">
            <v>-11500</v>
          </cell>
          <cell r="R227">
            <v>0</v>
          </cell>
        </row>
        <row r="228">
          <cell r="F228" t="str">
            <v>SB22278</v>
          </cell>
          <cell r="G228">
            <v>2917310</v>
          </cell>
          <cell r="H228">
            <v>2917310</v>
          </cell>
          <cell r="I228">
            <v>-2917310</v>
          </cell>
          <cell r="J228">
            <v>0</v>
          </cell>
          <cell r="K228">
            <v>0</v>
          </cell>
          <cell r="L228">
            <v>0</v>
          </cell>
          <cell r="M228">
            <v>191040</v>
          </cell>
          <cell r="N228">
            <v>-191040</v>
          </cell>
          <cell r="O228">
            <v>0</v>
          </cell>
          <cell r="P228">
            <v>0</v>
          </cell>
          <cell r="Q228">
            <v>-191040</v>
          </cell>
          <cell r="R228">
            <v>2917310</v>
          </cell>
        </row>
        <row r="229">
          <cell r="F229" t="str">
            <v>SB22272</v>
          </cell>
          <cell r="G229">
            <v>484950</v>
          </cell>
          <cell r="H229">
            <v>484950</v>
          </cell>
          <cell r="I229">
            <v>-480693</v>
          </cell>
          <cell r="J229">
            <v>0</v>
          </cell>
          <cell r="K229">
            <v>4257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484950</v>
          </cell>
        </row>
        <row r="230">
          <cell r="F230" t="str">
            <v>SB22268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195431</v>
          </cell>
          <cell r="M230">
            <v>128360</v>
          </cell>
          <cell r="N230">
            <v>-128360</v>
          </cell>
          <cell r="O230">
            <v>0</v>
          </cell>
          <cell r="P230">
            <v>0</v>
          </cell>
          <cell r="Q230">
            <v>67071</v>
          </cell>
          <cell r="R230">
            <v>-195431</v>
          </cell>
        </row>
        <row r="231">
          <cell r="F231" t="str">
            <v>SB22263</v>
          </cell>
          <cell r="G231">
            <v>0</v>
          </cell>
          <cell r="H231">
            <v>0</v>
          </cell>
          <cell r="I231">
            <v>6890903</v>
          </cell>
          <cell r="J231">
            <v>0</v>
          </cell>
          <cell r="K231">
            <v>6890903</v>
          </cell>
          <cell r="L231">
            <v>7358823.6</v>
          </cell>
          <cell r="M231">
            <v>3651490.6</v>
          </cell>
          <cell r="N231">
            <v>2077155.4</v>
          </cell>
          <cell r="O231">
            <v>0</v>
          </cell>
          <cell r="P231">
            <v>5728646</v>
          </cell>
          <cell r="Q231">
            <v>9435979</v>
          </cell>
          <cell r="R231">
            <v>-7358823.6</v>
          </cell>
        </row>
        <row r="232">
          <cell r="F232" t="str">
            <v>SB22254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30000</v>
          </cell>
          <cell r="N232">
            <v>-30000</v>
          </cell>
          <cell r="O232">
            <v>0</v>
          </cell>
          <cell r="P232">
            <v>0</v>
          </cell>
          <cell r="Q232">
            <v>-30000</v>
          </cell>
          <cell r="R232">
            <v>0</v>
          </cell>
        </row>
        <row r="233">
          <cell r="F233" t="str">
            <v>SB22251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9170</v>
          </cell>
          <cell r="N233">
            <v>0</v>
          </cell>
          <cell r="O233">
            <v>0</v>
          </cell>
          <cell r="P233">
            <v>9170</v>
          </cell>
          <cell r="Q233">
            <v>0</v>
          </cell>
          <cell r="R233">
            <v>0</v>
          </cell>
        </row>
        <row r="234">
          <cell r="F234" t="str">
            <v>SB22223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142488</v>
          </cell>
          <cell r="N234">
            <v>-142488</v>
          </cell>
          <cell r="O234">
            <v>0</v>
          </cell>
          <cell r="P234">
            <v>0</v>
          </cell>
          <cell r="Q234">
            <v>-142488</v>
          </cell>
          <cell r="R234">
            <v>0</v>
          </cell>
        </row>
        <row r="235">
          <cell r="F235" t="str">
            <v>SB22204</v>
          </cell>
          <cell r="G235">
            <v>0</v>
          </cell>
          <cell r="H235">
            <v>0</v>
          </cell>
          <cell r="I235">
            <v>0</v>
          </cell>
          <cell r="J235">
            <v>-54004</v>
          </cell>
          <cell r="K235">
            <v>-54004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</row>
        <row r="236">
          <cell r="F236" t="str">
            <v>SB22205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-37050</v>
          </cell>
          <cell r="O236">
            <v>0</v>
          </cell>
          <cell r="P236">
            <v>-37050</v>
          </cell>
          <cell r="Q236">
            <v>-37050</v>
          </cell>
          <cell r="R236">
            <v>0</v>
          </cell>
        </row>
        <row r="237">
          <cell r="F237" t="str">
            <v>SB22190</v>
          </cell>
          <cell r="G237">
            <v>0</v>
          </cell>
          <cell r="H237">
            <v>0</v>
          </cell>
          <cell r="I237">
            <v>-660000</v>
          </cell>
          <cell r="J237">
            <v>0</v>
          </cell>
          <cell r="K237">
            <v>-660000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</row>
        <row r="238">
          <cell r="F238" t="str">
            <v>SB22158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692150</v>
          </cell>
          <cell r="N238">
            <v>-181650</v>
          </cell>
          <cell r="O238">
            <v>0</v>
          </cell>
          <cell r="P238">
            <v>510500</v>
          </cell>
          <cell r="Q238">
            <v>-181650</v>
          </cell>
          <cell r="R238">
            <v>0</v>
          </cell>
        </row>
        <row r="239">
          <cell r="F239" t="str">
            <v>SB22159</v>
          </cell>
          <cell r="G239">
            <v>9178650</v>
          </cell>
          <cell r="H239">
            <v>9178650</v>
          </cell>
          <cell r="I239">
            <v>-11025023</v>
          </cell>
          <cell r="J239">
            <v>0</v>
          </cell>
          <cell r="K239">
            <v>-1846373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9178650</v>
          </cell>
        </row>
        <row r="240">
          <cell r="F240" t="str">
            <v>SB22156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126201.2</v>
          </cell>
          <cell r="O240">
            <v>0</v>
          </cell>
          <cell r="P240">
            <v>126201.2</v>
          </cell>
          <cell r="Q240">
            <v>126201.2</v>
          </cell>
          <cell r="R240">
            <v>0</v>
          </cell>
        </row>
        <row r="241">
          <cell r="F241" t="str">
            <v>SB22124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1545455</v>
          </cell>
          <cell r="N241">
            <v>-1545455</v>
          </cell>
          <cell r="O241">
            <v>0</v>
          </cell>
          <cell r="P241">
            <v>0</v>
          </cell>
          <cell r="Q241">
            <v>-1545455</v>
          </cell>
          <cell r="R241">
            <v>0</v>
          </cell>
        </row>
        <row r="242">
          <cell r="F242" t="str">
            <v>SB22115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198000</v>
          </cell>
          <cell r="M242">
            <v>45000</v>
          </cell>
          <cell r="N242">
            <v>-45000</v>
          </cell>
          <cell r="O242">
            <v>0</v>
          </cell>
          <cell r="P242">
            <v>0</v>
          </cell>
          <cell r="Q242">
            <v>153000</v>
          </cell>
          <cell r="R242">
            <v>-198000</v>
          </cell>
        </row>
        <row r="243">
          <cell r="F243" t="str">
            <v>SB22089</v>
          </cell>
          <cell r="G243">
            <v>0</v>
          </cell>
          <cell r="H243">
            <v>10700000</v>
          </cell>
          <cell r="I243">
            <v>0</v>
          </cell>
          <cell r="J243">
            <v>0</v>
          </cell>
          <cell r="K243">
            <v>10700000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</row>
        <row r="244">
          <cell r="F244" t="str">
            <v>SB22083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70000</v>
          </cell>
          <cell r="N244">
            <v>-70000</v>
          </cell>
          <cell r="O244">
            <v>0</v>
          </cell>
          <cell r="P244">
            <v>0</v>
          </cell>
          <cell r="Q244">
            <v>-70000</v>
          </cell>
          <cell r="R244">
            <v>0</v>
          </cell>
        </row>
        <row r="245">
          <cell r="F245" t="str">
            <v>SB22065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</row>
        <row r="246">
          <cell r="F246" t="str">
            <v>SB21947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-4350</v>
          </cell>
          <cell r="O246">
            <v>0</v>
          </cell>
          <cell r="P246">
            <v>-4350</v>
          </cell>
          <cell r="Q246">
            <v>-4350</v>
          </cell>
          <cell r="R246">
            <v>0</v>
          </cell>
        </row>
        <row r="247">
          <cell r="F247" t="str">
            <v>SB21859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-15793.06</v>
          </cell>
          <cell r="O247">
            <v>0</v>
          </cell>
          <cell r="P247">
            <v>-15793.06</v>
          </cell>
          <cell r="Q247">
            <v>-15793.06</v>
          </cell>
          <cell r="R247">
            <v>0</v>
          </cell>
        </row>
        <row r="248">
          <cell r="F248" t="str">
            <v>-</v>
          </cell>
          <cell r="G248">
            <v>408464495.73</v>
          </cell>
          <cell r="H248">
            <v>566179185.1</v>
          </cell>
          <cell r="I248">
            <v>122722466.14</v>
          </cell>
          <cell r="J248">
            <v>-5449863.46</v>
          </cell>
          <cell r="K248">
            <v>420223652.45</v>
          </cell>
          <cell r="L248">
            <v>208838322.08</v>
          </cell>
          <cell r="M248">
            <v>497210830.62</v>
          </cell>
          <cell r="N248">
            <v>329724773.41</v>
          </cell>
          <cell r="O248">
            <v>-6043576.82</v>
          </cell>
          <cell r="P248">
            <v>820892027.21</v>
          </cell>
          <cell r="Q248">
            <v>532519518.67</v>
          </cell>
          <cell r="R248">
            <v>199626173.65</v>
          </cell>
        </row>
        <row r="249">
          <cell r="G249" t="str">
            <v>649,212,339.21</v>
          </cell>
          <cell r="H249" t="str">
            <v>761,395,960.62</v>
          </cell>
          <cell r="I249" t="str">
            <v>117,534,035.56</v>
          </cell>
          <cell r="J249" t="str">
            <v>-7,533,573.72</v>
          </cell>
          <cell r="K249" t="str">
            <v>608,168,287.13</v>
          </cell>
          <cell r="L249" t="str">
            <v>361,937,453.67</v>
          </cell>
          <cell r="M249" t="str">
            <v>636,925,962.62</v>
          </cell>
          <cell r="N249" t="str">
            <v>354,178,266.58</v>
          </cell>
          <cell r="O249" t="str">
            <v>-11,166,762.82</v>
          </cell>
          <cell r="P249" t="str">
            <v>979,937,466.38</v>
          </cell>
          <cell r="Q249" t="str">
            <v>704,948,957.43</v>
          </cell>
          <cell r="R249" t="str">
            <v>287,274,885.54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39"/>
  <sheetViews>
    <sheetView topLeftCell="Z1" workbookViewId="0">
      <selection activeCell="AG22" sqref="A1:AL238"/>
    </sheetView>
  </sheetViews>
  <sheetFormatPr defaultColWidth="8.88888888888889" defaultRowHeight="10"/>
  <cols>
    <col min="1" max="1" width="17.7777777777778" customWidth="1"/>
    <col min="2" max="2" width="13.4444444444444" customWidth="1"/>
    <col min="3" max="3" width="27.1111111111111" customWidth="1"/>
    <col min="4" max="4" width="66.6666666666667" customWidth="1"/>
    <col min="5" max="5" width="70.3333333333333" customWidth="1"/>
    <col min="6" max="6" width="9.33333333333333" customWidth="1"/>
    <col min="7" max="8" width="12.6666666666667" style="1" customWidth="1"/>
    <col min="9" max="9" width="7.66666666666667" style="1" customWidth="1"/>
    <col min="10" max="11" width="12.6666666666667" style="2" customWidth="1"/>
    <col min="12" max="12" width="7.66666666666667" style="2" customWidth="1"/>
    <col min="13" max="13" width="13.3333333333333" style="3" customWidth="1"/>
    <col min="14" max="14" width="12.6666666666667" style="4" customWidth="1"/>
    <col min="15" max="15" width="7.66666666666667" style="4" customWidth="1"/>
    <col min="16" max="16" width="11" style="2" customWidth="1"/>
    <col min="17" max="17" width="11.5555555555556" style="2" customWidth="1"/>
    <col min="18" max="18" width="7.66666666666667" style="2" customWidth="1"/>
    <col min="19" max="20" width="12.6666666666667" style="4" customWidth="1"/>
    <col min="21" max="21" width="7.66666666666667" style="4" customWidth="1"/>
    <col min="22" max="23" width="12.6666666666667" style="2" customWidth="1"/>
    <col min="24" max="24" width="7.66666666666667" style="2" customWidth="1"/>
    <col min="25" max="26" width="12.6666666666667" style="4" customWidth="1"/>
    <col min="27" max="27" width="7.66666666666667" style="4" customWidth="1"/>
    <col min="28" max="29" width="12.6666666666667" style="2" customWidth="1"/>
    <col min="30" max="30" width="7.66666666666667" style="2" customWidth="1"/>
    <col min="31" max="31" width="12.1111111111111" style="4" customWidth="1"/>
    <col min="32" max="32" width="11.5555555555556" style="4" customWidth="1"/>
    <col min="33" max="33" width="7.66666666666667" style="4" customWidth="1"/>
    <col min="34" max="34" width="12.6666666666667" style="2" customWidth="1"/>
    <col min="35" max="36" width="15.7777777777778" style="2" customWidth="1"/>
    <col min="37" max="37" width="13.3333333333333" style="4" customWidth="1"/>
    <col min="38" max="38" width="12.6666666666667" style="4" customWidth="1"/>
  </cols>
  <sheetData>
    <row r="1" spans="1:3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10" t="s">
        <v>10</v>
      </c>
      <c r="L1" s="10" t="s">
        <v>8</v>
      </c>
      <c r="M1" s="11" t="s">
        <v>11</v>
      </c>
      <c r="N1" s="11" t="s">
        <v>12</v>
      </c>
      <c r="O1" s="11"/>
      <c r="P1" s="10" t="s">
        <v>13</v>
      </c>
      <c r="Q1" s="10" t="s">
        <v>14</v>
      </c>
      <c r="R1" s="10"/>
      <c r="S1" s="11" t="s">
        <v>15</v>
      </c>
      <c r="T1" s="11" t="s">
        <v>16</v>
      </c>
      <c r="U1" s="11"/>
      <c r="V1" s="10" t="s">
        <v>17</v>
      </c>
      <c r="W1" s="10" t="s">
        <v>18</v>
      </c>
      <c r="X1" s="10"/>
      <c r="Y1" s="11" t="s">
        <v>19</v>
      </c>
      <c r="Z1" s="11" t="s">
        <v>20</v>
      </c>
      <c r="AA1" s="11"/>
      <c r="AB1" s="10" t="s">
        <v>21</v>
      </c>
      <c r="AC1" s="10" t="s">
        <v>12</v>
      </c>
      <c r="AD1" s="10"/>
      <c r="AE1" s="11" t="s">
        <v>22</v>
      </c>
      <c r="AF1" s="11" t="s">
        <v>23</v>
      </c>
      <c r="AG1" s="11"/>
      <c r="AH1" s="10" t="s">
        <v>24</v>
      </c>
      <c r="AI1" s="10" t="s">
        <v>25</v>
      </c>
      <c r="AJ1" s="10"/>
      <c r="AK1" s="11" t="s">
        <v>26</v>
      </c>
      <c r="AL1" s="11"/>
    </row>
    <row r="2" spans="1:38">
      <c r="A2" s="7">
        <v>45780</v>
      </c>
      <c r="B2" s="8" t="s">
        <v>27</v>
      </c>
      <c r="C2" s="8" t="s">
        <v>28</v>
      </c>
      <c r="D2" s="8" t="s">
        <v>29</v>
      </c>
      <c r="E2" s="8" t="s">
        <v>30</v>
      </c>
      <c r="F2" s="8" t="str">
        <f>_xlfn.TEXTBEFORE(E2," ")</f>
        <v>SB22621</v>
      </c>
      <c r="G2" s="9">
        <v>198375</v>
      </c>
      <c r="H2" s="9">
        <f>VLOOKUP(F2,'[1]MGM Report'!$D:$E,2,FALSE)</f>
        <v>198375</v>
      </c>
      <c r="I2" s="9" t="b">
        <f>G2=H2</f>
        <v>1</v>
      </c>
      <c r="J2" s="12">
        <v>198375</v>
      </c>
      <c r="K2" s="12">
        <f>VLOOKUP(F2,'[1]MGM Report'!$D:$F,3,FALSE)</f>
        <v>198375</v>
      </c>
      <c r="L2" s="12" t="b">
        <f>J2=K2</f>
        <v>1</v>
      </c>
      <c r="M2" s="13">
        <v>0</v>
      </c>
      <c r="N2" s="13">
        <f>VLOOKUP(F2,'[1]MGM Report'!$D:$G,4,FALSE)</f>
        <v>0</v>
      </c>
      <c r="O2" s="13" t="b">
        <f>M2=N2</f>
        <v>1</v>
      </c>
      <c r="P2" s="12">
        <v>0</v>
      </c>
      <c r="Q2" s="12">
        <f>VLOOKUP(F2,'[1]MGM Report'!$D:$M,5,FALSE)</f>
        <v>0</v>
      </c>
      <c r="R2" s="12" t="b">
        <f>P2=Q2</f>
        <v>1</v>
      </c>
      <c r="S2" s="13">
        <v>198375</v>
      </c>
      <c r="T2" s="13">
        <f>VLOOKUP(F2,'[1]MGM Report'!$D:$I,6,FALSE)</f>
        <v>198375</v>
      </c>
      <c r="U2" s="13" t="b">
        <f>S2=T2</f>
        <v>1</v>
      </c>
      <c r="V2" s="12">
        <v>141550</v>
      </c>
      <c r="W2" s="12">
        <f>VLOOKUP(F2,'[1]MGM Report'!$D:$J,7,FALSE)</f>
        <v>141550</v>
      </c>
      <c r="X2" s="12" t="b">
        <f>V2=W2</f>
        <v>1</v>
      </c>
      <c r="Y2" s="13">
        <v>141550</v>
      </c>
      <c r="Z2" s="13">
        <f>VLOOKUP(F2,'[1]MGM Report'!$D:$K,8,FALSE)</f>
        <v>141550</v>
      </c>
      <c r="AA2" s="13" t="b">
        <f>Y2=Z2</f>
        <v>1</v>
      </c>
      <c r="AB2" s="12">
        <v>13450</v>
      </c>
      <c r="AC2" s="12">
        <f>VLOOKUP(F2,'[1]MGM Report'!$D:$M,10,FALSE)</f>
        <v>13450</v>
      </c>
      <c r="AD2" s="12" t="b">
        <f>AB2=AC2</f>
        <v>1</v>
      </c>
      <c r="AE2" s="13">
        <v>0</v>
      </c>
      <c r="AF2" s="13">
        <f>VLOOKUP(F2,'[1]MGM Report'!$D:$N,11,FALSE)</f>
        <v>0</v>
      </c>
      <c r="AG2" s="13" t="b">
        <f>AE2=AF2</f>
        <v>1</v>
      </c>
      <c r="AH2" s="12">
        <v>155000</v>
      </c>
      <c r="AI2" s="12">
        <f>VLOOKUP(F2,'[1]MGM Report'!$D:$S,12,FALSE)</f>
        <v>155000</v>
      </c>
      <c r="AJ2" s="12" t="b">
        <f>AH2=AI2</f>
        <v>1</v>
      </c>
      <c r="AK2" s="13">
        <f>VLOOKUP(F2,[2]HAVASMGMReportKBCUpdatedResult!$F:$R,13,FALSE)</f>
        <v>56825</v>
      </c>
      <c r="AL2" s="13">
        <f>VLOOKUP(F2,'[1]MGM Report'!$D:$S,14,FALSE)</f>
        <v>56825</v>
      </c>
    </row>
    <row r="3" spans="1:38">
      <c r="A3" s="7">
        <v>45780</v>
      </c>
      <c r="B3" s="8" t="s">
        <v>31</v>
      </c>
      <c r="C3" s="8" t="s">
        <v>28</v>
      </c>
      <c r="D3" s="8" t="s">
        <v>32</v>
      </c>
      <c r="E3" s="8" t="s">
        <v>33</v>
      </c>
      <c r="F3" s="8" t="str">
        <f t="shared" ref="F3:F66" si="0">_xlfn.TEXTBEFORE(E3," ")</f>
        <v>SB22611</v>
      </c>
      <c r="G3" s="9">
        <v>381205</v>
      </c>
      <c r="H3" s="9">
        <f>VLOOKUP(F3,'[1]MGM Report'!$D:$E,2,FALSE)</f>
        <v>381205</v>
      </c>
      <c r="I3" s="9" t="b">
        <f t="shared" ref="I3:I66" si="1">G3=H3</f>
        <v>1</v>
      </c>
      <c r="J3" s="12">
        <v>381205</v>
      </c>
      <c r="K3" s="12">
        <f>VLOOKUP(F3,'[1]MGM Report'!$D:$F,3,FALSE)</f>
        <v>381205</v>
      </c>
      <c r="L3" s="12" t="b">
        <f t="shared" ref="L3:L66" si="2">J3=K3</f>
        <v>1</v>
      </c>
      <c r="M3" s="13">
        <v>0</v>
      </c>
      <c r="N3" s="13">
        <f>VLOOKUP(F3,'[1]MGM Report'!$D:$G,4,FALSE)</f>
        <v>0</v>
      </c>
      <c r="O3" s="13" t="b">
        <f t="shared" ref="O3:O26" si="3">M3=N3</f>
        <v>1</v>
      </c>
      <c r="P3" s="12">
        <v>0</v>
      </c>
      <c r="Q3" s="12">
        <f>VLOOKUP(F3,'[1]MGM Report'!$D:$M,5,FALSE)</f>
        <v>0</v>
      </c>
      <c r="R3" s="12" t="b">
        <f t="shared" ref="R3:R66" si="4">P3=Q3</f>
        <v>1</v>
      </c>
      <c r="S3" s="13">
        <v>381205</v>
      </c>
      <c r="T3" s="13">
        <f>VLOOKUP(F3,'[1]MGM Report'!$D:$I,6,FALSE)</f>
        <v>381205</v>
      </c>
      <c r="U3" s="13" t="b">
        <f t="shared" ref="U3:U66" si="5">S3=T3</f>
        <v>1</v>
      </c>
      <c r="V3" s="12">
        <v>218856</v>
      </c>
      <c r="W3" s="12">
        <f>VLOOKUP(F3,'[1]MGM Report'!$D:$J,7,FALSE)</f>
        <v>221945</v>
      </c>
      <c r="X3" s="12" t="b">
        <f t="shared" ref="X3:X66" si="6">V3=W3</f>
        <v>0</v>
      </c>
      <c r="Y3" s="13">
        <v>205945</v>
      </c>
      <c r="Z3" s="13">
        <f>VLOOKUP(F3,'[1]MGM Report'!$D:$K,8,FALSE)</f>
        <v>205945</v>
      </c>
      <c r="AA3" s="13" t="b">
        <f t="shared" ref="AA3:AA66" si="7">Y3=Z3</f>
        <v>1</v>
      </c>
      <c r="AB3" s="12">
        <v>16000</v>
      </c>
      <c r="AC3" s="12">
        <f>VLOOKUP(F3,'[1]MGM Report'!$D:$M,10,FALSE)</f>
        <v>16000</v>
      </c>
      <c r="AD3" s="12" t="b">
        <f t="shared" ref="AD3:AD66" si="8">AB3=AC3</f>
        <v>1</v>
      </c>
      <c r="AE3" s="13">
        <v>0</v>
      </c>
      <c r="AF3" s="13">
        <f>VLOOKUP(F3,'[1]MGM Report'!$D:$N,11,FALSE)</f>
        <v>0</v>
      </c>
      <c r="AG3" s="13" t="b">
        <f t="shared" ref="AG3:AG66" si="9">AE3=AF3</f>
        <v>1</v>
      </c>
      <c r="AH3" s="12">
        <v>221945</v>
      </c>
      <c r="AI3" s="12">
        <f>VLOOKUP(F3,'[1]MGM Report'!$D:$S,12,FALSE)</f>
        <v>221945</v>
      </c>
      <c r="AJ3" s="12" t="b">
        <f t="shared" ref="AJ3:AJ66" si="10">AH3=AI3</f>
        <v>1</v>
      </c>
      <c r="AK3" s="13">
        <f>VLOOKUP(F3,[2]HAVASMGMReportKBCUpdatedResult!$F:$R,13,FALSE)</f>
        <v>162349</v>
      </c>
      <c r="AL3" s="13">
        <f>VLOOKUP(F3,'[1]MGM Report'!$D:$S,14,FALSE)</f>
        <v>159260</v>
      </c>
    </row>
    <row r="4" spans="1:38">
      <c r="A4" s="7">
        <v>45780</v>
      </c>
      <c r="B4" s="8" t="s">
        <v>31</v>
      </c>
      <c r="C4" s="8" t="s">
        <v>28</v>
      </c>
      <c r="D4" s="8" t="s">
        <v>34</v>
      </c>
      <c r="E4" s="8" t="s">
        <v>35</v>
      </c>
      <c r="F4" s="8" t="str">
        <f t="shared" si="0"/>
        <v>SB22647</v>
      </c>
      <c r="G4" s="9">
        <v>0</v>
      </c>
      <c r="H4" s="9">
        <f>VLOOKUP(F4,'[1]MGM Report'!$D:$E,2,FALSE)</f>
        <v>0</v>
      </c>
      <c r="I4" s="9" t="b">
        <f t="shared" si="1"/>
        <v>1</v>
      </c>
      <c r="J4" s="12">
        <v>0</v>
      </c>
      <c r="K4" s="12">
        <f>VLOOKUP(F4,'[1]MGM Report'!$D:$F,3,FALSE)</f>
        <v>0</v>
      </c>
      <c r="L4" s="12" t="b">
        <f t="shared" si="2"/>
        <v>1</v>
      </c>
      <c r="M4" s="13">
        <v>97440</v>
      </c>
      <c r="N4" s="13">
        <f>VLOOKUP(F4,'[1]MGM Report'!$D:$G,4,FALSE)</f>
        <v>97440</v>
      </c>
      <c r="O4" s="13" t="b">
        <f t="shared" si="3"/>
        <v>1</v>
      </c>
      <c r="P4" s="12">
        <v>0</v>
      </c>
      <c r="Q4" s="12">
        <f>VLOOKUP(F4,'[1]MGM Report'!$D:$M,5,FALSE)</f>
        <v>0</v>
      </c>
      <c r="R4" s="12" t="b">
        <f t="shared" si="4"/>
        <v>1</v>
      </c>
      <c r="S4" s="13">
        <v>97440</v>
      </c>
      <c r="T4" s="13">
        <f>VLOOKUP(F4,'[1]MGM Report'!$D:$I,6,FALSE)</f>
        <v>97440</v>
      </c>
      <c r="U4" s="13" t="b">
        <f t="shared" si="5"/>
        <v>1</v>
      </c>
      <c r="V4" s="12">
        <v>0</v>
      </c>
      <c r="W4" s="12">
        <f>VLOOKUP(F4,'[1]MGM Report'!$D:$J,7,FALSE)</f>
        <v>0</v>
      </c>
      <c r="X4" s="12" t="b">
        <f t="shared" si="6"/>
        <v>1</v>
      </c>
      <c r="Y4" s="13">
        <v>0</v>
      </c>
      <c r="Z4" s="13">
        <f>VLOOKUP(F4,'[1]MGM Report'!$D:$K,8,FALSE)</f>
        <v>0</v>
      </c>
      <c r="AA4" s="13" t="b">
        <f t="shared" si="7"/>
        <v>1</v>
      </c>
      <c r="AB4" s="12">
        <v>65000</v>
      </c>
      <c r="AC4" s="12">
        <f>VLOOKUP(F4,'[1]MGM Report'!$D:$M,10,FALSE)</f>
        <v>65000</v>
      </c>
      <c r="AD4" s="12" t="b">
        <f t="shared" si="8"/>
        <v>1</v>
      </c>
      <c r="AE4" s="13">
        <v>0</v>
      </c>
      <c r="AF4" s="13">
        <f>VLOOKUP(F4,'[1]MGM Report'!$D:$N,11,FALSE)</f>
        <v>0</v>
      </c>
      <c r="AG4" s="13" t="b">
        <f t="shared" si="9"/>
        <v>1</v>
      </c>
      <c r="AH4" s="12">
        <v>65000</v>
      </c>
      <c r="AI4" s="12">
        <f>VLOOKUP(F4,'[1]MGM Report'!$D:$S,12,FALSE)</f>
        <v>65000</v>
      </c>
      <c r="AJ4" s="12" t="b">
        <f t="shared" si="10"/>
        <v>1</v>
      </c>
      <c r="AK4" s="13">
        <f>VLOOKUP(F4,[2]HAVASMGMReportKBCUpdatedResult!$F:$R,13,FALSE)</f>
        <v>0</v>
      </c>
      <c r="AL4" s="13">
        <f>VLOOKUP(F4,'[1]MGM Report'!$D:$S,14,FALSE)</f>
        <v>0</v>
      </c>
    </row>
    <row r="5" spans="1:38">
      <c r="A5" s="7">
        <v>45780</v>
      </c>
      <c r="B5" s="8" t="s">
        <v>27</v>
      </c>
      <c r="C5" s="8" t="s">
        <v>28</v>
      </c>
      <c r="D5" s="8" t="s">
        <v>36</v>
      </c>
      <c r="E5" s="8" t="s">
        <v>37</v>
      </c>
      <c r="F5" s="8" t="str">
        <f t="shared" si="0"/>
        <v>SB21992</v>
      </c>
      <c r="G5" s="9">
        <v>0</v>
      </c>
      <c r="H5" s="9">
        <f>VLOOKUP(F5,'[1]MGM Report'!$D:$E,2,FALSE)</f>
        <v>0</v>
      </c>
      <c r="I5" s="9" t="b">
        <f t="shared" si="1"/>
        <v>1</v>
      </c>
      <c r="J5" s="12">
        <v>0</v>
      </c>
      <c r="K5" s="12">
        <f>VLOOKUP(F5,'[1]MGM Report'!$D:$F,3,FALSE)</f>
        <v>0</v>
      </c>
      <c r="L5" s="12" t="b">
        <f t="shared" si="2"/>
        <v>1</v>
      </c>
      <c r="M5" s="13">
        <v>0</v>
      </c>
      <c r="N5" s="13">
        <f>VLOOKUP(F5,'[1]MGM Report'!$D:$G,4,FALSE)</f>
        <v>0</v>
      </c>
      <c r="O5" s="13" t="b">
        <f t="shared" si="3"/>
        <v>1</v>
      </c>
      <c r="P5" s="12">
        <v>0</v>
      </c>
      <c r="Q5" s="12">
        <f>VLOOKUP(F5,'[1]MGM Report'!$D:$M,5,FALSE)</f>
        <v>0</v>
      </c>
      <c r="R5" s="12" t="b">
        <f t="shared" si="4"/>
        <v>1</v>
      </c>
      <c r="S5" s="13">
        <v>0</v>
      </c>
      <c r="T5" s="13">
        <f>VLOOKUP(F5,'[1]MGM Report'!$D:$I,6,FALSE)</f>
        <v>0</v>
      </c>
      <c r="U5" s="13" t="b">
        <f t="shared" si="5"/>
        <v>1</v>
      </c>
      <c r="V5" s="12">
        <v>0</v>
      </c>
      <c r="W5" s="12">
        <f>VLOOKUP(F5,'[1]MGM Report'!$D:$J,7,FALSE)</f>
        <v>0</v>
      </c>
      <c r="X5" s="12" t="b">
        <f t="shared" si="6"/>
        <v>1</v>
      </c>
      <c r="Y5" s="13">
        <v>8869</v>
      </c>
      <c r="Z5" s="13">
        <f>VLOOKUP(F5,'[1]MGM Report'!$D:$K,8,FALSE)</f>
        <v>19848.91</v>
      </c>
      <c r="AA5" s="13" t="b">
        <f t="shared" si="7"/>
        <v>0</v>
      </c>
      <c r="AB5" s="12">
        <v>-19848.91</v>
      </c>
      <c r="AC5" s="12">
        <f>VLOOKUP(F5,'[1]MGM Report'!$D:$M,10,FALSE)</f>
        <v>19848.91</v>
      </c>
      <c r="AD5" s="12" t="b">
        <f t="shared" si="8"/>
        <v>0</v>
      </c>
      <c r="AE5" s="13">
        <v>0</v>
      </c>
      <c r="AF5" s="13">
        <f>VLOOKUP(F5,'[1]MGM Report'!$D:$N,11,FALSE)</f>
        <v>0</v>
      </c>
      <c r="AG5" s="13" t="b">
        <f t="shared" si="9"/>
        <v>1</v>
      </c>
      <c r="AH5" s="12">
        <v>-10979.91</v>
      </c>
      <c r="AI5" s="12">
        <f>VLOOKUP(F5,'[1]MGM Report'!$D:$S,12,FALSE)</f>
        <v>0</v>
      </c>
      <c r="AJ5" s="12" t="b">
        <f t="shared" si="10"/>
        <v>0</v>
      </c>
      <c r="AK5" s="13">
        <f>VLOOKUP(F5,[2]HAVASMGMReportKBCUpdatedResult!$F:$R,13,FALSE)</f>
        <v>0</v>
      </c>
      <c r="AL5" s="13">
        <f>VLOOKUP(F5,'[1]MGM Report'!$D:$S,14,FALSE)</f>
        <v>0</v>
      </c>
    </row>
    <row r="6" spans="1:38">
      <c r="A6" s="7">
        <v>45780</v>
      </c>
      <c r="B6" s="8" t="s">
        <v>38</v>
      </c>
      <c r="C6" s="8" t="s">
        <v>28</v>
      </c>
      <c r="D6" s="8" t="s">
        <v>39</v>
      </c>
      <c r="E6" s="8" t="s">
        <v>40</v>
      </c>
      <c r="F6" s="8" t="str">
        <f t="shared" si="0"/>
        <v>SB22666</v>
      </c>
      <c r="G6" s="9">
        <v>1947000</v>
      </c>
      <c r="H6" s="9">
        <f>VLOOKUP(F6,'[1]MGM Report'!$D:$E,2,FALSE)</f>
        <v>1947000</v>
      </c>
      <c r="I6" s="9" t="b">
        <f t="shared" si="1"/>
        <v>1</v>
      </c>
      <c r="J6" s="12">
        <v>0</v>
      </c>
      <c r="K6" s="12">
        <f>VLOOKUP(F6,'[1]MGM Report'!$D:$F,3,FALSE)</f>
        <v>0</v>
      </c>
      <c r="L6" s="12" t="b">
        <f t="shared" si="2"/>
        <v>1</v>
      </c>
      <c r="M6" s="13">
        <v>0</v>
      </c>
      <c r="N6" s="13">
        <f>VLOOKUP(F6,'[1]MGM Report'!$D:$G,4,FALSE)</f>
        <v>0</v>
      </c>
      <c r="O6" s="13" t="b">
        <f t="shared" si="3"/>
        <v>1</v>
      </c>
      <c r="P6" s="12">
        <v>0</v>
      </c>
      <c r="Q6" s="12">
        <f>VLOOKUP(F6,'[1]MGM Report'!$D:$M,5,FALSE)</f>
        <v>0</v>
      </c>
      <c r="R6" s="12" t="b">
        <f t="shared" si="4"/>
        <v>1</v>
      </c>
      <c r="S6" s="13">
        <v>0</v>
      </c>
      <c r="T6" s="13">
        <f>VLOOKUP(F6,'[1]MGM Report'!$D:$I,6,FALSE)</f>
        <v>0</v>
      </c>
      <c r="U6" s="13" t="b">
        <f t="shared" si="5"/>
        <v>1</v>
      </c>
      <c r="V6" s="12">
        <v>603426</v>
      </c>
      <c r="W6" s="12">
        <f>VLOOKUP(F6,'[1]MGM Report'!$D:$J,7,FALSE)</f>
        <v>0</v>
      </c>
      <c r="X6" s="12" t="b">
        <f t="shared" si="6"/>
        <v>0</v>
      </c>
      <c r="Y6" s="13">
        <v>0</v>
      </c>
      <c r="Z6" s="13">
        <f>VLOOKUP(F6,'[1]MGM Report'!$D:$K,8,FALSE)</f>
        <v>0</v>
      </c>
      <c r="AA6" s="13" t="b">
        <f t="shared" si="7"/>
        <v>1</v>
      </c>
      <c r="AB6" s="12">
        <v>0</v>
      </c>
      <c r="AC6" s="12">
        <f>VLOOKUP(F6,'[1]MGM Report'!$D:$M,10,FALSE)</f>
        <v>0</v>
      </c>
      <c r="AD6" s="12" t="b">
        <f t="shared" si="8"/>
        <v>1</v>
      </c>
      <c r="AE6" s="13">
        <v>0</v>
      </c>
      <c r="AF6" s="13">
        <f>VLOOKUP(F6,'[1]MGM Report'!$D:$N,11,FALSE)</f>
        <v>0</v>
      </c>
      <c r="AG6" s="13" t="b">
        <f t="shared" si="9"/>
        <v>1</v>
      </c>
      <c r="AH6" s="12">
        <v>0</v>
      </c>
      <c r="AI6" s="12">
        <f>VLOOKUP(F6,'[1]MGM Report'!$D:$S,12,FALSE)</f>
        <v>0</v>
      </c>
      <c r="AJ6" s="12" t="b">
        <f t="shared" si="10"/>
        <v>1</v>
      </c>
      <c r="AK6" s="13">
        <f>VLOOKUP(F6,[2]HAVASMGMReportKBCUpdatedResult!$F:$R,13,FALSE)</f>
        <v>1343574</v>
      </c>
      <c r="AL6" s="13">
        <f>VLOOKUP(F6,'[1]MGM Report'!$D:$S,14,FALSE)</f>
        <v>1947000</v>
      </c>
    </row>
    <row r="7" spans="1:38">
      <c r="A7" s="7">
        <v>45780</v>
      </c>
      <c r="B7" s="8" t="s">
        <v>38</v>
      </c>
      <c r="C7" s="8" t="s">
        <v>28</v>
      </c>
      <c r="D7" s="8" t="s">
        <v>41</v>
      </c>
      <c r="E7" s="8" t="s">
        <v>42</v>
      </c>
      <c r="F7" s="8" t="str">
        <f t="shared" si="0"/>
        <v>SB22664</v>
      </c>
      <c r="G7" s="9">
        <v>4000000</v>
      </c>
      <c r="H7" s="9">
        <f>VLOOKUP(F7,'[1]MGM Report'!$D:$E,2,FALSE)</f>
        <v>12525656</v>
      </c>
      <c r="I7" s="9" t="b">
        <f t="shared" si="1"/>
        <v>0</v>
      </c>
      <c r="J7" s="12">
        <v>0</v>
      </c>
      <c r="K7" s="12">
        <f>VLOOKUP(F7,'[1]MGM Report'!$D:$F,3,FALSE)</f>
        <v>0</v>
      </c>
      <c r="L7" s="12" t="b">
        <f t="shared" si="2"/>
        <v>1</v>
      </c>
      <c r="M7" s="13">
        <v>0</v>
      </c>
      <c r="N7" s="13">
        <f>VLOOKUP(F7,'[1]MGM Report'!$D:$G,4,FALSE)</f>
        <v>0</v>
      </c>
      <c r="O7" s="13" t="b">
        <f t="shared" si="3"/>
        <v>1</v>
      </c>
      <c r="P7" s="12">
        <v>0</v>
      </c>
      <c r="Q7" s="12">
        <f>VLOOKUP(F7,'[1]MGM Report'!$D:$M,5,FALSE)</f>
        <v>0</v>
      </c>
      <c r="R7" s="12" t="b">
        <f t="shared" si="4"/>
        <v>1</v>
      </c>
      <c r="S7" s="13">
        <v>0</v>
      </c>
      <c r="T7" s="13">
        <f>VLOOKUP(F7,'[1]MGM Report'!$D:$I,6,FALSE)</f>
        <v>0</v>
      </c>
      <c r="U7" s="13" t="b">
        <f t="shared" si="5"/>
        <v>1</v>
      </c>
      <c r="V7" s="12">
        <v>0</v>
      </c>
      <c r="W7" s="12">
        <f>VLOOKUP(F7,'[1]MGM Report'!$D:$J,7,FALSE)</f>
        <v>0</v>
      </c>
      <c r="X7" s="12" t="b">
        <f t="shared" si="6"/>
        <v>1</v>
      </c>
      <c r="Y7" s="13">
        <v>0</v>
      </c>
      <c r="Z7" s="13">
        <f>VLOOKUP(F7,'[1]MGM Report'!$D:$K,8,FALSE)</f>
        <v>0</v>
      </c>
      <c r="AA7" s="13" t="b">
        <f t="shared" si="7"/>
        <v>1</v>
      </c>
      <c r="AB7" s="12">
        <v>0</v>
      </c>
      <c r="AC7" s="12">
        <f>VLOOKUP(F7,'[1]MGM Report'!$D:$M,10,FALSE)</f>
        <v>0</v>
      </c>
      <c r="AD7" s="12" t="b">
        <f t="shared" si="8"/>
        <v>1</v>
      </c>
      <c r="AE7" s="13">
        <v>0</v>
      </c>
      <c r="AF7" s="13">
        <f>VLOOKUP(F7,'[1]MGM Report'!$D:$N,11,FALSE)</f>
        <v>0</v>
      </c>
      <c r="AG7" s="13" t="b">
        <f t="shared" si="9"/>
        <v>1</v>
      </c>
      <c r="AH7" s="12">
        <v>0</v>
      </c>
      <c r="AI7" s="12">
        <f>VLOOKUP(F7,'[1]MGM Report'!$D:$S,12,FALSE)</f>
        <v>0</v>
      </c>
      <c r="AJ7" s="12" t="b">
        <f t="shared" si="10"/>
        <v>1</v>
      </c>
      <c r="AK7" s="13">
        <f>VLOOKUP(F7,[2]HAVASMGMReportKBCUpdatedResult!$F:$R,13,FALSE)</f>
        <v>4000000</v>
      </c>
      <c r="AL7" s="13">
        <f>VLOOKUP(F7,'[1]MGM Report'!$D:$S,14,FALSE)</f>
        <v>12525656</v>
      </c>
    </row>
    <row r="8" spans="1:38">
      <c r="A8" s="7">
        <v>45780</v>
      </c>
      <c r="B8" s="8" t="s">
        <v>38</v>
      </c>
      <c r="C8" s="8" t="s">
        <v>28</v>
      </c>
      <c r="D8" s="8" t="s">
        <v>43</v>
      </c>
      <c r="E8" s="8" t="s">
        <v>44</v>
      </c>
      <c r="F8" s="8" t="str">
        <f t="shared" si="0"/>
        <v>SB22662</v>
      </c>
      <c r="G8" s="9">
        <v>0</v>
      </c>
      <c r="H8" s="9">
        <f>VLOOKUP(F8,'[1]MGM Report'!$D:$E,2,FALSE)</f>
        <v>3031200</v>
      </c>
      <c r="I8" s="9" t="b">
        <f t="shared" si="1"/>
        <v>0</v>
      </c>
      <c r="J8" s="12">
        <v>0</v>
      </c>
      <c r="K8" s="12">
        <f>VLOOKUP(F8,'[1]MGM Report'!$D:$F,3,FALSE)</f>
        <v>0</v>
      </c>
      <c r="L8" s="12" t="b">
        <f t="shared" si="2"/>
        <v>1</v>
      </c>
      <c r="M8" s="13">
        <v>0</v>
      </c>
      <c r="N8" s="13">
        <f>VLOOKUP(F8,'[1]MGM Report'!$D:$G,4,FALSE)</f>
        <v>0</v>
      </c>
      <c r="O8" s="13" t="b">
        <f t="shared" si="3"/>
        <v>1</v>
      </c>
      <c r="P8" s="12">
        <v>0</v>
      </c>
      <c r="Q8" s="12">
        <f>VLOOKUP(F8,'[1]MGM Report'!$D:$M,5,FALSE)</f>
        <v>0</v>
      </c>
      <c r="R8" s="12" t="b">
        <f t="shared" si="4"/>
        <v>1</v>
      </c>
      <c r="S8" s="13">
        <v>0</v>
      </c>
      <c r="T8" s="13">
        <f>VLOOKUP(F8,'[1]MGM Report'!$D:$I,6,FALSE)</f>
        <v>0</v>
      </c>
      <c r="U8" s="13" t="b">
        <f t="shared" si="5"/>
        <v>1</v>
      </c>
      <c r="V8" s="12">
        <v>1166400</v>
      </c>
      <c r="W8" s="12">
        <f>VLOOKUP(F8,'[1]MGM Report'!$D:$J,7,FALSE)</f>
        <v>1166400</v>
      </c>
      <c r="X8" s="12" t="b">
        <f t="shared" si="6"/>
        <v>1</v>
      </c>
      <c r="Y8" s="13">
        <v>0</v>
      </c>
      <c r="Z8" s="13">
        <f>VLOOKUP(F8,'[1]MGM Report'!$D:$K,8,FALSE)</f>
        <v>0</v>
      </c>
      <c r="AA8" s="13" t="b">
        <f t="shared" si="7"/>
        <v>1</v>
      </c>
      <c r="AB8" s="12">
        <v>0</v>
      </c>
      <c r="AC8" s="12">
        <f>VLOOKUP(F8,'[1]MGM Report'!$D:$M,10,FALSE)</f>
        <v>0</v>
      </c>
      <c r="AD8" s="12" t="b">
        <f t="shared" si="8"/>
        <v>1</v>
      </c>
      <c r="AE8" s="13">
        <v>0</v>
      </c>
      <c r="AF8" s="13">
        <f>VLOOKUP(F8,'[1]MGM Report'!$D:$N,11,FALSE)</f>
        <v>0</v>
      </c>
      <c r="AG8" s="13" t="b">
        <f t="shared" si="9"/>
        <v>1</v>
      </c>
      <c r="AH8" s="12">
        <v>0</v>
      </c>
      <c r="AI8" s="12">
        <f>VLOOKUP(F8,'[1]MGM Report'!$D:$S,12,FALSE)</f>
        <v>0</v>
      </c>
      <c r="AJ8" s="12" t="b">
        <f t="shared" si="10"/>
        <v>1</v>
      </c>
      <c r="AK8" s="13">
        <f>VLOOKUP(F8,[2]HAVASMGMReportKBCUpdatedResult!$F:$R,13,FALSE)</f>
        <v>-1166400</v>
      </c>
      <c r="AL8" s="13">
        <f>VLOOKUP(F8,'[1]MGM Report'!$D:$S,14,FALSE)</f>
        <v>1864800</v>
      </c>
    </row>
    <row r="9" spans="1:38">
      <c r="A9" s="7">
        <v>45780</v>
      </c>
      <c r="B9" s="8" t="s">
        <v>31</v>
      </c>
      <c r="C9" s="8" t="s">
        <v>28</v>
      </c>
      <c r="D9" s="8" t="s">
        <v>45</v>
      </c>
      <c r="E9" s="8" t="s">
        <v>46</v>
      </c>
      <c r="F9" s="8" t="str">
        <f t="shared" si="0"/>
        <v>SB22659</v>
      </c>
      <c r="G9" s="9">
        <v>178178</v>
      </c>
      <c r="H9" s="9">
        <f>VLOOKUP(F9,'[1]MGM Report'!$D:$E,2,FALSE)</f>
        <v>178178</v>
      </c>
      <c r="I9" s="9" t="b">
        <f t="shared" si="1"/>
        <v>1</v>
      </c>
      <c r="J9" s="12">
        <v>0</v>
      </c>
      <c r="K9" s="12">
        <f>VLOOKUP(F9,'[1]MGM Report'!$D:$F,3,FALSE)</f>
        <v>0</v>
      </c>
      <c r="L9" s="12" t="b">
        <f t="shared" si="2"/>
        <v>1</v>
      </c>
      <c r="M9" s="13">
        <v>178178</v>
      </c>
      <c r="N9" s="13">
        <f>VLOOKUP(F9,'[1]MGM Report'!$D:$G,4,FALSE)</f>
        <v>178178</v>
      </c>
      <c r="O9" s="13" t="b">
        <f t="shared" si="3"/>
        <v>1</v>
      </c>
      <c r="P9" s="12">
        <v>0</v>
      </c>
      <c r="Q9" s="12">
        <f>VLOOKUP(F9,'[1]MGM Report'!$D:$M,5,FALSE)</f>
        <v>0</v>
      </c>
      <c r="R9" s="12" t="b">
        <f t="shared" si="4"/>
        <v>1</v>
      </c>
      <c r="S9" s="13">
        <v>178178</v>
      </c>
      <c r="T9" s="13">
        <f>VLOOKUP(F9,'[1]MGM Report'!$D:$I,6,FALSE)</f>
        <v>178178</v>
      </c>
      <c r="U9" s="13" t="b">
        <f t="shared" si="5"/>
        <v>1</v>
      </c>
      <c r="V9" s="12">
        <v>0</v>
      </c>
      <c r="W9" s="12">
        <f>VLOOKUP(F9,'[1]MGM Report'!$D:$J,7,FALSE)</f>
        <v>0</v>
      </c>
      <c r="X9" s="12" t="b">
        <f t="shared" si="6"/>
        <v>1</v>
      </c>
      <c r="Y9" s="13">
        <v>0</v>
      </c>
      <c r="Z9" s="13">
        <f>VLOOKUP(F9,'[1]MGM Report'!$D:$K,8,FALSE)</f>
        <v>0</v>
      </c>
      <c r="AA9" s="13" t="b">
        <f t="shared" si="7"/>
        <v>1</v>
      </c>
      <c r="AB9" s="12">
        <v>140000</v>
      </c>
      <c r="AC9" s="12">
        <f>VLOOKUP(F9,'[1]MGM Report'!$D:$M,10,FALSE)</f>
        <v>140000</v>
      </c>
      <c r="AD9" s="12" t="b">
        <f t="shared" si="8"/>
        <v>1</v>
      </c>
      <c r="AE9" s="13">
        <v>0</v>
      </c>
      <c r="AF9" s="13">
        <f>VLOOKUP(F9,'[1]MGM Report'!$D:$N,11,FALSE)</f>
        <v>0</v>
      </c>
      <c r="AG9" s="13" t="b">
        <f t="shared" si="9"/>
        <v>1</v>
      </c>
      <c r="AH9" s="12">
        <v>140000</v>
      </c>
      <c r="AI9" s="12">
        <f>VLOOKUP(F9,'[1]MGM Report'!$D:$S,12,FALSE)</f>
        <v>140000</v>
      </c>
      <c r="AJ9" s="12" t="b">
        <f t="shared" si="10"/>
        <v>1</v>
      </c>
      <c r="AK9" s="13">
        <f>VLOOKUP(F9,[2]HAVASMGMReportKBCUpdatedResult!$F:$R,13,FALSE)</f>
        <v>178178</v>
      </c>
      <c r="AL9" s="13">
        <f>VLOOKUP(F9,'[1]MGM Report'!$D:$S,14,FALSE)</f>
        <v>178178</v>
      </c>
    </row>
    <row r="10" spans="1:38">
      <c r="A10" s="7">
        <v>45780</v>
      </c>
      <c r="B10" s="8" t="s">
        <v>27</v>
      </c>
      <c r="C10" s="8" t="s">
        <v>28</v>
      </c>
      <c r="D10" s="8" t="s">
        <v>47</v>
      </c>
      <c r="E10" s="8" t="s">
        <v>48</v>
      </c>
      <c r="F10" s="8" t="str">
        <f t="shared" si="0"/>
        <v>SB22658</v>
      </c>
      <c r="G10" s="9">
        <v>453325</v>
      </c>
      <c r="H10" s="9">
        <f>VLOOKUP(F10,'[1]MGM Report'!$D:$E,2,FALSE)</f>
        <v>453325</v>
      </c>
      <c r="I10" s="9" t="b">
        <f t="shared" si="1"/>
        <v>1</v>
      </c>
      <c r="J10" s="12">
        <v>0</v>
      </c>
      <c r="K10" s="12">
        <f>VLOOKUP(F10,'[1]MGM Report'!$D:$F,3,FALSE)</f>
        <v>0</v>
      </c>
      <c r="L10" s="12" t="b">
        <f t="shared" si="2"/>
        <v>1</v>
      </c>
      <c r="M10" s="13">
        <v>0</v>
      </c>
      <c r="N10" s="13">
        <f>VLOOKUP(F10,'[1]MGM Report'!$D:$G,4,FALSE)</f>
        <v>0</v>
      </c>
      <c r="O10" s="13" t="b">
        <f t="shared" si="3"/>
        <v>1</v>
      </c>
      <c r="P10" s="12">
        <v>0</v>
      </c>
      <c r="Q10" s="12">
        <f>VLOOKUP(F10,'[1]MGM Report'!$D:$M,5,FALSE)</f>
        <v>0</v>
      </c>
      <c r="R10" s="12" t="b">
        <f t="shared" si="4"/>
        <v>1</v>
      </c>
      <c r="S10" s="13">
        <v>0</v>
      </c>
      <c r="T10" s="13">
        <f>VLOOKUP(F10,'[1]MGM Report'!$D:$I,6,FALSE)</f>
        <v>0</v>
      </c>
      <c r="U10" s="13" t="b">
        <f t="shared" si="5"/>
        <v>1</v>
      </c>
      <c r="V10" s="12">
        <v>0</v>
      </c>
      <c r="W10" s="12">
        <f>VLOOKUP(F10,'[1]MGM Report'!$D:$J,7,FALSE)</f>
        <v>0</v>
      </c>
      <c r="X10" s="12" t="b">
        <f t="shared" si="6"/>
        <v>1</v>
      </c>
      <c r="Y10" s="13">
        <v>0</v>
      </c>
      <c r="Z10" s="13">
        <f>VLOOKUP(F10,'[1]MGM Report'!$D:$K,8,FALSE)</f>
        <v>0</v>
      </c>
      <c r="AA10" s="13" t="b">
        <f t="shared" si="7"/>
        <v>1</v>
      </c>
      <c r="AB10" s="12">
        <v>0</v>
      </c>
      <c r="AC10" s="12">
        <f>VLOOKUP(F10,'[1]MGM Report'!$D:$M,10,FALSE)</f>
        <v>0</v>
      </c>
      <c r="AD10" s="12" t="b">
        <f t="shared" si="8"/>
        <v>1</v>
      </c>
      <c r="AE10" s="13">
        <v>0</v>
      </c>
      <c r="AF10" s="13">
        <f>VLOOKUP(F10,'[1]MGM Report'!$D:$N,11,FALSE)</f>
        <v>0</v>
      </c>
      <c r="AG10" s="13" t="b">
        <f t="shared" si="9"/>
        <v>1</v>
      </c>
      <c r="AH10" s="12">
        <v>0</v>
      </c>
      <c r="AI10" s="12">
        <f>VLOOKUP(F10,'[1]MGM Report'!$D:$S,12,FALSE)</f>
        <v>0</v>
      </c>
      <c r="AJ10" s="12" t="b">
        <f t="shared" si="10"/>
        <v>1</v>
      </c>
      <c r="AK10" s="13">
        <f>VLOOKUP(F10,[2]HAVASMGMReportKBCUpdatedResult!$F:$R,13,FALSE)</f>
        <v>453325</v>
      </c>
      <c r="AL10" s="13">
        <f>VLOOKUP(F10,'[1]MGM Report'!$D:$S,14,FALSE)</f>
        <v>453325</v>
      </c>
    </row>
    <row r="11" spans="1:38">
      <c r="A11" s="7">
        <v>45780</v>
      </c>
      <c r="B11" s="8" t="s">
        <v>38</v>
      </c>
      <c r="C11" s="8" t="s">
        <v>28</v>
      </c>
      <c r="D11" s="8" t="s">
        <v>49</v>
      </c>
      <c r="E11" s="8" t="s">
        <v>50</v>
      </c>
      <c r="F11" s="8" t="str">
        <f t="shared" si="0"/>
        <v>SB22657</v>
      </c>
      <c r="G11" s="9">
        <v>8200005</v>
      </c>
      <c r="H11" s="9">
        <f>VLOOKUP(F11,'[1]MGM Report'!$D:$E,2,FALSE)</f>
        <v>8200005</v>
      </c>
      <c r="I11" s="9" t="b">
        <f t="shared" si="1"/>
        <v>1</v>
      </c>
      <c r="J11" s="12">
        <v>0</v>
      </c>
      <c r="K11" s="12">
        <f>VLOOKUP(F11,'[1]MGM Report'!$D:$F,3,FALSE)</f>
        <v>0</v>
      </c>
      <c r="L11" s="12" t="b">
        <f t="shared" si="2"/>
        <v>1</v>
      </c>
      <c r="M11" s="13">
        <v>0</v>
      </c>
      <c r="N11" s="13">
        <f>VLOOKUP(F11,'[1]MGM Report'!$D:$G,4,FALSE)</f>
        <v>0</v>
      </c>
      <c r="O11" s="13" t="b">
        <f t="shared" si="3"/>
        <v>1</v>
      </c>
      <c r="P11" s="12">
        <v>0</v>
      </c>
      <c r="Q11" s="12">
        <f>VLOOKUP(F11,'[1]MGM Report'!$D:$M,5,FALSE)</f>
        <v>0</v>
      </c>
      <c r="R11" s="12" t="b">
        <f t="shared" si="4"/>
        <v>1</v>
      </c>
      <c r="S11" s="13">
        <v>0</v>
      </c>
      <c r="T11" s="13">
        <f>VLOOKUP(F11,'[1]MGM Report'!$D:$I,6,FALSE)</f>
        <v>0</v>
      </c>
      <c r="U11" s="13" t="b">
        <f t="shared" si="5"/>
        <v>1</v>
      </c>
      <c r="V11" s="12">
        <v>0</v>
      </c>
      <c r="W11" s="12">
        <f>VLOOKUP(F11,'[1]MGM Report'!$D:$J,7,FALSE)</f>
        <v>75000</v>
      </c>
      <c r="X11" s="12" t="b">
        <f t="shared" si="6"/>
        <v>0</v>
      </c>
      <c r="Y11" s="13">
        <v>0</v>
      </c>
      <c r="Z11" s="13">
        <f>VLOOKUP(F11,'[1]MGM Report'!$D:$K,8,FALSE)</f>
        <v>0</v>
      </c>
      <c r="AA11" s="13" t="b">
        <f t="shared" si="7"/>
        <v>1</v>
      </c>
      <c r="AB11" s="12">
        <v>0</v>
      </c>
      <c r="AC11" s="12">
        <f>VLOOKUP(F11,'[1]MGM Report'!$D:$M,10,FALSE)</f>
        <v>0</v>
      </c>
      <c r="AD11" s="12" t="b">
        <f t="shared" si="8"/>
        <v>1</v>
      </c>
      <c r="AE11" s="13">
        <v>0</v>
      </c>
      <c r="AF11" s="13">
        <f>VLOOKUP(F11,'[1]MGM Report'!$D:$N,11,FALSE)</f>
        <v>0</v>
      </c>
      <c r="AG11" s="13" t="b">
        <f t="shared" si="9"/>
        <v>1</v>
      </c>
      <c r="AH11" s="12">
        <v>0</v>
      </c>
      <c r="AI11" s="12">
        <f>VLOOKUP(F11,'[1]MGM Report'!$D:$S,12,FALSE)</f>
        <v>0</v>
      </c>
      <c r="AJ11" s="12" t="b">
        <f t="shared" si="10"/>
        <v>1</v>
      </c>
      <c r="AK11" s="13">
        <f>VLOOKUP(F11,[2]HAVASMGMReportKBCUpdatedResult!$F:$R,13,FALSE)</f>
        <v>8200005</v>
      </c>
      <c r="AL11" s="13">
        <f>VLOOKUP(F11,'[1]MGM Report'!$D:$S,14,FALSE)</f>
        <v>8125005</v>
      </c>
    </row>
    <row r="12" spans="1:38">
      <c r="A12" s="7">
        <v>45780</v>
      </c>
      <c r="B12" s="8" t="s">
        <v>38</v>
      </c>
      <c r="C12" s="8" t="s">
        <v>28</v>
      </c>
      <c r="D12" s="8" t="s">
        <v>51</v>
      </c>
      <c r="E12" s="8" t="s">
        <v>52</v>
      </c>
      <c r="F12" s="8" t="str">
        <f t="shared" si="0"/>
        <v>SB22656</v>
      </c>
      <c r="G12" s="9">
        <v>717723</v>
      </c>
      <c r="H12" s="9">
        <f>VLOOKUP(F12,'[1]MGM Report'!$D:$E,2,FALSE)</f>
        <v>717723</v>
      </c>
      <c r="I12" s="9" t="b">
        <f t="shared" si="1"/>
        <v>1</v>
      </c>
      <c r="J12" s="12">
        <v>0</v>
      </c>
      <c r="K12" s="12">
        <f>VLOOKUP(F12,'[1]MGM Report'!$D:$F,3,FALSE)</f>
        <v>0</v>
      </c>
      <c r="L12" s="12" t="b">
        <f t="shared" si="2"/>
        <v>1</v>
      </c>
      <c r="M12" s="13">
        <v>725537</v>
      </c>
      <c r="N12" s="13">
        <f>VLOOKUP(F12,'[1]MGM Report'!$D:$G,4,FALSE)</f>
        <v>725537</v>
      </c>
      <c r="O12" s="13" t="b">
        <f t="shared" si="3"/>
        <v>1</v>
      </c>
      <c r="P12" s="12">
        <v>0</v>
      </c>
      <c r="Q12" s="12">
        <f>VLOOKUP(F12,'[1]MGM Report'!$D:$M,5,FALSE)</f>
        <v>0</v>
      </c>
      <c r="R12" s="12" t="b">
        <f t="shared" si="4"/>
        <v>1</v>
      </c>
      <c r="S12" s="13">
        <v>725537</v>
      </c>
      <c r="T12" s="13">
        <f>VLOOKUP(F12,'[1]MGM Report'!$D:$I,6,FALSE)</f>
        <v>725537</v>
      </c>
      <c r="U12" s="13" t="b">
        <f t="shared" si="5"/>
        <v>1</v>
      </c>
      <c r="V12" s="12">
        <v>249250</v>
      </c>
      <c r="W12" s="12">
        <f>VLOOKUP(F12,'[1]MGM Report'!$D:$J,7,FALSE)</f>
        <v>249250</v>
      </c>
      <c r="X12" s="12" t="b">
        <f t="shared" si="6"/>
        <v>1</v>
      </c>
      <c r="Y12" s="13">
        <v>0</v>
      </c>
      <c r="Z12" s="13">
        <f>VLOOKUP(F12,'[1]MGM Report'!$D:$K,8,FALSE)</f>
        <v>0</v>
      </c>
      <c r="AA12" s="13" t="b">
        <f t="shared" si="7"/>
        <v>1</v>
      </c>
      <c r="AB12" s="12">
        <v>575537</v>
      </c>
      <c r="AC12" s="12">
        <f>VLOOKUP(F12,'[1]MGM Report'!$D:$M,10,FALSE)</f>
        <v>575537</v>
      </c>
      <c r="AD12" s="12" t="b">
        <f t="shared" si="8"/>
        <v>1</v>
      </c>
      <c r="AE12" s="13">
        <v>0</v>
      </c>
      <c r="AF12" s="13">
        <f>VLOOKUP(F12,'[1]MGM Report'!$D:$N,11,FALSE)</f>
        <v>0</v>
      </c>
      <c r="AG12" s="13" t="b">
        <f t="shared" si="9"/>
        <v>1</v>
      </c>
      <c r="AH12" s="12">
        <v>575537</v>
      </c>
      <c r="AI12" s="12">
        <f>VLOOKUP(F12,'[1]MGM Report'!$D:$S,12,FALSE)</f>
        <v>575537</v>
      </c>
      <c r="AJ12" s="12" t="b">
        <f t="shared" si="10"/>
        <v>1</v>
      </c>
      <c r="AK12" s="13">
        <f>VLOOKUP(F12,[2]HAVASMGMReportKBCUpdatedResult!$F:$R,13,FALSE)</f>
        <v>468473</v>
      </c>
      <c r="AL12" s="13">
        <f>VLOOKUP(F12,'[1]MGM Report'!$D:$S,14,FALSE)</f>
        <v>468473</v>
      </c>
    </row>
    <row r="13" spans="1:38">
      <c r="A13" s="7">
        <v>45780</v>
      </c>
      <c r="B13" s="8" t="s">
        <v>27</v>
      </c>
      <c r="C13" s="8" t="s">
        <v>28</v>
      </c>
      <c r="D13" s="8" t="s">
        <v>47</v>
      </c>
      <c r="E13" s="8" t="s">
        <v>53</v>
      </c>
      <c r="F13" s="8" t="str">
        <f t="shared" si="0"/>
        <v>SB22655</v>
      </c>
      <c r="G13" s="9">
        <v>822946.97</v>
      </c>
      <c r="H13" s="9">
        <f>VLOOKUP(F13,'[1]MGM Report'!$D:$E,2,FALSE)</f>
        <v>823500</v>
      </c>
      <c r="I13" s="9" t="b">
        <f t="shared" si="1"/>
        <v>0</v>
      </c>
      <c r="J13" s="12">
        <v>0</v>
      </c>
      <c r="K13" s="12">
        <f>VLOOKUP(F13,'[1]MGM Report'!$D:$F,3,FALSE)</f>
        <v>0</v>
      </c>
      <c r="L13" s="12" t="b">
        <f t="shared" si="2"/>
        <v>1</v>
      </c>
      <c r="M13" s="13">
        <v>0</v>
      </c>
      <c r="N13" s="13">
        <f>VLOOKUP(F13,'[1]MGM Report'!$D:$G,4,FALSE)</f>
        <v>0</v>
      </c>
      <c r="O13" s="13" t="b">
        <f t="shared" si="3"/>
        <v>1</v>
      </c>
      <c r="P13" s="12">
        <v>0</v>
      </c>
      <c r="Q13" s="12">
        <f>VLOOKUP(F13,'[1]MGM Report'!$D:$M,5,FALSE)</f>
        <v>0</v>
      </c>
      <c r="R13" s="12" t="b">
        <f t="shared" si="4"/>
        <v>1</v>
      </c>
      <c r="S13" s="13">
        <v>0</v>
      </c>
      <c r="T13" s="13">
        <f>VLOOKUP(F13,'[1]MGM Report'!$D:$I,6,FALSE)</f>
        <v>0</v>
      </c>
      <c r="U13" s="13" t="b">
        <f t="shared" si="5"/>
        <v>1</v>
      </c>
      <c r="V13" s="12">
        <v>0</v>
      </c>
      <c r="W13" s="12">
        <f>VLOOKUP(F13,'[1]MGM Report'!$D:$J,7,FALSE)</f>
        <v>0</v>
      </c>
      <c r="X13" s="12" t="b">
        <f t="shared" si="6"/>
        <v>1</v>
      </c>
      <c r="Y13" s="13">
        <v>0</v>
      </c>
      <c r="Z13" s="13">
        <f>VLOOKUP(F13,'[1]MGM Report'!$D:$K,8,FALSE)</f>
        <v>0</v>
      </c>
      <c r="AA13" s="13" t="b">
        <f t="shared" si="7"/>
        <v>1</v>
      </c>
      <c r="AB13" s="12">
        <v>0</v>
      </c>
      <c r="AC13" s="12">
        <f>VLOOKUP(F13,'[1]MGM Report'!$D:$M,10,FALSE)</f>
        <v>0</v>
      </c>
      <c r="AD13" s="12" t="b">
        <f t="shared" si="8"/>
        <v>1</v>
      </c>
      <c r="AE13" s="13">
        <v>0</v>
      </c>
      <c r="AF13" s="13">
        <f>VLOOKUP(F13,'[1]MGM Report'!$D:$N,11,FALSE)</f>
        <v>0</v>
      </c>
      <c r="AG13" s="13" t="b">
        <f t="shared" si="9"/>
        <v>1</v>
      </c>
      <c r="AH13" s="12">
        <v>0</v>
      </c>
      <c r="AI13" s="12">
        <f>VLOOKUP(F13,'[1]MGM Report'!$D:$S,12,FALSE)</f>
        <v>0</v>
      </c>
      <c r="AJ13" s="12" t="b">
        <f t="shared" si="10"/>
        <v>1</v>
      </c>
      <c r="AK13" s="13">
        <f>VLOOKUP(F13,[2]HAVASMGMReportKBCUpdatedResult!$F:$R,13,FALSE)</f>
        <v>822946.97</v>
      </c>
      <c r="AL13" s="13">
        <f>VLOOKUP(F13,'[1]MGM Report'!$D:$S,14,FALSE)</f>
        <v>823500</v>
      </c>
    </row>
    <row r="14" spans="1:38">
      <c r="A14" s="7">
        <v>45780</v>
      </c>
      <c r="B14" s="8" t="s">
        <v>31</v>
      </c>
      <c r="C14" s="8" t="s">
        <v>28</v>
      </c>
      <c r="D14" s="8" t="s">
        <v>45</v>
      </c>
      <c r="E14" s="8" t="s">
        <v>54</v>
      </c>
      <c r="F14" s="8" t="str">
        <f t="shared" si="0"/>
        <v>SB22654</v>
      </c>
      <c r="G14" s="9">
        <v>0</v>
      </c>
      <c r="H14" s="9">
        <f>VLOOKUP(F14,'[1]MGM Report'!$D:$E,2,FALSE)</f>
        <v>0</v>
      </c>
      <c r="I14" s="9" t="b">
        <f t="shared" si="1"/>
        <v>1</v>
      </c>
      <c r="J14" s="12">
        <v>0</v>
      </c>
      <c r="K14" s="12">
        <f>VLOOKUP(F14,'[1]MGM Report'!$D:$F,3,FALSE)</f>
        <v>0</v>
      </c>
      <c r="L14" s="12" t="b">
        <f t="shared" si="2"/>
        <v>1</v>
      </c>
      <c r="M14" s="13">
        <v>209293</v>
      </c>
      <c r="N14" s="13">
        <f>VLOOKUP(F14,'[1]MGM Report'!$D:$G,4,FALSE)</f>
        <v>209293</v>
      </c>
      <c r="O14" s="13" t="b">
        <f t="shared" si="3"/>
        <v>1</v>
      </c>
      <c r="P14" s="12">
        <v>0</v>
      </c>
      <c r="Q14" s="12">
        <f>VLOOKUP(F14,'[1]MGM Report'!$D:$M,5,FALSE)</f>
        <v>0</v>
      </c>
      <c r="R14" s="12" t="b">
        <f t="shared" si="4"/>
        <v>1</v>
      </c>
      <c r="S14" s="13">
        <v>209293</v>
      </c>
      <c r="T14" s="13">
        <f>VLOOKUP(F14,'[1]MGM Report'!$D:$I,6,FALSE)</f>
        <v>209293</v>
      </c>
      <c r="U14" s="13" t="b">
        <f t="shared" si="5"/>
        <v>1</v>
      </c>
      <c r="V14" s="12">
        <v>0</v>
      </c>
      <c r="W14" s="12">
        <f>VLOOKUP(F14,'[1]MGM Report'!$D:$J,7,FALSE)</f>
        <v>0</v>
      </c>
      <c r="X14" s="12" t="b">
        <f t="shared" si="6"/>
        <v>1</v>
      </c>
      <c r="Y14" s="13">
        <v>0</v>
      </c>
      <c r="Z14" s="13">
        <f>VLOOKUP(F14,'[1]MGM Report'!$D:$K,8,FALSE)</f>
        <v>0</v>
      </c>
      <c r="AA14" s="13" t="b">
        <f t="shared" si="7"/>
        <v>1</v>
      </c>
      <c r="AB14" s="12">
        <v>150000</v>
      </c>
      <c r="AC14" s="12">
        <f>VLOOKUP(F14,'[1]MGM Report'!$D:$M,10,FALSE)</f>
        <v>150000</v>
      </c>
      <c r="AD14" s="12" t="b">
        <f t="shared" si="8"/>
        <v>1</v>
      </c>
      <c r="AE14" s="13">
        <v>0</v>
      </c>
      <c r="AF14" s="13">
        <f>VLOOKUP(F14,'[1]MGM Report'!$D:$N,11,FALSE)</f>
        <v>0</v>
      </c>
      <c r="AG14" s="13" t="b">
        <f t="shared" si="9"/>
        <v>1</v>
      </c>
      <c r="AH14" s="12">
        <v>150000</v>
      </c>
      <c r="AI14" s="12">
        <f>VLOOKUP(F14,'[1]MGM Report'!$D:$S,12,FALSE)</f>
        <v>150000</v>
      </c>
      <c r="AJ14" s="12" t="b">
        <f t="shared" si="10"/>
        <v>1</v>
      </c>
      <c r="AK14" s="13">
        <f>VLOOKUP(F14,[2]HAVASMGMReportKBCUpdatedResult!$F:$R,13,FALSE)</f>
        <v>0</v>
      </c>
      <c r="AL14" s="13">
        <f>VLOOKUP(F14,'[1]MGM Report'!$D:$S,14,FALSE)</f>
        <v>0</v>
      </c>
    </row>
    <row r="15" spans="1:38">
      <c r="A15" s="7">
        <v>45780</v>
      </c>
      <c r="B15" s="8" t="s">
        <v>31</v>
      </c>
      <c r="C15" s="8" t="s">
        <v>28</v>
      </c>
      <c r="D15" s="8" t="s">
        <v>45</v>
      </c>
      <c r="E15" s="8" t="s">
        <v>55</v>
      </c>
      <c r="F15" s="8" t="str">
        <f t="shared" si="0"/>
        <v>SB22652</v>
      </c>
      <c r="G15" s="9">
        <v>0</v>
      </c>
      <c r="H15" s="9">
        <f>VLOOKUP(F15,'[1]MGM Report'!$D:$E,2,FALSE)</f>
        <v>0</v>
      </c>
      <c r="I15" s="9" t="b">
        <f t="shared" si="1"/>
        <v>1</v>
      </c>
      <c r="J15" s="12">
        <v>0</v>
      </c>
      <c r="K15" s="12">
        <f>VLOOKUP(F15,'[1]MGM Report'!$D:$F,3,FALSE)</f>
        <v>0</v>
      </c>
      <c r="L15" s="12" t="b">
        <f t="shared" si="2"/>
        <v>1</v>
      </c>
      <c r="M15" s="13">
        <v>10010</v>
      </c>
      <c r="N15" s="13">
        <f>VLOOKUP(F15,'[1]MGM Report'!$D:$G,4,FALSE)</f>
        <v>10010</v>
      </c>
      <c r="O15" s="13" t="b">
        <f t="shared" si="3"/>
        <v>1</v>
      </c>
      <c r="P15" s="12">
        <v>0</v>
      </c>
      <c r="Q15" s="12">
        <f>VLOOKUP(F15,'[1]MGM Report'!$D:$M,5,FALSE)</f>
        <v>0</v>
      </c>
      <c r="R15" s="12" t="b">
        <f t="shared" si="4"/>
        <v>1</v>
      </c>
      <c r="S15" s="13">
        <v>10010</v>
      </c>
      <c r="T15" s="13">
        <f>VLOOKUP(F15,'[1]MGM Report'!$D:$I,6,FALSE)</f>
        <v>10010</v>
      </c>
      <c r="U15" s="13" t="b">
        <f t="shared" si="5"/>
        <v>1</v>
      </c>
      <c r="V15" s="12">
        <v>0</v>
      </c>
      <c r="W15" s="12">
        <f>VLOOKUP(F15,'[1]MGM Report'!$D:$J,7,FALSE)</f>
        <v>0</v>
      </c>
      <c r="X15" s="12" t="b">
        <f t="shared" si="6"/>
        <v>1</v>
      </c>
      <c r="Y15" s="13">
        <v>0</v>
      </c>
      <c r="Z15" s="13">
        <f>VLOOKUP(F15,'[1]MGM Report'!$D:$K,8,FALSE)</f>
        <v>0</v>
      </c>
      <c r="AA15" s="13" t="b">
        <f t="shared" si="7"/>
        <v>1</v>
      </c>
      <c r="AB15" s="12">
        <v>7500</v>
      </c>
      <c r="AC15" s="12">
        <f>VLOOKUP(F15,'[1]MGM Report'!$D:$M,10,FALSE)</f>
        <v>7500</v>
      </c>
      <c r="AD15" s="12" t="b">
        <f t="shared" si="8"/>
        <v>1</v>
      </c>
      <c r="AE15" s="13">
        <v>0</v>
      </c>
      <c r="AF15" s="13">
        <f>VLOOKUP(F15,'[1]MGM Report'!$D:$N,11,FALSE)</f>
        <v>0</v>
      </c>
      <c r="AG15" s="13" t="b">
        <f t="shared" si="9"/>
        <v>1</v>
      </c>
      <c r="AH15" s="12">
        <v>7500</v>
      </c>
      <c r="AI15" s="12">
        <f>VLOOKUP(F15,'[1]MGM Report'!$D:$S,12,FALSE)</f>
        <v>7500</v>
      </c>
      <c r="AJ15" s="12" t="b">
        <f t="shared" si="10"/>
        <v>1</v>
      </c>
      <c r="AK15" s="13">
        <f>VLOOKUP(F15,[2]HAVASMGMReportKBCUpdatedResult!$F:$R,13,FALSE)</f>
        <v>0</v>
      </c>
      <c r="AL15" s="13">
        <f>VLOOKUP(F15,'[1]MGM Report'!$D:$S,14,FALSE)</f>
        <v>0</v>
      </c>
    </row>
    <row r="16" spans="1:38">
      <c r="A16" s="7">
        <v>45780</v>
      </c>
      <c r="B16" s="8" t="s">
        <v>31</v>
      </c>
      <c r="C16" s="8" t="s">
        <v>28</v>
      </c>
      <c r="D16" s="8" t="s">
        <v>56</v>
      </c>
      <c r="E16" s="8" t="s">
        <v>57</v>
      </c>
      <c r="F16" s="8" t="str">
        <f t="shared" si="0"/>
        <v>SB22650</v>
      </c>
      <c r="G16" s="9">
        <v>1478362</v>
      </c>
      <c r="H16" s="9">
        <f>VLOOKUP(F16,'[1]MGM Report'!$D:$E,2,FALSE)</f>
        <v>1478362.5</v>
      </c>
      <c r="I16" s="9" t="b">
        <f t="shared" si="1"/>
        <v>0</v>
      </c>
      <c r="J16" s="12">
        <v>0</v>
      </c>
      <c r="K16" s="12">
        <f>VLOOKUP(F16,'[1]MGM Report'!$D:$F,3,FALSE)</f>
        <v>0</v>
      </c>
      <c r="L16" s="12" t="b">
        <f t="shared" si="2"/>
        <v>1</v>
      </c>
      <c r="M16" s="13">
        <v>0</v>
      </c>
      <c r="N16" s="13">
        <f>VLOOKUP(F16,'[1]MGM Report'!$D:$G,4,FALSE)</f>
        <v>0</v>
      </c>
      <c r="O16" s="13" t="b">
        <f t="shared" si="3"/>
        <v>1</v>
      </c>
      <c r="P16" s="12">
        <v>0</v>
      </c>
      <c r="Q16" s="12">
        <f>VLOOKUP(F16,'[1]MGM Report'!$D:$M,5,FALSE)</f>
        <v>0</v>
      </c>
      <c r="R16" s="12" t="b">
        <f t="shared" si="4"/>
        <v>1</v>
      </c>
      <c r="S16" s="13">
        <v>0</v>
      </c>
      <c r="T16" s="13">
        <f>VLOOKUP(F16,'[1]MGM Report'!$D:$I,6,FALSE)</f>
        <v>0</v>
      </c>
      <c r="U16" s="13" t="b">
        <f t="shared" si="5"/>
        <v>1</v>
      </c>
      <c r="V16" s="12">
        <v>0</v>
      </c>
      <c r="W16" s="12">
        <f>VLOOKUP(F16,'[1]MGM Report'!$D:$J,7,FALSE)</f>
        <v>0</v>
      </c>
      <c r="X16" s="12" t="b">
        <f t="shared" si="6"/>
        <v>1</v>
      </c>
      <c r="Y16" s="13">
        <v>0</v>
      </c>
      <c r="Z16" s="13">
        <f>VLOOKUP(F16,'[1]MGM Report'!$D:$K,8,FALSE)</f>
        <v>0</v>
      </c>
      <c r="AA16" s="13" t="b">
        <f t="shared" si="7"/>
        <v>1</v>
      </c>
      <c r="AB16" s="12">
        <v>0</v>
      </c>
      <c r="AC16" s="12">
        <f>VLOOKUP(F16,'[1]MGM Report'!$D:$M,10,FALSE)</f>
        <v>0</v>
      </c>
      <c r="AD16" s="12" t="b">
        <f t="shared" si="8"/>
        <v>1</v>
      </c>
      <c r="AE16" s="13">
        <v>0</v>
      </c>
      <c r="AF16" s="13">
        <f>VLOOKUP(F16,'[1]MGM Report'!$D:$N,11,FALSE)</f>
        <v>0</v>
      </c>
      <c r="AG16" s="13" t="b">
        <f t="shared" si="9"/>
        <v>1</v>
      </c>
      <c r="AH16" s="12">
        <v>0</v>
      </c>
      <c r="AI16" s="12">
        <f>VLOOKUP(F16,'[1]MGM Report'!$D:$S,12,FALSE)</f>
        <v>0</v>
      </c>
      <c r="AJ16" s="12" t="b">
        <f t="shared" si="10"/>
        <v>1</v>
      </c>
      <c r="AK16" s="13">
        <f>VLOOKUP(F16,[2]HAVASMGMReportKBCUpdatedResult!$F:$R,13,FALSE)</f>
        <v>1478362</v>
      </c>
      <c r="AL16" s="13">
        <f>VLOOKUP(F16,'[1]MGM Report'!$D:$S,14,FALSE)</f>
        <v>1478362.5</v>
      </c>
    </row>
    <row r="17" spans="1:38">
      <c r="A17" s="7">
        <v>45780</v>
      </c>
      <c r="B17" s="8" t="s">
        <v>31</v>
      </c>
      <c r="C17" s="8" t="s">
        <v>28</v>
      </c>
      <c r="D17" s="8" t="s">
        <v>45</v>
      </c>
      <c r="E17" s="8" t="s">
        <v>58</v>
      </c>
      <c r="F17" s="8" t="str">
        <f t="shared" si="0"/>
        <v>SB22651</v>
      </c>
      <c r="G17" s="9">
        <v>437059.04</v>
      </c>
      <c r="H17" s="9">
        <f>VLOOKUP(F17,'[1]MGM Report'!$D:$E,2,FALSE)</f>
        <v>437059.04</v>
      </c>
      <c r="I17" s="9" t="b">
        <f t="shared" si="1"/>
        <v>1</v>
      </c>
      <c r="J17" s="12">
        <v>0</v>
      </c>
      <c r="K17" s="12">
        <f>VLOOKUP(F17,'[1]MGM Report'!$D:$F,3,FALSE)</f>
        <v>0</v>
      </c>
      <c r="L17" s="12" t="b">
        <f t="shared" si="2"/>
        <v>1</v>
      </c>
      <c r="M17" s="13">
        <v>437059</v>
      </c>
      <c r="N17" s="13">
        <f>VLOOKUP(F17,'[1]MGM Report'!$D:$G,4,FALSE)</f>
        <v>437059</v>
      </c>
      <c r="O17" s="13" t="b">
        <f t="shared" si="3"/>
        <v>1</v>
      </c>
      <c r="P17" s="12">
        <v>0</v>
      </c>
      <c r="Q17" s="12">
        <f>VLOOKUP(F17,'[1]MGM Report'!$D:$M,5,FALSE)</f>
        <v>0</v>
      </c>
      <c r="R17" s="12" t="b">
        <f t="shared" si="4"/>
        <v>1</v>
      </c>
      <c r="S17" s="13">
        <v>437059</v>
      </c>
      <c r="T17" s="13">
        <f>VLOOKUP(F17,'[1]MGM Report'!$D:$I,6,FALSE)</f>
        <v>437059</v>
      </c>
      <c r="U17" s="13" t="b">
        <f t="shared" si="5"/>
        <v>1</v>
      </c>
      <c r="V17" s="12">
        <v>0</v>
      </c>
      <c r="W17" s="12">
        <f>VLOOKUP(F17,'[1]MGM Report'!$D:$J,7,FALSE)</f>
        <v>0</v>
      </c>
      <c r="X17" s="12" t="b">
        <f t="shared" si="6"/>
        <v>1</v>
      </c>
      <c r="Y17" s="13">
        <v>0</v>
      </c>
      <c r="Z17" s="13">
        <f>VLOOKUP(F17,'[1]MGM Report'!$D:$K,8,FALSE)</f>
        <v>0</v>
      </c>
      <c r="AA17" s="13" t="b">
        <f t="shared" si="7"/>
        <v>1</v>
      </c>
      <c r="AB17" s="12">
        <v>310000</v>
      </c>
      <c r="AC17" s="12">
        <f>VLOOKUP(F17,'[1]MGM Report'!$D:$M,10,FALSE)</f>
        <v>310000</v>
      </c>
      <c r="AD17" s="12" t="b">
        <f t="shared" si="8"/>
        <v>1</v>
      </c>
      <c r="AE17" s="13">
        <v>0</v>
      </c>
      <c r="AF17" s="13">
        <f>VLOOKUP(F17,'[1]MGM Report'!$D:$N,11,FALSE)</f>
        <v>0</v>
      </c>
      <c r="AG17" s="13" t="b">
        <f t="shared" si="9"/>
        <v>1</v>
      </c>
      <c r="AH17" s="12">
        <v>310000</v>
      </c>
      <c r="AI17" s="12">
        <f>VLOOKUP(F17,'[1]MGM Report'!$D:$S,12,FALSE)</f>
        <v>310000</v>
      </c>
      <c r="AJ17" s="12" t="b">
        <f t="shared" si="10"/>
        <v>1</v>
      </c>
      <c r="AK17" s="13">
        <f>VLOOKUP(F17,[2]HAVASMGMReportKBCUpdatedResult!$F:$R,13,FALSE)</f>
        <v>437059.04</v>
      </c>
      <c r="AL17" s="13">
        <f>VLOOKUP(F17,'[1]MGM Report'!$D:$S,14,FALSE)</f>
        <v>437059.04</v>
      </c>
    </row>
    <row r="18" spans="1:38">
      <c r="A18" s="7">
        <v>45780</v>
      </c>
      <c r="B18" s="8" t="s">
        <v>59</v>
      </c>
      <c r="C18" s="8" t="s">
        <v>28</v>
      </c>
      <c r="D18" s="8" t="s">
        <v>60</v>
      </c>
      <c r="E18" s="8" t="s">
        <v>61</v>
      </c>
      <c r="F18" s="8" t="str">
        <f t="shared" si="0"/>
        <v>SB22649</v>
      </c>
      <c r="G18" s="9">
        <v>100100</v>
      </c>
      <c r="H18" s="9">
        <f>VLOOKUP(F18,'[1]MGM Report'!$D:$E,2,FALSE)</f>
        <v>100100</v>
      </c>
      <c r="I18" s="9" t="b">
        <f t="shared" si="1"/>
        <v>1</v>
      </c>
      <c r="J18" s="12">
        <v>0</v>
      </c>
      <c r="K18" s="12">
        <f>VLOOKUP(F18,'[1]MGM Report'!$D:$F,3,FALSE)</f>
        <v>0</v>
      </c>
      <c r="L18" s="12" t="b">
        <f t="shared" si="2"/>
        <v>1</v>
      </c>
      <c r="M18" s="13">
        <v>100100</v>
      </c>
      <c r="N18" s="13">
        <f>VLOOKUP(F18,'[1]MGM Report'!$D:$G,4,FALSE)</f>
        <v>100100</v>
      </c>
      <c r="O18" s="13" t="b">
        <f t="shared" si="3"/>
        <v>1</v>
      </c>
      <c r="P18" s="12">
        <v>0</v>
      </c>
      <c r="Q18" s="12">
        <f>VLOOKUP(F18,'[1]MGM Report'!$D:$M,5,FALSE)</f>
        <v>0</v>
      </c>
      <c r="R18" s="12" t="b">
        <f t="shared" si="4"/>
        <v>1</v>
      </c>
      <c r="S18" s="13">
        <v>100100</v>
      </c>
      <c r="T18" s="13">
        <f>VLOOKUP(F18,'[1]MGM Report'!$D:$I,6,FALSE)</f>
        <v>100100</v>
      </c>
      <c r="U18" s="13" t="b">
        <f t="shared" si="5"/>
        <v>1</v>
      </c>
      <c r="V18" s="12">
        <v>85000</v>
      </c>
      <c r="W18" s="12">
        <f>VLOOKUP(F18,'[1]MGM Report'!$D:$J,7,FALSE)</f>
        <v>85000</v>
      </c>
      <c r="X18" s="12" t="b">
        <f t="shared" si="6"/>
        <v>1</v>
      </c>
      <c r="Y18" s="13">
        <v>0</v>
      </c>
      <c r="Z18" s="13">
        <f>VLOOKUP(F18,'[1]MGM Report'!$D:$K,8,FALSE)</f>
        <v>0</v>
      </c>
      <c r="AA18" s="13" t="b">
        <f t="shared" si="7"/>
        <v>1</v>
      </c>
      <c r="AB18" s="12">
        <v>85000</v>
      </c>
      <c r="AC18" s="12">
        <f>VLOOKUP(F18,'[1]MGM Report'!$D:$M,10,FALSE)</f>
        <v>85000</v>
      </c>
      <c r="AD18" s="12" t="b">
        <f t="shared" si="8"/>
        <v>1</v>
      </c>
      <c r="AE18" s="13">
        <v>0</v>
      </c>
      <c r="AF18" s="13">
        <f>VLOOKUP(F18,'[1]MGM Report'!$D:$N,11,FALSE)</f>
        <v>0</v>
      </c>
      <c r="AG18" s="13" t="b">
        <f t="shared" si="9"/>
        <v>1</v>
      </c>
      <c r="AH18" s="12">
        <v>85000</v>
      </c>
      <c r="AI18" s="12">
        <f>VLOOKUP(F18,'[1]MGM Report'!$D:$S,12,FALSE)</f>
        <v>85000</v>
      </c>
      <c r="AJ18" s="12" t="b">
        <f t="shared" si="10"/>
        <v>1</v>
      </c>
      <c r="AK18" s="13">
        <f>VLOOKUP(F18,[2]HAVASMGMReportKBCUpdatedResult!$F:$R,13,FALSE)</f>
        <v>15100</v>
      </c>
      <c r="AL18" s="13">
        <f>VLOOKUP(F18,'[1]MGM Report'!$D:$S,14,FALSE)</f>
        <v>15100</v>
      </c>
    </row>
    <row r="19" spans="1:38">
      <c r="A19" s="7">
        <v>45780</v>
      </c>
      <c r="B19" s="8" t="s">
        <v>38</v>
      </c>
      <c r="C19" s="8" t="s">
        <v>28</v>
      </c>
      <c r="D19" s="8" t="s">
        <v>62</v>
      </c>
      <c r="E19" s="8" t="s">
        <v>63</v>
      </c>
      <c r="F19" s="8" t="str">
        <f t="shared" si="0"/>
        <v>SB22646</v>
      </c>
      <c r="G19" s="9">
        <v>861169</v>
      </c>
      <c r="H19" s="9">
        <f>VLOOKUP(F19,'[1]MGM Report'!$D:$E,2,FALSE)</f>
        <v>861169</v>
      </c>
      <c r="I19" s="9" t="b">
        <f t="shared" si="1"/>
        <v>1</v>
      </c>
      <c r="J19" s="12">
        <v>0</v>
      </c>
      <c r="K19" s="12">
        <f>VLOOKUP(F19,'[1]MGM Report'!$D:$F,3,FALSE)</f>
        <v>0</v>
      </c>
      <c r="L19" s="12" t="b">
        <f t="shared" si="2"/>
        <v>1</v>
      </c>
      <c r="M19" s="13">
        <v>862426</v>
      </c>
      <c r="N19" s="13">
        <f>VLOOKUP(F19,'[1]MGM Report'!$D:$G,4,FALSE)</f>
        <v>862426</v>
      </c>
      <c r="O19" s="13" t="b">
        <f t="shared" si="3"/>
        <v>1</v>
      </c>
      <c r="P19" s="12">
        <v>0</v>
      </c>
      <c r="Q19" s="12">
        <f>VLOOKUP(F19,'[1]MGM Report'!$D:$M,5,FALSE)</f>
        <v>0</v>
      </c>
      <c r="R19" s="12" t="b">
        <f t="shared" si="4"/>
        <v>1</v>
      </c>
      <c r="S19" s="13">
        <v>862426</v>
      </c>
      <c r="T19" s="13">
        <f>VLOOKUP(F19,'[1]MGM Report'!$D:$I,6,FALSE)</f>
        <v>862426</v>
      </c>
      <c r="U19" s="13" t="b">
        <f t="shared" si="5"/>
        <v>1</v>
      </c>
      <c r="V19" s="12">
        <v>228825</v>
      </c>
      <c r="W19" s="12">
        <f>VLOOKUP(F19,'[1]MGM Report'!$D:$J,7,FALSE)</f>
        <v>228825</v>
      </c>
      <c r="X19" s="12" t="b">
        <f t="shared" si="6"/>
        <v>1</v>
      </c>
      <c r="Y19" s="13">
        <v>0</v>
      </c>
      <c r="Z19" s="13">
        <f>VLOOKUP(F19,'[1]MGM Report'!$D:$K,8,FALSE)</f>
        <v>45000</v>
      </c>
      <c r="AA19" s="13" t="b">
        <f t="shared" si="7"/>
        <v>0</v>
      </c>
      <c r="AB19" s="12">
        <v>555000</v>
      </c>
      <c r="AC19" s="12">
        <f>VLOOKUP(F19,'[1]MGM Report'!$D:$M,10,FALSE)</f>
        <v>555000</v>
      </c>
      <c r="AD19" s="12" t="b">
        <f t="shared" si="8"/>
        <v>1</v>
      </c>
      <c r="AE19" s="13">
        <v>0</v>
      </c>
      <c r="AF19" s="13">
        <f>VLOOKUP(F19,'[1]MGM Report'!$D:$N,11,FALSE)</f>
        <v>0</v>
      </c>
      <c r="AG19" s="13" t="b">
        <f t="shared" si="9"/>
        <v>1</v>
      </c>
      <c r="AH19" s="12">
        <v>555000</v>
      </c>
      <c r="AI19" s="12">
        <f>VLOOKUP(F19,'[1]MGM Report'!$D:$S,12,FALSE)</f>
        <v>600000</v>
      </c>
      <c r="AJ19" s="12" t="b">
        <f t="shared" si="10"/>
        <v>0</v>
      </c>
      <c r="AK19" s="13">
        <f>VLOOKUP(F19,[2]HAVASMGMReportKBCUpdatedResult!$F:$R,13,FALSE)</f>
        <v>632344</v>
      </c>
      <c r="AL19" s="13">
        <f>VLOOKUP(F19,'[1]MGM Report'!$D:$S,14,FALSE)</f>
        <v>632344</v>
      </c>
    </row>
    <row r="20" spans="1:38">
      <c r="A20" s="7">
        <v>45780</v>
      </c>
      <c r="B20" s="8" t="s">
        <v>27</v>
      </c>
      <c r="C20" s="8" t="s">
        <v>28</v>
      </c>
      <c r="D20" s="8" t="s">
        <v>64</v>
      </c>
      <c r="E20" s="8" t="s">
        <v>65</v>
      </c>
      <c r="F20" s="8" t="str">
        <f t="shared" si="0"/>
        <v>SB22645</v>
      </c>
      <c r="G20" s="9">
        <v>2816205</v>
      </c>
      <c r="H20" s="9">
        <f>VLOOKUP(F20,'[1]MGM Report'!$D:$E,2,FALSE)</f>
        <v>2816205</v>
      </c>
      <c r="I20" s="9" t="b">
        <f t="shared" si="1"/>
        <v>1</v>
      </c>
      <c r="J20" s="12">
        <v>2816205</v>
      </c>
      <c r="K20" s="12">
        <f>VLOOKUP(F20,'[1]MGM Report'!$D:$F,3,FALSE)</f>
        <v>2816205</v>
      </c>
      <c r="L20" s="12" t="b">
        <f t="shared" si="2"/>
        <v>1</v>
      </c>
      <c r="M20" s="13">
        <v>1483795</v>
      </c>
      <c r="N20" s="13">
        <f>VLOOKUP(F20,'[1]MGM Report'!$D:$G,4,FALSE)</f>
        <v>1483795</v>
      </c>
      <c r="O20" s="13" t="b">
        <f t="shared" si="3"/>
        <v>1</v>
      </c>
      <c r="P20" s="12">
        <v>0</v>
      </c>
      <c r="Q20" s="12">
        <f>VLOOKUP(F20,'[1]MGM Report'!$D:$M,5,FALSE)</f>
        <v>0</v>
      </c>
      <c r="R20" s="12" t="b">
        <f t="shared" si="4"/>
        <v>1</v>
      </c>
      <c r="S20" s="13">
        <v>4300000</v>
      </c>
      <c r="T20" s="13">
        <f>VLOOKUP(F20,'[1]MGM Report'!$D:$I,6,FALSE)</f>
        <v>4300000</v>
      </c>
      <c r="U20" s="13" t="b">
        <f t="shared" si="5"/>
        <v>1</v>
      </c>
      <c r="V20" s="12">
        <v>1570920</v>
      </c>
      <c r="W20" s="12">
        <f>VLOOKUP(F20,'[1]MGM Report'!$D:$J,7,FALSE)</f>
        <v>1578905</v>
      </c>
      <c r="X20" s="12" t="b">
        <f t="shared" si="6"/>
        <v>0</v>
      </c>
      <c r="Y20" s="13">
        <v>7985</v>
      </c>
      <c r="Z20" s="13">
        <f>VLOOKUP(F20,'[1]MGM Report'!$D:$K,8,FALSE)</f>
        <v>7985</v>
      </c>
      <c r="AA20" s="13" t="b">
        <f t="shared" si="7"/>
        <v>1</v>
      </c>
      <c r="AB20" s="12">
        <v>2642015</v>
      </c>
      <c r="AC20" s="12">
        <f>VLOOKUP(F20,'[1]MGM Report'!$D:$M,10,FALSE)</f>
        <v>2642015</v>
      </c>
      <c r="AD20" s="12" t="b">
        <f t="shared" si="8"/>
        <v>1</v>
      </c>
      <c r="AE20" s="13">
        <v>0</v>
      </c>
      <c r="AF20" s="13">
        <f>VLOOKUP(F20,'[1]MGM Report'!$D:$N,11,FALSE)</f>
        <v>0</v>
      </c>
      <c r="AG20" s="13" t="b">
        <f t="shared" si="9"/>
        <v>1</v>
      </c>
      <c r="AH20" s="12">
        <v>2650000</v>
      </c>
      <c r="AI20" s="12">
        <f>VLOOKUP(F20,'[1]MGM Report'!$D:$S,12,FALSE)</f>
        <v>2650000</v>
      </c>
      <c r="AJ20" s="12" t="b">
        <f t="shared" si="10"/>
        <v>1</v>
      </c>
      <c r="AK20" s="13">
        <f>VLOOKUP(F20,[2]HAVASMGMReportKBCUpdatedResult!$F:$R,13,FALSE)</f>
        <v>1245285</v>
      </c>
      <c r="AL20" s="13">
        <f>VLOOKUP(F20,'[1]MGM Report'!$D:$S,14,FALSE)</f>
        <v>1237300</v>
      </c>
    </row>
    <row r="21" spans="1:38">
      <c r="A21" s="7">
        <v>45780</v>
      </c>
      <c r="B21" s="8" t="s">
        <v>31</v>
      </c>
      <c r="C21" s="8" t="s">
        <v>28</v>
      </c>
      <c r="D21" s="8" t="s">
        <v>66</v>
      </c>
      <c r="E21" s="8" t="s">
        <v>67</v>
      </c>
      <c r="F21" s="8" t="str">
        <f t="shared" si="0"/>
        <v>SB22643</v>
      </c>
      <c r="G21" s="9">
        <v>0</v>
      </c>
      <c r="H21" s="9">
        <f>VLOOKUP(F21,'[1]MGM Report'!$D:$E,2,FALSE)</f>
        <v>0</v>
      </c>
      <c r="I21" s="9" t="b">
        <f t="shared" si="1"/>
        <v>1</v>
      </c>
      <c r="J21" s="12">
        <v>0</v>
      </c>
      <c r="K21" s="12">
        <f>VLOOKUP(F21,'[1]MGM Report'!$D:$F,3,FALSE)</f>
        <v>0</v>
      </c>
      <c r="L21" s="12" t="b">
        <f t="shared" si="2"/>
        <v>1</v>
      </c>
      <c r="M21" s="13">
        <v>1784284</v>
      </c>
      <c r="N21" s="13">
        <f>VLOOKUP(F21,'[1]MGM Report'!$D:$G,4,FALSE)</f>
        <v>1784284</v>
      </c>
      <c r="O21" s="13" t="b">
        <f t="shared" si="3"/>
        <v>1</v>
      </c>
      <c r="P21" s="12">
        <v>0</v>
      </c>
      <c r="Q21" s="12">
        <f>VLOOKUP(F21,'[1]MGM Report'!$D:$M,5,FALSE)</f>
        <v>0</v>
      </c>
      <c r="R21" s="12" t="b">
        <f t="shared" si="4"/>
        <v>1</v>
      </c>
      <c r="S21" s="13">
        <v>1784284</v>
      </c>
      <c r="T21" s="13">
        <f>VLOOKUP(F21,'[1]MGM Report'!$D:$I,6,FALSE)</f>
        <v>1784284</v>
      </c>
      <c r="U21" s="13" t="b">
        <f t="shared" si="5"/>
        <v>1</v>
      </c>
      <c r="V21" s="12">
        <v>0</v>
      </c>
      <c r="W21" s="12">
        <f>VLOOKUP(F21,'[1]MGM Report'!$D:$J,7,FALSE)</f>
        <v>0</v>
      </c>
      <c r="X21" s="12" t="b">
        <f t="shared" si="6"/>
        <v>1</v>
      </c>
      <c r="Y21" s="13">
        <v>0</v>
      </c>
      <c r="Z21" s="13">
        <f>VLOOKUP(F21,'[1]MGM Report'!$D:$K,8,FALSE)</f>
        <v>0</v>
      </c>
      <c r="AA21" s="13" t="b">
        <f t="shared" si="7"/>
        <v>1</v>
      </c>
      <c r="AB21" s="12">
        <v>1418704</v>
      </c>
      <c r="AC21" s="12">
        <f>VLOOKUP(F21,'[1]MGM Report'!$D:$M,10,FALSE)</f>
        <v>1418704</v>
      </c>
      <c r="AD21" s="12" t="b">
        <f t="shared" si="8"/>
        <v>1</v>
      </c>
      <c r="AE21" s="13">
        <v>0</v>
      </c>
      <c r="AF21" s="13">
        <f>VLOOKUP(F21,'[1]MGM Report'!$D:$N,11,FALSE)</f>
        <v>0</v>
      </c>
      <c r="AG21" s="13" t="b">
        <f t="shared" si="9"/>
        <v>1</v>
      </c>
      <c r="AH21" s="12">
        <v>1418704</v>
      </c>
      <c r="AI21" s="12">
        <f>VLOOKUP(F21,'[1]MGM Report'!$D:$S,12,FALSE)</f>
        <v>1418704</v>
      </c>
      <c r="AJ21" s="12" t="b">
        <f t="shared" si="10"/>
        <v>1</v>
      </c>
      <c r="AK21" s="13">
        <f>VLOOKUP(F21,[2]HAVASMGMReportKBCUpdatedResult!$F:$R,13,FALSE)</f>
        <v>0</v>
      </c>
      <c r="AL21" s="13">
        <f>VLOOKUP(F21,'[1]MGM Report'!$D:$S,14,FALSE)</f>
        <v>0</v>
      </c>
    </row>
    <row r="22" spans="1:38">
      <c r="A22" s="7">
        <v>45780</v>
      </c>
      <c r="B22" s="8" t="s">
        <v>38</v>
      </c>
      <c r="C22" s="8" t="s">
        <v>28</v>
      </c>
      <c r="D22" s="8" t="s">
        <v>49</v>
      </c>
      <c r="E22" s="8" t="s">
        <v>68</v>
      </c>
      <c r="F22" s="8" t="str">
        <f t="shared" si="0"/>
        <v>SB22640</v>
      </c>
      <c r="G22" s="9">
        <v>10901297</v>
      </c>
      <c r="H22" s="9">
        <f>VLOOKUP(F22,'[1]MGM Report'!$D:$E,2,FALSE)</f>
        <v>10901297</v>
      </c>
      <c r="I22" s="9" t="b">
        <f t="shared" si="1"/>
        <v>1</v>
      </c>
      <c r="J22" s="12">
        <v>0</v>
      </c>
      <c r="K22" s="12">
        <f>VLOOKUP(F22,'[1]MGM Report'!$D:$F,3,FALSE)</f>
        <v>0</v>
      </c>
      <c r="L22" s="12" t="b">
        <f t="shared" si="2"/>
        <v>1</v>
      </c>
      <c r="M22" s="13">
        <v>0</v>
      </c>
      <c r="N22" s="13">
        <f>VLOOKUP(F22,'[1]MGM Report'!$D:$G,4,FALSE)</f>
        <v>0</v>
      </c>
      <c r="O22" s="13" t="b">
        <f t="shared" si="3"/>
        <v>1</v>
      </c>
      <c r="P22" s="12">
        <v>0</v>
      </c>
      <c r="Q22" s="12">
        <f>VLOOKUP(F22,'[1]MGM Report'!$D:$M,5,FALSE)</f>
        <v>0</v>
      </c>
      <c r="R22" s="12" t="b">
        <f t="shared" si="4"/>
        <v>1</v>
      </c>
      <c r="S22" s="13">
        <v>0</v>
      </c>
      <c r="T22" s="13">
        <f>VLOOKUP(F22,'[1]MGM Report'!$D:$I,6,FALSE)</f>
        <v>0</v>
      </c>
      <c r="U22" s="13" t="b">
        <f t="shared" si="5"/>
        <v>1</v>
      </c>
      <c r="V22" s="12">
        <v>1133800</v>
      </c>
      <c r="W22" s="12">
        <f>VLOOKUP(F22,'[1]MGM Report'!$D:$J,7,FALSE)</f>
        <v>1133800</v>
      </c>
      <c r="X22" s="12" t="b">
        <f t="shared" si="6"/>
        <v>1</v>
      </c>
      <c r="Y22" s="13">
        <v>0</v>
      </c>
      <c r="Z22" s="13">
        <f>VLOOKUP(F22,'[1]MGM Report'!$D:$K,8,FALSE)</f>
        <v>0</v>
      </c>
      <c r="AA22" s="13" t="b">
        <f t="shared" si="7"/>
        <v>1</v>
      </c>
      <c r="AB22" s="12">
        <v>0</v>
      </c>
      <c r="AC22" s="12">
        <f>VLOOKUP(F22,'[1]MGM Report'!$D:$M,10,FALSE)</f>
        <v>0</v>
      </c>
      <c r="AD22" s="12" t="b">
        <f t="shared" si="8"/>
        <v>1</v>
      </c>
      <c r="AE22" s="13">
        <v>0</v>
      </c>
      <c r="AF22" s="13">
        <f>VLOOKUP(F22,'[1]MGM Report'!$D:$N,11,FALSE)</f>
        <v>0</v>
      </c>
      <c r="AG22" s="13" t="b">
        <f t="shared" si="9"/>
        <v>1</v>
      </c>
      <c r="AH22" s="12">
        <v>0</v>
      </c>
      <c r="AI22" s="12">
        <f>VLOOKUP(F22,'[1]MGM Report'!$D:$S,12,FALSE)</f>
        <v>0</v>
      </c>
      <c r="AJ22" s="12" t="b">
        <f t="shared" si="10"/>
        <v>1</v>
      </c>
      <c r="AK22" s="13">
        <f>VLOOKUP(F22,[2]HAVASMGMReportKBCUpdatedResult!$F:$R,13,FALSE)</f>
        <v>9767497</v>
      </c>
      <c r="AL22" s="13">
        <f>VLOOKUP(F22,'[1]MGM Report'!$D:$S,14,FALSE)</f>
        <v>9767497</v>
      </c>
    </row>
    <row r="23" spans="1:38">
      <c r="A23" s="7">
        <v>45780</v>
      </c>
      <c r="B23" s="8" t="s">
        <v>31</v>
      </c>
      <c r="C23" s="8" t="s">
        <v>28</v>
      </c>
      <c r="D23" s="8" t="s">
        <v>69</v>
      </c>
      <c r="E23" s="8" t="s">
        <v>70</v>
      </c>
      <c r="F23" s="8" t="str">
        <f t="shared" si="0"/>
        <v>SB22639</v>
      </c>
      <c r="G23" s="9">
        <v>0</v>
      </c>
      <c r="H23" s="9">
        <f>VLOOKUP(F23,'[1]MGM Report'!$D:$E,2,FALSE)</f>
        <v>440000</v>
      </c>
      <c r="I23" s="9" t="b">
        <f t="shared" si="1"/>
        <v>0</v>
      </c>
      <c r="J23" s="12">
        <v>0</v>
      </c>
      <c r="K23" s="12">
        <f>VLOOKUP(F23,'[1]MGM Report'!$D:$F,3,FALSE)</f>
        <v>0</v>
      </c>
      <c r="L23" s="12" t="b">
        <f t="shared" si="2"/>
        <v>1</v>
      </c>
      <c r="M23" s="13">
        <v>440000</v>
      </c>
      <c r="N23" s="13">
        <f>VLOOKUP(F23,'[1]MGM Report'!$D:$G,4,FALSE)</f>
        <v>440000</v>
      </c>
      <c r="O23" s="13" t="b">
        <f t="shared" si="3"/>
        <v>1</v>
      </c>
      <c r="P23" s="12">
        <v>0</v>
      </c>
      <c r="Q23" s="12">
        <f>VLOOKUP(F23,'[1]MGM Report'!$D:$M,5,FALSE)</f>
        <v>0</v>
      </c>
      <c r="R23" s="12" t="b">
        <f t="shared" si="4"/>
        <v>1</v>
      </c>
      <c r="S23" s="13">
        <v>440000</v>
      </c>
      <c r="T23" s="13">
        <f>VLOOKUP(F23,'[1]MGM Report'!$D:$I,6,FALSE)</f>
        <v>440000</v>
      </c>
      <c r="U23" s="13" t="b">
        <f t="shared" si="5"/>
        <v>1</v>
      </c>
      <c r="V23" s="12">
        <v>400000</v>
      </c>
      <c r="W23" s="12">
        <f>VLOOKUP(F23,'[1]MGM Report'!$D:$J,7,FALSE)</f>
        <v>400000</v>
      </c>
      <c r="X23" s="12" t="b">
        <f t="shared" si="6"/>
        <v>1</v>
      </c>
      <c r="Y23" s="13">
        <v>400000</v>
      </c>
      <c r="Z23" s="13">
        <f>VLOOKUP(F23,'[1]MGM Report'!$D:$K,8,FALSE)</f>
        <v>400000</v>
      </c>
      <c r="AA23" s="13" t="b">
        <f t="shared" si="7"/>
        <v>1</v>
      </c>
      <c r="AB23" s="12">
        <v>0</v>
      </c>
      <c r="AC23" s="12">
        <f>VLOOKUP(F23,'[1]MGM Report'!$D:$M,10,FALSE)</f>
        <v>0</v>
      </c>
      <c r="AD23" s="12" t="b">
        <f t="shared" si="8"/>
        <v>1</v>
      </c>
      <c r="AE23" s="13">
        <v>0</v>
      </c>
      <c r="AF23" s="13">
        <f>VLOOKUP(F23,'[1]MGM Report'!$D:$N,11,FALSE)</f>
        <v>0</v>
      </c>
      <c r="AG23" s="13" t="b">
        <f t="shared" si="9"/>
        <v>1</v>
      </c>
      <c r="AH23" s="12">
        <v>400000</v>
      </c>
      <c r="AI23" s="12">
        <f>VLOOKUP(F23,'[1]MGM Report'!$D:$S,12,FALSE)</f>
        <v>400000</v>
      </c>
      <c r="AJ23" s="12" t="b">
        <f t="shared" si="10"/>
        <v>1</v>
      </c>
      <c r="AK23" s="13">
        <f>VLOOKUP(F23,[2]HAVASMGMReportKBCUpdatedResult!$F:$R,13,FALSE)</f>
        <v>-400000</v>
      </c>
      <c r="AL23" s="13">
        <f>VLOOKUP(F23,'[1]MGM Report'!$D:$S,14,FALSE)</f>
        <v>40000</v>
      </c>
    </row>
    <row r="24" spans="1:38">
      <c r="A24" s="7">
        <v>45780</v>
      </c>
      <c r="B24" s="8" t="s">
        <v>27</v>
      </c>
      <c r="C24" s="8" t="s">
        <v>28</v>
      </c>
      <c r="D24" s="8" t="s">
        <v>71</v>
      </c>
      <c r="E24" s="8" t="s">
        <v>72</v>
      </c>
      <c r="F24" s="8" t="str">
        <f t="shared" si="0"/>
        <v>SB22641</v>
      </c>
      <c r="G24" s="9">
        <v>0</v>
      </c>
      <c r="H24" s="9">
        <f>VLOOKUP(F24,'[1]MGM Report'!$D:$E,2,FALSE)</f>
        <v>100000</v>
      </c>
      <c r="I24" s="9" t="b">
        <f t="shared" si="1"/>
        <v>0</v>
      </c>
      <c r="J24" s="12">
        <v>0</v>
      </c>
      <c r="K24" s="12">
        <f>VLOOKUP(F24,'[1]MGM Report'!$D:$F,3,FALSE)</f>
        <v>0</v>
      </c>
      <c r="L24" s="12" t="b">
        <f t="shared" si="2"/>
        <v>1</v>
      </c>
      <c r="M24" s="13">
        <v>115000</v>
      </c>
      <c r="N24" s="13">
        <f>VLOOKUP(F24,'[1]MGM Report'!$D:$G,4,FALSE)</f>
        <v>115000</v>
      </c>
      <c r="O24" s="13" t="b">
        <f t="shared" si="3"/>
        <v>1</v>
      </c>
      <c r="P24" s="12">
        <v>0</v>
      </c>
      <c r="Q24" s="12">
        <f>VLOOKUP(F24,'[1]MGM Report'!$D:$M,5,FALSE)</f>
        <v>0</v>
      </c>
      <c r="R24" s="12" t="b">
        <f t="shared" si="4"/>
        <v>1</v>
      </c>
      <c r="S24" s="13">
        <v>115000</v>
      </c>
      <c r="T24" s="13">
        <f>VLOOKUP(F24,'[1]MGM Report'!$D:$I,6,FALSE)</f>
        <v>115000</v>
      </c>
      <c r="U24" s="13" t="b">
        <f t="shared" si="5"/>
        <v>1</v>
      </c>
      <c r="V24" s="12">
        <v>0</v>
      </c>
      <c r="W24" s="12">
        <f>VLOOKUP(F24,'[1]MGM Report'!$D:$J,7,FALSE)</f>
        <v>0</v>
      </c>
      <c r="X24" s="12" t="b">
        <f t="shared" si="6"/>
        <v>1</v>
      </c>
      <c r="Y24" s="13">
        <v>0</v>
      </c>
      <c r="Z24" s="13">
        <f>VLOOKUP(F24,'[1]MGM Report'!$D:$K,8,FALSE)</f>
        <v>0</v>
      </c>
      <c r="AA24" s="13" t="b">
        <f t="shared" si="7"/>
        <v>1</v>
      </c>
      <c r="AB24" s="12">
        <v>89700</v>
      </c>
      <c r="AC24" s="12">
        <f>VLOOKUP(F24,'[1]MGM Report'!$D:$M,10,FALSE)</f>
        <v>89700</v>
      </c>
      <c r="AD24" s="12" t="b">
        <f t="shared" si="8"/>
        <v>1</v>
      </c>
      <c r="AE24" s="13">
        <v>0</v>
      </c>
      <c r="AF24" s="13">
        <f>VLOOKUP(F24,'[1]MGM Report'!$D:$N,11,FALSE)</f>
        <v>0</v>
      </c>
      <c r="AG24" s="13" t="b">
        <f t="shared" si="9"/>
        <v>1</v>
      </c>
      <c r="AH24" s="12">
        <v>89700</v>
      </c>
      <c r="AI24" s="12">
        <f>VLOOKUP(F24,'[1]MGM Report'!$D:$S,12,FALSE)</f>
        <v>89700</v>
      </c>
      <c r="AJ24" s="12" t="b">
        <f t="shared" si="10"/>
        <v>1</v>
      </c>
      <c r="AK24" s="13">
        <f>VLOOKUP(F24,[2]HAVASMGMReportKBCUpdatedResult!$F:$R,13,FALSE)</f>
        <v>0</v>
      </c>
      <c r="AL24" s="13">
        <f>VLOOKUP(F24,'[1]MGM Report'!$D:$S,14,FALSE)</f>
        <v>100000</v>
      </c>
    </row>
    <row r="25" spans="1:38">
      <c r="A25" s="7">
        <v>45780</v>
      </c>
      <c r="B25" s="8" t="s">
        <v>31</v>
      </c>
      <c r="C25" s="8" t="s">
        <v>28</v>
      </c>
      <c r="D25" s="8" t="s">
        <v>45</v>
      </c>
      <c r="E25" s="8" t="s">
        <v>73</v>
      </c>
      <c r="F25" s="8" t="str">
        <f t="shared" si="0"/>
        <v>SB22642</v>
      </c>
      <c r="G25" s="9">
        <v>80014</v>
      </c>
      <c r="H25" s="9">
        <f>VLOOKUP(F25,'[1]MGM Report'!$D:$E,2,FALSE)</f>
        <v>80014</v>
      </c>
      <c r="I25" s="9" t="b">
        <f t="shared" si="1"/>
        <v>1</v>
      </c>
      <c r="J25" s="12">
        <v>0</v>
      </c>
      <c r="K25" s="12">
        <f>VLOOKUP(F25,'[1]MGM Report'!$D:$F,3,FALSE)</f>
        <v>0</v>
      </c>
      <c r="L25" s="12" t="b">
        <f t="shared" si="2"/>
        <v>1</v>
      </c>
      <c r="M25" s="13">
        <v>80014</v>
      </c>
      <c r="N25" s="13">
        <f>VLOOKUP(F25,'[1]MGM Report'!$D:$G,4,FALSE)</f>
        <v>80014</v>
      </c>
      <c r="O25" s="13" t="b">
        <f t="shared" si="3"/>
        <v>1</v>
      </c>
      <c r="P25" s="12">
        <v>0</v>
      </c>
      <c r="Q25" s="12">
        <f>VLOOKUP(F25,'[1]MGM Report'!$D:$M,5,FALSE)</f>
        <v>0</v>
      </c>
      <c r="R25" s="12" t="b">
        <f t="shared" si="4"/>
        <v>1</v>
      </c>
      <c r="S25" s="13">
        <v>80014</v>
      </c>
      <c r="T25" s="13">
        <f>VLOOKUP(F25,'[1]MGM Report'!$D:$I,6,FALSE)</f>
        <v>80014</v>
      </c>
      <c r="U25" s="13" t="b">
        <f t="shared" si="5"/>
        <v>1</v>
      </c>
      <c r="V25" s="12">
        <v>0</v>
      </c>
      <c r="W25" s="12">
        <f>VLOOKUP(F25,'[1]MGM Report'!$D:$J,7,FALSE)</f>
        <v>0</v>
      </c>
      <c r="X25" s="12" t="b">
        <f t="shared" si="6"/>
        <v>1</v>
      </c>
      <c r="Y25" s="13">
        <v>0</v>
      </c>
      <c r="Z25" s="13">
        <f>VLOOKUP(F25,'[1]MGM Report'!$D:$K,8,FALSE)</f>
        <v>0</v>
      </c>
      <c r="AA25" s="13" t="b">
        <f t="shared" si="7"/>
        <v>1</v>
      </c>
      <c r="AB25" s="12">
        <v>55014</v>
      </c>
      <c r="AC25" s="12">
        <f>VLOOKUP(F25,'[1]MGM Report'!$D:$M,10,FALSE)</f>
        <v>55014</v>
      </c>
      <c r="AD25" s="12" t="b">
        <f t="shared" si="8"/>
        <v>1</v>
      </c>
      <c r="AE25" s="13">
        <v>0</v>
      </c>
      <c r="AF25" s="13">
        <f>VLOOKUP(F25,'[1]MGM Report'!$D:$N,11,FALSE)</f>
        <v>0</v>
      </c>
      <c r="AG25" s="13" t="b">
        <f t="shared" si="9"/>
        <v>1</v>
      </c>
      <c r="AH25" s="12">
        <v>55014</v>
      </c>
      <c r="AI25" s="12">
        <f>VLOOKUP(F25,'[1]MGM Report'!$D:$S,12,FALSE)</f>
        <v>55014</v>
      </c>
      <c r="AJ25" s="12" t="b">
        <f t="shared" si="10"/>
        <v>1</v>
      </c>
      <c r="AK25" s="13">
        <f>VLOOKUP(F25,[2]HAVASMGMReportKBCUpdatedResult!$F:$R,13,FALSE)</f>
        <v>80014</v>
      </c>
      <c r="AL25" s="13">
        <f>VLOOKUP(F25,'[1]MGM Report'!$D:$S,14,FALSE)</f>
        <v>80014</v>
      </c>
    </row>
    <row r="26" spans="1:38">
      <c r="A26" s="7">
        <v>45780</v>
      </c>
      <c r="B26" s="8" t="s">
        <v>27</v>
      </c>
      <c r="C26" s="8" t="s">
        <v>28</v>
      </c>
      <c r="D26" s="8" t="s">
        <v>47</v>
      </c>
      <c r="E26" s="8" t="s">
        <v>74</v>
      </c>
      <c r="F26" s="8" t="str">
        <f t="shared" si="0"/>
        <v>SB22638</v>
      </c>
      <c r="G26" s="9">
        <v>0</v>
      </c>
      <c r="H26" s="9">
        <f>VLOOKUP(F26,'[1]MGM Report'!$D:$E,2,FALSE)</f>
        <v>0</v>
      </c>
      <c r="I26" s="9" t="b">
        <f t="shared" si="1"/>
        <v>1</v>
      </c>
      <c r="J26" s="12">
        <v>0</v>
      </c>
      <c r="K26" s="12">
        <f>VLOOKUP(F26,'[1]MGM Report'!$D:$F,3,FALSE)</f>
        <v>0</v>
      </c>
      <c r="L26" s="12" t="b">
        <f t="shared" si="2"/>
        <v>1</v>
      </c>
      <c r="M26" s="13">
        <v>46575</v>
      </c>
      <c r="N26" s="13">
        <f>VLOOKUP(F26,'[1]MGM Report'!$D:$G,4,FALSE)</f>
        <v>46575</v>
      </c>
      <c r="O26" s="13" t="b">
        <f t="shared" si="3"/>
        <v>1</v>
      </c>
      <c r="P26" s="12">
        <v>0</v>
      </c>
      <c r="Q26" s="12">
        <f>VLOOKUP(F26,'[1]MGM Report'!$D:$M,5,FALSE)</f>
        <v>0</v>
      </c>
      <c r="R26" s="12" t="b">
        <f t="shared" si="4"/>
        <v>1</v>
      </c>
      <c r="S26" s="13">
        <v>46575</v>
      </c>
      <c r="T26" s="13">
        <f>VLOOKUP(F26,'[1]MGM Report'!$D:$I,6,FALSE)</f>
        <v>46575</v>
      </c>
      <c r="U26" s="13" t="b">
        <f t="shared" si="5"/>
        <v>1</v>
      </c>
      <c r="V26" s="12">
        <v>0</v>
      </c>
      <c r="W26" s="12">
        <f>VLOOKUP(F26,'[1]MGM Report'!$D:$J,7,FALSE)</f>
        <v>0</v>
      </c>
      <c r="X26" s="12" t="b">
        <f t="shared" si="6"/>
        <v>1</v>
      </c>
      <c r="Y26" s="13">
        <v>0</v>
      </c>
      <c r="Z26" s="13">
        <f>VLOOKUP(F26,'[1]MGM Report'!$D:$K,8,FALSE)</f>
        <v>0</v>
      </c>
      <c r="AA26" s="13" t="b">
        <f t="shared" si="7"/>
        <v>1</v>
      </c>
      <c r="AB26" s="12">
        <v>36329</v>
      </c>
      <c r="AC26" s="12">
        <f>VLOOKUP(F26,'[1]MGM Report'!$D:$M,10,FALSE)</f>
        <v>36329</v>
      </c>
      <c r="AD26" s="12" t="b">
        <f t="shared" si="8"/>
        <v>1</v>
      </c>
      <c r="AE26" s="13">
        <v>0</v>
      </c>
      <c r="AF26" s="13">
        <f>VLOOKUP(F26,'[1]MGM Report'!$D:$N,11,FALSE)</f>
        <v>0</v>
      </c>
      <c r="AG26" s="13" t="b">
        <f t="shared" si="9"/>
        <v>1</v>
      </c>
      <c r="AH26" s="12">
        <v>36329</v>
      </c>
      <c r="AI26" s="12">
        <f>VLOOKUP(F26,'[1]MGM Report'!$D:$S,12,FALSE)</f>
        <v>36329</v>
      </c>
      <c r="AJ26" s="12" t="b">
        <f t="shared" si="10"/>
        <v>1</v>
      </c>
      <c r="AK26" s="13">
        <f>VLOOKUP(F26,[2]HAVASMGMReportKBCUpdatedResult!$F:$R,13,FALSE)</f>
        <v>0</v>
      </c>
      <c r="AL26" s="13">
        <f>VLOOKUP(F26,'[1]MGM Report'!$D:$S,14,FALSE)</f>
        <v>0</v>
      </c>
    </row>
    <row r="27" spans="1:38">
      <c r="A27" s="7">
        <v>45780</v>
      </c>
      <c r="B27" s="8" t="s">
        <v>31</v>
      </c>
      <c r="C27" s="8" t="s">
        <v>28</v>
      </c>
      <c r="D27" s="8" t="s">
        <v>66</v>
      </c>
      <c r="E27" s="8" t="s">
        <v>75</v>
      </c>
      <c r="F27" s="8" t="str">
        <f t="shared" si="0"/>
        <v>SB22636</v>
      </c>
      <c r="G27" s="9">
        <v>0</v>
      </c>
      <c r="H27" s="9">
        <f>VLOOKUP(F27,'[1]MGM Report'!$D:$E,2,FALSE)</f>
        <v>0</v>
      </c>
      <c r="I27" s="9" t="b">
        <f t="shared" si="1"/>
        <v>1</v>
      </c>
      <c r="J27" s="12">
        <v>0</v>
      </c>
      <c r="K27" s="12">
        <f>VLOOKUP(F27,'[1]MGM Report'!$D:$F,3,FALSE)</f>
        <v>0</v>
      </c>
      <c r="L27" s="12" t="b">
        <f t="shared" si="2"/>
        <v>1</v>
      </c>
      <c r="M27" s="13">
        <v>535700</v>
      </c>
      <c r="N27" s="13">
        <f>VLOOKUP(F27,'[1]MGM Report'!$D:$G,4,FALSE)</f>
        <v>535700</v>
      </c>
      <c r="O27" s="13" t="b">
        <f t="shared" ref="O27:O74" si="11">M27=N27</f>
        <v>1</v>
      </c>
      <c r="P27" s="12">
        <v>0</v>
      </c>
      <c r="Q27" s="12">
        <f>VLOOKUP(F27,'[1]MGM Report'!$D:$M,5,FALSE)</f>
        <v>0</v>
      </c>
      <c r="R27" s="12" t="b">
        <f t="shared" si="4"/>
        <v>1</v>
      </c>
      <c r="S27" s="13">
        <v>535700</v>
      </c>
      <c r="T27" s="13">
        <f>VLOOKUP(F27,'[1]MGM Report'!$D:$I,6,FALSE)</f>
        <v>535700</v>
      </c>
      <c r="U27" s="13" t="b">
        <f t="shared" si="5"/>
        <v>1</v>
      </c>
      <c r="V27" s="12">
        <v>0</v>
      </c>
      <c r="W27" s="12">
        <f>VLOOKUP(F27,'[1]MGM Report'!$D:$J,7,FALSE)</f>
        <v>0</v>
      </c>
      <c r="X27" s="12" t="b">
        <f t="shared" si="6"/>
        <v>1</v>
      </c>
      <c r="Y27" s="13">
        <v>0</v>
      </c>
      <c r="Z27" s="13">
        <f>VLOOKUP(F27,'[1]MGM Report'!$D:$K,8,FALSE)</f>
        <v>0</v>
      </c>
      <c r="AA27" s="13" t="b">
        <f t="shared" si="7"/>
        <v>1</v>
      </c>
      <c r="AB27" s="12">
        <v>425700</v>
      </c>
      <c r="AC27" s="12">
        <f>VLOOKUP(F27,'[1]MGM Report'!$D:$M,10,FALSE)</f>
        <v>425700</v>
      </c>
      <c r="AD27" s="12" t="b">
        <f t="shared" si="8"/>
        <v>1</v>
      </c>
      <c r="AE27" s="13">
        <v>0</v>
      </c>
      <c r="AF27" s="13">
        <f>VLOOKUP(F27,'[1]MGM Report'!$D:$N,11,FALSE)</f>
        <v>0</v>
      </c>
      <c r="AG27" s="13" t="b">
        <f t="shared" si="9"/>
        <v>1</v>
      </c>
      <c r="AH27" s="12">
        <v>425700</v>
      </c>
      <c r="AI27" s="12">
        <f>VLOOKUP(F27,'[1]MGM Report'!$D:$S,12,FALSE)</f>
        <v>425700</v>
      </c>
      <c r="AJ27" s="12" t="b">
        <f t="shared" si="10"/>
        <v>1</v>
      </c>
      <c r="AK27" s="13">
        <f>VLOOKUP(F27,[2]HAVASMGMReportKBCUpdatedResult!$F:$R,13,FALSE)</f>
        <v>0</v>
      </c>
      <c r="AL27" s="13">
        <f>VLOOKUP(F27,'[1]MGM Report'!$D:$S,14,FALSE)</f>
        <v>0</v>
      </c>
    </row>
    <row r="28" spans="1:38">
      <c r="A28" s="7">
        <v>45780</v>
      </c>
      <c r="B28" s="8" t="s">
        <v>59</v>
      </c>
      <c r="C28" s="8" t="s">
        <v>28</v>
      </c>
      <c r="D28" s="8" t="s">
        <v>76</v>
      </c>
      <c r="E28" s="8" t="s">
        <v>77</v>
      </c>
      <c r="F28" s="8" t="str">
        <f t="shared" si="0"/>
        <v>SB22637</v>
      </c>
      <c r="G28" s="9">
        <v>359765</v>
      </c>
      <c r="H28" s="9">
        <f>VLOOKUP(F28,'[1]MGM Report'!$D:$E,2,FALSE)</f>
        <v>359765</v>
      </c>
      <c r="I28" s="9" t="b">
        <f t="shared" si="1"/>
        <v>1</v>
      </c>
      <c r="J28" s="12">
        <v>0</v>
      </c>
      <c r="K28" s="12">
        <f>VLOOKUP(F28,'[1]MGM Report'!$D:$F,3,FALSE)</f>
        <v>0</v>
      </c>
      <c r="L28" s="12" t="b">
        <f t="shared" si="2"/>
        <v>1</v>
      </c>
      <c r="M28" s="13">
        <v>349765</v>
      </c>
      <c r="N28" s="13">
        <f>VLOOKUP(F28,'[1]MGM Report'!$D:$G,4,FALSE)</f>
        <v>349765</v>
      </c>
      <c r="O28" s="13" t="b">
        <f t="shared" si="11"/>
        <v>1</v>
      </c>
      <c r="P28" s="12">
        <v>0</v>
      </c>
      <c r="Q28" s="12">
        <f>VLOOKUP(F28,'[1]MGM Report'!$D:$M,5,FALSE)</f>
        <v>0</v>
      </c>
      <c r="R28" s="12" t="b">
        <f t="shared" si="4"/>
        <v>1</v>
      </c>
      <c r="S28" s="13">
        <v>349765</v>
      </c>
      <c r="T28" s="13">
        <f>VLOOKUP(F28,'[1]MGM Report'!$D:$I,6,FALSE)</f>
        <v>349765</v>
      </c>
      <c r="U28" s="13" t="b">
        <f t="shared" si="5"/>
        <v>1</v>
      </c>
      <c r="V28" s="12">
        <v>265000</v>
      </c>
      <c r="W28" s="12">
        <f>VLOOKUP(F28,'[1]MGM Report'!$D:$J,7,FALSE)</f>
        <v>266143</v>
      </c>
      <c r="X28" s="12" t="b">
        <f t="shared" si="6"/>
        <v>0</v>
      </c>
      <c r="Y28" s="13">
        <v>81190</v>
      </c>
      <c r="Z28" s="13">
        <f>VLOOKUP(F28,'[1]MGM Report'!$D:$K,8,FALSE)</f>
        <v>81190</v>
      </c>
      <c r="AA28" s="13" t="b">
        <f t="shared" si="7"/>
        <v>1</v>
      </c>
      <c r="AB28" s="12">
        <v>191630</v>
      </c>
      <c r="AC28" s="12">
        <f>VLOOKUP(F28,'[1]MGM Report'!$D:$M,10,FALSE)</f>
        <v>191630</v>
      </c>
      <c r="AD28" s="12" t="b">
        <f t="shared" si="8"/>
        <v>1</v>
      </c>
      <c r="AE28" s="13">
        <v>0</v>
      </c>
      <c r="AF28" s="13">
        <f>VLOOKUP(F28,'[1]MGM Report'!$D:$N,11,FALSE)</f>
        <v>0</v>
      </c>
      <c r="AG28" s="13" t="b">
        <f t="shared" si="9"/>
        <v>1</v>
      </c>
      <c r="AH28" s="12">
        <v>272820</v>
      </c>
      <c r="AI28" s="12">
        <f>VLOOKUP(F28,'[1]MGM Report'!$D:$S,12,FALSE)</f>
        <v>272820</v>
      </c>
      <c r="AJ28" s="12" t="b">
        <f t="shared" si="10"/>
        <v>1</v>
      </c>
      <c r="AK28" s="13">
        <f>VLOOKUP(F28,[2]HAVASMGMReportKBCUpdatedResult!$F:$R,13,FALSE)</f>
        <v>94765</v>
      </c>
      <c r="AL28" s="13">
        <f>VLOOKUP(F28,'[1]MGM Report'!$D:$S,14,FALSE)</f>
        <v>93622</v>
      </c>
    </row>
    <row r="29" spans="1:38">
      <c r="A29" s="7">
        <v>45780</v>
      </c>
      <c r="B29" s="8" t="s">
        <v>59</v>
      </c>
      <c r="C29" s="8" t="s">
        <v>28</v>
      </c>
      <c r="D29" s="8" t="s">
        <v>60</v>
      </c>
      <c r="E29" s="8" t="s">
        <v>78</v>
      </c>
      <c r="F29" s="8" t="str">
        <f t="shared" si="0"/>
        <v>SB22633</v>
      </c>
      <c r="G29" s="9">
        <v>25300</v>
      </c>
      <c r="H29" s="9">
        <f>VLOOKUP(F29,'[1]MGM Report'!$D:$E,2,FALSE)</f>
        <v>25300</v>
      </c>
      <c r="I29" s="9" t="b">
        <f t="shared" si="1"/>
        <v>1</v>
      </c>
      <c r="J29" s="12">
        <v>25300</v>
      </c>
      <c r="K29" s="12">
        <f>VLOOKUP(F29,'[1]MGM Report'!$D:$F,3,FALSE)</f>
        <v>25300</v>
      </c>
      <c r="L29" s="12" t="b">
        <f t="shared" si="2"/>
        <v>1</v>
      </c>
      <c r="M29" s="13">
        <v>0</v>
      </c>
      <c r="N29" s="13">
        <f>VLOOKUP(F29,'[1]MGM Report'!$D:$G,4,FALSE)</f>
        <v>0</v>
      </c>
      <c r="O29" s="13" t="b">
        <f t="shared" si="11"/>
        <v>1</v>
      </c>
      <c r="P29" s="12">
        <v>0</v>
      </c>
      <c r="Q29" s="12">
        <f>VLOOKUP(F29,'[1]MGM Report'!$D:$M,5,FALSE)</f>
        <v>0</v>
      </c>
      <c r="R29" s="12" t="b">
        <f t="shared" si="4"/>
        <v>1</v>
      </c>
      <c r="S29" s="13">
        <v>25300</v>
      </c>
      <c r="T29" s="13">
        <f>VLOOKUP(F29,'[1]MGM Report'!$D:$I,6,FALSE)</f>
        <v>25300</v>
      </c>
      <c r="U29" s="13" t="b">
        <f t="shared" si="5"/>
        <v>1</v>
      </c>
      <c r="V29" s="12">
        <v>18000</v>
      </c>
      <c r="W29" s="12">
        <f>VLOOKUP(F29,'[1]MGM Report'!$D:$J,7,FALSE)</f>
        <v>18000</v>
      </c>
      <c r="X29" s="12" t="b">
        <f t="shared" si="6"/>
        <v>1</v>
      </c>
      <c r="Y29" s="13">
        <v>18000</v>
      </c>
      <c r="Z29" s="13">
        <f>VLOOKUP(F29,'[1]MGM Report'!$D:$K,8,FALSE)</f>
        <v>18000</v>
      </c>
      <c r="AA29" s="13" t="b">
        <f t="shared" si="7"/>
        <v>1</v>
      </c>
      <c r="AB29" s="12">
        <v>1734</v>
      </c>
      <c r="AC29" s="12">
        <f>VLOOKUP(F29,'[1]MGM Report'!$D:$M,10,FALSE)</f>
        <v>1734</v>
      </c>
      <c r="AD29" s="12" t="b">
        <f t="shared" si="8"/>
        <v>1</v>
      </c>
      <c r="AE29" s="13">
        <v>0</v>
      </c>
      <c r="AF29" s="13">
        <f>VLOOKUP(F29,'[1]MGM Report'!$D:$N,11,FALSE)</f>
        <v>0</v>
      </c>
      <c r="AG29" s="13" t="b">
        <f t="shared" si="9"/>
        <v>1</v>
      </c>
      <c r="AH29" s="12">
        <v>19734</v>
      </c>
      <c r="AI29" s="12">
        <f>VLOOKUP(F29,'[1]MGM Report'!$D:$S,12,FALSE)</f>
        <v>19734</v>
      </c>
      <c r="AJ29" s="12" t="b">
        <f t="shared" si="10"/>
        <v>1</v>
      </c>
      <c r="AK29" s="13">
        <f>VLOOKUP(F29,[2]HAVASMGMReportKBCUpdatedResult!$F:$R,13,FALSE)</f>
        <v>7300</v>
      </c>
      <c r="AL29" s="13">
        <f>VLOOKUP(F29,'[1]MGM Report'!$D:$S,14,FALSE)</f>
        <v>7300</v>
      </c>
    </row>
    <row r="30" spans="1:38">
      <c r="A30" s="7">
        <v>45780</v>
      </c>
      <c r="B30" s="8" t="s">
        <v>27</v>
      </c>
      <c r="C30" s="8" t="s">
        <v>28</v>
      </c>
      <c r="D30" s="8" t="s">
        <v>47</v>
      </c>
      <c r="E30" s="8" t="s">
        <v>79</v>
      </c>
      <c r="F30" s="8" t="str">
        <f t="shared" si="0"/>
        <v>SB22634</v>
      </c>
      <c r="G30" s="9">
        <v>870929</v>
      </c>
      <c r="H30" s="9">
        <f>VLOOKUP(F30,'[1]MGM Report'!$D:$E,2,FALSE)</f>
        <v>870929.47</v>
      </c>
      <c r="I30" s="9" t="b">
        <f t="shared" si="1"/>
        <v>0</v>
      </c>
      <c r="J30" s="12">
        <v>0</v>
      </c>
      <c r="K30" s="12">
        <f>VLOOKUP(F30,'[1]MGM Report'!$D:$F,3,FALSE)</f>
        <v>0</v>
      </c>
      <c r="L30" s="12" t="b">
        <f t="shared" si="2"/>
        <v>1</v>
      </c>
      <c r="M30" s="13">
        <v>0</v>
      </c>
      <c r="N30" s="13">
        <f>VLOOKUP(F30,'[1]MGM Report'!$D:$G,4,FALSE)</f>
        <v>0</v>
      </c>
      <c r="O30" s="13" t="b">
        <f t="shared" si="11"/>
        <v>1</v>
      </c>
      <c r="P30" s="12">
        <v>0</v>
      </c>
      <c r="Q30" s="12">
        <f>VLOOKUP(F30,'[1]MGM Report'!$D:$M,5,FALSE)</f>
        <v>0</v>
      </c>
      <c r="R30" s="12" t="b">
        <f t="shared" si="4"/>
        <v>1</v>
      </c>
      <c r="S30" s="13">
        <v>0</v>
      </c>
      <c r="T30" s="13">
        <f>VLOOKUP(F30,'[1]MGM Report'!$D:$I,6,FALSE)</f>
        <v>0</v>
      </c>
      <c r="U30" s="13" t="b">
        <f t="shared" si="5"/>
        <v>1</v>
      </c>
      <c r="V30" s="12">
        <v>0</v>
      </c>
      <c r="W30" s="12">
        <f>VLOOKUP(F30,'[1]MGM Report'!$D:$J,7,FALSE)</f>
        <v>0</v>
      </c>
      <c r="X30" s="12" t="b">
        <f t="shared" si="6"/>
        <v>1</v>
      </c>
      <c r="Y30" s="13">
        <v>0</v>
      </c>
      <c r="Z30" s="13">
        <f>VLOOKUP(F30,'[1]MGM Report'!$D:$K,8,FALSE)</f>
        <v>0</v>
      </c>
      <c r="AA30" s="13" t="b">
        <f t="shared" si="7"/>
        <v>1</v>
      </c>
      <c r="AB30" s="12">
        <v>0</v>
      </c>
      <c r="AC30" s="12">
        <f>VLOOKUP(F30,'[1]MGM Report'!$D:$M,10,FALSE)</f>
        <v>0</v>
      </c>
      <c r="AD30" s="12" t="b">
        <f t="shared" si="8"/>
        <v>1</v>
      </c>
      <c r="AE30" s="13">
        <v>0</v>
      </c>
      <c r="AF30" s="13">
        <f>VLOOKUP(F30,'[1]MGM Report'!$D:$N,11,FALSE)</f>
        <v>0</v>
      </c>
      <c r="AG30" s="13" t="b">
        <f t="shared" si="9"/>
        <v>1</v>
      </c>
      <c r="AH30" s="12">
        <v>0</v>
      </c>
      <c r="AI30" s="12">
        <f>VLOOKUP(F30,'[1]MGM Report'!$D:$S,12,FALSE)</f>
        <v>0</v>
      </c>
      <c r="AJ30" s="12" t="b">
        <f t="shared" si="10"/>
        <v>1</v>
      </c>
      <c r="AK30" s="13">
        <f>VLOOKUP(F30,[2]HAVASMGMReportKBCUpdatedResult!$F:$R,13,FALSE)</f>
        <v>870929</v>
      </c>
      <c r="AL30" s="13">
        <f>VLOOKUP(F30,'[1]MGM Report'!$D:$S,14,FALSE)</f>
        <v>870929.47</v>
      </c>
    </row>
    <row r="31" spans="1:38">
      <c r="A31" s="7">
        <v>45780</v>
      </c>
      <c r="B31" s="8" t="s">
        <v>31</v>
      </c>
      <c r="C31" s="8" t="s">
        <v>28</v>
      </c>
      <c r="D31" s="8" t="s">
        <v>45</v>
      </c>
      <c r="E31" s="8" t="s">
        <v>80</v>
      </c>
      <c r="F31" s="8" t="str">
        <f t="shared" si="0"/>
        <v>SB22635</v>
      </c>
      <c r="G31" s="9">
        <v>0</v>
      </c>
      <c r="H31" s="9">
        <f>VLOOKUP(F31,'[1]MGM Report'!$D:$E,2,FALSE)</f>
        <v>0</v>
      </c>
      <c r="I31" s="9" t="b">
        <f t="shared" si="1"/>
        <v>1</v>
      </c>
      <c r="J31" s="12">
        <v>0</v>
      </c>
      <c r="K31" s="12">
        <f>VLOOKUP(F31,'[1]MGM Report'!$D:$F,3,FALSE)</f>
        <v>0</v>
      </c>
      <c r="L31" s="12" t="b">
        <f t="shared" si="2"/>
        <v>1</v>
      </c>
      <c r="M31" s="13">
        <v>179520</v>
      </c>
      <c r="N31" s="13">
        <f>VLOOKUP(F31,'[1]MGM Report'!$D:$G,4,FALSE)</f>
        <v>179520</v>
      </c>
      <c r="O31" s="13" t="b">
        <f t="shared" si="11"/>
        <v>1</v>
      </c>
      <c r="P31" s="12">
        <v>0</v>
      </c>
      <c r="Q31" s="12">
        <f>VLOOKUP(F31,'[1]MGM Report'!$D:$M,5,FALSE)</f>
        <v>0</v>
      </c>
      <c r="R31" s="12" t="b">
        <f t="shared" si="4"/>
        <v>1</v>
      </c>
      <c r="S31" s="13">
        <v>179520</v>
      </c>
      <c r="T31" s="13">
        <f>VLOOKUP(F31,'[1]MGM Report'!$D:$I,6,FALSE)</f>
        <v>179520</v>
      </c>
      <c r="U31" s="13" t="b">
        <f t="shared" si="5"/>
        <v>1</v>
      </c>
      <c r="V31" s="12">
        <v>0</v>
      </c>
      <c r="W31" s="12">
        <f>VLOOKUP(F31,'[1]MGM Report'!$D:$J,7,FALSE)</f>
        <v>0</v>
      </c>
      <c r="X31" s="12" t="b">
        <f t="shared" si="6"/>
        <v>1</v>
      </c>
      <c r="Y31" s="13">
        <v>0</v>
      </c>
      <c r="Z31" s="13">
        <f>VLOOKUP(F31,'[1]MGM Report'!$D:$K,8,FALSE)</f>
        <v>0</v>
      </c>
      <c r="AA31" s="13" t="b">
        <f t="shared" si="7"/>
        <v>1</v>
      </c>
      <c r="AB31" s="12">
        <v>120000</v>
      </c>
      <c r="AC31" s="12">
        <f>VLOOKUP(F31,'[1]MGM Report'!$D:$M,10,FALSE)</f>
        <v>120000</v>
      </c>
      <c r="AD31" s="12" t="b">
        <f t="shared" si="8"/>
        <v>1</v>
      </c>
      <c r="AE31" s="13">
        <v>0</v>
      </c>
      <c r="AF31" s="13">
        <f>VLOOKUP(F31,'[1]MGM Report'!$D:$N,11,FALSE)</f>
        <v>0</v>
      </c>
      <c r="AG31" s="13" t="b">
        <f t="shared" si="9"/>
        <v>1</v>
      </c>
      <c r="AH31" s="12">
        <v>120000</v>
      </c>
      <c r="AI31" s="12">
        <f>VLOOKUP(F31,'[1]MGM Report'!$D:$S,12,FALSE)</f>
        <v>120000</v>
      </c>
      <c r="AJ31" s="12" t="b">
        <f t="shared" si="10"/>
        <v>1</v>
      </c>
      <c r="AK31" s="13">
        <f>VLOOKUP(F31,[2]HAVASMGMReportKBCUpdatedResult!$F:$R,13,FALSE)</f>
        <v>0</v>
      </c>
      <c r="AL31" s="13">
        <f>VLOOKUP(F31,'[1]MGM Report'!$D:$S,14,FALSE)</f>
        <v>0</v>
      </c>
    </row>
    <row r="32" spans="1:38">
      <c r="A32" s="7">
        <v>45780</v>
      </c>
      <c r="B32" s="8" t="s">
        <v>27</v>
      </c>
      <c r="C32" s="8" t="s">
        <v>28</v>
      </c>
      <c r="D32" s="8" t="s">
        <v>81</v>
      </c>
      <c r="E32" s="8" t="s">
        <v>82</v>
      </c>
      <c r="F32" s="8" t="str">
        <f t="shared" si="0"/>
        <v>SB22632</v>
      </c>
      <c r="G32" s="9">
        <v>1106160</v>
      </c>
      <c r="H32" s="9">
        <f>VLOOKUP(F32,'[1]MGM Report'!$D:$E,2,FALSE)</f>
        <v>1106160</v>
      </c>
      <c r="I32" s="9" t="b">
        <f t="shared" si="1"/>
        <v>1</v>
      </c>
      <c r="J32" s="12">
        <v>553080</v>
      </c>
      <c r="K32" s="12">
        <f>VLOOKUP(F32,'[1]MGM Report'!$D:$F,3,FALSE)</f>
        <v>553080</v>
      </c>
      <c r="L32" s="12" t="b">
        <f t="shared" si="2"/>
        <v>1</v>
      </c>
      <c r="M32" s="13">
        <v>0</v>
      </c>
      <c r="N32" s="13">
        <f>VLOOKUP(F32,'[1]MGM Report'!$D:$G,4,FALSE)</f>
        <v>0</v>
      </c>
      <c r="O32" s="13" t="b">
        <f t="shared" si="11"/>
        <v>1</v>
      </c>
      <c r="P32" s="12">
        <v>0</v>
      </c>
      <c r="Q32" s="12">
        <f>VLOOKUP(F32,'[1]MGM Report'!$D:$M,5,FALSE)</f>
        <v>0</v>
      </c>
      <c r="R32" s="12" t="b">
        <f t="shared" si="4"/>
        <v>1</v>
      </c>
      <c r="S32" s="13">
        <v>553080</v>
      </c>
      <c r="T32" s="13">
        <f>VLOOKUP(F32,'[1]MGM Report'!$D:$I,6,FALSE)</f>
        <v>553080</v>
      </c>
      <c r="U32" s="13" t="b">
        <f t="shared" si="5"/>
        <v>1</v>
      </c>
      <c r="V32" s="12">
        <v>124750</v>
      </c>
      <c r="W32" s="12">
        <f>VLOOKUP(F32,'[1]MGM Report'!$D:$J,7,FALSE)</f>
        <v>136979</v>
      </c>
      <c r="X32" s="12" t="b">
        <f t="shared" si="6"/>
        <v>0</v>
      </c>
      <c r="Y32" s="13">
        <v>125979</v>
      </c>
      <c r="Z32" s="13">
        <f>VLOOKUP(F32,'[1]MGM Report'!$D:$K,8,FALSE)</f>
        <v>125979</v>
      </c>
      <c r="AA32" s="13" t="b">
        <f t="shared" si="7"/>
        <v>1</v>
      </c>
      <c r="AB32" s="12">
        <v>305423</v>
      </c>
      <c r="AC32" s="12">
        <f>VLOOKUP(F32,'[1]MGM Report'!$D:$M,10,FALSE)</f>
        <v>305423</v>
      </c>
      <c r="AD32" s="12" t="b">
        <f t="shared" si="8"/>
        <v>1</v>
      </c>
      <c r="AE32" s="13">
        <v>0</v>
      </c>
      <c r="AF32" s="13">
        <f>VLOOKUP(F32,'[1]MGM Report'!$D:$N,11,FALSE)</f>
        <v>0</v>
      </c>
      <c r="AG32" s="13" t="b">
        <f t="shared" si="9"/>
        <v>1</v>
      </c>
      <c r="AH32" s="12">
        <v>431402</v>
      </c>
      <c r="AI32" s="12">
        <f>VLOOKUP(F32,'[1]MGM Report'!$D:$S,12,FALSE)</f>
        <v>431402</v>
      </c>
      <c r="AJ32" s="12" t="b">
        <f t="shared" si="10"/>
        <v>1</v>
      </c>
      <c r="AK32" s="13">
        <f>VLOOKUP(F32,[2]HAVASMGMReportKBCUpdatedResult!$F:$R,13,FALSE)</f>
        <v>981410</v>
      </c>
      <c r="AL32" s="13">
        <f>VLOOKUP(F32,'[1]MGM Report'!$D:$S,14,FALSE)</f>
        <v>969181</v>
      </c>
    </row>
    <row r="33" spans="1:38">
      <c r="A33" s="7">
        <v>45780</v>
      </c>
      <c r="B33" s="8" t="s">
        <v>27</v>
      </c>
      <c r="C33" s="8" t="s">
        <v>28</v>
      </c>
      <c r="D33" s="8" t="s">
        <v>47</v>
      </c>
      <c r="E33" s="8" t="s">
        <v>83</v>
      </c>
      <c r="F33" s="8" t="str">
        <f t="shared" si="0"/>
        <v>SB22628</v>
      </c>
      <c r="G33" s="9">
        <v>822404</v>
      </c>
      <c r="H33" s="9">
        <f>VLOOKUP(F33,'[1]MGM Report'!$D:$E,2,FALSE)</f>
        <v>822404</v>
      </c>
      <c r="I33" s="9" t="b">
        <f t="shared" si="1"/>
        <v>1</v>
      </c>
      <c r="J33" s="12">
        <v>0</v>
      </c>
      <c r="K33" s="12">
        <f>VLOOKUP(F33,'[1]MGM Report'!$D:$F,3,FALSE)</f>
        <v>0</v>
      </c>
      <c r="L33" s="12" t="b">
        <f t="shared" si="2"/>
        <v>1</v>
      </c>
      <c r="M33" s="13">
        <v>0</v>
      </c>
      <c r="N33" s="13">
        <f>VLOOKUP(F33,'[1]MGM Report'!$D:$G,4,FALSE)</f>
        <v>0</v>
      </c>
      <c r="O33" s="13" t="b">
        <f t="shared" si="11"/>
        <v>1</v>
      </c>
      <c r="P33" s="12">
        <v>0</v>
      </c>
      <c r="Q33" s="12">
        <f>VLOOKUP(F33,'[1]MGM Report'!$D:$M,5,FALSE)</f>
        <v>0</v>
      </c>
      <c r="R33" s="12" t="b">
        <f t="shared" si="4"/>
        <v>1</v>
      </c>
      <c r="S33" s="13">
        <v>0</v>
      </c>
      <c r="T33" s="13">
        <f>VLOOKUP(F33,'[1]MGM Report'!$D:$I,6,FALSE)</f>
        <v>0</v>
      </c>
      <c r="U33" s="13" t="b">
        <f t="shared" si="5"/>
        <v>1</v>
      </c>
      <c r="V33" s="12">
        <v>0</v>
      </c>
      <c r="W33" s="12">
        <f>VLOOKUP(F33,'[1]MGM Report'!$D:$J,7,FALSE)</f>
        <v>0</v>
      </c>
      <c r="X33" s="12" t="b">
        <f t="shared" si="6"/>
        <v>1</v>
      </c>
      <c r="Y33" s="13">
        <v>0</v>
      </c>
      <c r="Z33" s="13">
        <f>VLOOKUP(F33,'[1]MGM Report'!$D:$K,8,FALSE)</f>
        <v>0</v>
      </c>
      <c r="AA33" s="13" t="b">
        <f t="shared" si="7"/>
        <v>1</v>
      </c>
      <c r="AB33" s="12">
        <v>0</v>
      </c>
      <c r="AC33" s="12">
        <f>VLOOKUP(F33,'[1]MGM Report'!$D:$M,10,FALSE)</f>
        <v>0</v>
      </c>
      <c r="AD33" s="12" t="b">
        <f t="shared" si="8"/>
        <v>1</v>
      </c>
      <c r="AE33" s="13">
        <v>0</v>
      </c>
      <c r="AF33" s="13">
        <f>VLOOKUP(F33,'[1]MGM Report'!$D:$N,11,FALSE)</f>
        <v>0</v>
      </c>
      <c r="AG33" s="13" t="b">
        <f t="shared" si="9"/>
        <v>1</v>
      </c>
      <c r="AH33" s="12">
        <v>0</v>
      </c>
      <c r="AI33" s="12">
        <f>VLOOKUP(F33,'[1]MGM Report'!$D:$S,12,FALSE)</f>
        <v>0</v>
      </c>
      <c r="AJ33" s="12" t="b">
        <f t="shared" si="10"/>
        <v>1</v>
      </c>
      <c r="AK33" s="13">
        <f>VLOOKUP(F33,[2]HAVASMGMReportKBCUpdatedResult!$F:$R,13,FALSE)</f>
        <v>822404</v>
      </c>
      <c r="AL33" s="13">
        <f>VLOOKUP(F33,'[1]MGM Report'!$D:$S,14,FALSE)</f>
        <v>822404</v>
      </c>
    </row>
    <row r="34" spans="1:38">
      <c r="A34" s="7">
        <v>45780</v>
      </c>
      <c r="B34" s="8" t="s">
        <v>59</v>
      </c>
      <c r="C34" s="8" t="s">
        <v>28</v>
      </c>
      <c r="D34" s="8" t="s">
        <v>76</v>
      </c>
      <c r="E34" s="8" t="s">
        <v>84</v>
      </c>
      <c r="F34" s="8" t="str">
        <f t="shared" si="0"/>
        <v>SB22627</v>
      </c>
      <c r="G34" s="9">
        <v>394253</v>
      </c>
      <c r="H34" s="9">
        <f>VLOOKUP(F34,'[1]MGM Report'!$D:$E,2,FALSE)</f>
        <v>394253</v>
      </c>
      <c r="I34" s="9" t="b">
        <f t="shared" si="1"/>
        <v>1</v>
      </c>
      <c r="J34" s="12">
        <v>0</v>
      </c>
      <c r="K34" s="12">
        <f>VLOOKUP(F34,'[1]MGM Report'!$D:$F,3,FALSE)</f>
        <v>0</v>
      </c>
      <c r="L34" s="12" t="b">
        <f t="shared" si="2"/>
        <v>1</v>
      </c>
      <c r="M34" s="13">
        <v>361880</v>
      </c>
      <c r="N34" s="13">
        <f>VLOOKUP(F34,'[1]MGM Report'!$D:$G,4,FALSE)</f>
        <v>361880</v>
      </c>
      <c r="O34" s="13" t="b">
        <f t="shared" si="11"/>
        <v>1</v>
      </c>
      <c r="P34" s="12">
        <v>0</v>
      </c>
      <c r="Q34" s="12">
        <f>VLOOKUP(F34,'[1]MGM Report'!$D:$M,5,FALSE)</f>
        <v>0</v>
      </c>
      <c r="R34" s="12" t="b">
        <f t="shared" si="4"/>
        <v>1</v>
      </c>
      <c r="S34" s="13">
        <v>361880</v>
      </c>
      <c r="T34" s="13">
        <f>VLOOKUP(F34,'[1]MGM Report'!$D:$I,6,FALSE)</f>
        <v>361880</v>
      </c>
      <c r="U34" s="13" t="b">
        <f t="shared" si="5"/>
        <v>1</v>
      </c>
      <c r="V34" s="12">
        <v>0</v>
      </c>
      <c r="W34" s="12">
        <f>VLOOKUP(F34,'[1]MGM Report'!$D:$J,7,FALSE)</f>
        <v>6379</v>
      </c>
      <c r="X34" s="12" t="b">
        <f t="shared" si="6"/>
        <v>0</v>
      </c>
      <c r="Y34" s="13">
        <v>6379</v>
      </c>
      <c r="Z34" s="13">
        <f>VLOOKUP(F34,'[1]MGM Report'!$D:$K,8,FALSE)</f>
        <v>6379</v>
      </c>
      <c r="AA34" s="13" t="b">
        <f t="shared" si="7"/>
        <v>1</v>
      </c>
      <c r="AB34" s="12">
        <v>275886</v>
      </c>
      <c r="AC34" s="12">
        <f>VLOOKUP(F34,'[1]MGM Report'!$D:$M,10,FALSE)</f>
        <v>275886</v>
      </c>
      <c r="AD34" s="12" t="b">
        <f t="shared" si="8"/>
        <v>1</v>
      </c>
      <c r="AE34" s="13">
        <v>0</v>
      </c>
      <c r="AF34" s="13">
        <f>VLOOKUP(F34,'[1]MGM Report'!$D:$N,11,FALSE)</f>
        <v>0</v>
      </c>
      <c r="AG34" s="13" t="b">
        <f t="shared" si="9"/>
        <v>1</v>
      </c>
      <c r="AH34" s="12">
        <v>282265</v>
      </c>
      <c r="AI34" s="12">
        <f>VLOOKUP(F34,'[1]MGM Report'!$D:$S,12,FALSE)</f>
        <v>282265</v>
      </c>
      <c r="AJ34" s="12" t="b">
        <f t="shared" si="10"/>
        <v>1</v>
      </c>
      <c r="AK34" s="13">
        <f>VLOOKUP(F34,[2]HAVASMGMReportKBCUpdatedResult!$F:$R,13,FALSE)</f>
        <v>394253</v>
      </c>
      <c r="AL34" s="13">
        <f>VLOOKUP(F34,'[1]MGM Report'!$D:$S,14,FALSE)</f>
        <v>387874</v>
      </c>
    </row>
    <row r="35" spans="1:38">
      <c r="A35" s="7">
        <v>45780</v>
      </c>
      <c r="B35" s="8" t="s">
        <v>31</v>
      </c>
      <c r="C35" s="8" t="s">
        <v>28</v>
      </c>
      <c r="D35" s="8" t="s">
        <v>85</v>
      </c>
      <c r="E35" s="8" t="s">
        <v>86</v>
      </c>
      <c r="F35" s="8" t="str">
        <f t="shared" si="0"/>
        <v>SB22629</v>
      </c>
      <c r="G35" s="9">
        <v>11232890</v>
      </c>
      <c r="H35" s="9">
        <f>VLOOKUP(F35,'[1]MGM Report'!$D:$E,2,FALSE)</f>
        <v>11232890</v>
      </c>
      <c r="I35" s="9" t="b">
        <f t="shared" si="1"/>
        <v>1</v>
      </c>
      <c r="J35" s="12">
        <v>0</v>
      </c>
      <c r="K35" s="12">
        <f>VLOOKUP(F35,'[1]MGM Report'!$D:$F,3,FALSE)</f>
        <v>0</v>
      </c>
      <c r="L35" s="12" t="b">
        <f t="shared" si="2"/>
        <v>1</v>
      </c>
      <c r="M35" s="13">
        <v>0</v>
      </c>
      <c r="N35" s="13">
        <f>VLOOKUP(F35,'[1]MGM Report'!$D:$G,4,FALSE)</f>
        <v>0</v>
      </c>
      <c r="O35" s="13" t="b">
        <f t="shared" si="11"/>
        <v>1</v>
      </c>
      <c r="P35" s="12">
        <v>0</v>
      </c>
      <c r="Q35" s="12">
        <f>VLOOKUP(F35,'[1]MGM Report'!$D:$M,5,FALSE)</f>
        <v>0</v>
      </c>
      <c r="R35" s="12" t="b">
        <f t="shared" si="4"/>
        <v>1</v>
      </c>
      <c r="S35" s="13">
        <v>0</v>
      </c>
      <c r="T35" s="13">
        <f>VLOOKUP(F35,'[1]MGM Report'!$D:$I,6,FALSE)</f>
        <v>0</v>
      </c>
      <c r="U35" s="13" t="b">
        <f t="shared" si="5"/>
        <v>1</v>
      </c>
      <c r="V35" s="12">
        <v>4000</v>
      </c>
      <c r="W35" s="12">
        <f>VLOOKUP(F35,'[1]MGM Report'!$D:$J,7,FALSE)</f>
        <v>4000</v>
      </c>
      <c r="X35" s="12" t="b">
        <f t="shared" si="6"/>
        <v>1</v>
      </c>
      <c r="Y35" s="13">
        <v>4000</v>
      </c>
      <c r="Z35" s="13">
        <f>VLOOKUP(F35,'[1]MGM Report'!$D:$K,8,FALSE)</f>
        <v>4000</v>
      </c>
      <c r="AA35" s="13" t="b">
        <f t="shared" si="7"/>
        <v>1</v>
      </c>
      <c r="AB35" s="12">
        <v>-4000</v>
      </c>
      <c r="AC35" s="12">
        <f>VLOOKUP(F35,'[1]MGM Report'!$D:$M,10,FALSE)</f>
        <v>4000</v>
      </c>
      <c r="AD35" s="12" t="b">
        <f t="shared" si="8"/>
        <v>0</v>
      </c>
      <c r="AE35" s="13">
        <v>0</v>
      </c>
      <c r="AF35" s="13">
        <f>VLOOKUP(F35,'[1]MGM Report'!$D:$N,11,FALSE)</f>
        <v>0</v>
      </c>
      <c r="AG35" s="13" t="b">
        <f t="shared" si="9"/>
        <v>1</v>
      </c>
      <c r="AH35" s="12">
        <v>0</v>
      </c>
      <c r="AI35" s="12">
        <f>VLOOKUP(F35,'[1]MGM Report'!$D:$S,12,FALSE)</f>
        <v>0</v>
      </c>
      <c r="AJ35" s="12" t="b">
        <f t="shared" si="10"/>
        <v>1</v>
      </c>
      <c r="AK35" s="13">
        <f>VLOOKUP(F35,[2]HAVASMGMReportKBCUpdatedResult!$F:$R,13,FALSE)</f>
        <v>11228890</v>
      </c>
      <c r="AL35" s="13">
        <f>VLOOKUP(F35,'[1]MGM Report'!$D:$S,14,FALSE)</f>
        <v>11228890</v>
      </c>
    </row>
    <row r="36" spans="1:38">
      <c r="A36" s="7">
        <v>45780</v>
      </c>
      <c r="B36" s="8" t="s">
        <v>31</v>
      </c>
      <c r="C36" s="8" t="s">
        <v>28</v>
      </c>
      <c r="D36" s="8" t="s">
        <v>87</v>
      </c>
      <c r="E36" s="8" t="s">
        <v>88</v>
      </c>
      <c r="F36" s="8" t="str">
        <f t="shared" si="0"/>
        <v>SB22624</v>
      </c>
      <c r="G36" s="9">
        <v>723561.28</v>
      </c>
      <c r="H36" s="9">
        <f>VLOOKUP(F36,'[1]MGM Report'!$D:$E,2,FALSE)</f>
        <v>723561.28</v>
      </c>
      <c r="I36" s="9" t="b">
        <f t="shared" si="1"/>
        <v>1</v>
      </c>
      <c r="J36" s="12">
        <v>0</v>
      </c>
      <c r="K36" s="12">
        <f>VLOOKUP(F36,'[1]MGM Report'!$D:$F,3,FALSE)</f>
        <v>0</v>
      </c>
      <c r="L36" s="12" t="b">
        <f t="shared" si="2"/>
        <v>1</v>
      </c>
      <c r="M36" s="13">
        <v>703084</v>
      </c>
      <c r="N36" s="13">
        <f>VLOOKUP(F36,'[1]MGM Report'!$D:$G,4,FALSE)</f>
        <v>703084</v>
      </c>
      <c r="O36" s="13" t="b">
        <f t="shared" si="11"/>
        <v>1</v>
      </c>
      <c r="P36" s="12">
        <v>0</v>
      </c>
      <c r="Q36" s="12">
        <f>VLOOKUP(F36,'[1]MGM Report'!$D:$M,5,FALSE)</f>
        <v>0</v>
      </c>
      <c r="R36" s="12" t="b">
        <f t="shared" si="4"/>
        <v>1</v>
      </c>
      <c r="S36" s="13">
        <v>703084</v>
      </c>
      <c r="T36" s="13">
        <f>VLOOKUP(F36,'[1]MGM Report'!$D:$I,6,FALSE)</f>
        <v>703084</v>
      </c>
      <c r="U36" s="13" t="b">
        <f t="shared" si="5"/>
        <v>1</v>
      </c>
      <c r="V36" s="12">
        <v>443795</v>
      </c>
      <c r="W36" s="12">
        <f>VLOOKUP(F36,'[1]MGM Report'!$D:$J,7,FALSE)</f>
        <v>451057</v>
      </c>
      <c r="X36" s="12" t="b">
        <f t="shared" si="6"/>
        <v>0</v>
      </c>
      <c r="Y36" s="13">
        <v>446136</v>
      </c>
      <c r="Z36" s="13">
        <f>VLOOKUP(F36,'[1]MGM Report'!$D:$K,8,FALSE)</f>
        <v>446136</v>
      </c>
      <c r="AA36" s="13" t="b">
        <f t="shared" si="7"/>
        <v>1</v>
      </c>
      <c r="AB36" s="12">
        <v>179044</v>
      </c>
      <c r="AC36" s="12">
        <f>VLOOKUP(F36,'[1]MGM Report'!$D:$M,10,FALSE)</f>
        <v>179044</v>
      </c>
      <c r="AD36" s="12" t="b">
        <f t="shared" si="8"/>
        <v>1</v>
      </c>
      <c r="AE36" s="13">
        <v>0</v>
      </c>
      <c r="AF36" s="13">
        <f>VLOOKUP(F36,'[1]MGM Report'!$D:$N,11,FALSE)</f>
        <v>0</v>
      </c>
      <c r="AG36" s="13" t="b">
        <f t="shared" si="9"/>
        <v>1</v>
      </c>
      <c r="AH36" s="12">
        <v>625180</v>
      </c>
      <c r="AI36" s="12">
        <f>VLOOKUP(F36,'[1]MGM Report'!$D:$S,12,FALSE)</f>
        <v>625180</v>
      </c>
      <c r="AJ36" s="12" t="b">
        <f t="shared" si="10"/>
        <v>1</v>
      </c>
      <c r="AK36" s="13">
        <f>VLOOKUP(F36,[2]HAVASMGMReportKBCUpdatedResult!$F:$R,13,FALSE)</f>
        <v>279766.28</v>
      </c>
      <c r="AL36" s="13">
        <f>VLOOKUP(F36,'[1]MGM Report'!$D:$S,14,FALSE)</f>
        <v>272504.28</v>
      </c>
    </row>
    <row r="37" spans="1:38">
      <c r="A37" s="7">
        <v>45780</v>
      </c>
      <c r="B37" s="8" t="s">
        <v>31</v>
      </c>
      <c r="C37" s="8" t="s">
        <v>28</v>
      </c>
      <c r="D37" s="8" t="s">
        <v>89</v>
      </c>
      <c r="E37" s="8" t="s">
        <v>90</v>
      </c>
      <c r="F37" s="8" t="str">
        <f t="shared" si="0"/>
        <v>SB22625</v>
      </c>
      <c r="G37" s="9">
        <v>30800</v>
      </c>
      <c r="H37" s="9">
        <f>VLOOKUP(F37,'[1]MGM Report'!$D:$E,2,FALSE)</f>
        <v>30800</v>
      </c>
      <c r="I37" s="9" t="b">
        <f t="shared" si="1"/>
        <v>1</v>
      </c>
      <c r="J37" s="12">
        <v>0</v>
      </c>
      <c r="K37" s="12">
        <f>VLOOKUP(F37,'[1]MGM Report'!$D:$F,3,FALSE)</f>
        <v>0</v>
      </c>
      <c r="L37" s="12" t="b">
        <f t="shared" si="2"/>
        <v>1</v>
      </c>
      <c r="M37" s="13">
        <v>30800</v>
      </c>
      <c r="N37" s="13">
        <f>VLOOKUP(F37,'[1]MGM Report'!$D:$G,4,FALSE)</f>
        <v>30800</v>
      </c>
      <c r="O37" s="13" t="b">
        <f t="shared" si="11"/>
        <v>1</v>
      </c>
      <c r="P37" s="12">
        <v>0</v>
      </c>
      <c r="Q37" s="12">
        <f>VLOOKUP(F37,'[1]MGM Report'!$D:$M,5,FALSE)</f>
        <v>0</v>
      </c>
      <c r="R37" s="12" t="b">
        <f t="shared" si="4"/>
        <v>1</v>
      </c>
      <c r="S37" s="13">
        <v>30800</v>
      </c>
      <c r="T37" s="13">
        <f>VLOOKUP(F37,'[1]MGM Report'!$D:$I,6,FALSE)</f>
        <v>30800</v>
      </c>
      <c r="U37" s="13" t="b">
        <f t="shared" si="5"/>
        <v>1</v>
      </c>
      <c r="V37" s="12">
        <v>0</v>
      </c>
      <c r="W37" s="12">
        <f>VLOOKUP(F37,'[1]MGM Report'!$D:$J,7,FALSE)</f>
        <v>0</v>
      </c>
      <c r="X37" s="12" t="b">
        <f t="shared" si="6"/>
        <v>1</v>
      </c>
      <c r="Y37" s="13">
        <v>0</v>
      </c>
      <c r="Z37" s="13">
        <f>VLOOKUP(F37,'[1]MGM Report'!$D:$K,8,FALSE)</f>
        <v>0</v>
      </c>
      <c r="AA37" s="13" t="b">
        <f t="shared" si="7"/>
        <v>1</v>
      </c>
      <c r="AB37" s="12">
        <v>24000</v>
      </c>
      <c r="AC37" s="12">
        <f>VLOOKUP(F37,'[1]MGM Report'!$D:$M,10,FALSE)</f>
        <v>24000</v>
      </c>
      <c r="AD37" s="12" t="b">
        <f t="shared" si="8"/>
        <v>1</v>
      </c>
      <c r="AE37" s="13">
        <v>0</v>
      </c>
      <c r="AF37" s="13">
        <f>VLOOKUP(F37,'[1]MGM Report'!$D:$N,11,FALSE)</f>
        <v>0</v>
      </c>
      <c r="AG37" s="13" t="b">
        <f t="shared" si="9"/>
        <v>1</v>
      </c>
      <c r="AH37" s="12">
        <v>24000</v>
      </c>
      <c r="AI37" s="12">
        <f>VLOOKUP(F37,'[1]MGM Report'!$D:$S,12,FALSE)</f>
        <v>24000</v>
      </c>
      <c r="AJ37" s="12" t="b">
        <f t="shared" si="10"/>
        <v>1</v>
      </c>
      <c r="AK37" s="13">
        <f>VLOOKUP(F37,[2]HAVASMGMReportKBCUpdatedResult!$F:$R,13,FALSE)</f>
        <v>30800</v>
      </c>
      <c r="AL37" s="13">
        <f>VLOOKUP(F37,'[1]MGM Report'!$D:$S,14,FALSE)</f>
        <v>30800</v>
      </c>
    </row>
    <row r="38" spans="1:38">
      <c r="A38" s="7">
        <v>45780</v>
      </c>
      <c r="B38" s="8" t="s">
        <v>38</v>
      </c>
      <c r="C38" s="8" t="s">
        <v>28</v>
      </c>
      <c r="D38" s="8" t="s">
        <v>91</v>
      </c>
      <c r="E38" s="8" t="s">
        <v>92</v>
      </c>
      <c r="F38" s="8" t="str">
        <f t="shared" si="0"/>
        <v>SB22626</v>
      </c>
      <c r="G38" s="9">
        <v>1800000</v>
      </c>
      <c r="H38" s="9">
        <f>VLOOKUP(F38,'[1]MGM Report'!$D:$E,2,FALSE)</f>
        <v>1800000</v>
      </c>
      <c r="I38" s="9" t="b">
        <f t="shared" si="1"/>
        <v>1</v>
      </c>
      <c r="J38" s="12">
        <v>0</v>
      </c>
      <c r="K38" s="12">
        <f>VLOOKUP(F38,'[1]MGM Report'!$D:$F,3,FALSE)</f>
        <v>0</v>
      </c>
      <c r="L38" s="12" t="b">
        <f t="shared" si="2"/>
        <v>1</v>
      </c>
      <c r="M38" s="13">
        <v>0</v>
      </c>
      <c r="N38" s="13">
        <f>VLOOKUP(F38,'[1]MGM Report'!$D:$G,4,FALSE)</f>
        <v>0</v>
      </c>
      <c r="O38" s="13" t="b">
        <f t="shared" si="11"/>
        <v>1</v>
      </c>
      <c r="P38" s="12">
        <v>0</v>
      </c>
      <c r="Q38" s="12">
        <f>VLOOKUP(F38,'[1]MGM Report'!$D:$M,5,FALSE)</f>
        <v>0</v>
      </c>
      <c r="R38" s="12" t="b">
        <f t="shared" si="4"/>
        <v>1</v>
      </c>
      <c r="S38" s="13">
        <v>0</v>
      </c>
      <c r="T38" s="13">
        <f>VLOOKUP(F38,'[1]MGM Report'!$D:$I,6,FALSE)</f>
        <v>0</v>
      </c>
      <c r="U38" s="13" t="b">
        <f t="shared" si="5"/>
        <v>1</v>
      </c>
      <c r="V38" s="12">
        <v>899727.19</v>
      </c>
      <c r="W38" s="12">
        <f>VLOOKUP(F38,'[1]MGM Report'!$D:$J,7,FALSE)</f>
        <v>899726.73</v>
      </c>
      <c r="X38" s="12" t="b">
        <f t="shared" si="6"/>
        <v>0</v>
      </c>
      <c r="Y38" s="13">
        <v>0</v>
      </c>
      <c r="Z38" s="13">
        <f>VLOOKUP(F38,'[1]MGM Report'!$D:$K,8,FALSE)</f>
        <v>0</v>
      </c>
      <c r="AA38" s="13" t="b">
        <f t="shared" si="7"/>
        <v>1</v>
      </c>
      <c r="AB38" s="12">
        <v>0</v>
      </c>
      <c r="AC38" s="12">
        <f>VLOOKUP(F38,'[1]MGM Report'!$D:$M,10,FALSE)</f>
        <v>0</v>
      </c>
      <c r="AD38" s="12" t="b">
        <f t="shared" si="8"/>
        <v>1</v>
      </c>
      <c r="AE38" s="13">
        <v>0</v>
      </c>
      <c r="AF38" s="13">
        <f>VLOOKUP(F38,'[1]MGM Report'!$D:$N,11,FALSE)</f>
        <v>0</v>
      </c>
      <c r="AG38" s="13" t="b">
        <f t="shared" si="9"/>
        <v>1</v>
      </c>
      <c r="AH38" s="12">
        <v>0</v>
      </c>
      <c r="AI38" s="12">
        <f>VLOOKUP(F38,'[1]MGM Report'!$D:$S,12,FALSE)</f>
        <v>0</v>
      </c>
      <c r="AJ38" s="12" t="b">
        <f t="shared" si="10"/>
        <v>1</v>
      </c>
      <c r="AK38" s="13">
        <f>VLOOKUP(F38,[2]HAVASMGMReportKBCUpdatedResult!$F:$R,13,FALSE)</f>
        <v>900272.81</v>
      </c>
      <c r="AL38" s="13">
        <f>VLOOKUP(F38,'[1]MGM Report'!$D:$S,14,FALSE)</f>
        <v>900273.27</v>
      </c>
    </row>
    <row r="39" spans="1:38">
      <c r="A39" s="7">
        <v>45780</v>
      </c>
      <c r="B39" s="8" t="s">
        <v>38</v>
      </c>
      <c r="C39" s="8" t="s">
        <v>28</v>
      </c>
      <c r="D39" s="8" t="s">
        <v>93</v>
      </c>
      <c r="E39" s="8" t="s">
        <v>94</v>
      </c>
      <c r="F39" s="8" t="str">
        <f t="shared" si="0"/>
        <v>SB22622</v>
      </c>
      <c r="G39" s="9">
        <v>437265</v>
      </c>
      <c r="H39" s="9">
        <f>VLOOKUP(F39,'[1]MGM Report'!$D:$E,2,FALSE)</f>
        <v>437265</v>
      </c>
      <c r="I39" s="9" t="b">
        <f t="shared" si="1"/>
        <v>1</v>
      </c>
      <c r="J39" s="12">
        <v>0</v>
      </c>
      <c r="K39" s="12">
        <f>VLOOKUP(F39,'[1]MGM Report'!$D:$F,3,FALSE)</f>
        <v>0</v>
      </c>
      <c r="L39" s="12" t="b">
        <f t="shared" si="2"/>
        <v>1</v>
      </c>
      <c r="M39" s="13">
        <v>437265</v>
      </c>
      <c r="N39" s="13">
        <f>VLOOKUP(F39,'[1]MGM Report'!$D:$G,4,FALSE)</f>
        <v>437265</v>
      </c>
      <c r="O39" s="13" t="b">
        <f t="shared" si="11"/>
        <v>1</v>
      </c>
      <c r="P39" s="12">
        <v>0</v>
      </c>
      <c r="Q39" s="12">
        <f>VLOOKUP(F39,'[1]MGM Report'!$D:$M,5,FALSE)</f>
        <v>0</v>
      </c>
      <c r="R39" s="12" t="b">
        <f t="shared" si="4"/>
        <v>1</v>
      </c>
      <c r="S39" s="13">
        <v>437265</v>
      </c>
      <c r="T39" s="13">
        <f>VLOOKUP(F39,'[1]MGM Report'!$D:$I,6,FALSE)</f>
        <v>437265</v>
      </c>
      <c r="U39" s="13" t="b">
        <f t="shared" si="5"/>
        <v>1</v>
      </c>
      <c r="V39" s="12">
        <v>0</v>
      </c>
      <c r="W39" s="12">
        <f>VLOOKUP(F39,'[1]MGM Report'!$D:$J,7,FALSE)</f>
        <v>0</v>
      </c>
      <c r="X39" s="12" t="b">
        <f t="shared" si="6"/>
        <v>1</v>
      </c>
      <c r="Y39" s="13">
        <v>0</v>
      </c>
      <c r="Z39" s="13">
        <f>VLOOKUP(F39,'[1]MGM Report'!$D:$K,8,FALSE)</f>
        <v>0</v>
      </c>
      <c r="AA39" s="13" t="b">
        <f t="shared" si="7"/>
        <v>1</v>
      </c>
      <c r="AB39" s="12">
        <v>337265</v>
      </c>
      <c r="AC39" s="12">
        <f>VLOOKUP(F39,'[1]MGM Report'!$D:$M,10,FALSE)</f>
        <v>337265</v>
      </c>
      <c r="AD39" s="12" t="b">
        <f t="shared" si="8"/>
        <v>1</v>
      </c>
      <c r="AE39" s="13">
        <v>0</v>
      </c>
      <c r="AF39" s="13">
        <f>VLOOKUP(F39,'[1]MGM Report'!$D:$N,11,FALSE)</f>
        <v>0</v>
      </c>
      <c r="AG39" s="13" t="b">
        <f t="shared" si="9"/>
        <v>1</v>
      </c>
      <c r="AH39" s="12">
        <v>337265</v>
      </c>
      <c r="AI39" s="12">
        <f>VLOOKUP(F39,'[1]MGM Report'!$D:$S,12,FALSE)</f>
        <v>337265</v>
      </c>
      <c r="AJ39" s="12" t="b">
        <f t="shared" si="10"/>
        <v>1</v>
      </c>
      <c r="AK39" s="13">
        <f>VLOOKUP(F39,[2]HAVASMGMReportKBCUpdatedResult!$F:$R,13,FALSE)</f>
        <v>437265</v>
      </c>
      <c r="AL39" s="13">
        <f>VLOOKUP(F39,'[1]MGM Report'!$D:$S,14,FALSE)</f>
        <v>437265</v>
      </c>
    </row>
    <row r="40" spans="1:38">
      <c r="A40" s="7">
        <v>45780</v>
      </c>
      <c r="B40" s="8" t="s">
        <v>38</v>
      </c>
      <c r="C40" s="8" t="s">
        <v>28</v>
      </c>
      <c r="D40" s="8" t="s">
        <v>39</v>
      </c>
      <c r="E40" s="8" t="s">
        <v>95</v>
      </c>
      <c r="F40" s="8" t="str">
        <f t="shared" si="0"/>
        <v>SB22623</v>
      </c>
      <c r="G40" s="9">
        <v>1719960</v>
      </c>
      <c r="H40" s="9">
        <f>VLOOKUP(F40,'[1]MGM Report'!$D:$E,2,FALSE)</f>
        <v>1719960</v>
      </c>
      <c r="I40" s="9" t="b">
        <f t="shared" si="1"/>
        <v>1</v>
      </c>
      <c r="J40" s="12">
        <v>0</v>
      </c>
      <c r="K40" s="12">
        <f>VLOOKUP(F40,'[1]MGM Report'!$D:$F,3,FALSE)</f>
        <v>0</v>
      </c>
      <c r="L40" s="12" t="b">
        <f t="shared" si="2"/>
        <v>1</v>
      </c>
      <c r="M40" s="13">
        <v>1719960</v>
      </c>
      <c r="N40" s="13">
        <f>VLOOKUP(F40,'[1]MGM Report'!$D:$G,4,FALSE)</f>
        <v>1719960</v>
      </c>
      <c r="O40" s="13" t="b">
        <f t="shared" si="11"/>
        <v>1</v>
      </c>
      <c r="P40" s="12">
        <v>0</v>
      </c>
      <c r="Q40" s="12">
        <f>VLOOKUP(F40,'[1]MGM Report'!$D:$M,5,FALSE)</f>
        <v>0</v>
      </c>
      <c r="R40" s="12" t="b">
        <f t="shared" si="4"/>
        <v>1</v>
      </c>
      <c r="S40" s="13">
        <v>1719960</v>
      </c>
      <c r="T40" s="13">
        <f>VLOOKUP(F40,'[1]MGM Report'!$D:$I,6,FALSE)</f>
        <v>1719960</v>
      </c>
      <c r="U40" s="13" t="b">
        <f t="shared" si="5"/>
        <v>1</v>
      </c>
      <c r="V40" s="12">
        <v>410540</v>
      </c>
      <c r="W40" s="12">
        <f>VLOOKUP(F40,'[1]MGM Report'!$D:$J,7,FALSE)</f>
        <v>1021316</v>
      </c>
      <c r="X40" s="12" t="b">
        <f t="shared" si="6"/>
        <v>0</v>
      </c>
      <c r="Y40" s="13">
        <v>0</v>
      </c>
      <c r="Z40" s="13">
        <f>VLOOKUP(F40,'[1]MGM Report'!$D:$K,8,FALSE)</f>
        <v>7350</v>
      </c>
      <c r="AA40" s="13" t="b">
        <f t="shared" si="7"/>
        <v>0</v>
      </c>
      <c r="AB40" s="12">
        <v>1412610</v>
      </c>
      <c r="AC40" s="12">
        <f>VLOOKUP(F40,'[1]MGM Report'!$D:$M,10,FALSE)</f>
        <v>1412610</v>
      </c>
      <c r="AD40" s="12" t="b">
        <f t="shared" si="8"/>
        <v>1</v>
      </c>
      <c r="AE40" s="13">
        <v>0</v>
      </c>
      <c r="AF40" s="13">
        <f>VLOOKUP(F40,'[1]MGM Report'!$D:$N,11,FALSE)</f>
        <v>0</v>
      </c>
      <c r="AG40" s="13" t="b">
        <f t="shared" si="9"/>
        <v>1</v>
      </c>
      <c r="AH40" s="12">
        <v>1412610</v>
      </c>
      <c r="AI40" s="12">
        <f>VLOOKUP(F40,'[1]MGM Report'!$D:$S,12,FALSE)</f>
        <v>1419960</v>
      </c>
      <c r="AJ40" s="12" t="b">
        <f t="shared" si="10"/>
        <v>0</v>
      </c>
      <c r="AK40" s="13">
        <f>VLOOKUP(F40,[2]HAVASMGMReportKBCUpdatedResult!$F:$R,13,FALSE)</f>
        <v>1309420</v>
      </c>
      <c r="AL40" s="13">
        <f>VLOOKUP(F40,'[1]MGM Report'!$D:$S,14,FALSE)</f>
        <v>698644</v>
      </c>
    </row>
    <row r="41" spans="1:38">
      <c r="A41" s="7">
        <v>45780</v>
      </c>
      <c r="B41" s="8" t="s">
        <v>27</v>
      </c>
      <c r="C41" s="8" t="s">
        <v>28</v>
      </c>
      <c r="D41" s="8" t="s">
        <v>96</v>
      </c>
      <c r="E41" s="8" t="s">
        <v>97</v>
      </c>
      <c r="F41" s="8" t="str">
        <f t="shared" si="0"/>
        <v>SB22620</v>
      </c>
      <c r="G41" s="9">
        <v>11532500</v>
      </c>
      <c r="H41" s="9">
        <f>VLOOKUP(F41,'[1]MGM Report'!$D:$E,2,FALSE)</f>
        <v>15498045</v>
      </c>
      <c r="I41" s="9" t="b">
        <f t="shared" si="1"/>
        <v>0</v>
      </c>
      <c r="J41" s="12">
        <v>0</v>
      </c>
      <c r="K41" s="12">
        <f>VLOOKUP(F41,'[1]MGM Report'!$D:$F,3,FALSE)</f>
        <v>0</v>
      </c>
      <c r="L41" s="12" t="b">
        <f t="shared" si="2"/>
        <v>1</v>
      </c>
      <c r="M41" s="13">
        <v>0</v>
      </c>
      <c r="N41" s="13">
        <f>VLOOKUP(F41,'[1]MGM Report'!$D:$G,4,FALSE)</f>
        <v>0</v>
      </c>
      <c r="O41" s="13" t="b">
        <f t="shared" si="11"/>
        <v>1</v>
      </c>
      <c r="P41" s="12">
        <v>0</v>
      </c>
      <c r="Q41" s="12">
        <f>VLOOKUP(F41,'[1]MGM Report'!$D:$M,5,FALSE)</f>
        <v>0</v>
      </c>
      <c r="R41" s="12" t="b">
        <f t="shared" si="4"/>
        <v>1</v>
      </c>
      <c r="S41" s="13">
        <v>0</v>
      </c>
      <c r="T41" s="13">
        <f>VLOOKUP(F41,'[1]MGM Report'!$D:$I,6,FALSE)</f>
        <v>0</v>
      </c>
      <c r="U41" s="13" t="b">
        <f t="shared" si="5"/>
        <v>1</v>
      </c>
      <c r="V41" s="12">
        <v>7315000</v>
      </c>
      <c r="W41" s="12">
        <f>VLOOKUP(F41,'[1]MGM Report'!$D:$J,7,FALSE)</f>
        <v>7315000</v>
      </c>
      <c r="X41" s="12" t="b">
        <f t="shared" si="6"/>
        <v>1</v>
      </c>
      <c r="Y41" s="13">
        <v>0</v>
      </c>
      <c r="Z41" s="13">
        <f>VLOOKUP(F41,'[1]MGM Report'!$D:$K,8,FALSE)</f>
        <v>0</v>
      </c>
      <c r="AA41" s="13" t="b">
        <f t="shared" si="7"/>
        <v>1</v>
      </c>
      <c r="AB41" s="12">
        <v>0</v>
      </c>
      <c r="AC41" s="12">
        <f>VLOOKUP(F41,'[1]MGM Report'!$D:$M,10,FALSE)</f>
        <v>0</v>
      </c>
      <c r="AD41" s="12" t="b">
        <f t="shared" si="8"/>
        <v>1</v>
      </c>
      <c r="AE41" s="13">
        <v>0</v>
      </c>
      <c r="AF41" s="13">
        <f>VLOOKUP(F41,'[1]MGM Report'!$D:$N,11,FALSE)</f>
        <v>0</v>
      </c>
      <c r="AG41" s="13" t="b">
        <f t="shared" si="9"/>
        <v>1</v>
      </c>
      <c r="AH41" s="12">
        <v>0</v>
      </c>
      <c r="AI41" s="12">
        <f>VLOOKUP(F41,'[1]MGM Report'!$D:$S,12,FALSE)</f>
        <v>0</v>
      </c>
      <c r="AJ41" s="12" t="b">
        <f t="shared" si="10"/>
        <v>1</v>
      </c>
      <c r="AK41" s="13">
        <f>VLOOKUP(F41,[2]HAVASMGMReportKBCUpdatedResult!$F:$R,13,FALSE)</f>
        <v>4217500</v>
      </c>
      <c r="AL41" s="13">
        <f>VLOOKUP(F41,'[1]MGM Report'!$D:$S,14,FALSE)</f>
        <v>8183045</v>
      </c>
    </row>
    <row r="42" spans="1:38">
      <c r="A42" s="7">
        <v>45780</v>
      </c>
      <c r="B42" s="8" t="s">
        <v>59</v>
      </c>
      <c r="C42" s="8" t="s">
        <v>28</v>
      </c>
      <c r="D42" s="8" t="s">
        <v>60</v>
      </c>
      <c r="E42" s="8" t="s">
        <v>98</v>
      </c>
      <c r="F42" s="8" t="str">
        <f t="shared" si="0"/>
        <v>SB22617</v>
      </c>
      <c r="G42" s="9">
        <v>706801.7</v>
      </c>
      <c r="H42" s="9">
        <f>VLOOKUP(F42,'[1]MGM Report'!$D:$E,2,FALSE)</f>
        <v>706801.7</v>
      </c>
      <c r="I42" s="9" t="b">
        <f t="shared" si="1"/>
        <v>1</v>
      </c>
      <c r="J42" s="12">
        <v>706801.7</v>
      </c>
      <c r="K42" s="12">
        <f>VLOOKUP(F42,'[1]MGM Report'!$D:$F,3,FALSE)</f>
        <v>706801.7</v>
      </c>
      <c r="L42" s="12" t="b">
        <f t="shared" si="2"/>
        <v>1</v>
      </c>
      <c r="M42" s="13">
        <v>0</v>
      </c>
      <c r="N42" s="13">
        <f>VLOOKUP(F42,'[1]MGM Report'!$D:$G,4,FALSE)</f>
        <v>0</v>
      </c>
      <c r="O42" s="13" t="b">
        <f t="shared" si="11"/>
        <v>1</v>
      </c>
      <c r="P42" s="12">
        <v>0</v>
      </c>
      <c r="Q42" s="12">
        <f>VLOOKUP(F42,'[1]MGM Report'!$D:$M,5,FALSE)</f>
        <v>0</v>
      </c>
      <c r="R42" s="12" t="b">
        <f t="shared" si="4"/>
        <v>1</v>
      </c>
      <c r="S42" s="13">
        <v>706801.7</v>
      </c>
      <c r="T42" s="13">
        <f>VLOOKUP(F42,'[1]MGM Report'!$D:$I,6,FALSE)</f>
        <v>706801.7</v>
      </c>
      <c r="U42" s="13" t="b">
        <f t="shared" si="5"/>
        <v>1</v>
      </c>
      <c r="V42" s="12">
        <v>560504</v>
      </c>
      <c r="W42" s="12">
        <f>VLOOKUP(F42,'[1]MGM Report'!$D:$J,7,FALSE)</f>
        <v>569191.04</v>
      </c>
      <c r="X42" s="12" t="b">
        <f t="shared" si="6"/>
        <v>0</v>
      </c>
      <c r="Y42" s="13">
        <v>569191.04</v>
      </c>
      <c r="Z42" s="13">
        <f>VLOOKUP(F42,'[1]MGM Report'!$D:$K,8,FALSE)</f>
        <v>569191.04</v>
      </c>
      <c r="AA42" s="13" t="b">
        <f t="shared" si="7"/>
        <v>1</v>
      </c>
      <c r="AB42" s="12">
        <v>0</v>
      </c>
      <c r="AC42" s="12">
        <f>VLOOKUP(F42,'[1]MGM Report'!$D:$M,10,FALSE)</f>
        <v>0</v>
      </c>
      <c r="AD42" s="12" t="b">
        <f t="shared" si="8"/>
        <v>1</v>
      </c>
      <c r="AE42" s="13">
        <v>0</v>
      </c>
      <c r="AF42" s="13">
        <f>VLOOKUP(F42,'[1]MGM Report'!$D:$N,11,FALSE)</f>
        <v>0</v>
      </c>
      <c r="AG42" s="13" t="b">
        <f t="shared" si="9"/>
        <v>1</v>
      </c>
      <c r="AH42" s="12">
        <v>569191.04</v>
      </c>
      <c r="AI42" s="12">
        <f>VLOOKUP(F42,'[1]MGM Report'!$D:$S,12,FALSE)</f>
        <v>569191.04</v>
      </c>
      <c r="AJ42" s="12" t="b">
        <f t="shared" si="10"/>
        <v>1</v>
      </c>
      <c r="AK42" s="13">
        <f>VLOOKUP(F42,[2]HAVASMGMReportKBCUpdatedResult!$F:$R,13,FALSE)</f>
        <v>146297.7</v>
      </c>
      <c r="AL42" s="13">
        <f>VLOOKUP(F42,'[1]MGM Report'!$D:$S,14,FALSE)</f>
        <v>137610.66</v>
      </c>
    </row>
    <row r="43" spans="1:38">
      <c r="A43" s="7">
        <v>45780</v>
      </c>
      <c r="B43" s="8" t="s">
        <v>38</v>
      </c>
      <c r="C43" s="8" t="s">
        <v>28</v>
      </c>
      <c r="D43" s="8" t="s">
        <v>99</v>
      </c>
      <c r="E43" s="8" t="s">
        <v>100</v>
      </c>
      <c r="F43" s="8" t="str">
        <f t="shared" si="0"/>
        <v>SB22618</v>
      </c>
      <c r="G43" s="9">
        <v>0</v>
      </c>
      <c r="H43" s="9">
        <f>VLOOKUP(F43,'[1]MGM Report'!$D:$E,2,FALSE)</f>
        <v>4235</v>
      </c>
      <c r="I43" s="9" t="b">
        <f t="shared" si="1"/>
        <v>0</v>
      </c>
      <c r="J43" s="12">
        <v>0</v>
      </c>
      <c r="K43" s="12">
        <f>VLOOKUP(F43,'[1]MGM Report'!$D:$F,3,FALSE)</f>
        <v>4235</v>
      </c>
      <c r="L43" s="12" t="b">
        <f t="shared" si="2"/>
        <v>0</v>
      </c>
      <c r="M43" s="13">
        <v>3518535</v>
      </c>
      <c r="N43" s="13">
        <f>VLOOKUP(F43,'[1]MGM Report'!$D:$G,4,FALSE)</f>
        <v>3518535</v>
      </c>
      <c r="O43" s="13" t="b">
        <f t="shared" si="11"/>
        <v>1</v>
      </c>
      <c r="P43" s="12">
        <v>0</v>
      </c>
      <c r="Q43" s="12">
        <f>VLOOKUP(F43,'[1]MGM Report'!$D:$M,5,FALSE)</f>
        <v>0</v>
      </c>
      <c r="R43" s="12" t="b">
        <f t="shared" si="4"/>
        <v>1</v>
      </c>
      <c r="S43" s="13">
        <v>3518535</v>
      </c>
      <c r="T43" s="13">
        <f>VLOOKUP(F43,'[1]MGM Report'!$D:$I,6,FALSE)</f>
        <v>3522770</v>
      </c>
      <c r="U43" s="13" t="b">
        <f t="shared" si="5"/>
        <v>0</v>
      </c>
      <c r="V43" s="12">
        <v>116203.5</v>
      </c>
      <c r="W43" s="12">
        <f>VLOOKUP(F43,'[1]MGM Report'!$D:$J,7,FALSE)</f>
        <v>116203.5</v>
      </c>
      <c r="X43" s="12" t="b">
        <f t="shared" si="6"/>
        <v>1</v>
      </c>
      <c r="Y43" s="13">
        <v>0</v>
      </c>
      <c r="Z43" s="13">
        <f>VLOOKUP(F43,'[1]MGM Report'!$D:$K,8,FALSE)</f>
        <v>0</v>
      </c>
      <c r="AA43" s="13" t="b">
        <f t="shared" si="7"/>
        <v>1</v>
      </c>
      <c r="AB43" s="12">
        <v>2810770</v>
      </c>
      <c r="AC43" s="12">
        <f>VLOOKUP(F43,'[1]MGM Report'!$D:$M,10,FALSE)</f>
        <v>2810770</v>
      </c>
      <c r="AD43" s="12" t="b">
        <f t="shared" si="8"/>
        <v>1</v>
      </c>
      <c r="AE43" s="13">
        <v>0</v>
      </c>
      <c r="AF43" s="13">
        <f>VLOOKUP(F43,'[1]MGM Report'!$D:$N,11,FALSE)</f>
        <v>0</v>
      </c>
      <c r="AG43" s="13" t="b">
        <f t="shared" si="9"/>
        <v>1</v>
      </c>
      <c r="AH43" s="12">
        <v>2810770</v>
      </c>
      <c r="AI43" s="12">
        <f>VLOOKUP(F43,'[1]MGM Report'!$D:$S,12,FALSE)</f>
        <v>2810770</v>
      </c>
      <c r="AJ43" s="12" t="b">
        <f t="shared" si="10"/>
        <v>1</v>
      </c>
      <c r="AK43" s="13">
        <f>VLOOKUP(F43,[2]HAVASMGMReportKBCUpdatedResult!$F:$R,13,FALSE)</f>
        <v>-116203.5</v>
      </c>
      <c r="AL43" s="13">
        <f>VLOOKUP(F43,'[1]MGM Report'!$D:$S,14,FALSE)</f>
        <v>111968.5</v>
      </c>
    </row>
    <row r="44" spans="1:38">
      <c r="A44" s="7">
        <v>45780</v>
      </c>
      <c r="B44" s="8" t="s">
        <v>27</v>
      </c>
      <c r="C44" s="8" t="s">
        <v>28</v>
      </c>
      <c r="D44" s="8" t="s">
        <v>71</v>
      </c>
      <c r="E44" s="8" t="s">
        <v>101</v>
      </c>
      <c r="F44" s="8" t="str">
        <f t="shared" si="0"/>
        <v>SB22619</v>
      </c>
      <c r="G44" s="9">
        <v>1077740.44</v>
      </c>
      <c r="H44" s="9">
        <f>VLOOKUP(F44,'[1]MGM Report'!$D:$E,2,FALSE)</f>
        <v>1077740.44</v>
      </c>
      <c r="I44" s="9" t="b">
        <f t="shared" si="1"/>
        <v>1</v>
      </c>
      <c r="J44" s="12">
        <v>0</v>
      </c>
      <c r="K44" s="12">
        <f>VLOOKUP(F44,'[1]MGM Report'!$D:$F,3,FALSE)</f>
        <v>0</v>
      </c>
      <c r="L44" s="12" t="b">
        <f t="shared" si="2"/>
        <v>1</v>
      </c>
      <c r="M44" s="13">
        <v>1077740.44</v>
      </c>
      <c r="N44" s="13">
        <f>VLOOKUP(F44,'[1]MGM Report'!$D:$G,4,FALSE)</f>
        <v>1077740.44</v>
      </c>
      <c r="O44" s="13" t="b">
        <f t="shared" si="11"/>
        <v>1</v>
      </c>
      <c r="P44" s="12">
        <v>0</v>
      </c>
      <c r="Q44" s="12">
        <f>VLOOKUP(F44,'[1]MGM Report'!$D:$M,5,FALSE)</f>
        <v>0</v>
      </c>
      <c r="R44" s="12" t="b">
        <f t="shared" si="4"/>
        <v>1</v>
      </c>
      <c r="S44" s="13">
        <v>1077740.44</v>
      </c>
      <c r="T44" s="13">
        <f>VLOOKUP(F44,'[1]MGM Report'!$D:$I,6,FALSE)</f>
        <v>1077740.44</v>
      </c>
      <c r="U44" s="13" t="b">
        <f t="shared" si="5"/>
        <v>1</v>
      </c>
      <c r="V44" s="12">
        <v>860280</v>
      </c>
      <c r="W44" s="12">
        <f>VLOOKUP(F44,'[1]MGM Report'!$D:$J,7,FALSE)</f>
        <v>865381</v>
      </c>
      <c r="X44" s="12" t="b">
        <f t="shared" si="6"/>
        <v>0</v>
      </c>
      <c r="Y44" s="13">
        <v>57381</v>
      </c>
      <c r="Z44" s="13">
        <f>VLOOKUP(F44,'[1]MGM Report'!$D:$K,8,FALSE)</f>
        <v>57381</v>
      </c>
      <c r="AA44" s="13" t="b">
        <f t="shared" si="7"/>
        <v>1</v>
      </c>
      <c r="AB44" s="12">
        <v>852619</v>
      </c>
      <c r="AC44" s="12">
        <f>VLOOKUP(F44,'[1]MGM Report'!$D:$M,10,FALSE)</f>
        <v>852619</v>
      </c>
      <c r="AD44" s="12" t="b">
        <f t="shared" si="8"/>
        <v>1</v>
      </c>
      <c r="AE44" s="13">
        <v>0</v>
      </c>
      <c r="AF44" s="13">
        <f>VLOOKUP(F44,'[1]MGM Report'!$D:$N,11,FALSE)</f>
        <v>0</v>
      </c>
      <c r="AG44" s="13" t="b">
        <f t="shared" si="9"/>
        <v>1</v>
      </c>
      <c r="AH44" s="12">
        <v>910000</v>
      </c>
      <c r="AI44" s="12">
        <f>VLOOKUP(F44,'[1]MGM Report'!$D:$S,12,FALSE)</f>
        <v>910000</v>
      </c>
      <c r="AJ44" s="12" t="b">
        <f t="shared" si="10"/>
        <v>1</v>
      </c>
      <c r="AK44" s="13">
        <f>VLOOKUP(F44,[2]HAVASMGMReportKBCUpdatedResult!$F:$R,13,FALSE)</f>
        <v>217460.44</v>
      </c>
      <c r="AL44" s="13">
        <f>VLOOKUP(F44,'[1]MGM Report'!$D:$S,14,FALSE)</f>
        <v>212359.44</v>
      </c>
    </row>
    <row r="45" spans="1:38">
      <c r="A45" s="7">
        <v>45780</v>
      </c>
      <c r="B45" s="8" t="s">
        <v>31</v>
      </c>
      <c r="C45" s="8" t="s">
        <v>28</v>
      </c>
      <c r="D45" s="8" t="s">
        <v>102</v>
      </c>
      <c r="E45" s="8" t="s">
        <v>103</v>
      </c>
      <c r="F45" s="8" t="str">
        <f t="shared" si="0"/>
        <v>SB22614</v>
      </c>
      <c r="G45" s="9">
        <v>4884790.86</v>
      </c>
      <c r="H45" s="9">
        <f>VLOOKUP(F45,'[1]MGM Report'!$D:$E,2,FALSE)</f>
        <v>4884790.86</v>
      </c>
      <c r="I45" s="9" t="b">
        <f t="shared" si="1"/>
        <v>1</v>
      </c>
      <c r="J45" s="12">
        <v>0</v>
      </c>
      <c r="K45" s="12">
        <f>VLOOKUP(F45,'[1]MGM Report'!$D:$F,3,FALSE)</f>
        <v>0</v>
      </c>
      <c r="L45" s="12" t="b">
        <f t="shared" si="2"/>
        <v>1</v>
      </c>
      <c r="M45" s="13">
        <v>4949340</v>
      </c>
      <c r="N45" s="13">
        <f>VLOOKUP(F45,'[1]MGM Report'!$D:$G,4,FALSE)</f>
        <v>4949340</v>
      </c>
      <c r="O45" s="13" t="b">
        <f t="shared" si="11"/>
        <v>1</v>
      </c>
      <c r="P45" s="12">
        <v>0</v>
      </c>
      <c r="Q45" s="12">
        <f>VLOOKUP(F45,'[1]MGM Report'!$D:$M,5,FALSE)</f>
        <v>0</v>
      </c>
      <c r="R45" s="12" t="b">
        <f t="shared" si="4"/>
        <v>1</v>
      </c>
      <c r="S45" s="13">
        <v>4949340</v>
      </c>
      <c r="T45" s="13">
        <f>VLOOKUP(F45,'[1]MGM Report'!$D:$I,6,FALSE)</f>
        <v>4949340</v>
      </c>
      <c r="U45" s="13" t="b">
        <f t="shared" si="5"/>
        <v>1</v>
      </c>
      <c r="V45" s="12">
        <v>2135500</v>
      </c>
      <c r="W45" s="12">
        <f>VLOOKUP(F45,'[1]MGM Report'!$D:$J,7,FALSE)</f>
        <v>2135500</v>
      </c>
      <c r="X45" s="12" t="b">
        <f t="shared" si="6"/>
        <v>1</v>
      </c>
      <c r="Y45" s="13">
        <v>1650000</v>
      </c>
      <c r="Z45" s="13">
        <f>VLOOKUP(F45,'[1]MGM Report'!$D:$K,8,FALSE)</f>
        <v>1650000</v>
      </c>
      <c r="AA45" s="13" t="b">
        <f t="shared" si="7"/>
        <v>1</v>
      </c>
      <c r="AB45" s="12">
        <v>2299340</v>
      </c>
      <c r="AC45" s="12">
        <f>VLOOKUP(F45,'[1]MGM Report'!$D:$M,10,FALSE)</f>
        <v>2299340</v>
      </c>
      <c r="AD45" s="12" t="b">
        <f t="shared" si="8"/>
        <v>1</v>
      </c>
      <c r="AE45" s="13">
        <v>0</v>
      </c>
      <c r="AF45" s="13">
        <f>VLOOKUP(F45,'[1]MGM Report'!$D:$N,11,FALSE)</f>
        <v>0</v>
      </c>
      <c r="AG45" s="13" t="b">
        <f t="shared" si="9"/>
        <v>1</v>
      </c>
      <c r="AH45" s="12">
        <v>3949340</v>
      </c>
      <c r="AI45" s="12">
        <f>VLOOKUP(F45,'[1]MGM Report'!$D:$S,12,FALSE)</f>
        <v>3949340</v>
      </c>
      <c r="AJ45" s="12" t="b">
        <f t="shared" si="10"/>
        <v>1</v>
      </c>
      <c r="AK45" s="13">
        <f>VLOOKUP(F45,[2]HAVASMGMReportKBCUpdatedResult!$F:$R,13,FALSE)</f>
        <v>2749290.86</v>
      </c>
      <c r="AL45" s="13">
        <f>VLOOKUP(F45,'[1]MGM Report'!$D:$S,14,FALSE)</f>
        <v>2749290.86</v>
      </c>
    </row>
    <row r="46" spans="1:38">
      <c r="A46" s="7">
        <v>45780</v>
      </c>
      <c r="B46" s="8" t="s">
        <v>27</v>
      </c>
      <c r="C46" s="8" t="s">
        <v>28</v>
      </c>
      <c r="D46" s="8" t="s">
        <v>104</v>
      </c>
      <c r="E46" s="8" t="s">
        <v>105</v>
      </c>
      <c r="F46" s="8" t="str">
        <f t="shared" si="0"/>
        <v>SB22616</v>
      </c>
      <c r="G46" s="9">
        <v>617954</v>
      </c>
      <c r="H46" s="9">
        <f>VLOOKUP(F46,'[1]MGM Report'!$D:$E,2,FALSE)</f>
        <v>617954</v>
      </c>
      <c r="I46" s="9" t="b">
        <f t="shared" si="1"/>
        <v>1</v>
      </c>
      <c r="J46" s="12">
        <v>0</v>
      </c>
      <c r="K46" s="12">
        <f>VLOOKUP(F46,'[1]MGM Report'!$D:$F,3,FALSE)</f>
        <v>0</v>
      </c>
      <c r="L46" s="12" t="b">
        <f t="shared" si="2"/>
        <v>1</v>
      </c>
      <c r="M46" s="13">
        <v>617954</v>
      </c>
      <c r="N46" s="13">
        <f>VLOOKUP(F46,'[1]MGM Report'!$D:$G,4,FALSE)</f>
        <v>617954</v>
      </c>
      <c r="O46" s="13" t="b">
        <f t="shared" si="11"/>
        <v>1</v>
      </c>
      <c r="P46" s="12">
        <v>0</v>
      </c>
      <c r="Q46" s="12">
        <f>VLOOKUP(F46,'[1]MGM Report'!$D:$M,5,FALSE)</f>
        <v>0</v>
      </c>
      <c r="R46" s="12" t="b">
        <f t="shared" si="4"/>
        <v>1</v>
      </c>
      <c r="S46" s="13">
        <v>617954</v>
      </c>
      <c r="T46" s="13">
        <f>VLOOKUP(F46,'[1]MGM Report'!$D:$I,6,FALSE)</f>
        <v>617954</v>
      </c>
      <c r="U46" s="13" t="b">
        <f t="shared" si="5"/>
        <v>1</v>
      </c>
      <c r="V46" s="12">
        <v>0</v>
      </c>
      <c r="W46" s="12">
        <f>VLOOKUP(F46,'[1]MGM Report'!$D:$J,7,FALSE)</f>
        <v>5758</v>
      </c>
      <c r="X46" s="12" t="b">
        <f t="shared" si="6"/>
        <v>0</v>
      </c>
      <c r="Y46" s="13">
        <v>5758</v>
      </c>
      <c r="Z46" s="13">
        <f>VLOOKUP(F46,'[1]MGM Report'!$D:$K,8,FALSE)</f>
        <v>5758</v>
      </c>
      <c r="AA46" s="13" t="b">
        <f t="shared" si="7"/>
        <v>1</v>
      </c>
      <c r="AB46" s="12">
        <v>479242</v>
      </c>
      <c r="AC46" s="12">
        <f>VLOOKUP(F46,'[1]MGM Report'!$D:$M,10,FALSE)</f>
        <v>479242</v>
      </c>
      <c r="AD46" s="12" t="b">
        <f t="shared" si="8"/>
        <v>1</v>
      </c>
      <c r="AE46" s="13">
        <v>0</v>
      </c>
      <c r="AF46" s="13">
        <f>VLOOKUP(F46,'[1]MGM Report'!$D:$N,11,FALSE)</f>
        <v>0</v>
      </c>
      <c r="AG46" s="13" t="b">
        <f t="shared" si="9"/>
        <v>1</v>
      </c>
      <c r="AH46" s="12">
        <v>485000</v>
      </c>
      <c r="AI46" s="12">
        <f>VLOOKUP(F46,'[1]MGM Report'!$D:$S,12,FALSE)</f>
        <v>485000</v>
      </c>
      <c r="AJ46" s="12" t="b">
        <f t="shared" si="10"/>
        <v>1</v>
      </c>
      <c r="AK46" s="13">
        <f>VLOOKUP(F46,[2]HAVASMGMReportKBCUpdatedResult!$F:$R,13,FALSE)</f>
        <v>617954</v>
      </c>
      <c r="AL46" s="13">
        <f>VLOOKUP(F46,'[1]MGM Report'!$D:$S,14,FALSE)</f>
        <v>612196</v>
      </c>
    </row>
    <row r="47" spans="1:38">
      <c r="A47" s="7">
        <v>45780</v>
      </c>
      <c r="B47" s="8" t="s">
        <v>38</v>
      </c>
      <c r="C47" s="8" t="s">
        <v>28</v>
      </c>
      <c r="D47" s="8" t="s">
        <v>99</v>
      </c>
      <c r="E47" s="8" t="s">
        <v>106</v>
      </c>
      <c r="F47" s="8" t="str">
        <f t="shared" si="0"/>
        <v>SB22615</v>
      </c>
      <c r="G47" s="9">
        <v>24019610</v>
      </c>
      <c r="H47" s="9">
        <f>VLOOKUP(F47,'[1]MGM Report'!$D:$E,2,FALSE)</f>
        <v>24019610</v>
      </c>
      <c r="I47" s="9" t="b">
        <f t="shared" si="1"/>
        <v>1</v>
      </c>
      <c r="J47" s="12">
        <v>0</v>
      </c>
      <c r="K47" s="12">
        <f>VLOOKUP(F47,'[1]MGM Report'!$D:$F,3,FALSE)</f>
        <v>0</v>
      </c>
      <c r="L47" s="12" t="b">
        <f t="shared" si="2"/>
        <v>1</v>
      </c>
      <c r="M47" s="13">
        <v>0</v>
      </c>
      <c r="N47" s="13">
        <f>VLOOKUP(F47,'[1]MGM Report'!$D:$G,4,FALSE)</f>
        <v>0</v>
      </c>
      <c r="O47" s="13" t="b">
        <f t="shared" si="11"/>
        <v>1</v>
      </c>
      <c r="P47" s="12">
        <v>0</v>
      </c>
      <c r="Q47" s="12">
        <f>VLOOKUP(F47,'[1]MGM Report'!$D:$M,5,FALSE)</f>
        <v>0</v>
      </c>
      <c r="R47" s="12" t="b">
        <f t="shared" si="4"/>
        <v>1</v>
      </c>
      <c r="S47" s="13">
        <v>0</v>
      </c>
      <c r="T47" s="13">
        <f>VLOOKUP(F47,'[1]MGM Report'!$D:$I,6,FALSE)</f>
        <v>0</v>
      </c>
      <c r="U47" s="13" t="b">
        <f t="shared" si="5"/>
        <v>1</v>
      </c>
      <c r="V47" s="12">
        <v>766857.42</v>
      </c>
      <c r="W47" s="12">
        <f>VLOOKUP(F47,'[1]MGM Report'!$D:$J,7,FALSE)</f>
        <v>9431153.77</v>
      </c>
      <c r="X47" s="12" t="b">
        <f t="shared" si="6"/>
        <v>0</v>
      </c>
      <c r="Y47" s="13">
        <v>364772.75</v>
      </c>
      <c r="Z47" s="13">
        <f>VLOOKUP(F47,'[1]MGM Report'!$D:$K,8,FALSE)</f>
        <v>8867050.75</v>
      </c>
      <c r="AA47" s="13" t="b">
        <f t="shared" si="7"/>
        <v>0</v>
      </c>
      <c r="AB47" s="12">
        <v>-8867050.75</v>
      </c>
      <c r="AC47" s="12">
        <f>VLOOKUP(F47,'[1]MGM Report'!$D:$M,10,FALSE)</f>
        <v>8867050.75</v>
      </c>
      <c r="AD47" s="12" t="b">
        <f t="shared" si="8"/>
        <v>0</v>
      </c>
      <c r="AE47" s="13">
        <v>0</v>
      </c>
      <c r="AF47" s="13">
        <f>VLOOKUP(F47,'[1]MGM Report'!$D:$N,11,FALSE)</f>
        <v>0</v>
      </c>
      <c r="AG47" s="13" t="b">
        <f t="shared" si="9"/>
        <v>1</v>
      </c>
      <c r="AH47" s="12">
        <v>-8502278</v>
      </c>
      <c r="AI47" s="12">
        <f>VLOOKUP(F47,'[1]MGM Report'!$D:$S,12,FALSE)</f>
        <v>0</v>
      </c>
      <c r="AJ47" s="12" t="b">
        <f t="shared" si="10"/>
        <v>0</v>
      </c>
      <c r="AK47" s="13">
        <f>VLOOKUP(F47,[2]HAVASMGMReportKBCUpdatedResult!$F:$R,13,FALSE)</f>
        <v>23252752.58</v>
      </c>
      <c r="AL47" s="13">
        <f>VLOOKUP(F47,'[1]MGM Report'!$D:$S,14,FALSE)</f>
        <v>14588456.23</v>
      </c>
    </row>
    <row r="48" spans="1:38">
      <c r="A48" s="7">
        <v>45780</v>
      </c>
      <c r="B48" s="8" t="s">
        <v>38</v>
      </c>
      <c r="C48" s="8" t="s">
        <v>28</v>
      </c>
      <c r="D48" s="8" t="s">
        <v>107</v>
      </c>
      <c r="E48" s="8" t="s">
        <v>108</v>
      </c>
      <c r="F48" s="8" t="str">
        <f t="shared" si="0"/>
        <v>SB22613</v>
      </c>
      <c r="G48" s="9">
        <v>6873500</v>
      </c>
      <c r="H48" s="9">
        <f>VLOOKUP(F48,'[1]MGM Report'!$D:$E,2,FALSE)</f>
        <v>6873500</v>
      </c>
      <c r="I48" s="9" t="b">
        <f t="shared" si="1"/>
        <v>1</v>
      </c>
      <c r="J48" s="12">
        <v>6873500</v>
      </c>
      <c r="K48" s="12">
        <f>VLOOKUP(F48,'[1]MGM Report'!$D:$F,3,FALSE)</f>
        <v>6873500</v>
      </c>
      <c r="L48" s="12" t="b">
        <f t="shared" si="2"/>
        <v>1</v>
      </c>
      <c r="M48" s="13">
        <v>0</v>
      </c>
      <c r="N48" s="13">
        <f>VLOOKUP(F48,'[1]MGM Report'!$D:$G,4,FALSE)</f>
        <v>0</v>
      </c>
      <c r="O48" s="13" t="b">
        <f t="shared" si="11"/>
        <v>1</v>
      </c>
      <c r="P48" s="12">
        <v>0</v>
      </c>
      <c r="Q48" s="12">
        <f>VLOOKUP(F48,'[1]MGM Report'!$D:$M,5,FALSE)</f>
        <v>0</v>
      </c>
      <c r="R48" s="12" t="b">
        <f t="shared" si="4"/>
        <v>1</v>
      </c>
      <c r="S48" s="13">
        <v>6873500</v>
      </c>
      <c r="T48" s="13">
        <f>VLOOKUP(F48,'[1]MGM Report'!$D:$I,6,FALSE)</f>
        <v>6873500</v>
      </c>
      <c r="U48" s="13" t="b">
        <f t="shared" si="5"/>
        <v>1</v>
      </c>
      <c r="V48" s="12">
        <v>0</v>
      </c>
      <c r="W48" s="12">
        <f>VLOOKUP(F48,'[1]MGM Report'!$D:$J,7,FALSE)</f>
        <v>0</v>
      </c>
      <c r="X48" s="12" t="b">
        <f t="shared" si="6"/>
        <v>1</v>
      </c>
      <c r="Y48" s="13">
        <v>0</v>
      </c>
      <c r="Z48" s="13">
        <f>VLOOKUP(F48,'[1]MGM Report'!$D:$K,8,FALSE)</f>
        <v>0</v>
      </c>
      <c r="AA48" s="13" t="b">
        <f t="shared" si="7"/>
        <v>1</v>
      </c>
      <c r="AB48" s="12">
        <v>6873500</v>
      </c>
      <c r="AC48" s="12">
        <f>VLOOKUP(F48,'[1]MGM Report'!$D:$M,10,FALSE)</f>
        <v>6873500</v>
      </c>
      <c r="AD48" s="12" t="b">
        <f t="shared" si="8"/>
        <v>1</v>
      </c>
      <c r="AE48" s="13">
        <v>0</v>
      </c>
      <c r="AF48" s="13">
        <f>VLOOKUP(F48,'[1]MGM Report'!$D:$N,11,FALSE)</f>
        <v>0</v>
      </c>
      <c r="AG48" s="13" t="b">
        <f t="shared" si="9"/>
        <v>1</v>
      </c>
      <c r="AH48" s="12">
        <v>6873500</v>
      </c>
      <c r="AI48" s="12">
        <f>VLOOKUP(F48,'[1]MGM Report'!$D:$S,12,FALSE)</f>
        <v>6873500</v>
      </c>
      <c r="AJ48" s="12" t="b">
        <f t="shared" si="10"/>
        <v>1</v>
      </c>
      <c r="AK48" s="13">
        <f>VLOOKUP(F48,[2]HAVASMGMReportKBCUpdatedResult!$F:$R,13,FALSE)</f>
        <v>6873500</v>
      </c>
      <c r="AL48" s="13">
        <f>VLOOKUP(F48,'[1]MGM Report'!$D:$S,14,FALSE)</f>
        <v>6873500</v>
      </c>
    </row>
    <row r="49" spans="1:38">
      <c r="A49" s="7">
        <v>45780</v>
      </c>
      <c r="B49" s="8" t="s">
        <v>31</v>
      </c>
      <c r="C49" s="8" t="s">
        <v>28</v>
      </c>
      <c r="D49" s="8" t="s">
        <v>45</v>
      </c>
      <c r="E49" s="8" t="s">
        <v>109</v>
      </c>
      <c r="F49" s="8" t="str">
        <f t="shared" si="0"/>
        <v>SB22610</v>
      </c>
      <c r="G49" s="9">
        <v>0</v>
      </c>
      <c r="H49" s="9">
        <f>VLOOKUP(F49,'[1]MGM Report'!$D:$E,2,FALSE)</f>
        <v>71500</v>
      </c>
      <c r="I49" s="9" t="b">
        <f t="shared" si="1"/>
        <v>0</v>
      </c>
      <c r="J49" s="12">
        <v>0</v>
      </c>
      <c r="K49" s="12">
        <f>VLOOKUP(F49,'[1]MGM Report'!$D:$F,3,FALSE)</f>
        <v>0</v>
      </c>
      <c r="L49" s="12" t="b">
        <f t="shared" si="2"/>
        <v>1</v>
      </c>
      <c r="M49" s="13">
        <v>71500</v>
      </c>
      <c r="N49" s="13">
        <f>VLOOKUP(F49,'[1]MGM Report'!$D:$G,4,FALSE)</f>
        <v>71500</v>
      </c>
      <c r="O49" s="13" t="b">
        <f t="shared" si="11"/>
        <v>1</v>
      </c>
      <c r="P49" s="12">
        <v>0</v>
      </c>
      <c r="Q49" s="12">
        <f>VLOOKUP(F49,'[1]MGM Report'!$D:$M,5,FALSE)</f>
        <v>0</v>
      </c>
      <c r="R49" s="12" t="b">
        <f t="shared" si="4"/>
        <v>1</v>
      </c>
      <c r="S49" s="13">
        <v>71500</v>
      </c>
      <c r="T49" s="13">
        <f>VLOOKUP(F49,'[1]MGM Report'!$D:$I,6,FALSE)</f>
        <v>71500</v>
      </c>
      <c r="U49" s="13" t="b">
        <f t="shared" si="5"/>
        <v>1</v>
      </c>
      <c r="V49" s="12">
        <v>0</v>
      </c>
      <c r="W49" s="12">
        <f>VLOOKUP(F49,'[1]MGM Report'!$D:$J,7,FALSE)</f>
        <v>0</v>
      </c>
      <c r="X49" s="12" t="b">
        <f t="shared" si="6"/>
        <v>1</v>
      </c>
      <c r="Y49" s="13">
        <v>0</v>
      </c>
      <c r="Z49" s="13">
        <f>VLOOKUP(F49,'[1]MGM Report'!$D:$K,8,FALSE)</f>
        <v>0</v>
      </c>
      <c r="AA49" s="13" t="b">
        <f t="shared" si="7"/>
        <v>1</v>
      </c>
      <c r="AB49" s="12">
        <v>40000</v>
      </c>
      <c r="AC49" s="12">
        <f>VLOOKUP(F49,'[1]MGM Report'!$D:$M,10,FALSE)</f>
        <v>40000</v>
      </c>
      <c r="AD49" s="12" t="b">
        <f t="shared" si="8"/>
        <v>1</v>
      </c>
      <c r="AE49" s="13">
        <v>0</v>
      </c>
      <c r="AF49" s="13">
        <f>VLOOKUP(F49,'[1]MGM Report'!$D:$N,11,FALSE)</f>
        <v>0</v>
      </c>
      <c r="AG49" s="13" t="b">
        <f t="shared" si="9"/>
        <v>1</v>
      </c>
      <c r="AH49" s="12">
        <v>40000</v>
      </c>
      <c r="AI49" s="12">
        <f>VLOOKUP(F49,'[1]MGM Report'!$D:$S,12,FALSE)</f>
        <v>40000</v>
      </c>
      <c r="AJ49" s="12" t="b">
        <f t="shared" si="10"/>
        <v>1</v>
      </c>
      <c r="AK49" s="13">
        <f>VLOOKUP(F49,[2]HAVASMGMReportKBCUpdatedResult!$F:$R,13,FALSE)</f>
        <v>0</v>
      </c>
      <c r="AL49" s="13">
        <f>VLOOKUP(F49,'[1]MGM Report'!$D:$S,14,FALSE)</f>
        <v>71500</v>
      </c>
    </row>
    <row r="50" spans="1:38">
      <c r="A50" s="7">
        <v>45780</v>
      </c>
      <c r="B50" s="8" t="s">
        <v>38</v>
      </c>
      <c r="C50" s="8" t="s">
        <v>28</v>
      </c>
      <c r="D50" s="8" t="s">
        <v>110</v>
      </c>
      <c r="E50" s="8" t="s">
        <v>111</v>
      </c>
      <c r="F50" s="8" t="str">
        <f t="shared" si="0"/>
        <v>SB22612</v>
      </c>
      <c r="G50" s="9">
        <v>2099625</v>
      </c>
      <c r="H50" s="9">
        <f>VLOOKUP(F50,'[1]MGM Report'!$D:$E,2,FALSE)</f>
        <v>2099625</v>
      </c>
      <c r="I50" s="9" t="b">
        <f t="shared" si="1"/>
        <v>1</v>
      </c>
      <c r="J50" s="12">
        <v>0</v>
      </c>
      <c r="K50" s="12">
        <f>VLOOKUP(F50,'[1]MGM Report'!$D:$F,3,FALSE)</f>
        <v>0</v>
      </c>
      <c r="L50" s="12" t="b">
        <f t="shared" si="2"/>
        <v>1</v>
      </c>
      <c r="M50" s="13">
        <v>2099625</v>
      </c>
      <c r="N50" s="13">
        <f>VLOOKUP(F50,'[1]MGM Report'!$D:$G,4,FALSE)</f>
        <v>2099625</v>
      </c>
      <c r="O50" s="13" t="b">
        <f t="shared" si="11"/>
        <v>1</v>
      </c>
      <c r="P50" s="12">
        <v>0</v>
      </c>
      <c r="Q50" s="12">
        <f>VLOOKUP(F50,'[1]MGM Report'!$D:$M,5,FALSE)</f>
        <v>0</v>
      </c>
      <c r="R50" s="12" t="b">
        <f t="shared" si="4"/>
        <v>1</v>
      </c>
      <c r="S50" s="13">
        <v>2099625</v>
      </c>
      <c r="T50" s="13">
        <f>VLOOKUP(F50,'[1]MGM Report'!$D:$I,6,FALSE)</f>
        <v>2099625</v>
      </c>
      <c r="U50" s="13" t="b">
        <f t="shared" si="5"/>
        <v>1</v>
      </c>
      <c r="V50" s="12">
        <v>1537420</v>
      </c>
      <c r="W50" s="12">
        <f>VLOOKUP(F50,'[1]MGM Report'!$D:$J,7,FALSE)</f>
        <v>1547166</v>
      </c>
      <c r="X50" s="12" t="b">
        <f t="shared" si="6"/>
        <v>0</v>
      </c>
      <c r="Y50" s="13">
        <v>1547166</v>
      </c>
      <c r="Z50" s="13">
        <f>VLOOKUP(F50,'[1]MGM Report'!$D:$K,8,FALSE)</f>
        <v>1547166</v>
      </c>
      <c r="AA50" s="13" t="b">
        <f t="shared" si="7"/>
        <v>1</v>
      </c>
      <c r="AB50" s="12">
        <v>52459</v>
      </c>
      <c r="AC50" s="12">
        <f>VLOOKUP(F50,'[1]MGM Report'!$D:$M,10,FALSE)</f>
        <v>52459</v>
      </c>
      <c r="AD50" s="12" t="b">
        <f t="shared" si="8"/>
        <v>1</v>
      </c>
      <c r="AE50" s="13">
        <v>0</v>
      </c>
      <c r="AF50" s="13">
        <f>VLOOKUP(F50,'[1]MGM Report'!$D:$N,11,FALSE)</f>
        <v>0</v>
      </c>
      <c r="AG50" s="13" t="b">
        <f t="shared" si="9"/>
        <v>1</v>
      </c>
      <c r="AH50" s="12">
        <v>1599625</v>
      </c>
      <c r="AI50" s="12">
        <f>VLOOKUP(F50,'[1]MGM Report'!$D:$S,12,FALSE)</f>
        <v>1599625</v>
      </c>
      <c r="AJ50" s="12" t="b">
        <f t="shared" si="10"/>
        <v>1</v>
      </c>
      <c r="AK50" s="13">
        <f>VLOOKUP(F50,[2]HAVASMGMReportKBCUpdatedResult!$F:$R,13,FALSE)</f>
        <v>562205</v>
      </c>
      <c r="AL50" s="13">
        <f>VLOOKUP(F50,'[1]MGM Report'!$D:$S,14,FALSE)</f>
        <v>552459</v>
      </c>
    </row>
    <row r="51" spans="1:38">
      <c r="A51" s="7">
        <v>45780</v>
      </c>
      <c r="B51" s="8" t="s">
        <v>38</v>
      </c>
      <c r="C51" s="8" t="s">
        <v>28</v>
      </c>
      <c r="D51" s="8" t="s">
        <v>112</v>
      </c>
      <c r="E51" s="8" t="s">
        <v>113</v>
      </c>
      <c r="F51" s="8" t="str">
        <f t="shared" si="0"/>
        <v>SB22598</v>
      </c>
      <c r="G51" s="9">
        <v>1662370</v>
      </c>
      <c r="H51" s="9">
        <f>VLOOKUP(F51,'[1]MGM Report'!$D:$E,2,FALSE)</f>
        <v>1662370</v>
      </c>
      <c r="I51" s="9" t="b">
        <f t="shared" si="1"/>
        <v>1</v>
      </c>
      <c r="J51" s="12">
        <v>0</v>
      </c>
      <c r="K51" s="12">
        <f>VLOOKUP(F51,'[1]MGM Report'!$D:$F,3,FALSE)</f>
        <v>0</v>
      </c>
      <c r="L51" s="12" t="b">
        <f t="shared" si="2"/>
        <v>1</v>
      </c>
      <c r="M51" s="13">
        <v>1610670</v>
      </c>
      <c r="N51" s="13">
        <f>VLOOKUP(F51,'[1]MGM Report'!$D:$G,4,FALSE)</f>
        <v>1610670</v>
      </c>
      <c r="O51" s="13" t="b">
        <f t="shared" si="11"/>
        <v>1</v>
      </c>
      <c r="P51" s="12">
        <v>0</v>
      </c>
      <c r="Q51" s="12">
        <f>VLOOKUP(F51,'[1]MGM Report'!$D:$M,5,FALSE)</f>
        <v>0</v>
      </c>
      <c r="R51" s="12" t="b">
        <f t="shared" si="4"/>
        <v>1</v>
      </c>
      <c r="S51" s="13">
        <v>1610670</v>
      </c>
      <c r="T51" s="13">
        <f>VLOOKUP(F51,'[1]MGM Report'!$D:$I,6,FALSE)</f>
        <v>1610670</v>
      </c>
      <c r="U51" s="13" t="b">
        <f t="shared" si="5"/>
        <v>1</v>
      </c>
      <c r="V51" s="12">
        <v>5188</v>
      </c>
      <c r="W51" s="12">
        <f>VLOOKUP(F51,'[1]MGM Report'!$D:$J,7,FALSE)</f>
        <v>5188</v>
      </c>
      <c r="X51" s="12" t="b">
        <f t="shared" si="6"/>
        <v>1</v>
      </c>
      <c r="Y51" s="13">
        <v>5188</v>
      </c>
      <c r="Z51" s="13">
        <f>VLOOKUP(F51,'[1]MGM Report'!$D:$K,8,FALSE)</f>
        <v>5188</v>
      </c>
      <c r="AA51" s="13" t="b">
        <f t="shared" si="7"/>
        <v>1</v>
      </c>
      <c r="AB51" s="12">
        <v>994812</v>
      </c>
      <c r="AC51" s="12">
        <f>VLOOKUP(F51,'[1]MGM Report'!$D:$M,10,FALSE)</f>
        <v>994812</v>
      </c>
      <c r="AD51" s="12" t="b">
        <f t="shared" si="8"/>
        <v>1</v>
      </c>
      <c r="AE51" s="13">
        <v>0</v>
      </c>
      <c r="AF51" s="13">
        <f>VLOOKUP(F51,'[1]MGM Report'!$D:$N,11,FALSE)</f>
        <v>0</v>
      </c>
      <c r="AG51" s="13" t="b">
        <f t="shared" si="9"/>
        <v>1</v>
      </c>
      <c r="AH51" s="12">
        <v>1000000</v>
      </c>
      <c r="AI51" s="12">
        <f>VLOOKUP(F51,'[1]MGM Report'!$D:$S,12,FALSE)</f>
        <v>1000000</v>
      </c>
      <c r="AJ51" s="12" t="b">
        <f t="shared" si="10"/>
        <v>1</v>
      </c>
      <c r="AK51" s="13">
        <f>VLOOKUP(F51,[2]HAVASMGMReportKBCUpdatedResult!$F:$R,13,FALSE)</f>
        <v>1657182</v>
      </c>
      <c r="AL51" s="13">
        <f>VLOOKUP(F51,'[1]MGM Report'!$D:$S,14,FALSE)</f>
        <v>1657182</v>
      </c>
    </row>
    <row r="52" spans="1:38">
      <c r="A52" s="7">
        <v>45780</v>
      </c>
      <c r="B52" s="8" t="s">
        <v>27</v>
      </c>
      <c r="C52" s="8" t="s">
        <v>28</v>
      </c>
      <c r="D52" s="8" t="s">
        <v>81</v>
      </c>
      <c r="E52" s="8" t="s">
        <v>114</v>
      </c>
      <c r="F52" s="8" t="str">
        <f t="shared" si="0"/>
        <v>SB21386</v>
      </c>
      <c r="G52" s="9">
        <v>0</v>
      </c>
      <c r="H52" s="9">
        <f>VLOOKUP(F52,'[1]MGM Report'!$D:$E,2,FALSE)</f>
        <v>0</v>
      </c>
      <c r="I52" s="9" t="b">
        <f t="shared" si="1"/>
        <v>1</v>
      </c>
      <c r="J52" s="12">
        <v>0</v>
      </c>
      <c r="K52" s="12">
        <f>VLOOKUP(F52,'[1]MGM Report'!$D:$F,3,FALSE)</f>
        <v>0</v>
      </c>
      <c r="L52" s="12" t="b">
        <f t="shared" si="2"/>
        <v>1</v>
      </c>
      <c r="M52" s="13">
        <v>0</v>
      </c>
      <c r="N52" s="13">
        <f>VLOOKUP(F52,'[1]MGM Report'!$D:$G,4,FALSE)</f>
        <v>0</v>
      </c>
      <c r="O52" s="13" t="b">
        <f t="shared" si="11"/>
        <v>1</v>
      </c>
      <c r="P52" s="12">
        <v>-394474</v>
      </c>
      <c r="Q52" s="12">
        <f>VLOOKUP(F52,'[1]MGM Report'!$D:$M,5,FALSE)</f>
        <v>394474</v>
      </c>
      <c r="R52" s="12" t="b">
        <f t="shared" si="4"/>
        <v>0</v>
      </c>
      <c r="S52" s="13">
        <v>-394474</v>
      </c>
      <c r="T52" s="13">
        <f>VLOOKUP(F52,'[1]MGM Report'!$D:$I,6,FALSE)</f>
        <v>394474</v>
      </c>
      <c r="U52" s="13" t="b">
        <f t="shared" si="5"/>
        <v>0</v>
      </c>
      <c r="V52" s="12">
        <v>0</v>
      </c>
      <c r="W52" s="12">
        <f>VLOOKUP(F52,'[1]MGM Report'!$D:$J,7,FALSE)</f>
        <v>0</v>
      </c>
      <c r="X52" s="12" t="b">
        <f t="shared" si="6"/>
        <v>1</v>
      </c>
      <c r="Y52" s="13">
        <v>0</v>
      </c>
      <c r="Z52" s="13">
        <f>VLOOKUP(F52,'[1]MGM Report'!$D:$K,8,FALSE)</f>
        <v>0</v>
      </c>
      <c r="AA52" s="13" t="b">
        <f t="shared" si="7"/>
        <v>1</v>
      </c>
      <c r="AB52" s="12">
        <v>0</v>
      </c>
      <c r="AC52" s="12">
        <f>VLOOKUP(F52,'[1]MGM Report'!$D:$M,10,FALSE)</f>
        <v>0</v>
      </c>
      <c r="AD52" s="12" t="b">
        <f t="shared" si="8"/>
        <v>1</v>
      </c>
      <c r="AE52" s="13">
        <v>0</v>
      </c>
      <c r="AF52" s="13">
        <f>VLOOKUP(F52,'[1]MGM Report'!$D:$N,11,FALSE)</f>
        <v>0</v>
      </c>
      <c r="AG52" s="13" t="b">
        <f t="shared" si="9"/>
        <v>1</v>
      </c>
      <c r="AH52" s="12">
        <v>0</v>
      </c>
      <c r="AI52" s="12">
        <f>VLOOKUP(F52,'[1]MGM Report'!$D:$S,12,FALSE)</f>
        <v>2475482</v>
      </c>
      <c r="AJ52" s="12" t="b">
        <f t="shared" si="10"/>
        <v>0</v>
      </c>
      <c r="AK52" s="13">
        <f>VLOOKUP(F52,[2]HAVASMGMReportKBCUpdatedResult!$F:$R,13,FALSE)</f>
        <v>0</v>
      </c>
      <c r="AL52" s="13">
        <f>VLOOKUP(F52,'[1]MGM Report'!$D:$S,14,FALSE)</f>
        <v>0</v>
      </c>
    </row>
    <row r="53" spans="1:38">
      <c r="A53" s="7">
        <v>45761</v>
      </c>
      <c r="B53" s="8" t="s">
        <v>31</v>
      </c>
      <c r="C53" s="8" t="s">
        <v>115</v>
      </c>
      <c r="D53" s="8" t="s">
        <v>116</v>
      </c>
      <c r="E53" s="8" t="s">
        <v>117</v>
      </c>
      <c r="F53" s="8" t="str">
        <f t="shared" si="0"/>
        <v>SB22588</v>
      </c>
      <c r="G53" s="9">
        <v>509179.06</v>
      </c>
      <c r="H53" s="9">
        <f>VLOOKUP(F53,'[1]MGM Report'!$D:$E,2,FALSE)</f>
        <v>509179.06</v>
      </c>
      <c r="I53" s="9" t="b">
        <f t="shared" si="1"/>
        <v>1</v>
      </c>
      <c r="J53" s="12">
        <v>0</v>
      </c>
      <c r="K53" s="12">
        <f>VLOOKUP(F53,'[1]MGM Report'!$D:$F,3,FALSE)</f>
        <v>0</v>
      </c>
      <c r="L53" s="12" t="b">
        <f t="shared" si="2"/>
        <v>1</v>
      </c>
      <c r="M53" s="13">
        <v>451386</v>
      </c>
      <c r="N53" s="13">
        <f>VLOOKUP(F53,'[1]MGM Report'!$D:$G,4,FALSE)</f>
        <v>451386</v>
      </c>
      <c r="O53" s="13" t="b">
        <f t="shared" si="11"/>
        <v>1</v>
      </c>
      <c r="P53" s="12">
        <v>0</v>
      </c>
      <c r="Q53" s="12">
        <f>VLOOKUP(F53,'[1]MGM Report'!$D:$M,5,FALSE)</f>
        <v>0</v>
      </c>
      <c r="R53" s="12" t="b">
        <f t="shared" si="4"/>
        <v>1</v>
      </c>
      <c r="S53" s="13">
        <v>451386</v>
      </c>
      <c r="T53" s="13">
        <f>VLOOKUP(F53,'[1]MGM Report'!$D:$I,6,FALSE)</f>
        <v>451386</v>
      </c>
      <c r="U53" s="13" t="b">
        <f t="shared" si="5"/>
        <v>1</v>
      </c>
      <c r="V53" s="12">
        <v>3000</v>
      </c>
      <c r="W53" s="12">
        <f>VLOOKUP(F53,'[1]MGM Report'!$D:$J,7,FALSE)</f>
        <v>6130</v>
      </c>
      <c r="X53" s="12" t="b">
        <f t="shared" si="6"/>
        <v>0</v>
      </c>
      <c r="Y53" s="13">
        <v>6130</v>
      </c>
      <c r="Z53" s="13">
        <f>VLOOKUP(F53,'[1]MGM Report'!$D:$K,8,FALSE)</f>
        <v>6130</v>
      </c>
      <c r="AA53" s="13" t="b">
        <f t="shared" si="7"/>
        <v>1</v>
      </c>
      <c r="AB53" s="12">
        <v>349312.1</v>
      </c>
      <c r="AC53" s="12">
        <f>VLOOKUP(F53,'[1]MGM Report'!$D:$M,10,FALSE)</f>
        <v>349312.1</v>
      </c>
      <c r="AD53" s="12" t="b">
        <f t="shared" si="8"/>
        <v>1</v>
      </c>
      <c r="AE53" s="13">
        <v>0</v>
      </c>
      <c r="AF53" s="13">
        <f>VLOOKUP(F53,'[1]MGM Report'!$D:$N,11,FALSE)</f>
        <v>0</v>
      </c>
      <c r="AG53" s="13" t="b">
        <f t="shared" si="9"/>
        <v>1</v>
      </c>
      <c r="AH53" s="12">
        <v>355442.1</v>
      </c>
      <c r="AI53" s="12">
        <f>VLOOKUP(F53,'[1]MGM Report'!$D:$S,12,FALSE)</f>
        <v>355442.1</v>
      </c>
      <c r="AJ53" s="12" t="b">
        <f t="shared" si="10"/>
        <v>1</v>
      </c>
      <c r="AK53" s="13">
        <f>VLOOKUP(F53,[2]HAVASMGMReportKBCUpdatedResult!$F:$R,13,FALSE)</f>
        <v>506179.06</v>
      </c>
      <c r="AL53" s="13">
        <f>VLOOKUP(F53,'[1]MGM Report'!$D:$S,14,FALSE)</f>
        <v>503049.06</v>
      </c>
    </row>
    <row r="54" spans="1:38">
      <c r="A54" s="7">
        <v>45761</v>
      </c>
      <c r="B54" s="8" t="s">
        <v>31</v>
      </c>
      <c r="C54" s="8" t="s">
        <v>115</v>
      </c>
      <c r="D54" s="8" t="s">
        <v>118</v>
      </c>
      <c r="E54" s="8" t="s">
        <v>119</v>
      </c>
      <c r="F54" s="8" t="str">
        <f t="shared" si="0"/>
        <v>SB22601</v>
      </c>
      <c r="G54" s="9">
        <v>72600</v>
      </c>
      <c r="H54" s="9">
        <f>VLOOKUP(F54,'[1]MGM Report'!$D:$E,2,FALSE)</f>
        <v>72600</v>
      </c>
      <c r="I54" s="9" t="b">
        <f t="shared" si="1"/>
        <v>1</v>
      </c>
      <c r="J54" s="12">
        <v>72600</v>
      </c>
      <c r="K54" s="12">
        <f>VLOOKUP(F54,'[1]MGM Report'!$D:$F,3,FALSE)</f>
        <v>72600</v>
      </c>
      <c r="L54" s="12" t="b">
        <f t="shared" si="2"/>
        <v>1</v>
      </c>
      <c r="M54" s="13">
        <v>0</v>
      </c>
      <c r="N54" s="13">
        <f>VLOOKUP(F54,'[1]MGM Report'!$D:$G,4,FALSE)</f>
        <v>0</v>
      </c>
      <c r="O54" s="13" t="b">
        <f t="shared" si="11"/>
        <v>1</v>
      </c>
      <c r="P54" s="12">
        <v>0</v>
      </c>
      <c r="Q54" s="12">
        <f>VLOOKUP(F54,'[1]MGM Report'!$D:$M,5,FALSE)</f>
        <v>0</v>
      </c>
      <c r="R54" s="12" t="b">
        <f t="shared" si="4"/>
        <v>1</v>
      </c>
      <c r="S54" s="13">
        <v>72600</v>
      </c>
      <c r="T54" s="13">
        <f>VLOOKUP(F54,'[1]MGM Report'!$D:$I,6,FALSE)</f>
        <v>72600</v>
      </c>
      <c r="U54" s="13" t="b">
        <f t="shared" si="5"/>
        <v>1</v>
      </c>
      <c r="V54" s="12">
        <v>0</v>
      </c>
      <c r="W54" s="12">
        <f>VLOOKUP(F54,'[1]MGM Report'!$D:$J,7,FALSE)</f>
        <v>0</v>
      </c>
      <c r="X54" s="12" t="b">
        <f t="shared" si="6"/>
        <v>1</v>
      </c>
      <c r="Y54" s="13">
        <v>0</v>
      </c>
      <c r="Z54" s="13">
        <f>VLOOKUP(F54,'[1]MGM Report'!$D:$K,8,FALSE)</f>
        <v>0</v>
      </c>
      <c r="AA54" s="13" t="b">
        <f t="shared" si="7"/>
        <v>1</v>
      </c>
      <c r="AB54" s="12">
        <v>25000</v>
      </c>
      <c r="AC54" s="12">
        <f>VLOOKUP(F54,'[1]MGM Report'!$D:$M,10,FALSE)</f>
        <v>25000</v>
      </c>
      <c r="AD54" s="12" t="b">
        <f t="shared" si="8"/>
        <v>1</v>
      </c>
      <c r="AE54" s="13">
        <v>0</v>
      </c>
      <c r="AF54" s="13">
        <f>VLOOKUP(F54,'[1]MGM Report'!$D:$N,11,FALSE)</f>
        <v>0</v>
      </c>
      <c r="AG54" s="13" t="b">
        <f t="shared" si="9"/>
        <v>1</v>
      </c>
      <c r="AH54" s="12">
        <v>25000</v>
      </c>
      <c r="AI54" s="12">
        <f>VLOOKUP(F54,'[1]MGM Report'!$D:$S,12,FALSE)</f>
        <v>25000</v>
      </c>
      <c r="AJ54" s="12" t="b">
        <f t="shared" si="10"/>
        <v>1</v>
      </c>
      <c r="AK54" s="13">
        <f>VLOOKUP(F54,[2]HAVASMGMReportKBCUpdatedResult!$F:$R,13,FALSE)</f>
        <v>72600</v>
      </c>
      <c r="AL54" s="13">
        <f>VLOOKUP(F54,'[1]MGM Report'!$D:$S,14,FALSE)</f>
        <v>72600</v>
      </c>
    </row>
    <row r="55" spans="1:38">
      <c r="A55" s="7">
        <v>45761</v>
      </c>
      <c r="B55" s="8" t="s">
        <v>27</v>
      </c>
      <c r="C55" s="8" t="s">
        <v>120</v>
      </c>
      <c r="D55" s="8" t="s">
        <v>121</v>
      </c>
      <c r="E55" s="8" t="s">
        <v>122</v>
      </c>
      <c r="F55" s="8" t="str">
        <f t="shared" si="0"/>
        <v>SB22579</v>
      </c>
      <c r="G55" s="9">
        <v>0</v>
      </c>
      <c r="H55" s="9">
        <f>VLOOKUP(F55,'[1]MGM Report'!$D:$E,2,FALSE)</f>
        <v>873718</v>
      </c>
      <c r="I55" s="9" t="b">
        <f t="shared" si="1"/>
        <v>0</v>
      </c>
      <c r="J55" s="12">
        <v>0</v>
      </c>
      <c r="K55" s="12">
        <f>VLOOKUP(F55,'[1]MGM Report'!$D:$F,3,FALSE)</f>
        <v>873718</v>
      </c>
      <c r="L55" s="12" t="b">
        <f t="shared" si="2"/>
        <v>0</v>
      </c>
      <c r="M55" s="13">
        <v>0</v>
      </c>
      <c r="N55" s="13">
        <f>VLOOKUP(F55,'[1]MGM Report'!$D:$G,4,FALSE)</f>
        <v>0</v>
      </c>
      <c r="O55" s="13" t="b">
        <f t="shared" si="11"/>
        <v>1</v>
      </c>
      <c r="P55" s="12">
        <v>0</v>
      </c>
      <c r="Q55" s="12">
        <f>VLOOKUP(F55,'[1]MGM Report'!$D:$M,5,FALSE)</f>
        <v>0</v>
      </c>
      <c r="R55" s="12" t="b">
        <f t="shared" si="4"/>
        <v>1</v>
      </c>
      <c r="S55" s="13">
        <v>0</v>
      </c>
      <c r="T55" s="13">
        <f>VLOOKUP(F55,'[1]MGM Report'!$D:$I,6,FALSE)</f>
        <v>873718</v>
      </c>
      <c r="U55" s="13" t="b">
        <f t="shared" si="5"/>
        <v>0</v>
      </c>
      <c r="V55" s="12">
        <v>508068.78</v>
      </c>
      <c r="W55" s="12">
        <f>VLOOKUP(F55,'[1]MGM Report'!$D:$J,7,FALSE)</f>
        <v>521017.88</v>
      </c>
      <c r="X55" s="12" t="b">
        <f t="shared" si="6"/>
        <v>0</v>
      </c>
      <c r="Y55" s="13">
        <v>328729.78</v>
      </c>
      <c r="Z55" s="13">
        <f>VLOOKUP(F55,'[1]MGM Report'!$D:$K,8,FALSE)</f>
        <v>328729.78</v>
      </c>
      <c r="AA55" s="13" t="b">
        <f t="shared" si="7"/>
        <v>1</v>
      </c>
      <c r="AB55" s="12">
        <v>306788.22</v>
      </c>
      <c r="AC55" s="12">
        <f>VLOOKUP(F55,'[1]MGM Report'!$D:$M,10,FALSE)</f>
        <v>306788.22</v>
      </c>
      <c r="AD55" s="12" t="b">
        <f t="shared" si="8"/>
        <v>1</v>
      </c>
      <c r="AE55" s="13">
        <v>-11800</v>
      </c>
      <c r="AF55" s="13">
        <f>VLOOKUP(F55,'[1]MGM Report'!$D:$N,11,FALSE)</f>
        <v>11800</v>
      </c>
      <c r="AG55" s="13" t="b">
        <f t="shared" si="9"/>
        <v>0</v>
      </c>
      <c r="AH55" s="12">
        <v>623718</v>
      </c>
      <c r="AI55" s="12">
        <f>VLOOKUP(F55,'[1]MGM Report'!$D:$S,12,FALSE)</f>
        <v>623718</v>
      </c>
      <c r="AJ55" s="12" t="b">
        <f t="shared" si="10"/>
        <v>1</v>
      </c>
      <c r="AK55" s="13">
        <f>VLOOKUP(F55,[2]HAVASMGMReportKBCUpdatedResult!$F:$R,13,FALSE)</f>
        <v>-508068.78</v>
      </c>
      <c r="AL55" s="13">
        <f>VLOOKUP(F55,'[1]MGM Report'!$D:$S,14,FALSE)</f>
        <v>352700.12</v>
      </c>
    </row>
    <row r="56" spans="1:38">
      <c r="A56" s="7">
        <v>45761</v>
      </c>
      <c r="B56" s="8" t="s">
        <v>31</v>
      </c>
      <c r="C56" s="8" t="s">
        <v>115</v>
      </c>
      <c r="D56" s="8" t="s">
        <v>123</v>
      </c>
      <c r="E56" s="8" t="s">
        <v>124</v>
      </c>
      <c r="F56" s="8" t="str">
        <f t="shared" si="0"/>
        <v>SB22509</v>
      </c>
      <c r="G56" s="9">
        <v>0</v>
      </c>
      <c r="H56" s="9">
        <f>VLOOKUP(F56,'[1]MGM Report'!$D:$E,2,FALSE)</f>
        <v>0</v>
      </c>
      <c r="I56" s="9" t="b">
        <f t="shared" si="1"/>
        <v>1</v>
      </c>
      <c r="J56" s="12">
        <v>0</v>
      </c>
      <c r="K56" s="12">
        <f>VLOOKUP(F56,'[1]MGM Report'!$D:$F,3,FALSE)</f>
        <v>0</v>
      </c>
      <c r="L56" s="12" t="b">
        <f t="shared" si="2"/>
        <v>1</v>
      </c>
      <c r="M56" s="13">
        <v>0</v>
      </c>
      <c r="N56" s="13">
        <f>VLOOKUP(F56,'[1]MGM Report'!$D:$G,4,FALSE)</f>
        <v>0</v>
      </c>
      <c r="O56" s="13" t="b">
        <f t="shared" si="11"/>
        <v>1</v>
      </c>
      <c r="P56" s="12">
        <v>0</v>
      </c>
      <c r="Q56" s="12">
        <f>VLOOKUP(F56,'[1]MGM Report'!$D:$M,5,FALSE)</f>
        <v>0</v>
      </c>
      <c r="R56" s="12" t="b">
        <f t="shared" si="4"/>
        <v>1</v>
      </c>
      <c r="S56" s="13">
        <v>0</v>
      </c>
      <c r="T56" s="13">
        <f>VLOOKUP(F56,'[1]MGM Report'!$D:$I,6,FALSE)</f>
        <v>0</v>
      </c>
      <c r="U56" s="13" t="b">
        <f t="shared" si="5"/>
        <v>1</v>
      </c>
      <c r="V56" s="12">
        <v>0</v>
      </c>
      <c r="W56" s="12">
        <f>VLOOKUP(F56,'[1]MGM Report'!$D:$J,7,FALSE)</f>
        <v>0</v>
      </c>
      <c r="X56" s="12" t="b">
        <f t="shared" si="6"/>
        <v>1</v>
      </c>
      <c r="Y56" s="13">
        <v>1691</v>
      </c>
      <c r="Z56" s="13">
        <f>VLOOKUP(F56,'[1]MGM Report'!$D:$K,8,FALSE)</f>
        <v>1691</v>
      </c>
      <c r="AA56" s="13" t="b">
        <f t="shared" si="7"/>
        <v>1</v>
      </c>
      <c r="AB56" s="12">
        <v>-1691</v>
      </c>
      <c r="AC56" s="12">
        <f>VLOOKUP(F56,'[1]MGM Report'!$D:$M,10,FALSE)</f>
        <v>1691</v>
      </c>
      <c r="AD56" s="12" t="b">
        <f t="shared" si="8"/>
        <v>0</v>
      </c>
      <c r="AE56" s="13">
        <v>0</v>
      </c>
      <c r="AF56" s="13">
        <f>VLOOKUP(F56,'[1]MGM Report'!$D:$N,11,FALSE)</f>
        <v>0</v>
      </c>
      <c r="AG56" s="13" t="b">
        <f t="shared" si="9"/>
        <v>1</v>
      </c>
      <c r="AH56" s="12">
        <v>0</v>
      </c>
      <c r="AI56" s="12">
        <f>VLOOKUP(F56,'[1]MGM Report'!$D:$S,12,FALSE)</f>
        <v>0</v>
      </c>
      <c r="AJ56" s="12" t="b">
        <f t="shared" si="10"/>
        <v>1</v>
      </c>
      <c r="AK56" s="13">
        <f>VLOOKUP(F56,[2]HAVASMGMReportKBCUpdatedResult!$F:$R,13,FALSE)</f>
        <v>0</v>
      </c>
      <c r="AL56" s="13">
        <f>VLOOKUP(F56,'[1]MGM Report'!$D:$S,14,FALSE)</f>
        <v>0</v>
      </c>
    </row>
    <row r="57" spans="1:38">
      <c r="A57" s="7">
        <v>45761</v>
      </c>
      <c r="B57" s="8" t="s">
        <v>27</v>
      </c>
      <c r="C57" s="8" t="s">
        <v>120</v>
      </c>
      <c r="D57" s="8" t="s">
        <v>121</v>
      </c>
      <c r="E57" s="8" t="s">
        <v>125</v>
      </c>
      <c r="F57" s="8" t="str">
        <f t="shared" si="0"/>
        <v>SB22485</v>
      </c>
      <c r="G57" s="9">
        <v>1035000</v>
      </c>
      <c r="H57" s="9">
        <f>VLOOKUP(F57,'[1]MGM Report'!$D:$E,2,FALSE)</f>
        <v>1035000</v>
      </c>
      <c r="I57" s="9" t="b">
        <f t="shared" si="1"/>
        <v>1</v>
      </c>
      <c r="J57" s="12">
        <v>2271571</v>
      </c>
      <c r="K57" s="12">
        <f>VLOOKUP(F57,'[1]MGM Report'!$D:$F,3,FALSE)</f>
        <v>2271571</v>
      </c>
      <c r="L57" s="12" t="b">
        <f t="shared" si="2"/>
        <v>1</v>
      </c>
      <c r="M57" s="13">
        <v>-2271571</v>
      </c>
      <c r="N57" s="13">
        <f>VLOOKUP(F57,'[1]MGM Report'!$D:$G,4,FALSE)</f>
        <v>2271571</v>
      </c>
      <c r="O57" s="13" t="b">
        <f t="shared" si="11"/>
        <v>0</v>
      </c>
      <c r="P57" s="12">
        <v>0</v>
      </c>
      <c r="Q57" s="12">
        <f>VLOOKUP(F57,'[1]MGM Report'!$D:$M,5,FALSE)</f>
        <v>0</v>
      </c>
      <c r="R57" s="12" t="b">
        <f t="shared" si="4"/>
        <v>1</v>
      </c>
      <c r="S57" s="13">
        <v>0</v>
      </c>
      <c r="T57" s="13">
        <f>VLOOKUP(F57,'[1]MGM Report'!$D:$I,6,FALSE)</f>
        <v>0</v>
      </c>
      <c r="U57" s="13" t="b">
        <f t="shared" si="5"/>
        <v>1</v>
      </c>
      <c r="V57" s="12">
        <v>373500</v>
      </c>
      <c r="W57" s="12">
        <f>VLOOKUP(F57,'[1]MGM Report'!$D:$J,7,FALSE)</f>
        <v>374412</v>
      </c>
      <c r="X57" s="12" t="b">
        <f t="shared" si="6"/>
        <v>0</v>
      </c>
      <c r="Y57" s="13">
        <v>1117962</v>
      </c>
      <c r="Z57" s="13">
        <f>VLOOKUP(F57,'[1]MGM Report'!$D:$K,8,FALSE)</f>
        <v>1117962</v>
      </c>
      <c r="AA57" s="13" t="b">
        <f t="shared" si="7"/>
        <v>1</v>
      </c>
      <c r="AB57" s="12">
        <v>-1074050</v>
      </c>
      <c r="AC57" s="12">
        <f>VLOOKUP(F57,'[1]MGM Report'!$D:$M,10,FALSE)</f>
        <v>1074050</v>
      </c>
      <c r="AD57" s="12" t="b">
        <f t="shared" si="8"/>
        <v>0</v>
      </c>
      <c r="AE57" s="13">
        <v>-21000</v>
      </c>
      <c r="AF57" s="13">
        <f>VLOOKUP(F57,'[1]MGM Report'!$D:$N,11,FALSE)</f>
        <v>21000</v>
      </c>
      <c r="AG57" s="13" t="b">
        <f t="shared" si="9"/>
        <v>0</v>
      </c>
      <c r="AH57" s="12">
        <v>22912</v>
      </c>
      <c r="AI57" s="12">
        <f>VLOOKUP(F57,'[1]MGM Report'!$D:$S,12,FALSE)</f>
        <v>22912</v>
      </c>
      <c r="AJ57" s="12" t="b">
        <f t="shared" si="10"/>
        <v>1</v>
      </c>
      <c r="AK57" s="13">
        <f>VLOOKUP(F57,[2]HAVASMGMReportKBCUpdatedResult!$F:$R,13,FALSE)</f>
        <v>661500</v>
      </c>
      <c r="AL57" s="13">
        <f>VLOOKUP(F57,'[1]MGM Report'!$D:$S,14,FALSE)</f>
        <v>660588</v>
      </c>
    </row>
    <row r="58" spans="1:38">
      <c r="A58" s="7">
        <v>45761</v>
      </c>
      <c r="B58" s="8" t="s">
        <v>27</v>
      </c>
      <c r="C58" s="8" t="s">
        <v>120</v>
      </c>
      <c r="D58" s="8" t="s">
        <v>126</v>
      </c>
      <c r="E58" s="8" t="s">
        <v>127</v>
      </c>
      <c r="F58" s="8" t="str">
        <f t="shared" si="0"/>
        <v>SB22472</v>
      </c>
      <c r="G58" s="9">
        <v>3087345.8</v>
      </c>
      <c r="H58" s="9">
        <f>VLOOKUP(F58,'[1]MGM Report'!$D:$E,2,FALSE)</f>
        <v>3087345.8</v>
      </c>
      <c r="I58" s="9" t="b">
        <f t="shared" si="1"/>
        <v>1</v>
      </c>
      <c r="J58" s="12">
        <v>3087345.8</v>
      </c>
      <c r="K58" s="12">
        <f>VLOOKUP(F58,'[1]MGM Report'!$D:$F,3,FALSE)</f>
        <v>3087345.8</v>
      </c>
      <c r="L58" s="12" t="b">
        <f t="shared" si="2"/>
        <v>1</v>
      </c>
      <c r="M58" s="13">
        <v>-2855245.4</v>
      </c>
      <c r="N58" s="13">
        <f>VLOOKUP(F58,'[1]MGM Report'!$D:$G,4,FALSE)</f>
        <v>2855245.4</v>
      </c>
      <c r="O58" s="13" t="b">
        <f t="shared" si="11"/>
        <v>0</v>
      </c>
      <c r="P58" s="12">
        <v>0</v>
      </c>
      <c r="Q58" s="12">
        <f>VLOOKUP(F58,'[1]MGM Report'!$D:$M,5,FALSE)</f>
        <v>0</v>
      </c>
      <c r="R58" s="12" t="b">
        <f t="shared" si="4"/>
        <v>1</v>
      </c>
      <c r="S58" s="13">
        <v>232100.4</v>
      </c>
      <c r="T58" s="13">
        <f>VLOOKUP(F58,'[1]MGM Report'!$D:$I,6,FALSE)</f>
        <v>232100.4</v>
      </c>
      <c r="U58" s="13" t="b">
        <f t="shared" si="5"/>
        <v>1</v>
      </c>
      <c r="V58" s="12">
        <v>210000</v>
      </c>
      <c r="W58" s="12">
        <f>VLOOKUP(F58,'[1]MGM Report'!$D:$J,7,FALSE)</f>
        <v>210000</v>
      </c>
      <c r="X58" s="12" t="b">
        <f t="shared" si="6"/>
        <v>1</v>
      </c>
      <c r="Y58" s="13">
        <v>878028</v>
      </c>
      <c r="Z58" s="13">
        <f>VLOOKUP(F58,'[1]MGM Report'!$D:$K,8,FALSE)</f>
        <v>878028</v>
      </c>
      <c r="AA58" s="13" t="b">
        <f t="shared" si="7"/>
        <v>1</v>
      </c>
      <c r="AB58" s="12">
        <v>-665511</v>
      </c>
      <c r="AC58" s="12">
        <f>VLOOKUP(F58,'[1]MGM Report'!$D:$M,10,FALSE)</f>
        <v>665511</v>
      </c>
      <c r="AD58" s="12" t="b">
        <f t="shared" si="8"/>
        <v>0</v>
      </c>
      <c r="AE58" s="13">
        <v>0</v>
      </c>
      <c r="AF58" s="13">
        <f>VLOOKUP(F58,'[1]MGM Report'!$D:$N,11,FALSE)</f>
        <v>0</v>
      </c>
      <c r="AG58" s="13" t="b">
        <f t="shared" si="9"/>
        <v>1</v>
      </c>
      <c r="AH58" s="12">
        <v>212517</v>
      </c>
      <c r="AI58" s="12">
        <f>VLOOKUP(F58,'[1]MGM Report'!$D:$S,12,FALSE)</f>
        <v>212517</v>
      </c>
      <c r="AJ58" s="12" t="b">
        <f t="shared" si="10"/>
        <v>1</v>
      </c>
      <c r="AK58" s="13">
        <f>VLOOKUP(F58,[2]HAVASMGMReportKBCUpdatedResult!$F:$R,13,FALSE)</f>
        <v>2877345.8</v>
      </c>
      <c r="AL58" s="13">
        <f>VLOOKUP(F58,'[1]MGM Report'!$D:$S,14,FALSE)</f>
        <v>2877345.8</v>
      </c>
    </row>
    <row r="59" spans="1:38">
      <c r="A59" s="7">
        <v>45761</v>
      </c>
      <c r="B59" s="8" t="s">
        <v>27</v>
      </c>
      <c r="C59" s="8" t="s">
        <v>120</v>
      </c>
      <c r="D59" s="8" t="s">
        <v>128</v>
      </c>
      <c r="E59" s="8" t="s">
        <v>129</v>
      </c>
      <c r="F59" s="8" t="str">
        <f t="shared" si="0"/>
        <v>SB22422</v>
      </c>
      <c r="G59" s="9">
        <v>0</v>
      </c>
      <c r="H59" s="9">
        <f>VLOOKUP(F59,'[1]MGM Report'!$D:$E,2,FALSE)</f>
        <v>0</v>
      </c>
      <c r="I59" s="9" t="b">
        <f t="shared" si="1"/>
        <v>1</v>
      </c>
      <c r="J59" s="12">
        <v>0</v>
      </c>
      <c r="K59" s="12">
        <f>VLOOKUP(F59,'[1]MGM Report'!$D:$F,3,FALSE)</f>
        <v>0</v>
      </c>
      <c r="L59" s="12" t="b">
        <f t="shared" si="2"/>
        <v>1</v>
      </c>
      <c r="M59" s="13">
        <v>0</v>
      </c>
      <c r="N59" s="13">
        <f>VLOOKUP(F59,'[1]MGM Report'!$D:$G,4,FALSE)</f>
        <v>0</v>
      </c>
      <c r="O59" s="13" t="b">
        <f t="shared" si="11"/>
        <v>1</v>
      </c>
      <c r="P59" s="12">
        <v>0</v>
      </c>
      <c r="Q59" s="12">
        <f>VLOOKUP(F59,'[1]MGM Report'!$D:$M,5,FALSE)</f>
        <v>0</v>
      </c>
      <c r="R59" s="12" t="b">
        <f t="shared" si="4"/>
        <v>1</v>
      </c>
      <c r="S59" s="13">
        <v>0</v>
      </c>
      <c r="T59" s="13">
        <f>VLOOKUP(F59,'[1]MGM Report'!$D:$I,6,FALSE)</f>
        <v>0</v>
      </c>
      <c r="U59" s="13" t="b">
        <f t="shared" si="5"/>
        <v>1</v>
      </c>
      <c r="V59" s="12">
        <v>0</v>
      </c>
      <c r="W59" s="12">
        <f>VLOOKUP(F59,'[1]MGM Report'!$D:$J,7,FALSE)</f>
        <v>0</v>
      </c>
      <c r="X59" s="12" t="b">
        <f t="shared" si="6"/>
        <v>1</v>
      </c>
      <c r="Y59" s="13">
        <v>6000</v>
      </c>
      <c r="Z59" s="13">
        <f>VLOOKUP(F59,'[1]MGM Report'!$D:$K,8,FALSE)</f>
        <v>6000</v>
      </c>
      <c r="AA59" s="13" t="b">
        <f t="shared" si="7"/>
        <v>1</v>
      </c>
      <c r="AB59" s="12">
        <v>-6000</v>
      </c>
      <c r="AC59" s="12">
        <f>VLOOKUP(F59,'[1]MGM Report'!$D:$M,10,FALSE)</f>
        <v>6000</v>
      </c>
      <c r="AD59" s="12" t="b">
        <f t="shared" si="8"/>
        <v>0</v>
      </c>
      <c r="AE59" s="13">
        <v>0</v>
      </c>
      <c r="AF59" s="13">
        <f>VLOOKUP(F59,'[1]MGM Report'!$D:$N,11,FALSE)</f>
        <v>0</v>
      </c>
      <c r="AG59" s="13" t="b">
        <f t="shared" si="9"/>
        <v>1</v>
      </c>
      <c r="AH59" s="12">
        <v>0</v>
      </c>
      <c r="AI59" s="12">
        <f>VLOOKUP(F59,'[1]MGM Report'!$D:$S,12,FALSE)</f>
        <v>0</v>
      </c>
      <c r="AJ59" s="12" t="b">
        <f t="shared" si="10"/>
        <v>1</v>
      </c>
      <c r="AK59" s="13">
        <f>VLOOKUP(F59,[2]HAVASMGMReportKBCUpdatedResult!$F:$R,13,FALSE)</f>
        <v>0</v>
      </c>
      <c r="AL59" s="13">
        <f>VLOOKUP(F59,'[1]MGM Report'!$D:$S,14,FALSE)</f>
        <v>0</v>
      </c>
    </row>
    <row r="60" spans="1:38">
      <c r="A60" s="7">
        <v>45761</v>
      </c>
      <c r="B60" s="8" t="s">
        <v>38</v>
      </c>
      <c r="C60" s="8" t="s">
        <v>130</v>
      </c>
      <c r="D60" s="8" t="s">
        <v>131</v>
      </c>
      <c r="E60" s="8" t="s">
        <v>132</v>
      </c>
      <c r="F60" s="8" t="str">
        <f t="shared" si="0"/>
        <v>SB22459</v>
      </c>
      <c r="G60" s="9">
        <v>0</v>
      </c>
      <c r="H60" s="9">
        <f>VLOOKUP(F60,'[1]MGM Report'!$D:$E,2,FALSE)</f>
        <v>0</v>
      </c>
      <c r="I60" s="9" t="b">
        <f t="shared" si="1"/>
        <v>1</v>
      </c>
      <c r="J60" s="12">
        <v>0</v>
      </c>
      <c r="K60" s="12">
        <f>VLOOKUP(F60,'[1]MGM Report'!$D:$F,3,FALSE)</f>
        <v>0</v>
      </c>
      <c r="L60" s="12" t="b">
        <f t="shared" si="2"/>
        <v>1</v>
      </c>
      <c r="M60" s="13">
        <v>0</v>
      </c>
      <c r="N60" s="13">
        <f>VLOOKUP(F60,'[1]MGM Report'!$D:$G,4,FALSE)</f>
        <v>0</v>
      </c>
      <c r="O60" s="13" t="b">
        <f t="shared" si="11"/>
        <v>1</v>
      </c>
      <c r="P60" s="12">
        <v>0</v>
      </c>
      <c r="Q60" s="12">
        <f>VLOOKUP(F60,'[1]MGM Report'!$D:$M,5,FALSE)</f>
        <v>0</v>
      </c>
      <c r="R60" s="12" t="b">
        <f t="shared" si="4"/>
        <v>1</v>
      </c>
      <c r="S60" s="13">
        <v>0</v>
      </c>
      <c r="T60" s="13">
        <f>VLOOKUP(F60,'[1]MGM Report'!$D:$I,6,FALSE)</f>
        <v>0</v>
      </c>
      <c r="U60" s="13" t="b">
        <f t="shared" si="5"/>
        <v>1</v>
      </c>
      <c r="V60" s="12">
        <v>0</v>
      </c>
      <c r="W60" s="12">
        <f>VLOOKUP(F60,'[1]MGM Report'!$D:$J,7,FALSE)</f>
        <v>0</v>
      </c>
      <c r="X60" s="12" t="b">
        <f t="shared" si="6"/>
        <v>1</v>
      </c>
      <c r="Y60" s="13">
        <v>8898</v>
      </c>
      <c r="Z60" s="13">
        <f>VLOOKUP(F60,'[1]MGM Report'!$D:$K,8,FALSE)</f>
        <v>8898</v>
      </c>
      <c r="AA60" s="13" t="b">
        <f t="shared" si="7"/>
        <v>1</v>
      </c>
      <c r="AB60" s="12">
        <v>-8898</v>
      </c>
      <c r="AC60" s="12">
        <f>VLOOKUP(F60,'[1]MGM Report'!$D:$M,10,FALSE)</f>
        <v>8898</v>
      </c>
      <c r="AD60" s="12" t="b">
        <f t="shared" si="8"/>
        <v>0</v>
      </c>
      <c r="AE60" s="13">
        <v>0</v>
      </c>
      <c r="AF60" s="13">
        <f>VLOOKUP(F60,'[1]MGM Report'!$D:$N,11,FALSE)</f>
        <v>0</v>
      </c>
      <c r="AG60" s="13" t="b">
        <f t="shared" si="9"/>
        <v>1</v>
      </c>
      <c r="AH60" s="12">
        <v>0</v>
      </c>
      <c r="AI60" s="12">
        <f>VLOOKUP(F60,'[1]MGM Report'!$D:$S,12,FALSE)</f>
        <v>0</v>
      </c>
      <c r="AJ60" s="12" t="b">
        <f t="shared" si="10"/>
        <v>1</v>
      </c>
      <c r="AK60" s="13">
        <f>VLOOKUP(F60,[2]HAVASMGMReportKBCUpdatedResult!$F:$R,13,FALSE)</f>
        <v>0</v>
      </c>
      <c r="AL60" s="13">
        <f>VLOOKUP(F60,'[1]MGM Report'!$D:$S,14,FALSE)</f>
        <v>0</v>
      </c>
    </row>
    <row r="61" spans="1:38">
      <c r="A61" s="7">
        <v>45761</v>
      </c>
      <c r="B61" s="8" t="s">
        <v>27</v>
      </c>
      <c r="C61" s="8" t="s">
        <v>120</v>
      </c>
      <c r="D61" s="8" t="s">
        <v>133</v>
      </c>
      <c r="E61" s="8" t="s">
        <v>134</v>
      </c>
      <c r="F61" s="8" t="str">
        <f t="shared" si="0"/>
        <v>SB22384</v>
      </c>
      <c r="G61" s="9">
        <v>854315</v>
      </c>
      <c r="H61" s="9">
        <f>VLOOKUP(F61,'[1]MGM Report'!$D:$E,2,FALSE)</f>
        <v>854315</v>
      </c>
      <c r="I61" s="9" t="b">
        <f t="shared" si="1"/>
        <v>1</v>
      </c>
      <c r="J61" s="12">
        <v>854315</v>
      </c>
      <c r="K61" s="12">
        <f>VLOOKUP(F61,'[1]MGM Report'!$D:$F,3,FALSE)</f>
        <v>854315</v>
      </c>
      <c r="L61" s="12" t="b">
        <f t="shared" si="2"/>
        <v>1</v>
      </c>
      <c r="M61" s="13">
        <v>0</v>
      </c>
      <c r="N61" s="13">
        <f>VLOOKUP(F61,'[1]MGM Report'!$D:$G,4,FALSE)</f>
        <v>0</v>
      </c>
      <c r="O61" s="13" t="b">
        <f t="shared" si="11"/>
        <v>1</v>
      </c>
      <c r="P61" s="12">
        <v>0</v>
      </c>
      <c r="Q61" s="12">
        <f>VLOOKUP(F61,'[1]MGM Report'!$D:$M,5,FALSE)</f>
        <v>0</v>
      </c>
      <c r="R61" s="12" t="b">
        <f t="shared" si="4"/>
        <v>1</v>
      </c>
      <c r="S61" s="13">
        <v>854315</v>
      </c>
      <c r="T61" s="13">
        <f>VLOOKUP(F61,'[1]MGM Report'!$D:$I,6,FALSE)</f>
        <v>854315</v>
      </c>
      <c r="U61" s="13" t="b">
        <f t="shared" si="5"/>
        <v>1</v>
      </c>
      <c r="V61" s="12">
        <v>426201</v>
      </c>
      <c r="W61" s="12">
        <f>VLOOKUP(F61,'[1]MGM Report'!$D:$J,7,FALSE)</f>
        <v>426201</v>
      </c>
      <c r="X61" s="12" t="b">
        <f t="shared" si="6"/>
        <v>1</v>
      </c>
      <c r="Y61" s="13">
        <v>727580</v>
      </c>
      <c r="Z61" s="13">
        <f>VLOOKUP(F61,'[1]MGM Report'!$D:$K,8,FALSE)</f>
        <v>727110</v>
      </c>
      <c r="AA61" s="13" t="b">
        <f t="shared" si="7"/>
        <v>0</v>
      </c>
      <c r="AB61" s="12">
        <v>-371859</v>
      </c>
      <c r="AC61" s="12">
        <f>VLOOKUP(F61,'[1]MGM Report'!$D:$M,10,FALSE)</f>
        <v>300909</v>
      </c>
      <c r="AD61" s="12" t="b">
        <f t="shared" si="8"/>
        <v>0</v>
      </c>
      <c r="AE61" s="13">
        <v>0</v>
      </c>
      <c r="AF61" s="13">
        <f>VLOOKUP(F61,'[1]MGM Report'!$D:$N,11,FALSE)</f>
        <v>0</v>
      </c>
      <c r="AG61" s="13" t="b">
        <f t="shared" si="9"/>
        <v>1</v>
      </c>
      <c r="AH61" s="12">
        <v>355721</v>
      </c>
      <c r="AI61" s="12">
        <f>VLOOKUP(F61,'[1]MGM Report'!$D:$S,12,FALSE)</f>
        <v>426201</v>
      </c>
      <c r="AJ61" s="12" t="b">
        <f t="shared" si="10"/>
        <v>0</v>
      </c>
      <c r="AK61" s="13">
        <f>VLOOKUP(F61,[2]HAVASMGMReportKBCUpdatedResult!$F:$R,13,FALSE)</f>
        <v>428114</v>
      </c>
      <c r="AL61" s="13">
        <f>VLOOKUP(F61,'[1]MGM Report'!$D:$S,14,FALSE)</f>
        <v>428114</v>
      </c>
    </row>
    <row r="62" spans="1:38">
      <c r="A62" s="7">
        <v>45758</v>
      </c>
      <c r="B62" s="8" t="s">
        <v>27</v>
      </c>
      <c r="C62" s="8" t="s">
        <v>120</v>
      </c>
      <c r="D62" s="8" t="s">
        <v>135</v>
      </c>
      <c r="E62" s="8" t="s">
        <v>136</v>
      </c>
      <c r="F62" s="8" t="str">
        <f t="shared" si="0"/>
        <v>SB22609</v>
      </c>
      <c r="G62" s="9">
        <v>713240</v>
      </c>
      <c r="H62" s="9">
        <f>VLOOKUP(F62,'[1]MGM Report'!$D:$E,2,FALSE)</f>
        <v>713240</v>
      </c>
      <c r="I62" s="9" t="b">
        <f t="shared" si="1"/>
        <v>1</v>
      </c>
      <c r="J62" s="12">
        <v>0</v>
      </c>
      <c r="K62" s="12">
        <f>VLOOKUP(F62,'[1]MGM Report'!$D:$F,3,FALSE)</f>
        <v>0</v>
      </c>
      <c r="L62" s="12" t="b">
        <f t="shared" si="2"/>
        <v>1</v>
      </c>
      <c r="M62" s="13">
        <v>713240</v>
      </c>
      <c r="N62" s="13">
        <f>VLOOKUP(F62,'[1]MGM Report'!$D:$G,4,FALSE)</f>
        <v>713240</v>
      </c>
      <c r="O62" s="13" t="b">
        <f t="shared" si="11"/>
        <v>1</v>
      </c>
      <c r="P62" s="12">
        <v>0</v>
      </c>
      <c r="Q62" s="12">
        <f>VLOOKUP(F62,'[1]MGM Report'!$D:$M,5,FALSE)</f>
        <v>0</v>
      </c>
      <c r="R62" s="12" t="b">
        <f t="shared" si="4"/>
        <v>1</v>
      </c>
      <c r="S62" s="13">
        <v>713240</v>
      </c>
      <c r="T62" s="13">
        <f>VLOOKUP(F62,'[1]MGM Report'!$D:$I,6,FALSE)</f>
        <v>713240</v>
      </c>
      <c r="U62" s="13" t="b">
        <f t="shared" si="5"/>
        <v>1</v>
      </c>
      <c r="V62" s="12">
        <v>74720.82</v>
      </c>
      <c r="W62" s="12">
        <f>VLOOKUP(F62,'[1]MGM Report'!$D:$J,7,FALSE)</f>
        <v>77012.82</v>
      </c>
      <c r="X62" s="12" t="b">
        <f t="shared" si="6"/>
        <v>0</v>
      </c>
      <c r="Y62" s="13">
        <v>52292</v>
      </c>
      <c r="Z62" s="13">
        <f>VLOOKUP(F62,'[1]MGM Report'!$D:$K,8,FALSE)</f>
        <v>52292</v>
      </c>
      <c r="AA62" s="13" t="b">
        <f t="shared" si="7"/>
        <v>1</v>
      </c>
      <c r="AB62" s="12">
        <v>503708</v>
      </c>
      <c r="AC62" s="12">
        <f>VLOOKUP(F62,'[1]MGM Report'!$D:$M,10,FALSE)</f>
        <v>503708</v>
      </c>
      <c r="AD62" s="12" t="b">
        <f t="shared" si="8"/>
        <v>1</v>
      </c>
      <c r="AE62" s="13">
        <v>0</v>
      </c>
      <c r="AF62" s="13">
        <f>VLOOKUP(F62,'[1]MGM Report'!$D:$N,11,FALSE)</f>
        <v>0</v>
      </c>
      <c r="AG62" s="13" t="b">
        <f t="shared" si="9"/>
        <v>1</v>
      </c>
      <c r="AH62" s="12">
        <v>556000</v>
      </c>
      <c r="AI62" s="12">
        <f>VLOOKUP(F62,'[1]MGM Report'!$D:$S,12,FALSE)</f>
        <v>556000</v>
      </c>
      <c r="AJ62" s="12" t="b">
        <f t="shared" si="10"/>
        <v>1</v>
      </c>
      <c r="AK62" s="13">
        <f>VLOOKUP(F62,[2]HAVASMGMReportKBCUpdatedResult!$F:$R,13,FALSE)</f>
        <v>638519.18</v>
      </c>
      <c r="AL62" s="13">
        <f>VLOOKUP(F62,'[1]MGM Report'!$D:$S,14,FALSE)</f>
        <v>636227.18</v>
      </c>
    </row>
    <row r="63" spans="1:38">
      <c r="A63" s="7">
        <v>45758</v>
      </c>
      <c r="B63" s="8" t="s">
        <v>27</v>
      </c>
      <c r="C63" s="8" t="s">
        <v>120</v>
      </c>
      <c r="D63" s="8" t="s">
        <v>71</v>
      </c>
      <c r="E63" s="8" t="s">
        <v>137</v>
      </c>
      <c r="F63" s="8" t="str">
        <f t="shared" si="0"/>
        <v>SB22608</v>
      </c>
      <c r="G63" s="9">
        <v>564513.83</v>
      </c>
      <c r="H63" s="9">
        <f>VLOOKUP(F63,'[1]MGM Report'!$D:$E,2,FALSE)</f>
        <v>564513.83</v>
      </c>
      <c r="I63" s="9" t="b">
        <f t="shared" si="1"/>
        <v>1</v>
      </c>
      <c r="J63" s="12">
        <v>564513.83</v>
      </c>
      <c r="K63" s="12">
        <f>VLOOKUP(F63,'[1]MGM Report'!$D:$F,3,FALSE)</f>
        <v>564513.83</v>
      </c>
      <c r="L63" s="12" t="b">
        <f t="shared" si="2"/>
        <v>1</v>
      </c>
      <c r="M63" s="13">
        <v>0</v>
      </c>
      <c r="N63" s="13">
        <f>VLOOKUP(F63,'[1]MGM Report'!$D:$G,4,FALSE)</f>
        <v>0</v>
      </c>
      <c r="O63" s="13" t="b">
        <f t="shared" si="11"/>
        <v>1</v>
      </c>
      <c r="P63" s="12">
        <v>0</v>
      </c>
      <c r="Q63" s="12">
        <f>VLOOKUP(F63,'[1]MGM Report'!$D:$M,5,FALSE)</f>
        <v>0</v>
      </c>
      <c r="R63" s="12" t="b">
        <f t="shared" si="4"/>
        <v>1</v>
      </c>
      <c r="S63" s="13">
        <v>564513.83</v>
      </c>
      <c r="T63" s="13">
        <f>VLOOKUP(F63,'[1]MGM Report'!$D:$I,6,FALSE)</f>
        <v>564513.83</v>
      </c>
      <c r="U63" s="13" t="b">
        <f t="shared" si="5"/>
        <v>1</v>
      </c>
      <c r="V63" s="12">
        <v>198200</v>
      </c>
      <c r="W63" s="12">
        <f>VLOOKUP(F63,'[1]MGM Report'!$D:$J,7,FALSE)</f>
        <v>253014.5</v>
      </c>
      <c r="X63" s="12" t="b">
        <f t="shared" si="6"/>
        <v>0</v>
      </c>
      <c r="Y63" s="13">
        <v>188596</v>
      </c>
      <c r="Z63" s="13">
        <f>VLOOKUP(F63,'[1]MGM Report'!$D:$K,8,FALSE)</f>
        <v>188596</v>
      </c>
      <c r="AA63" s="13" t="b">
        <f t="shared" si="7"/>
        <v>1</v>
      </c>
      <c r="AB63" s="12">
        <v>275266.83</v>
      </c>
      <c r="AC63" s="12">
        <f>VLOOKUP(F63,'[1]MGM Report'!$D:$M,10,FALSE)</f>
        <v>275266.83</v>
      </c>
      <c r="AD63" s="12" t="b">
        <f t="shared" si="8"/>
        <v>1</v>
      </c>
      <c r="AE63" s="13">
        <v>0</v>
      </c>
      <c r="AF63" s="13">
        <f>VLOOKUP(F63,'[1]MGM Report'!$D:$N,11,FALSE)</f>
        <v>0</v>
      </c>
      <c r="AG63" s="13" t="b">
        <f t="shared" si="9"/>
        <v>1</v>
      </c>
      <c r="AH63" s="12">
        <v>463862.83</v>
      </c>
      <c r="AI63" s="12">
        <f>VLOOKUP(F63,'[1]MGM Report'!$D:$S,12,FALSE)</f>
        <v>463862.83</v>
      </c>
      <c r="AJ63" s="12" t="b">
        <f t="shared" si="10"/>
        <v>1</v>
      </c>
      <c r="AK63" s="13">
        <f>VLOOKUP(F63,[2]HAVASMGMReportKBCUpdatedResult!$F:$R,13,FALSE)</f>
        <v>366313.83</v>
      </c>
      <c r="AL63" s="13">
        <f>VLOOKUP(F63,'[1]MGM Report'!$D:$S,14,FALSE)</f>
        <v>311499.33</v>
      </c>
    </row>
    <row r="64" spans="1:38">
      <c r="A64" s="7">
        <v>45758</v>
      </c>
      <c r="B64" s="8" t="s">
        <v>27</v>
      </c>
      <c r="C64" s="8" t="s">
        <v>120</v>
      </c>
      <c r="D64" s="8" t="s">
        <v>138</v>
      </c>
      <c r="E64" s="8" t="s">
        <v>139</v>
      </c>
      <c r="F64" s="8" t="str">
        <f t="shared" si="0"/>
        <v>SB22606</v>
      </c>
      <c r="G64" s="9">
        <v>5907347.6</v>
      </c>
      <c r="H64" s="9">
        <f>VLOOKUP(F64,'[1]MGM Report'!$D:$E,2,FALSE)</f>
        <v>5907347.6</v>
      </c>
      <c r="I64" s="9" t="b">
        <f t="shared" si="1"/>
        <v>1</v>
      </c>
      <c r="J64" s="12">
        <v>0</v>
      </c>
      <c r="K64" s="12">
        <f>VLOOKUP(F64,'[1]MGM Report'!$D:$F,3,FALSE)</f>
        <v>0</v>
      </c>
      <c r="L64" s="12" t="b">
        <f t="shared" si="2"/>
        <v>1</v>
      </c>
      <c r="M64" s="13">
        <v>5998107</v>
      </c>
      <c r="N64" s="13">
        <f>VLOOKUP(F64,'[1]MGM Report'!$D:$G,4,FALSE)</f>
        <v>5907348</v>
      </c>
      <c r="O64" s="13" t="b">
        <f t="shared" si="11"/>
        <v>0</v>
      </c>
      <c r="P64" s="12">
        <v>0</v>
      </c>
      <c r="Q64" s="12">
        <f>VLOOKUP(F64,'[1]MGM Report'!$D:$M,5,FALSE)</f>
        <v>0</v>
      </c>
      <c r="R64" s="12" t="b">
        <f t="shared" si="4"/>
        <v>1</v>
      </c>
      <c r="S64" s="13">
        <v>5998107</v>
      </c>
      <c r="T64" s="13">
        <f>VLOOKUP(F64,'[1]MGM Report'!$D:$I,6,FALSE)</f>
        <v>5907348</v>
      </c>
      <c r="U64" s="13" t="b">
        <f t="shared" si="5"/>
        <v>0</v>
      </c>
      <c r="V64" s="12">
        <v>2848783.54</v>
      </c>
      <c r="W64" s="12">
        <f>VLOOKUP(F64,'[1]MGM Report'!$D:$J,7,FALSE)</f>
        <v>2991402.18</v>
      </c>
      <c r="X64" s="12" t="b">
        <f t="shared" si="6"/>
        <v>0</v>
      </c>
      <c r="Y64" s="13">
        <v>585823</v>
      </c>
      <c r="Z64" s="13">
        <f>VLOOKUP(F64,'[1]MGM Report'!$D:$K,8,FALSE)</f>
        <v>585823</v>
      </c>
      <c r="AA64" s="13" t="b">
        <f t="shared" si="7"/>
        <v>1</v>
      </c>
      <c r="AB64" s="12">
        <v>3981994.66</v>
      </c>
      <c r="AC64" s="12">
        <f>VLOOKUP(F64,'[1]MGM Report'!$D:$M,10,FALSE)</f>
        <v>3981994.66</v>
      </c>
      <c r="AD64" s="12" t="b">
        <f t="shared" si="8"/>
        <v>1</v>
      </c>
      <c r="AE64" s="13">
        <v>0</v>
      </c>
      <c r="AF64" s="13">
        <f>VLOOKUP(F64,'[1]MGM Report'!$D:$N,11,FALSE)</f>
        <v>0</v>
      </c>
      <c r="AG64" s="13" t="b">
        <f t="shared" si="9"/>
        <v>1</v>
      </c>
      <c r="AH64" s="12">
        <v>4567817.66</v>
      </c>
      <c r="AI64" s="12">
        <f>VLOOKUP(F64,'[1]MGM Report'!$D:$S,12,FALSE)</f>
        <v>4567817.66</v>
      </c>
      <c r="AJ64" s="12" t="b">
        <f t="shared" si="10"/>
        <v>1</v>
      </c>
      <c r="AK64" s="13">
        <f>VLOOKUP(F64,[2]HAVASMGMReportKBCUpdatedResult!$F:$R,13,FALSE)</f>
        <v>3058564.06</v>
      </c>
      <c r="AL64" s="13">
        <f>VLOOKUP(F64,'[1]MGM Report'!$D:$S,14,FALSE)</f>
        <v>2915945.42</v>
      </c>
    </row>
    <row r="65" spans="1:38">
      <c r="A65" s="7">
        <v>45758</v>
      </c>
      <c r="B65" s="8" t="s">
        <v>27</v>
      </c>
      <c r="C65" s="8" t="s">
        <v>120</v>
      </c>
      <c r="D65" s="8" t="s">
        <v>140</v>
      </c>
      <c r="E65" s="8" t="s">
        <v>141</v>
      </c>
      <c r="F65" s="8" t="str">
        <f t="shared" si="0"/>
        <v>SB22607</v>
      </c>
      <c r="G65" s="9">
        <v>336450</v>
      </c>
      <c r="H65" s="9">
        <f>VLOOKUP(F65,'[1]MGM Report'!$D:$E,2,FALSE)</f>
        <v>336450</v>
      </c>
      <c r="I65" s="9" t="b">
        <f t="shared" si="1"/>
        <v>1</v>
      </c>
      <c r="J65" s="12">
        <v>336450</v>
      </c>
      <c r="K65" s="12">
        <f>VLOOKUP(F65,'[1]MGM Report'!$D:$F,3,FALSE)</f>
        <v>336450</v>
      </c>
      <c r="L65" s="12" t="b">
        <f t="shared" si="2"/>
        <v>1</v>
      </c>
      <c r="M65" s="13">
        <v>0</v>
      </c>
      <c r="N65" s="13">
        <f>VLOOKUP(F65,'[1]MGM Report'!$D:$G,4,FALSE)</f>
        <v>0</v>
      </c>
      <c r="O65" s="13" t="b">
        <f t="shared" si="11"/>
        <v>1</v>
      </c>
      <c r="P65" s="12">
        <v>0</v>
      </c>
      <c r="Q65" s="12">
        <f>VLOOKUP(F65,'[1]MGM Report'!$D:$M,5,FALSE)</f>
        <v>0</v>
      </c>
      <c r="R65" s="12" t="b">
        <f t="shared" si="4"/>
        <v>1</v>
      </c>
      <c r="S65" s="13">
        <v>336450</v>
      </c>
      <c r="T65" s="13">
        <f>VLOOKUP(F65,'[1]MGM Report'!$D:$I,6,FALSE)</f>
        <v>336450</v>
      </c>
      <c r="U65" s="13" t="b">
        <f t="shared" si="5"/>
        <v>1</v>
      </c>
      <c r="V65" s="12">
        <v>227815</v>
      </c>
      <c r="W65" s="12">
        <f>VLOOKUP(F65,'[1]MGM Report'!$D:$J,7,FALSE)</f>
        <v>227815</v>
      </c>
      <c r="X65" s="12" t="b">
        <f t="shared" si="6"/>
        <v>1</v>
      </c>
      <c r="Y65" s="13">
        <v>227815</v>
      </c>
      <c r="Z65" s="13">
        <f>VLOOKUP(F65,'[1]MGM Report'!$D:$K,8,FALSE)</f>
        <v>227815</v>
      </c>
      <c r="AA65" s="13" t="b">
        <f t="shared" si="7"/>
        <v>1</v>
      </c>
      <c r="AB65" s="12">
        <v>34616</v>
      </c>
      <c r="AC65" s="12">
        <f>VLOOKUP(F65,'[1]MGM Report'!$D:$M,10,FALSE)</f>
        <v>34616</v>
      </c>
      <c r="AD65" s="12" t="b">
        <f t="shared" si="8"/>
        <v>1</v>
      </c>
      <c r="AE65" s="13">
        <v>0</v>
      </c>
      <c r="AF65" s="13">
        <f>VLOOKUP(F65,'[1]MGM Report'!$D:$N,11,FALSE)</f>
        <v>0</v>
      </c>
      <c r="AG65" s="13" t="b">
        <f t="shared" si="9"/>
        <v>1</v>
      </c>
      <c r="AH65" s="12">
        <v>262431</v>
      </c>
      <c r="AI65" s="12">
        <f>VLOOKUP(F65,'[1]MGM Report'!$D:$S,12,FALSE)</f>
        <v>262431</v>
      </c>
      <c r="AJ65" s="12" t="b">
        <f t="shared" si="10"/>
        <v>1</v>
      </c>
      <c r="AK65" s="13">
        <f>VLOOKUP(F65,[2]HAVASMGMReportKBCUpdatedResult!$F:$R,13,FALSE)</f>
        <v>108635</v>
      </c>
      <c r="AL65" s="13">
        <f>VLOOKUP(F65,'[1]MGM Report'!$D:$S,14,FALSE)</f>
        <v>108635</v>
      </c>
    </row>
    <row r="66" spans="1:38">
      <c r="A66" s="7">
        <v>45758</v>
      </c>
      <c r="B66" s="8" t="s">
        <v>27</v>
      </c>
      <c r="C66" s="8" t="s">
        <v>120</v>
      </c>
      <c r="D66" s="8" t="s">
        <v>71</v>
      </c>
      <c r="E66" s="8" t="s">
        <v>142</v>
      </c>
      <c r="F66" s="8" t="str">
        <f t="shared" si="0"/>
        <v>SB22603</v>
      </c>
      <c r="G66" s="9">
        <v>52557</v>
      </c>
      <c r="H66" s="9">
        <f>VLOOKUP(F66,'[1]MGM Report'!$D:$E,2,FALSE)</f>
        <v>105114</v>
      </c>
      <c r="I66" s="9" t="b">
        <f t="shared" si="1"/>
        <v>0</v>
      </c>
      <c r="J66" s="12">
        <v>0</v>
      </c>
      <c r="K66" s="12">
        <f>VLOOKUP(F66,'[1]MGM Report'!$D:$F,3,FALSE)</f>
        <v>0</v>
      </c>
      <c r="L66" s="12" t="b">
        <f t="shared" si="2"/>
        <v>1</v>
      </c>
      <c r="M66" s="13">
        <v>0</v>
      </c>
      <c r="N66" s="13">
        <f>VLOOKUP(F66,'[1]MGM Report'!$D:$G,4,FALSE)</f>
        <v>0</v>
      </c>
      <c r="O66" s="13" t="b">
        <f t="shared" si="11"/>
        <v>1</v>
      </c>
      <c r="P66" s="12">
        <v>0</v>
      </c>
      <c r="Q66" s="12">
        <f>VLOOKUP(F66,'[1]MGM Report'!$D:$M,5,FALSE)</f>
        <v>0</v>
      </c>
      <c r="R66" s="12" t="b">
        <f t="shared" si="4"/>
        <v>1</v>
      </c>
      <c r="S66" s="13">
        <v>0</v>
      </c>
      <c r="T66" s="13">
        <f>VLOOKUP(F66,'[1]MGM Report'!$D:$I,6,FALSE)</f>
        <v>0</v>
      </c>
      <c r="U66" s="13" t="b">
        <f t="shared" si="5"/>
        <v>1</v>
      </c>
      <c r="V66" s="12">
        <v>0</v>
      </c>
      <c r="W66" s="12">
        <f>VLOOKUP(F66,'[1]MGM Report'!$D:$J,7,FALSE)</f>
        <v>0</v>
      </c>
      <c r="X66" s="12" t="b">
        <f t="shared" si="6"/>
        <v>1</v>
      </c>
      <c r="Y66" s="13">
        <v>0</v>
      </c>
      <c r="Z66" s="13">
        <f>VLOOKUP(F66,'[1]MGM Report'!$D:$K,8,FALSE)</f>
        <v>0</v>
      </c>
      <c r="AA66" s="13" t="b">
        <f t="shared" si="7"/>
        <v>1</v>
      </c>
      <c r="AB66" s="12">
        <v>0</v>
      </c>
      <c r="AC66" s="12">
        <f>VLOOKUP(F66,'[1]MGM Report'!$D:$M,10,FALSE)</f>
        <v>0</v>
      </c>
      <c r="AD66" s="12" t="b">
        <f t="shared" si="8"/>
        <v>1</v>
      </c>
      <c r="AE66" s="13">
        <v>0</v>
      </c>
      <c r="AF66" s="13">
        <f>VLOOKUP(F66,'[1]MGM Report'!$D:$N,11,FALSE)</f>
        <v>0</v>
      </c>
      <c r="AG66" s="13" t="b">
        <f t="shared" si="9"/>
        <v>1</v>
      </c>
      <c r="AH66" s="12">
        <v>0</v>
      </c>
      <c r="AI66" s="12">
        <f>VLOOKUP(F66,'[1]MGM Report'!$D:$S,12,FALSE)</f>
        <v>0</v>
      </c>
      <c r="AJ66" s="12" t="b">
        <f t="shared" si="10"/>
        <v>1</v>
      </c>
      <c r="AK66" s="13">
        <f>VLOOKUP(F66,[2]HAVASMGMReportKBCUpdatedResult!$F:$R,13,FALSE)</f>
        <v>52557</v>
      </c>
      <c r="AL66" s="13">
        <f>VLOOKUP(F66,'[1]MGM Report'!$D:$S,14,FALSE)</f>
        <v>105114</v>
      </c>
    </row>
    <row r="67" spans="1:38">
      <c r="A67" s="7">
        <v>45758</v>
      </c>
      <c r="B67" s="8" t="s">
        <v>31</v>
      </c>
      <c r="C67" s="8" t="s">
        <v>115</v>
      </c>
      <c r="D67" s="8" t="s">
        <v>143</v>
      </c>
      <c r="E67" s="8" t="s">
        <v>144</v>
      </c>
      <c r="F67" s="8" t="str">
        <f t="shared" ref="F67:F130" si="12">_xlfn.TEXTBEFORE(E67," ")</f>
        <v>SB22605</v>
      </c>
      <c r="G67" s="9">
        <v>13492.5</v>
      </c>
      <c r="H67" s="9">
        <f>VLOOKUP(F67,'[1]MGM Report'!$D:$E,2,FALSE)</f>
        <v>13492.5</v>
      </c>
      <c r="I67" s="9" t="b">
        <f t="shared" ref="I67:I130" si="13">G67=H67</f>
        <v>1</v>
      </c>
      <c r="J67" s="12">
        <v>13492.5</v>
      </c>
      <c r="K67" s="12">
        <f>VLOOKUP(F67,'[1]MGM Report'!$D:$F,3,FALSE)</f>
        <v>13492.5</v>
      </c>
      <c r="L67" s="12" t="b">
        <f t="shared" ref="L67:L130" si="14">J67=K67</f>
        <v>1</v>
      </c>
      <c r="M67" s="13">
        <v>0</v>
      </c>
      <c r="N67" s="13">
        <f>VLOOKUP(F67,'[1]MGM Report'!$D:$G,4,FALSE)</f>
        <v>0</v>
      </c>
      <c r="O67" s="13" t="b">
        <f t="shared" si="11"/>
        <v>1</v>
      </c>
      <c r="P67" s="12">
        <v>0</v>
      </c>
      <c r="Q67" s="12">
        <f>VLOOKUP(F67,'[1]MGM Report'!$D:$M,5,FALSE)</f>
        <v>0</v>
      </c>
      <c r="R67" s="12" t="b">
        <f t="shared" ref="R67:R130" si="15">P67=Q67</f>
        <v>1</v>
      </c>
      <c r="S67" s="13">
        <v>13492.5</v>
      </c>
      <c r="T67" s="13">
        <f>VLOOKUP(F67,'[1]MGM Report'!$D:$I,6,FALSE)</f>
        <v>13492.5</v>
      </c>
      <c r="U67" s="13" t="b">
        <f t="shared" ref="U67:U130" si="16">S67=T67</f>
        <v>1</v>
      </c>
      <c r="V67" s="12">
        <v>9400</v>
      </c>
      <c r="W67" s="12">
        <f>VLOOKUP(F67,'[1]MGM Report'!$D:$J,7,FALSE)</f>
        <v>9400</v>
      </c>
      <c r="X67" s="12" t="b">
        <f t="shared" ref="X67:X130" si="17">V67=W67</f>
        <v>1</v>
      </c>
      <c r="Y67" s="13">
        <v>9400</v>
      </c>
      <c r="Z67" s="13">
        <f>VLOOKUP(F67,'[1]MGM Report'!$D:$K,8,FALSE)</f>
        <v>9400</v>
      </c>
      <c r="AA67" s="13" t="b">
        <f t="shared" ref="AA67:AA130" si="18">Y67=Z67</f>
        <v>1</v>
      </c>
      <c r="AB67" s="12">
        <v>0</v>
      </c>
      <c r="AC67" s="12">
        <f>VLOOKUP(F67,'[1]MGM Report'!$D:$M,10,FALSE)</f>
        <v>0</v>
      </c>
      <c r="AD67" s="12" t="b">
        <f t="shared" ref="AD67:AD130" si="19">AB67=AC67</f>
        <v>1</v>
      </c>
      <c r="AE67" s="13">
        <v>0</v>
      </c>
      <c r="AF67" s="13">
        <f>VLOOKUP(F67,'[1]MGM Report'!$D:$N,11,FALSE)</f>
        <v>0</v>
      </c>
      <c r="AG67" s="13" t="b">
        <f t="shared" ref="AG67:AG130" si="20">AE67=AF67</f>
        <v>1</v>
      </c>
      <c r="AH67" s="12">
        <v>9400</v>
      </c>
      <c r="AI67" s="12">
        <f>VLOOKUP(F67,'[1]MGM Report'!$D:$S,12,FALSE)</f>
        <v>9400</v>
      </c>
      <c r="AJ67" s="12" t="b">
        <f t="shared" ref="AJ67:AJ130" si="21">AH67=AI67</f>
        <v>1</v>
      </c>
      <c r="AK67" s="13">
        <f>VLOOKUP(F67,[2]HAVASMGMReportKBCUpdatedResult!$F:$R,13,FALSE)</f>
        <v>4092.5</v>
      </c>
      <c r="AL67" s="13">
        <f>VLOOKUP(F67,'[1]MGM Report'!$D:$S,14,FALSE)</f>
        <v>4092.5</v>
      </c>
    </row>
    <row r="68" spans="1:38">
      <c r="A68" s="7">
        <v>45758</v>
      </c>
      <c r="B68" s="8" t="s">
        <v>31</v>
      </c>
      <c r="C68" s="8" t="s">
        <v>115</v>
      </c>
      <c r="D68" s="8" t="s">
        <v>45</v>
      </c>
      <c r="E68" s="8" t="s">
        <v>145</v>
      </c>
      <c r="F68" s="8" t="str">
        <f t="shared" si="12"/>
        <v>SB22604</v>
      </c>
      <c r="G68" s="9">
        <v>0</v>
      </c>
      <c r="H68" s="9">
        <f>VLOOKUP(F68,'[1]MGM Report'!$D:$E,2,FALSE)</f>
        <v>1014046</v>
      </c>
      <c r="I68" s="9" t="b">
        <f t="shared" si="13"/>
        <v>0</v>
      </c>
      <c r="J68" s="12">
        <v>0</v>
      </c>
      <c r="K68" s="12">
        <f>VLOOKUP(F68,'[1]MGM Report'!$D:$F,3,FALSE)</f>
        <v>0</v>
      </c>
      <c r="L68" s="12" t="b">
        <f t="shared" si="14"/>
        <v>1</v>
      </c>
      <c r="M68" s="13">
        <v>1014046</v>
      </c>
      <c r="N68" s="13">
        <f>VLOOKUP(F68,'[1]MGM Report'!$D:$G,4,FALSE)</f>
        <v>1014046</v>
      </c>
      <c r="O68" s="13" t="b">
        <f t="shared" si="11"/>
        <v>1</v>
      </c>
      <c r="P68" s="12">
        <v>0</v>
      </c>
      <c r="Q68" s="12">
        <f>VLOOKUP(F68,'[1]MGM Report'!$D:$M,5,FALSE)</f>
        <v>0</v>
      </c>
      <c r="R68" s="12" t="b">
        <f t="shared" si="15"/>
        <v>1</v>
      </c>
      <c r="S68" s="13">
        <v>1014046</v>
      </c>
      <c r="T68" s="13">
        <f>VLOOKUP(F68,'[1]MGM Report'!$D:$I,6,FALSE)</f>
        <v>1014046</v>
      </c>
      <c r="U68" s="13" t="b">
        <f t="shared" si="16"/>
        <v>1</v>
      </c>
      <c r="V68" s="12">
        <v>705944</v>
      </c>
      <c r="W68" s="12">
        <f>VLOOKUP(F68,'[1]MGM Report'!$D:$J,7,FALSE)</f>
        <v>708765</v>
      </c>
      <c r="X68" s="12" t="b">
        <f t="shared" si="17"/>
        <v>0</v>
      </c>
      <c r="Y68" s="13">
        <v>708765</v>
      </c>
      <c r="Z68" s="13">
        <f>VLOOKUP(F68,'[1]MGM Report'!$D:$K,8,FALSE)</f>
        <v>708765</v>
      </c>
      <c r="AA68" s="13" t="b">
        <f t="shared" si="18"/>
        <v>1</v>
      </c>
      <c r="AB68" s="12">
        <v>0</v>
      </c>
      <c r="AC68" s="12">
        <f>VLOOKUP(F68,'[1]MGM Report'!$D:$M,10,FALSE)</f>
        <v>0</v>
      </c>
      <c r="AD68" s="12" t="b">
        <f t="shared" si="19"/>
        <v>1</v>
      </c>
      <c r="AE68" s="13">
        <v>0</v>
      </c>
      <c r="AF68" s="13">
        <f>VLOOKUP(F68,'[1]MGM Report'!$D:$N,11,FALSE)</f>
        <v>0</v>
      </c>
      <c r="AG68" s="13" t="b">
        <f t="shared" si="20"/>
        <v>1</v>
      </c>
      <c r="AH68" s="12">
        <v>708765</v>
      </c>
      <c r="AI68" s="12">
        <f>VLOOKUP(F68,'[1]MGM Report'!$D:$S,12,FALSE)</f>
        <v>708765</v>
      </c>
      <c r="AJ68" s="12" t="b">
        <f t="shared" si="21"/>
        <v>1</v>
      </c>
      <c r="AK68" s="13">
        <f>VLOOKUP(F68,[2]HAVASMGMReportKBCUpdatedResult!$F:$R,13,FALSE)</f>
        <v>-705944</v>
      </c>
      <c r="AL68" s="13">
        <f>VLOOKUP(F68,'[1]MGM Report'!$D:$S,14,FALSE)</f>
        <v>305281</v>
      </c>
    </row>
    <row r="69" spans="1:38">
      <c r="A69" s="7">
        <v>45758</v>
      </c>
      <c r="B69" s="8" t="s">
        <v>27</v>
      </c>
      <c r="C69" s="8" t="s">
        <v>120</v>
      </c>
      <c r="D69" s="8" t="s">
        <v>64</v>
      </c>
      <c r="E69" s="8" t="s">
        <v>146</v>
      </c>
      <c r="F69" s="8" t="str">
        <f t="shared" si="12"/>
        <v>SB22602</v>
      </c>
      <c r="G69" s="9">
        <v>1102551</v>
      </c>
      <c r="H69" s="9">
        <f>VLOOKUP(F69,'[1]MGM Report'!$D:$E,2,FALSE)</f>
        <v>1102551</v>
      </c>
      <c r="I69" s="9" t="b">
        <f t="shared" si="13"/>
        <v>1</v>
      </c>
      <c r="J69" s="12">
        <v>1102551</v>
      </c>
      <c r="K69" s="12">
        <f>VLOOKUP(F69,'[1]MGM Report'!$D:$F,3,FALSE)</f>
        <v>1102551</v>
      </c>
      <c r="L69" s="12" t="b">
        <f t="shared" si="14"/>
        <v>1</v>
      </c>
      <c r="M69" s="13">
        <v>0</v>
      </c>
      <c r="N69" s="13">
        <f>VLOOKUP(F69,'[1]MGM Report'!$D:$G,4,FALSE)</f>
        <v>0</v>
      </c>
      <c r="O69" s="13" t="b">
        <f t="shared" si="11"/>
        <v>1</v>
      </c>
      <c r="P69" s="12">
        <v>0</v>
      </c>
      <c r="Q69" s="12">
        <f>VLOOKUP(F69,'[1]MGM Report'!$D:$M,5,FALSE)</f>
        <v>0</v>
      </c>
      <c r="R69" s="12" t="b">
        <f t="shared" si="15"/>
        <v>1</v>
      </c>
      <c r="S69" s="13">
        <v>1102551</v>
      </c>
      <c r="T69" s="13">
        <f>VLOOKUP(F69,'[1]MGM Report'!$D:$I,6,FALSE)</f>
        <v>1102551</v>
      </c>
      <c r="U69" s="13" t="b">
        <f t="shared" si="16"/>
        <v>1</v>
      </c>
      <c r="V69" s="12">
        <v>534310.5</v>
      </c>
      <c r="W69" s="12">
        <f>VLOOKUP(F69,'[1]MGM Report'!$D:$J,7,FALSE)</f>
        <v>712151.24</v>
      </c>
      <c r="X69" s="12" t="b">
        <f t="shared" si="17"/>
        <v>0</v>
      </c>
      <c r="Y69" s="13">
        <v>608501.24</v>
      </c>
      <c r="Z69" s="13">
        <f>VLOOKUP(F69,'[1]MGM Report'!$D:$K,8,FALSE)</f>
        <v>608501.24</v>
      </c>
      <c r="AA69" s="13" t="b">
        <f t="shared" si="18"/>
        <v>1</v>
      </c>
      <c r="AB69" s="12">
        <v>103650</v>
      </c>
      <c r="AC69" s="12">
        <f>VLOOKUP(F69,'[1]MGM Report'!$D:$M,10,FALSE)</f>
        <v>103650</v>
      </c>
      <c r="AD69" s="12" t="b">
        <f t="shared" si="19"/>
        <v>1</v>
      </c>
      <c r="AE69" s="13">
        <v>0</v>
      </c>
      <c r="AF69" s="13">
        <f>VLOOKUP(F69,'[1]MGM Report'!$D:$N,11,FALSE)</f>
        <v>0</v>
      </c>
      <c r="AG69" s="13" t="b">
        <f t="shared" si="20"/>
        <v>1</v>
      </c>
      <c r="AH69" s="12">
        <v>712151.24</v>
      </c>
      <c r="AI69" s="12">
        <f>VLOOKUP(F69,'[1]MGM Report'!$D:$S,12,FALSE)</f>
        <v>712151.24</v>
      </c>
      <c r="AJ69" s="12" t="b">
        <f t="shared" si="21"/>
        <v>1</v>
      </c>
      <c r="AK69" s="13">
        <f>VLOOKUP(F69,[2]HAVASMGMReportKBCUpdatedResult!$F:$R,13,FALSE)</f>
        <v>568240.5</v>
      </c>
      <c r="AL69" s="13">
        <f>VLOOKUP(F69,'[1]MGM Report'!$D:$S,14,FALSE)</f>
        <v>390399.76</v>
      </c>
    </row>
    <row r="70" spans="1:38">
      <c r="A70" s="7">
        <v>45758</v>
      </c>
      <c r="B70" s="8" t="s">
        <v>27</v>
      </c>
      <c r="C70" s="8" t="s">
        <v>120</v>
      </c>
      <c r="D70" s="8" t="s">
        <v>81</v>
      </c>
      <c r="E70" s="8" t="s">
        <v>147</v>
      </c>
      <c r="F70" s="8" t="str">
        <f t="shared" si="12"/>
        <v>SB22600</v>
      </c>
      <c r="G70" s="9">
        <v>192016</v>
      </c>
      <c r="H70" s="9">
        <f>VLOOKUP(F70,'[1]MGM Report'!$D:$E,2,FALSE)</f>
        <v>192016</v>
      </c>
      <c r="I70" s="9" t="b">
        <f t="shared" si="13"/>
        <v>1</v>
      </c>
      <c r="J70" s="12">
        <v>0</v>
      </c>
      <c r="K70" s="12">
        <f>VLOOKUP(F70,'[1]MGM Report'!$D:$F,3,FALSE)</f>
        <v>0</v>
      </c>
      <c r="L70" s="12" t="b">
        <f t="shared" si="14"/>
        <v>1</v>
      </c>
      <c r="M70" s="13">
        <v>192016</v>
      </c>
      <c r="N70" s="13">
        <f>VLOOKUP(F70,'[1]MGM Report'!$D:$G,4,FALSE)</f>
        <v>192016</v>
      </c>
      <c r="O70" s="13" t="b">
        <f t="shared" si="11"/>
        <v>1</v>
      </c>
      <c r="P70" s="12">
        <v>0</v>
      </c>
      <c r="Q70" s="12">
        <f>VLOOKUP(F70,'[1]MGM Report'!$D:$M,5,FALSE)</f>
        <v>0</v>
      </c>
      <c r="R70" s="12" t="b">
        <f t="shared" si="15"/>
        <v>1</v>
      </c>
      <c r="S70" s="13">
        <v>192016</v>
      </c>
      <c r="T70" s="13">
        <f>VLOOKUP(F70,'[1]MGM Report'!$D:$I,6,FALSE)</f>
        <v>192016</v>
      </c>
      <c r="U70" s="13" t="b">
        <f t="shared" si="16"/>
        <v>1</v>
      </c>
      <c r="V70" s="12">
        <v>600</v>
      </c>
      <c r="W70" s="12">
        <f>VLOOKUP(F70,'[1]MGM Report'!$D:$J,7,FALSE)</f>
        <v>600</v>
      </c>
      <c r="X70" s="12" t="b">
        <f t="shared" si="17"/>
        <v>1</v>
      </c>
      <c r="Y70" s="13">
        <v>600</v>
      </c>
      <c r="Z70" s="13">
        <f>VLOOKUP(F70,'[1]MGM Report'!$D:$K,8,FALSE)</f>
        <v>600</v>
      </c>
      <c r="AA70" s="13" t="b">
        <f t="shared" si="18"/>
        <v>1</v>
      </c>
      <c r="AB70" s="12">
        <v>149100</v>
      </c>
      <c r="AC70" s="12">
        <f>VLOOKUP(F70,'[1]MGM Report'!$D:$M,10,FALSE)</f>
        <v>149100</v>
      </c>
      <c r="AD70" s="12" t="b">
        <f t="shared" si="19"/>
        <v>1</v>
      </c>
      <c r="AE70" s="13">
        <v>0</v>
      </c>
      <c r="AF70" s="13">
        <f>VLOOKUP(F70,'[1]MGM Report'!$D:$N,11,FALSE)</f>
        <v>0</v>
      </c>
      <c r="AG70" s="13" t="b">
        <f t="shared" si="20"/>
        <v>1</v>
      </c>
      <c r="AH70" s="12">
        <v>149700</v>
      </c>
      <c r="AI70" s="12">
        <f>VLOOKUP(F70,'[1]MGM Report'!$D:$S,12,FALSE)</f>
        <v>149700</v>
      </c>
      <c r="AJ70" s="12" t="b">
        <f t="shared" si="21"/>
        <v>1</v>
      </c>
      <c r="AK70" s="13">
        <f>VLOOKUP(F70,[2]HAVASMGMReportKBCUpdatedResult!$F:$R,13,FALSE)</f>
        <v>191416</v>
      </c>
      <c r="AL70" s="13">
        <f>VLOOKUP(F70,'[1]MGM Report'!$D:$S,14,FALSE)</f>
        <v>191416</v>
      </c>
    </row>
    <row r="71" spans="1:38">
      <c r="A71" s="7">
        <v>45758</v>
      </c>
      <c r="B71" s="8" t="s">
        <v>27</v>
      </c>
      <c r="C71" s="8" t="s">
        <v>120</v>
      </c>
      <c r="D71" s="8" t="s">
        <v>47</v>
      </c>
      <c r="E71" s="8" t="s">
        <v>148</v>
      </c>
      <c r="F71" s="8" t="str">
        <f t="shared" si="12"/>
        <v>SB22596</v>
      </c>
      <c r="G71" s="9">
        <v>3705921</v>
      </c>
      <c r="H71" s="9">
        <f>VLOOKUP(F71,'[1]MGM Report'!$D:$E,2,FALSE)</f>
        <v>3701171.45</v>
      </c>
      <c r="I71" s="9" t="b">
        <f t="shared" si="13"/>
        <v>0</v>
      </c>
      <c r="J71" s="12">
        <v>0</v>
      </c>
      <c r="K71" s="12">
        <f>VLOOKUP(F71,'[1]MGM Report'!$D:$F,3,FALSE)</f>
        <v>0</v>
      </c>
      <c r="L71" s="12" t="b">
        <f t="shared" si="14"/>
        <v>1</v>
      </c>
      <c r="M71" s="13">
        <v>0</v>
      </c>
      <c r="N71" s="13">
        <f>VLOOKUP(F71,'[1]MGM Report'!$D:$G,4,FALSE)</f>
        <v>0</v>
      </c>
      <c r="O71" s="13" t="b">
        <f t="shared" si="11"/>
        <v>1</v>
      </c>
      <c r="P71" s="12">
        <v>0</v>
      </c>
      <c r="Q71" s="12">
        <f>VLOOKUP(F71,'[1]MGM Report'!$D:$M,5,FALSE)</f>
        <v>0</v>
      </c>
      <c r="R71" s="12" t="b">
        <f t="shared" si="15"/>
        <v>1</v>
      </c>
      <c r="S71" s="13">
        <v>0</v>
      </c>
      <c r="T71" s="13">
        <f>VLOOKUP(F71,'[1]MGM Report'!$D:$I,6,FALSE)</f>
        <v>0</v>
      </c>
      <c r="U71" s="13" t="b">
        <f t="shared" si="16"/>
        <v>1</v>
      </c>
      <c r="V71" s="12">
        <v>0</v>
      </c>
      <c r="W71" s="12">
        <f>VLOOKUP(F71,'[1]MGM Report'!$D:$J,7,FALSE)</f>
        <v>0</v>
      </c>
      <c r="X71" s="12" t="b">
        <f t="shared" si="17"/>
        <v>1</v>
      </c>
      <c r="Y71" s="13">
        <v>0</v>
      </c>
      <c r="Z71" s="13">
        <f>VLOOKUP(F71,'[1]MGM Report'!$D:$K,8,FALSE)</f>
        <v>0</v>
      </c>
      <c r="AA71" s="13" t="b">
        <f t="shared" si="18"/>
        <v>1</v>
      </c>
      <c r="AB71" s="12">
        <v>0</v>
      </c>
      <c r="AC71" s="12">
        <f>VLOOKUP(F71,'[1]MGM Report'!$D:$M,10,FALSE)</f>
        <v>0</v>
      </c>
      <c r="AD71" s="12" t="b">
        <f t="shared" si="19"/>
        <v>1</v>
      </c>
      <c r="AE71" s="13">
        <v>0</v>
      </c>
      <c r="AF71" s="13">
        <f>VLOOKUP(F71,'[1]MGM Report'!$D:$N,11,FALSE)</f>
        <v>0</v>
      </c>
      <c r="AG71" s="13" t="b">
        <f t="shared" si="20"/>
        <v>1</v>
      </c>
      <c r="AH71" s="12">
        <v>0</v>
      </c>
      <c r="AI71" s="12">
        <f>VLOOKUP(F71,'[1]MGM Report'!$D:$S,12,FALSE)</f>
        <v>0</v>
      </c>
      <c r="AJ71" s="12" t="b">
        <f t="shared" si="21"/>
        <v>1</v>
      </c>
      <c r="AK71" s="13">
        <f>VLOOKUP(F71,[2]HAVASMGMReportKBCUpdatedResult!$F:$R,13,FALSE)</f>
        <v>3705921</v>
      </c>
      <c r="AL71" s="13">
        <f>VLOOKUP(F71,'[1]MGM Report'!$D:$S,14,FALSE)</f>
        <v>3701171.45</v>
      </c>
    </row>
    <row r="72" spans="1:38">
      <c r="A72" s="7">
        <v>45758</v>
      </c>
      <c r="B72" s="8" t="s">
        <v>31</v>
      </c>
      <c r="C72" s="8" t="s">
        <v>115</v>
      </c>
      <c r="D72" s="8" t="s">
        <v>149</v>
      </c>
      <c r="E72" s="8" t="s">
        <v>150</v>
      </c>
      <c r="F72" s="8" t="str">
        <f t="shared" si="12"/>
        <v>SB22599</v>
      </c>
      <c r="G72" s="9">
        <v>644498</v>
      </c>
      <c r="H72" s="9">
        <f>VLOOKUP(F72,'[1]MGM Report'!$D:$E,2,FALSE)</f>
        <v>644498</v>
      </c>
      <c r="I72" s="9" t="b">
        <f t="shared" si="13"/>
        <v>1</v>
      </c>
      <c r="J72" s="12">
        <v>0</v>
      </c>
      <c r="K72" s="12">
        <f>VLOOKUP(F72,'[1]MGM Report'!$D:$F,3,FALSE)</f>
        <v>644498</v>
      </c>
      <c r="L72" s="12" t="b">
        <f t="shared" si="14"/>
        <v>0</v>
      </c>
      <c r="M72" s="13">
        <v>0</v>
      </c>
      <c r="N72" s="13">
        <f>VLOOKUP(F72,'[1]MGM Report'!$D:$G,4,FALSE)</f>
        <v>0</v>
      </c>
      <c r="O72" s="13" t="b">
        <f t="shared" si="11"/>
        <v>1</v>
      </c>
      <c r="P72" s="12">
        <v>0</v>
      </c>
      <c r="Q72" s="12">
        <f>VLOOKUP(F72,'[1]MGM Report'!$D:$M,5,FALSE)</f>
        <v>0</v>
      </c>
      <c r="R72" s="12" t="b">
        <f t="shared" si="15"/>
        <v>1</v>
      </c>
      <c r="S72" s="13">
        <v>0</v>
      </c>
      <c r="T72" s="13">
        <f>VLOOKUP(F72,'[1]MGM Report'!$D:$I,6,FALSE)</f>
        <v>644498</v>
      </c>
      <c r="U72" s="13" t="b">
        <f t="shared" si="16"/>
        <v>0</v>
      </c>
      <c r="V72" s="12">
        <v>560310</v>
      </c>
      <c r="W72" s="12">
        <f>VLOOKUP(F72,'[1]MGM Report'!$D:$J,7,FALSE)</f>
        <v>561491</v>
      </c>
      <c r="X72" s="12" t="b">
        <f t="shared" si="17"/>
        <v>0</v>
      </c>
      <c r="Y72" s="13">
        <v>75591</v>
      </c>
      <c r="Z72" s="13">
        <f>VLOOKUP(F72,'[1]MGM Report'!$D:$K,8,FALSE)</f>
        <v>75591</v>
      </c>
      <c r="AA72" s="13" t="b">
        <f t="shared" si="18"/>
        <v>1</v>
      </c>
      <c r="AB72" s="12">
        <v>485900</v>
      </c>
      <c r="AC72" s="12">
        <f>VLOOKUP(F72,'[1]MGM Report'!$D:$M,10,FALSE)</f>
        <v>485900</v>
      </c>
      <c r="AD72" s="12" t="b">
        <f t="shared" si="19"/>
        <v>1</v>
      </c>
      <c r="AE72" s="13">
        <v>0</v>
      </c>
      <c r="AF72" s="13">
        <f>VLOOKUP(F72,'[1]MGM Report'!$D:$N,11,FALSE)</f>
        <v>0</v>
      </c>
      <c r="AG72" s="13" t="b">
        <f t="shared" si="20"/>
        <v>1</v>
      </c>
      <c r="AH72" s="12">
        <v>561491</v>
      </c>
      <c r="AI72" s="12">
        <f>VLOOKUP(F72,'[1]MGM Report'!$D:$S,12,FALSE)</f>
        <v>561491</v>
      </c>
      <c r="AJ72" s="12" t="b">
        <f t="shared" si="21"/>
        <v>1</v>
      </c>
      <c r="AK72" s="13">
        <f>VLOOKUP(F72,[2]HAVASMGMReportKBCUpdatedResult!$F:$R,13,FALSE)</f>
        <v>84188</v>
      </c>
      <c r="AL72" s="13">
        <f>VLOOKUP(F72,'[1]MGM Report'!$D:$S,14,FALSE)</f>
        <v>83007</v>
      </c>
    </row>
    <row r="73" spans="1:38">
      <c r="A73" s="7">
        <v>45758</v>
      </c>
      <c r="B73" s="8" t="s">
        <v>59</v>
      </c>
      <c r="C73" s="8" t="s">
        <v>115</v>
      </c>
      <c r="D73" s="8" t="s">
        <v>151</v>
      </c>
      <c r="E73" s="8" t="s">
        <v>152</v>
      </c>
      <c r="F73" s="8" t="str">
        <f t="shared" si="12"/>
        <v>SB22597</v>
      </c>
      <c r="G73" s="9">
        <v>16125</v>
      </c>
      <c r="H73" s="9">
        <f>VLOOKUP(F73,'[1]MGM Report'!$D:$E,2,FALSE)</f>
        <v>16125</v>
      </c>
      <c r="I73" s="9" t="b">
        <f t="shared" si="13"/>
        <v>1</v>
      </c>
      <c r="J73" s="12">
        <v>16125</v>
      </c>
      <c r="K73" s="12">
        <f>VLOOKUP(F73,'[1]MGM Report'!$D:$F,3,FALSE)</f>
        <v>16125</v>
      </c>
      <c r="L73" s="12" t="b">
        <f t="shared" si="14"/>
        <v>1</v>
      </c>
      <c r="M73" s="13">
        <v>0</v>
      </c>
      <c r="N73" s="13">
        <f>VLOOKUP(F73,'[1]MGM Report'!$D:$G,4,FALSE)</f>
        <v>0</v>
      </c>
      <c r="O73" s="13" t="b">
        <f t="shared" si="11"/>
        <v>1</v>
      </c>
      <c r="P73" s="12">
        <v>0</v>
      </c>
      <c r="Q73" s="12">
        <f>VLOOKUP(F73,'[1]MGM Report'!$D:$M,5,FALSE)</f>
        <v>0</v>
      </c>
      <c r="R73" s="12" t="b">
        <f t="shared" si="15"/>
        <v>1</v>
      </c>
      <c r="S73" s="13">
        <v>16125</v>
      </c>
      <c r="T73" s="13">
        <f>VLOOKUP(F73,'[1]MGM Report'!$D:$I,6,FALSE)</f>
        <v>16125</v>
      </c>
      <c r="U73" s="13" t="b">
        <f t="shared" si="16"/>
        <v>1</v>
      </c>
      <c r="V73" s="12">
        <v>15150</v>
      </c>
      <c r="W73" s="12">
        <f>VLOOKUP(F73,'[1]MGM Report'!$D:$J,7,FALSE)</f>
        <v>15150</v>
      </c>
      <c r="X73" s="12" t="b">
        <f t="shared" si="17"/>
        <v>1</v>
      </c>
      <c r="Y73" s="13">
        <v>15150</v>
      </c>
      <c r="Z73" s="13">
        <f>VLOOKUP(F73,'[1]MGM Report'!$D:$K,8,FALSE)</f>
        <v>15150</v>
      </c>
      <c r="AA73" s="13" t="b">
        <f t="shared" si="18"/>
        <v>1</v>
      </c>
      <c r="AB73" s="12">
        <v>0</v>
      </c>
      <c r="AC73" s="12">
        <f>VLOOKUP(F73,'[1]MGM Report'!$D:$M,10,FALSE)</f>
        <v>0</v>
      </c>
      <c r="AD73" s="12" t="b">
        <f t="shared" si="19"/>
        <v>1</v>
      </c>
      <c r="AE73" s="13">
        <v>0</v>
      </c>
      <c r="AF73" s="13">
        <f>VLOOKUP(F73,'[1]MGM Report'!$D:$N,11,FALSE)</f>
        <v>0</v>
      </c>
      <c r="AG73" s="13" t="b">
        <f t="shared" si="20"/>
        <v>1</v>
      </c>
      <c r="AH73" s="12">
        <v>15150</v>
      </c>
      <c r="AI73" s="12">
        <f>VLOOKUP(F73,'[1]MGM Report'!$D:$S,12,FALSE)</f>
        <v>15150</v>
      </c>
      <c r="AJ73" s="12" t="b">
        <f t="shared" si="21"/>
        <v>1</v>
      </c>
      <c r="AK73" s="13">
        <f>VLOOKUP(F73,[2]HAVASMGMReportKBCUpdatedResult!$F:$R,13,FALSE)</f>
        <v>975</v>
      </c>
      <c r="AL73" s="13">
        <f>VLOOKUP(F73,'[1]MGM Report'!$D:$S,14,FALSE)</f>
        <v>975</v>
      </c>
    </row>
    <row r="74" spans="1:38">
      <c r="A74" s="7">
        <v>45758</v>
      </c>
      <c r="B74" s="8" t="s">
        <v>59</v>
      </c>
      <c r="C74" s="8" t="s">
        <v>115</v>
      </c>
      <c r="D74" s="8" t="s">
        <v>60</v>
      </c>
      <c r="E74" s="8" t="s">
        <v>153</v>
      </c>
      <c r="F74" s="8" t="str">
        <f t="shared" si="12"/>
        <v>SB22593</v>
      </c>
      <c r="G74" s="9">
        <v>268279</v>
      </c>
      <c r="H74" s="9">
        <f>VLOOKUP(F74,'[1]MGM Report'!$D:$E,2,FALSE)</f>
        <v>268279</v>
      </c>
      <c r="I74" s="9" t="b">
        <f t="shared" si="13"/>
        <v>1</v>
      </c>
      <c r="J74" s="12">
        <v>0</v>
      </c>
      <c r="K74" s="12">
        <f>VLOOKUP(F74,'[1]MGM Report'!$D:$F,3,FALSE)</f>
        <v>0</v>
      </c>
      <c r="L74" s="12" t="b">
        <f t="shared" si="14"/>
        <v>1</v>
      </c>
      <c r="M74" s="13">
        <v>268279</v>
      </c>
      <c r="N74" s="13">
        <f>VLOOKUP(F74,'[1]MGM Report'!$D:$G,4,FALSE)</f>
        <v>268279</v>
      </c>
      <c r="O74" s="13" t="b">
        <f t="shared" si="11"/>
        <v>1</v>
      </c>
      <c r="P74" s="12">
        <v>0</v>
      </c>
      <c r="Q74" s="12">
        <f>VLOOKUP(F74,'[1]MGM Report'!$D:$M,5,FALSE)</f>
        <v>0</v>
      </c>
      <c r="R74" s="12" t="b">
        <f t="shared" si="15"/>
        <v>1</v>
      </c>
      <c r="S74" s="13">
        <v>268279</v>
      </c>
      <c r="T74" s="13">
        <f>VLOOKUP(F74,'[1]MGM Report'!$D:$I,6,FALSE)</f>
        <v>268279</v>
      </c>
      <c r="U74" s="13" t="b">
        <f t="shared" si="16"/>
        <v>1</v>
      </c>
      <c r="V74" s="12">
        <v>241305</v>
      </c>
      <c r="W74" s="12">
        <f>VLOOKUP(F74,'[1]MGM Report'!$D:$J,7,FALSE)</f>
        <v>241305</v>
      </c>
      <c r="X74" s="12" t="b">
        <f t="shared" si="17"/>
        <v>1</v>
      </c>
      <c r="Y74" s="13">
        <v>205805</v>
      </c>
      <c r="Z74" s="13">
        <f>VLOOKUP(F74,'[1]MGM Report'!$D:$K,8,FALSE)</f>
        <v>241305</v>
      </c>
      <c r="AA74" s="13" t="b">
        <f t="shared" si="18"/>
        <v>0</v>
      </c>
      <c r="AB74" s="12">
        <v>0</v>
      </c>
      <c r="AC74" s="12">
        <f>VLOOKUP(F74,'[1]MGM Report'!$D:$M,10,FALSE)</f>
        <v>0</v>
      </c>
      <c r="AD74" s="12" t="b">
        <f t="shared" si="19"/>
        <v>1</v>
      </c>
      <c r="AE74" s="13">
        <v>0</v>
      </c>
      <c r="AF74" s="13">
        <f>VLOOKUP(F74,'[1]MGM Report'!$D:$N,11,FALSE)</f>
        <v>0</v>
      </c>
      <c r="AG74" s="13" t="b">
        <f t="shared" si="20"/>
        <v>1</v>
      </c>
      <c r="AH74" s="12">
        <v>205805</v>
      </c>
      <c r="AI74" s="12">
        <f>VLOOKUP(F74,'[1]MGM Report'!$D:$S,12,FALSE)</f>
        <v>241305</v>
      </c>
      <c r="AJ74" s="12" t="b">
        <f t="shared" si="21"/>
        <v>0</v>
      </c>
      <c r="AK74" s="13">
        <f>VLOOKUP(F74,[2]HAVASMGMReportKBCUpdatedResult!$F:$R,13,FALSE)</f>
        <v>26974</v>
      </c>
      <c r="AL74" s="13">
        <f>VLOOKUP(F74,'[1]MGM Report'!$D:$S,14,FALSE)</f>
        <v>26974</v>
      </c>
    </row>
    <row r="75" spans="1:38">
      <c r="A75" s="7">
        <v>45758</v>
      </c>
      <c r="B75" s="8" t="s">
        <v>27</v>
      </c>
      <c r="C75" s="8" t="s">
        <v>120</v>
      </c>
      <c r="D75" s="8" t="s">
        <v>135</v>
      </c>
      <c r="E75" s="8" t="s">
        <v>154</v>
      </c>
      <c r="F75" s="8" t="str">
        <f>_xlfn.TEXTBEFORE(E75," ")</f>
        <v>SB22595</v>
      </c>
      <c r="G75" s="9">
        <v>0</v>
      </c>
      <c r="H75" s="9">
        <f>VLOOKUP(F75,'[1]MGM Report'!$D:$E,2,FALSE)</f>
        <v>2580160</v>
      </c>
      <c r="I75" s="9" t="b">
        <f t="shared" si="13"/>
        <v>0</v>
      </c>
      <c r="J75" s="12">
        <v>0</v>
      </c>
      <c r="K75" s="12">
        <f>VLOOKUP(F75,'[1]MGM Report'!$D:$F,3,FALSE)</f>
        <v>0</v>
      </c>
      <c r="L75" s="12" t="b">
        <f t="shared" si="14"/>
        <v>1</v>
      </c>
      <c r="M75" s="13">
        <v>0</v>
      </c>
      <c r="N75" s="13">
        <f>VLOOKUP(F75,'[1]MGM Report'!$D:$G,4,FALSE)</f>
        <v>0</v>
      </c>
      <c r="O75" s="13" t="b">
        <f t="shared" ref="O75:O106" si="22">M75=N75</f>
        <v>1</v>
      </c>
      <c r="P75" s="12">
        <v>0</v>
      </c>
      <c r="Q75" s="12">
        <f>VLOOKUP(F75,'[1]MGM Report'!$D:$M,5,FALSE)</f>
        <v>0</v>
      </c>
      <c r="R75" s="12" t="b">
        <f t="shared" si="15"/>
        <v>1</v>
      </c>
      <c r="S75" s="13">
        <v>0</v>
      </c>
      <c r="T75" s="13">
        <f>VLOOKUP(F75,'[1]MGM Report'!$D:$I,6,FALSE)</f>
        <v>0</v>
      </c>
      <c r="U75" s="13" t="b">
        <f t="shared" si="16"/>
        <v>1</v>
      </c>
      <c r="V75" s="12">
        <v>850000</v>
      </c>
      <c r="W75" s="12">
        <f>VLOOKUP(F75,'[1]MGM Report'!$D:$J,7,FALSE)</f>
        <v>850000</v>
      </c>
      <c r="X75" s="12" t="b">
        <f t="shared" si="17"/>
        <v>1</v>
      </c>
      <c r="Y75" s="13">
        <v>850000</v>
      </c>
      <c r="Z75" s="13">
        <f>VLOOKUP(F75,'[1]MGM Report'!$D:$K,8,FALSE)</f>
        <v>850000</v>
      </c>
      <c r="AA75" s="13" t="b">
        <f t="shared" si="18"/>
        <v>1</v>
      </c>
      <c r="AB75" s="12">
        <v>-850000</v>
      </c>
      <c r="AC75" s="12">
        <f>VLOOKUP(F75,'[1]MGM Report'!$D:$M,10,FALSE)</f>
        <v>850000</v>
      </c>
      <c r="AD75" s="12" t="b">
        <f t="shared" si="19"/>
        <v>0</v>
      </c>
      <c r="AE75" s="13">
        <v>0</v>
      </c>
      <c r="AF75" s="13">
        <f>VLOOKUP(F75,'[1]MGM Report'!$D:$N,11,FALSE)</f>
        <v>0</v>
      </c>
      <c r="AG75" s="13" t="b">
        <f t="shared" si="20"/>
        <v>1</v>
      </c>
      <c r="AH75" s="12">
        <v>0</v>
      </c>
      <c r="AI75" s="12">
        <f>VLOOKUP(F75,'[1]MGM Report'!$D:$S,12,FALSE)</f>
        <v>0</v>
      </c>
      <c r="AJ75" s="12" t="b">
        <f t="shared" si="21"/>
        <v>1</v>
      </c>
      <c r="AK75" s="13">
        <f>VLOOKUP(F75,[2]HAVASMGMReportKBCUpdatedResult!$F:$R,13,FALSE)</f>
        <v>-850000</v>
      </c>
      <c r="AL75" s="13">
        <f>VLOOKUP(F75,'[1]MGM Report'!$D:$S,14,FALSE)</f>
        <v>1730160</v>
      </c>
    </row>
    <row r="76" spans="1:38">
      <c r="A76" s="7">
        <v>45758</v>
      </c>
      <c r="B76" s="8" t="s">
        <v>27</v>
      </c>
      <c r="C76" s="8" t="s">
        <v>120</v>
      </c>
      <c r="D76" s="8" t="s">
        <v>71</v>
      </c>
      <c r="E76" s="8" t="s">
        <v>155</v>
      </c>
      <c r="F76" s="8" t="str">
        <f t="shared" si="12"/>
        <v>SB22594</v>
      </c>
      <c r="G76" s="9">
        <v>1022599</v>
      </c>
      <c r="H76" s="9">
        <f>VLOOKUP(F76,'[1]MGM Report'!$D:$E,2,FALSE)</f>
        <v>1022599</v>
      </c>
      <c r="I76" s="9" t="b">
        <f t="shared" si="13"/>
        <v>1</v>
      </c>
      <c r="J76" s="12">
        <v>0</v>
      </c>
      <c r="K76" s="12">
        <f>VLOOKUP(F76,'[1]MGM Report'!$D:$F,3,FALSE)</f>
        <v>0</v>
      </c>
      <c r="L76" s="12" t="b">
        <f t="shared" si="14"/>
        <v>1</v>
      </c>
      <c r="M76" s="13">
        <v>1022599</v>
      </c>
      <c r="N76" s="13">
        <f>VLOOKUP(F76,'[1]MGM Report'!$D:$G,4,FALSE)</f>
        <v>1022599</v>
      </c>
      <c r="O76" s="13" t="b">
        <f t="shared" si="22"/>
        <v>1</v>
      </c>
      <c r="P76" s="12">
        <v>0</v>
      </c>
      <c r="Q76" s="12">
        <f>VLOOKUP(F76,'[1]MGM Report'!$D:$M,5,FALSE)</f>
        <v>0</v>
      </c>
      <c r="R76" s="12" t="b">
        <f t="shared" si="15"/>
        <v>1</v>
      </c>
      <c r="S76" s="13">
        <v>1022599</v>
      </c>
      <c r="T76" s="13">
        <f>VLOOKUP(F76,'[1]MGM Report'!$D:$I,6,FALSE)</f>
        <v>1022599</v>
      </c>
      <c r="U76" s="13" t="b">
        <f t="shared" si="16"/>
        <v>1</v>
      </c>
      <c r="V76" s="12">
        <v>511685</v>
      </c>
      <c r="W76" s="12">
        <f>VLOOKUP(F76,'[1]MGM Report'!$D:$J,7,FALSE)</f>
        <v>551803</v>
      </c>
      <c r="X76" s="12" t="b">
        <f t="shared" si="17"/>
        <v>0</v>
      </c>
      <c r="Y76" s="13">
        <v>536803</v>
      </c>
      <c r="Z76" s="13">
        <f>VLOOKUP(F76,'[1]MGM Report'!$D:$K,8,FALSE)</f>
        <v>536803</v>
      </c>
      <c r="AA76" s="13" t="b">
        <f t="shared" si="18"/>
        <v>1</v>
      </c>
      <c r="AB76" s="12">
        <v>185197</v>
      </c>
      <c r="AC76" s="12">
        <f>VLOOKUP(F76,'[1]MGM Report'!$D:$M,10,FALSE)</f>
        <v>185197</v>
      </c>
      <c r="AD76" s="12" t="b">
        <f t="shared" si="19"/>
        <v>1</v>
      </c>
      <c r="AE76" s="13">
        <v>0</v>
      </c>
      <c r="AF76" s="13">
        <f>VLOOKUP(F76,'[1]MGM Report'!$D:$N,11,FALSE)</f>
        <v>0</v>
      </c>
      <c r="AG76" s="13" t="b">
        <f t="shared" si="20"/>
        <v>1</v>
      </c>
      <c r="AH76" s="12">
        <v>722000</v>
      </c>
      <c r="AI76" s="12">
        <f>VLOOKUP(F76,'[1]MGM Report'!$D:$S,12,FALSE)</f>
        <v>722000</v>
      </c>
      <c r="AJ76" s="12" t="b">
        <f t="shared" si="21"/>
        <v>1</v>
      </c>
      <c r="AK76" s="13">
        <f>VLOOKUP(F76,[2]HAVASMGMReportKBCUpdatedResult!$F:$R,13,FALSE)</f>
        <v>510914</v>
      </c>
      <c r="AL76" s="13">
        <f>VLOOKUP(F76,'[1]MGM Report'!$D:$S,14,FALSE)</f>
        <v>470796</v>
      </c>
    </row>
    <row r="77" spans="1:38">
      <c r="A77" s="7">
        <v>45758</v>
      </c>
      <c r="B77" s="8" t="s">
        <v>38</v>
      </c>
      <c r="C77" s="8" t="s">
        <v>130</v>
      </c>
      <c r="D77" s="8" t="s">
        <v>156</v>
      </c>
      <c r="E77" s="8" t="s">
        <v>157</v>
      </c>
      <c r="F77" s="8" t="str">
        <f t="shared" si="12"/>
        <v>SB22591</v>
      </c>
      <c r="G77" s="9">
        <v>13936040</v>
      </c>
      <c r="H77" s="9">
        <f>VLOOKUP(F77,'[1]MGM Report'!$D:$E,2,FALSE)</f>
        <v>10725200</v>
      </c>
      <c r="I77" s="9" t="b">
        <f t="shared" si="13"/>
        <v>0</v>
      </c>
      <c r="J77" s="12">
        <v>0</v>
      </c>
      <c r="K77" s="12">
        <f>VLOOKUP(F77,'[1]MGM Report'!$D:$F,3,FALSE)</f>
        <v>0</v>
      </c>
      <c r="L77" s="12" t="b">
        <f t="shared" si="14"/>
        <v>1</v>
      </c>
      <c r="M77" s="13">
        <v>0</v>
      </c>
      <c r="N77" s="13">
        <f>VLOOKUP(F77,'[1]MGM Report'!$D:$G,4,FALSE)</f>
        <v>0</v>
      </c>
      <c r="O77" s="13" t="b">
        <f t="shared" si="22"/>
        <v>1</v>
      </c>
      <c r="P77" s="12">
        <v>0</v>
      </c>
      <c r="Q77" s="12">
        <f>VLOOKUP(F77,'[1]MGM Report'!$D:$M,5,FALSE)</f>
        <v>0</v>
      </c>
      <c r="R77" s="12" t="b">
        <f t="shared" si="15"/>
        <v>1</v>
      </c>
      <c r="S77" s="13">
        <v>0</v>
      </c>
      <c r="T77" s="13">
        <f>VLOOKUP(F77,'[1]MGM Report'!$D:$I,6,FALSE)</f>
        <v>0</v>
      </c>
      <c r="U77" s="13" t="b">
        <f t="shared" si="16"/>
        <v>1</v>
      </c>
      <c r="V77" s="12">
        <v>3483000</v>
      </c>
      <c r="W77" s="12">
        <f>VLOOKUP(F77,'[1]MGM Report'!$D:$J,7,FALSE)</f>
        <v>3483000</v>
      </c>
      <c r="X77" s="12" t="b">
        <f t="shared" si="17"/>
        <v>1</v>
      </c>
      <c r="Y77" s="13">
        <v>0</v>
      </c>
      <c r="Z77" s="13">
        <f>VLOOKUP(F77,'[1]MGM Report'!$D:$K,8,FALSE)</f>
        <v>0</v>
      </c>
      <c r="AA77" s="13" t="b">
        <f t="shared" si="18"/>
        <v>1</v>
      </c>
      <c r="AB77" s="12">
        <v>0</v>
      </c>
      <c r="AC77" s="12">
        <f>VLOOKUP(F77,'[1]MGM Report'!$D:$M,10,FALSE)</f>
        <v>0</v>
      </c>
      <c r="AD77" s="12" t="b">
        <f t="shared" si="19"/>
        <v>1</v>
      </c>
      <c r="AE77" s="13">
        <v>0</v>
      </c>
      <c r="AF77" s="13">
        <f>VLOOKUP(F77,'[1]MGM Report'!$D:$N,11,FALSE)</f>
        <v>0</v>
      </c>
      <c r="AG77" s="13" t="b">
        <f t="shared" si="20"/>
        <v>1</v>
      </c>
      <c r="AH77" s="12">
        <v>0</v>
      </c>
      <c r="AI77" s="12">
        <f>VLOOKUP(F77,'[1]MGM Report'!$D:$S,12,FALSE)</f>
        <v>0</v>
      </c>
      <c r="AJ77" s="12" t="b">
        <f t="shared" si="21"/>
        <v>1</v>
      </c>
      <c r="AK77" s="13">
        <f>VLOOKUP(F77,[2]HAVASMGMReportKBCUpdatedResult!$F:$R,13,FALSE)</f>
        <v>10453040</v>
      </c>
      <c r="AL77" s="13">
        <f>VLOOKUP(F77,'[1]MGM Report'!$D:$S,14,FALSE)</f>
        <v>7242200</v>
      </c>
    </row>
    <row r="78" spans="1:38">
      <c r="A78" s="7">
        <v>45758</v>
      </c>
      <c r="B78" s="8" t="s">
        <v>38</v>
      </c>
      <c r="C78" s="8" t="s">
        <v>130</v>
      </c>
      <c r="D78" s="8" t="s">
        <v>91</v>
      </c>
      <c r="E78" s="8" t="s">
        <v>158</v>
      </c>
      <c r="F78" s="8" t="str">
        <f t="shared" si="12"/>
        <v>SB22592</v>
      </c>
      <c r="G78" s="9">
        <v>1456000</v>
      </c>
      <c r="H78" s="9">
        <f>VLOOKUP(F78,'[1]MGM Report'!$D:$E,2,FALSE)</f>
        <v>1456000</v>
      </c>
      <c r="I78" s="9" t="b">
        <f t="shared" si="13"/>
        <v>1</v>
      </c>
      <c r="J78" s="12">
        <v>1456000</v>
      </c>
      <c r="K78" s="12">
        <f>VLOOKUP(F78,'[1]MGM Report'!$D:$F,3,FALSE)</f>
        <v>1456000</v>
      </c>
      <c r="L78" s="12" t="b">
        <f t="shared" si="14"/>
        <v>1</v>
      </c>
      <c r="M78" s="13">
        <v>0</v>
      </c>
      <c r="N78" s="13">
        <f>VLOOKUP(F78,'[1]MGM Report'!$D:$G,4,FALSE)</f>
        <v>0</v>
      </c>
      <c r="O78" s="13" t="b">
        <f t="shared" si="22"/>
        <v>1</v>
      </c>
      <c r="P78" s="12">
        <v>0</v>
      </c>
      <c r="Q78" s="12">
        <f>VLOOKUP(F78,'[1]MGM Report'!$D:$M,5,FALSE)</f>
        <v>0</v>
      </c>
      <c r="R78" s="12" t="b">
        <f t="shared" si="15"/>
        <v>1</v>
      </c>
      <c r="S78" s="13">
        <v>1456000</v>
      </c>
      <c r="T78" s="13">
        <f>VLOOKUP(F78,'[1]MGM Report'!$D:$I,6,FALSE)</f>
        <v>1456000</v>
      </c>
      <c r="U78" s="13" t="b">
        <f t="shared" si="16"/>
        <v>1</v>
      </c>
      <c r="V78" s="12">
        <v>120826.06</v>
      </c>
      <c r="W78" s="12">
        <f>VLOOKUP(F78,'[1]MGM Report'!$D:$J,7,FALSE)</f>
        <v>620826.06</v>
      </c>
      <c r="X78" s="12" t="b">
        <f t="shared" si="17"/>
        <v>0</v>
      </c>
      <c r="Y78" s="13">
        <v>120826.06</v>
      </c>
      <c r="Z78" s="13">
        <f>VLOOKUP(F78,'[1]MGM Report'!$D:$K,8,FALSE)</f>
        <v>620826.06</v>
      </c>
      <c r="AA78" s="13" t="b">
        <f t="shared" si="18"/>
        <v>0</v>
      </c>
      <c r="AB78" s="12">
        <v>129173.94</v>
      </c>
      <c r="AC78" s="12">
        <f>VLOOKUP(F78,'[1]MGM Report'!$D:$M,10,FALSE)</f>
        <v>129173.94</v>
      </c>
      <c r="AD78" s="12" t="b">
        <f t="shared" si="19"/>
        <v>1</v>
      </c>
      <c r="AE78" s="13">
        <v>0</v>
      </c>
      <c r="AF78" s="13">
        <f>VLOOKUP(F78,'[1]MGM Report'!$D:$N,11,FALSE)</f>
        <v>0</v>
      </c>
      <c r="AG78" s="13" t="b">
        <f t="shared" si="20"/>
        <v>1</v>
      </c>
      <c r="AH78" s="12">
        <v>250000</v>
      </c>
      <c r="AI78" s="12">
        <f>VLOOKUP(F78,'[1]MGM Report'!$D:$S,12,FALSE)</f>
        <v>750000</v>
      </c>
      <c r="AJ78" s="12" t="b">
        <f t="shared" si="21"/>
        <v>0</v>
      </c>
      <c r="AK78" s="13">
        <f>VLOOKUP(F78,[2]HAVASMGMReportKBCUpdatedResult!$F:$R,13,FALSE)</f>
        <v>1335173.94</v>
      </c>
      <c r="AL78" s="13">
        <f>VLOOKUP(F78,'[1]MGM Report'!$D:$S,14,FALSE)</f>
        <v>835173.94</v>
      </c>
    </row>
    <row r="79" spans="1:38">
      <c r="A79" s="7">
        <v>45758</v>
      </c>
      <c r="B79" s="8" t="s">
        <v>38</v>
      </c>
      <c r="C79" s="8" t="s">
        <v>130</v>
      </c>
      <c r="D79" s="8" t="s">
        <v>156</v>
      </c>
      <c r="E79" s="8" t="s">
        <v>159</v>
      </c>
      <c r="F79" s="8" t="str">
        <f t="shared" si="12"/>
        <v>SB22590</v>
      </c>
      <c r="G79" s="9">
        <v>11903320</v>
      </c>
      <c r="H79" s="9">
        <f>VLOOKUP(F79,'[1]MGM Report'!$D:$E,2,FALSE)</f>
        <v>11903320</v>
      </c>
      <c r="I79" s="9" t="b">
        <f t="shared" si="13"/>
        <v>1</v>
      </c>
      <c r="J79" s="12">
        <v>0</v>
      </c>
      <c r="K79" s="12">
        <f>VLOOKUP(F79,'[1]MGM Report'!$D:$F,3,FALSE)</f>
        <v>0</v>
      </c>
      <c r="L79" s="12" t="b">
        <f t="shared" si="14"/>
        <v>1</v>
      </c>
      <c r="M79" s="13">
        <v>0</v>
      </c>
      <c r="N79" s="13">
        <f>VLOOKUP(F79,'[1]MGM Report'!$D:$G,4,FALSE)</f>
        <v>0</v>
      </c>
      <c r="O79" s="13" t="b">
        <f t="shared" si="22"/>
        <v>1</v>
      </c>
      <c r="P79" s="12">
        <v>0</v>
      </c>
      <c r="Q79" s="12">
        <f>VLOOKUP(F79,'[1]MGM Report'!$D:$M,5,FALSE)</f>
        <v>0</v>
      </c>
      <c r="R79" s="12" t="b">
        <f t="shared" si="15"/>
        <v>1</v>
      </c>
      <c r="S79" s="13">
        <v>0</v>
      </c>
      <c r="T79" s="13">
        <f>VLOOKUP(F79,'[1]MGM Report'!$D:$I,6,FALSE)</f>
        <v>0</v>
      </c>
      <c r="U79" s="13" t="b">
        <f t="shared" si="16"/>
        <v>1</v>
      </c>
      <c r="V79" s="12">
        <v>2955196</v>
      </c>
      <c r="W79" s="12">
        <f>VLOOKUP(F79,'[1]MGM Report'!$D:$J,7,FALSE)</f>
        <v>2955196</v>
      </c>
      <c r="X79" s="12" t="b">
        <f t="shared" si="17"/>
        <v>1</v>
      </c>
      <c r="Y79" s="13">
        <v>0</v>
      </c>
      <c r="Z79" s="13">
        <f>VLOOKUP(F79,'[1]MGM Report'!$D:$K,8,FALSE)</f>
        <v>0</v>
      </c>
      <c r="AA79" s="13" t="b">
        <f t="shared" si="18"/>
        <v>1</v>
      </c>
      <c r="AB79" s="12">
        <v>0</v>
      </c>
      <c r="AC79" s="12">
        <f>VLOOKUP(F79,'[1]MGM Report'!$D:$M,10,FALSE)</f>
        <v>0</v>
      </c>
      <c r="AD79" s="12" t="b">
        <f t="shared" si="19"/>
        <v>1</v>
      </c>
      <c r="AE79" s="13">
        <v>0</v>
      </c>
      <c r="AF79" s="13">
        <f>VLOOKUP(F79,'[1]MGM Report'!$D:$N,11,FALSE)</f>
        <v>0</v>
      </c>
      <c r="AG79" s="13" t="b">
        <f t="shared" si="20"/>
        <v>1</v>
      </c>
      <c r="AH79" s="12">
        <v>0</v>
      </c>
      <c r="AI79" s="12">
        <f>VLOOKUP(F79,'[1]MGM Report'!$D:$S,12,FALSE)</f>
        <v>0</v>
      </c>
      <c r="AJ79" s="12" t="b">
        <f t="shared" si="21"/>
        <v>1</v>
      </c>
      <c r="AK79" s="13">
        <f>VLOOKUP(F79,[2]HAVASMGMReportKBCUpdatedResult!$F:$R,13,FALSE)</f>
        <v>8948124</v>
      </c>
      <c r="AL79" s="13">
        <f>VLOOKUP(F79,'[1]MGM Report'!$D:$S,14,FALSE)</f>
        <v>8948124</v>
      </c>
    </row>
    <row r="80" spans="1:38">
      <c r="A80" s="7">
        <v>45758</v>
      </c>
      <c r="B80" s="8" t="s">
        <v>31</v>
      </c>
      <c r="C80" s="8" t="s">
        <v>115</v>
      </c>
      <c r="D80" s="8" t="s">
        <v>45</v>
      </c>
      <c r="E80" s="8" t="s">
        <v>160</v>
      </c>
      <c r="F80" s="8" t="str">
        <f t="shared" si="12"/>
        <v>SB22589</v>
      </c>
      <c r="G80" s="9">
        <v>34100</v>
      </c>
      <c r="H80" s="9">
        <f>VLOOKUP(F80,'[1]MGM Report'!$D:$E,2,FALSE)</f>
        <v>34100</v>
      </c>
      <c r="I80" s="9" t="b">
        <f t="shared" si="13"/>
        <v>1</v>
      </c>
      <c r="J80" s="12">
        <v>34100</v>
      </c>
      <c r="K80" s="12">
        <f>VLOOKUP(F80,'[1]MGM Report'!$D:$F,3,FALSE)</f>
        <v>34100</v>
      </c>
      <c r="L80" s="12" t="b">
        <f t="shared" si="14"/>
        <v>1</v>
      </c>
      <c r="M80" s="13">
        <v>0</v>
      </c>
      <c r="N80" s="13">
        <f>VLOOKUP(F80,'[1]MGM Report'!$D:$G,4,FALSE)</f>
        <v>0</v>
      </c>
      <c r="O80" s="13" t="b">
        <f t="shared" si="22"/>
        <v>1</v>
      </c>
      <c r="P80" s="12">
        <v>0</v>
      </c>
      <c r="Q80" s="12">
        <f>VLOOKUP(F80,'[1]MGM Report'!$D:$M,5,FALSE)</f>
        <v>0</v>
      </c>
      <c r="R80" s="12" t="b">
        <f t="shared" si="15"/>
        <v>1</v>
      </c>
      <c r="S80" s="13">
        <v>34100</v>
      </c>
      <c r="T80" s="13">
        <f>VLOOKUP(F80,'[1]MGM Report'!$D:$I,6,FALSE)</f>
        <v>34100</v>
      </c>
      <c r="U80" s="13" t="b">
        <f t="shared" si="16"/>
        <v>1</v>
      </c>
      <c r="V80" s="12">
        <v>0</v>
      </c>
      <c r="W80" s="12">
        <f>VLOOKUP(F80,'[1]MGM Report'!$D:$J,7,FALSE)</f>
        <v>0</v>
      </c>
      <c r="X80" s="12" t="b">
        <f t="shared" si="17"/>
        <v>1</v>
      </c>
      <c r="Y80" s="13">
        <v>0</v>
      </c>
      <c r="Z80" s="13">
        <f>VLOOKUP(F80,'[1]MGM Report'!$D:$K,8,FALSE)</f>
        <v>0</v>
      </c>
      <c r="AA80" s="13" t="b">
        <f t="shared" si="18"/>
        <v>1</v>
      </c>
      <c r="AB80" s="12">
        <v>23000</v>
      </c>
      <c r="AC80" s="12">
        <f>VLOOKUP(F80,'[1]MGM Report'!$D:$M,10,FALSE)</f>
        <v>23000</v>
      </c>
      <c r="AD80" s="12" t="b">
        <f t="shared" si="19"/>
        <v>1</v>
      </c>
      <c r="AE80" s="13">
        <v>0</v>
      </c>
      <c r="AF80" s="13">
        <f>VLOOKUP(F80,'[1]MGM Report'!$D:$N,11,FALSE)</f>
        <v>0</v>
      </c>
      <c r="AG80" s="13" t="b">
        <f t="shared" si="20"/>
        <v>1</v>
      </c>
      <c r="AH80" s="12">
        <v>23000</v>
      </c>
      <c r="AI80" s="12">
        <f>VLOOKUP(F80,'[1]MGM Report'!$D:$S,12,FALSE)</f>
        <v>23000</v>
      </c>
      <c r="AJ80" s="12" t="b">
        <f t="shared" si="21"/>
        <v>1</v>
      </c>
      <c r="AK80" s="13">
        <f>VLOOKUP(F80,[2]HAVASMGMReportKBCUpdatedResult!$F:$R,13,FALSE)</f>
        <v>34100</v>
      </c>
      <c r="AL80" s="13">
        <f>VLOOKUP(F80,'[1]MGM Report'!$D:$S,14,FALSE)</f>
        <v>34100</v>
      </c>
    </row>
    <row r="81" spans="1:38">
      <c r="A81" s="7">
        <v>45758</v>
      </c>
      <c r="B81" s="8" t="s">
        <v>27</v>
      </c>
      <c r="C81" s="8" t="s">
        <v>120</v>
      </c>
      <c r="D81" s="8" t="s">
        <v>140</v>
      </c>
      <c r="E81" s="8" t="s">
        <v>161</v>
      </c>
      <c r="F81" s="8" t="str">
        <f t="shared" si="12"/>
        <v>SB22587</v>
      </c>
      <c r="G81" s="9">
        <v>29835</v>
      </c>
      <c r="H81" s="9">
        <f>VLOOKUP(F81,'[1]MGM Report'!$D:$E,2,FALSE)</f>
        <v>29835</v>
      </c>
      <c r="I81" s="9" t="b">
        <f t="shared" si="13"/>
        <v>1</v>
      </c>
      <c r="J81" s="12">
        <v>29835</v>
      </c>
      <c r="K81" s="12">
        <f>VLOOKUP(F81,'[1]MGM Report'!$D:$F,3,FALSE)</f>
        <v>29835</v>
      </c>
      <c r="L81" s="12" t="b">
        <f t="shared" si="14"/>
        <v>1</v>
      </c>
      <c r="M81" s="13">
        <v>0</v>
      </c>
      <c r="N81" s="13">
        <f>VLOOKUP(F81,'[1]MGM Report'!$D:$G,4,FALSE)</f>
        <v>0</v>
      </c>
      <c r="O81" s="13" t="b">
        <f t="shared" si="22"/>
        <v>1</v>
      </c>
      <c r="P81" s="12">
        <v>0</v>
      </c>
      <c r="Q81" s="12">
        <f>VLOOKUP(F81,'[1]MGM Report'!$D:$M,5,FALSE)</f>
        <v>0</v>
      </c>
      <c r="R81" s="12" t="b">
        <f t="shared" si="15"/>
        <v>1</v>
      </c>
      <c r="S81" s="13">
        <v>29835</v>
      </c>
      <c r="T81" s="13">
        <f>VLOOKUP(F81,'[1]MGM Report'!$D:$I,6,FALSE)</f>
        <v>29835</v>
      </c>
      <c r="U81" s="13" t="b">
        <f t="shared" si="16"/>
        <v>1</v>
      </c>
      <c r="V81" s="12">
        <v>0</v>
      </c>
      <c r="W81" s="12">
        <f>VLOOKUP(F81,'[1]MGM Report'!$D:$J,7,FALSE)</f>
        <v>0</v>
      </c>
      <c r="X81" s="12" t="b">
        <f t="shared" si="17"/>
        <v>1</v>
      </c>
      <c r="Y81" s="13">
        <v>0</v>
      </c>
      <c r="Z81" s="13">
        <f>VLOOKUP(F81,'[1]MGM Report'!$D:$K,8,FALSE)</f>
        <v>0</v>
      </c>
      <c r="AA81" s="13" t="b">
        <f t="shared" si="18"/>
        <v>1</v>
      </c>
      <c r="AB81" s="12">
        <v>23270</v>
      </c>
      <c r="AC81" s="12">
        <f>VLOOKUP(F81,'[1]MGM Report'!$D:$M,10,FALSE)</f>
        <v>23270</v>
      </c>
      <c r="AD81" s="12" t="b">
        <f t="shared" si="19"/>
        <v>1</v>
      </c>
      <c r="AE81" s="13">
        <v>0</v>
      </c>
      <c r="AF81" s="13">
        <f>VLOOKUP(F81,'[1]MGM Report'!$D:$N,11,FALSE)</f>
        <v>0</v>
      </c>
      <c r="AG81" s="13" t="b">
        <f t="shared" si="20"/>
        <v>1</v>
      </c>
      <c r="AH81" s="12">
        <v>23270</v>
      </c>
      <c r="AI81" s="12">
        <f>VLOOKUP(F81,'[1]MGM Report'!$D:$S,12,FALSE)</f>
        <v>23270</v>
      </c>
      <c r="AJ81" s="12" t="b">
        <f t="shared" si="21"/>
        <v>1</v>
      </c>
      <c r="AK81" s="13">
        <f>VLOOKUP(F81,[2]HAVASMGMReportKBCUpdatedResult!$F:$R,13,FALSE)</f>
        <v>29835</v>
      </c>
      <c r="AL81" s="13">
        <f>VLOOKUP(F81,'[1]MGM Report'!$D:$S,14,FALSE)</f>
        <v>29835</v>
      </c>
    </row>
    <row r="82" spans="1:38">
      <c r="A82" s="7">
        <v>45758</v>
      </c>
      <c r="B82" s="8" t="s">
        <v>27</v>
      </c>
      <c r="C82" s="8" t="s">
        <v>120</v>
      </c>
      <c r="D82" s="8" t="s">
        <v>138</v>
      </c>
      <c r="E82" s="8" t="s">
        <v>162</v>
      </c>
      <c r="F82" s="8" t="str">
        <f t="shared" si="12"/>
        <v>SB22585</v>
      </c>
      <c r="G82" s="9">
        <v>6496</v>
      </c>
      <c r="H82" s="9">
        <f>VLOOKUP(F82,'[1]MGM Report'!$D:$E,2,FALSE)</f>
        <v>6496</v>
      </c>
      <c r="I82" s="9" t="b">
        <f t="shared" si="13"/>
        <v>1</v>
      </c>
      <c r="J82" s="12">
        <v>6496</v>
      </c>
      <c r="K82" s="12">
        <f>VLOOKUP(F82,'[1]MGM Report'!$D:$F,3,FALSE)</f>
        <v>6496</v>
      </c>
      <c r="L82" s="12" t="b">
        <f t="shared" si="14"/>
        <v>1</v>
      </c>
      <c r="M82" s="13">
        <v>0</v>
      </c>
      <c r="N82" s="13">
        <f>VLOOKUP(F82,'[1]MGM Report'!$D:$G,4,FALSE)</f>
        <v>0</v>
      </c>
      <c r="O82" s="13" t="b">
        <f t="shared" si="22"/>
        <v>1</v>
      </c>
      <c r="P82" s="12">
        <v>0</v>
      </c>
      <c r="Q82" s="12">
        <f>VLOOKUP(F82,'[1]MGM Report'!$D:$M,5,FALSE)</f>
        <v>0</v>
      </c>
      <c r="R82" s="12" t="b">
        <f t="shared" si="15"/>
        <v>1</v>
      </c>
      <c r="S82" s="13">
        <v>6496</v>
      </c>
      <c r="T82" s="13">
        <f>VLOOKUP(F82,'[1]MGM Report'!$D:$I,6,FALSE)</f>
        <v>6496</v>
      </c>
      <c r="U82" s="13" t="b">
        <f t="shared" si="16"/>
        <v>1</v>
      </c>
      <c r="V82" s="12">
        <v>2700</v>
      </c>
      <c r="W82" s="12">
        <f>VLOOKUP(F82,'[1]MGM Report'!$D:$J,7,FALSE)</f>
        <v>3006</v>
      </c>
      <c r="X82" s="12" t="b">
        <f t="shared" si="17"/>
        <v>0</v>
      </c>
      <c r="Y82" s="13">
        <v>306</v>
      </c>
      <c r="Z82" s="13">
        <f>VLOOKUP(F82,'[1]MGM Report'!$D:$K,8,FALSE)</f>
        <v>306</v>
      </c>
      <c r="AA82" s="13" t="b">
        <f t="shared" si="18"/>
        <v>1</v>
      </c>
      <c r="AB82" s="12">
        <v>4760.88</v>
      </c>
      <c r="AC82" s="12">
        <f>VLOOKUP(F82,'[1]MGM Report'!$D:$M,10,FALSE)</f>
        <v>4760.88</v>
      </c>
      <c r="AD82" s="12" t="b">
        <f t="shared" si="19"/>
        <v>1</v>
      </c>
      <c r="AE82" s="13">
        <v>0</v>
      </c>
      <c r="AF82" s="13">
        <f>VLOOKUP(F82,'[1]MGM Report'!$D:$N,11,FALSE)</f>
        <v>0</v>
      </c>
      <c r="AG82" s="13" t="b">
        <f t="shared" si="20"/>
        <v>1</v>
      </c>
      <c r="AH82" s="12">
        <v>5066.88</v>
      </c>
      <c r="AI82" s="12">
        <f>VLOOKUP(F82,'[1]MGM Report'!$D:$S,12,FALSE)</f>
        <v>5066.88</v>
      </c>
      <c r="AJ82" s="12" t="b">
        <f t="shared" si="21"/>
        <v>1</v>
      </c>
      <c r="AK82" s="13">
        <f>VLOOKUP(F82,[2]HAVASMGMReportKBCUpdatedResult!$F:$R,13,FALSE)</f>
        <v>3796</v>
      </c>
      <c r="AL82" s="13">
        <f>VLOOKUP(F82,'[1]MGM Report'!$D:$S,14,FALSE)</f>
        <v>3490</v>
      </c>
    </row>
    <row r="83" spans="1:38">
      <c r="A83" s="7">
        <v>45758</v>
      </c>
      <c r="B83" s="8" t="s">
        <v>27</v>
      </c>
      <c r="C83" s="8" t="s">
        <v>120</v>
      </c>
      <c r="D83" s="8" t="s">
        <v>163</v>
      </c>
      <c r="E83" s="8" t="s">
        <v>164</v>
      </c>
      <c r="F83" s="8" t="str">
        <f t="shared" si="12"/>
        <v>SB22584</v>
      </c>
      <c r="G83" s="9">
        <v>2600192</v>
      </c>
      <c r="H83" s="9">
        <f>VLOOKUP(F83,'[1]MGM Report'!$D:$E,2,FALSE)</f>
        <v>2751197.6</v>
      </c>
      <c r="I83" s="9" t="b">
        <f t="shared" si="13"/>
        <v>0</v>
      </c>
      <c r="J83" s="12">
        <v>0</v>
      </c>
      <c r="K83" s="12">
        <f>VLOOKUP(F83,'[1]MGM Report'!$D:$F,3,FALSE)</f>
        <v>151005.6</v>
      </c>
      <c r="L83" s="12" t="b">
        <f t="shared" si="14"/>
        <v>0</v>
      </c>
      <c r="M83" s="13">
        <v>3167429.4</v>
      </c>
      <c r="N83" s="13">
        <f>VLOOKUP(F83,'[1]MGM Report'!$D:$G,4,FALSE)</f>
        <v>3167429.4</v>
      </c>
      <c r="O83" s="13" t="b">
        <f t="shared" si="22"/>
        <v>1</v>
      </c>
      <c r="P83" s="12">
        <v>0</v>
      </c>
      <c r="Q83" s="12">
        <f>VLOOKUP(F83,'[1]MGM Report'!$D:$M,5,FALSE)</f>
        <v>0</v>
      </c>
      <c r="R83" s="12" t="b">
        <f t="shared" si="15"/>
        <v>1</v>
      </c>
      <c r="S83" s="13">
        <v>3167429.4</v>
      </c>
      <c r="T83" s="13">
        <f>VLOOKUP(F83,'[1]MGM Report'!$D:$I,6,FALSE)</f>
        <v>3318435</v>
      </c>
      <c r="U83" s="13" t="b">
        <f t="shared" si="16"/>
        <v>0</v>
      </c>
      <c r="V83" s="12">
        <v>1248960</v>
      </c>
      <c r="W83" s="12">
        <f>VLOOKUP(F83,'[1]MGM Report'!$D:$J,7,FALSE)</f>
        <v>1256398</v>
      </c>
      <c r="X83" s="12" t="b">
        <f t="shared" si="17"/>
        <v>0</v>
      </c>
      <c r="Y83" s="13">
        <v>1120374</v>
      </c>
      <c r="Z83" s="13">
        <f>VLOOKUP(F83,'[1]MGM Report'!$D:$K,8,FALSE)</f>
        <v>1120374</v>
      </c>
      <c r="AA83" s="13" t="b">
        <f t="shared" si="18"/>
        <v>1</v>
      </c>
      <c r="AB83" s="12">
        <v>1509376</v>
      </c>
      <c r="AC83" s="12">
        <f>VLOOKUP(F83,'[1]MGM Report'!$D:$M,10,FALSE)</f>
        <v>1509376</v>
      </c>
      <c r="AD83" s="12" t="b">
        <f t="shared" si="19"/>
        <v>1</v>
      </c>
      <c r="AE83" s="13">
        <v>-6872</v>
      </c>
      <c r="AF83" s="13">
        <f>VLOOKUP(F83,'[1]MGM Report'!$D:$N,11,FALSE)</f>
        <v>6872</v>
      </c>
      <c r="AG83" s="13" t="b">
        <f t="shared" si="20"/>
        <v>0</v>
      </c>
      <c r="AH83" s="12">
        <v>2622878</v>
      </c>
      <c r="AI83" s="12">
        <f>VLOOKUP(F83,'[1]MGM Report'!$D:$S,12,FALSE)</f>
        <v>2622878</v>
      </c>
      <c r="AJ83" s="12" t="b">
        <f t="shared" si="21"/>
        <v>1</v>
      </c>
      <c r="AK83" s="13">
        <f>VLOOKUP(F83,[2]HAVASMGMReportKBCUpdatedResult!$F:$R,13,FALSE)</f>
        <v>1351232</v>
      </c>
      <c r="AL83" s="13">
        <f>VLOOKUP(F83,'[1]MGM Report'!$D:$S,14,FALSE)</f>
        <v>1494799.6</v>
      </c>
    </row>
    <row r="84" spans="1:38">
      <c r="A84" s="7">
        <v>45758</v>
      </c>
      <c r="B84" s="8" t="s">
        <v>27</v>
      </c>
      <c r="C84" s="8" t="s">
        <v>120</v>
      </c>
      <c r="D84" s="8" t="s">
        <v>64</v>
      </c>
      <c r="E84" s="8" t="s">
        <v>165</v>
      </c>
      <c r="F84" s="8" t="str">
        <f t="shared" si="12"/>
        <v>SB22586</v>
      </c>
      <c r="G84" s="9">
        <v>2728972.4</v>
      </c>
      <c r="H84" s="9">
        <f>VLOOKUP(F84,'[1]MGM Report'!$D:$E,2,FALSE)</f>
        <v>2778994.9</v>
      </c>
      <c r="I84" s="9" t="b">
        <f t="shared" si="13"/>
        <v>0</v>
      </c>
      <c r="J84" s="12">
        <v>2728972.4</v>
      </c>
      <c r="K84" s="12">
        <f>VLOOKUP(F84,'[1]MGM Report'!$D:$F,3,FALSE)</f>
        <v>2728972.4</v>
      </c>
      <c r="L84" s="12" t="b">
        <f t="shared" si="14"/>
        <v>1</v>
      </c>
      <c r="M84" s="13">
        <v>0</v>
      </c>
      <c r="N84" s="13">
        <f>VLOOKUP(F84,'[1]MGM Report'!$D:$G,4,FALSE)</f>
        <v>0</v>
      </c>
      <c r="O84" s="13" t="b">
        <f t="shared" si="22"/>
        <v>1</v>
      </c>
      <c r="P84" s="12">
        <v>0</v>
      </c>
      <c r="Q84" s="12">
        <f>VLOOKUP(F84,'[1]MGM Report'!$D:$M,5,FALSE)</f>
        <v>0</v>
      </c>
      <c r="R84" s="12" t="b">
        <f t="shared" si="15"/>
        <v>1</v>
      </c>
      <c r="S84" s="13">
        <v>2728972.4</v>
      </c>
      <c r="T84" s="13">
        <f>VLOOKUP(F84,'[1]MGM Report'!$D:$I,6,FALSE)</f>
        <v>2728972.4</v>
      </c>
      <c r="U84" s="13" t="b">
        <f t="shared" si="16"/>
        <v>1</v>
      </c>
      <c r="V84" s="12">
        <v>1768272.98</v>
      </c>
      <c r="W84" s="12">
        <f>VLOOKUP(F84,'[1]MGM Report'!$D:$J,7,FALSE)</f>
        <v>2025813.57</v>
      </c>
      <c r="X84" s="12" t="b">
        <f t="shared" si="17"/>
        <v>0</v>
      </c>
      <c r="Y84" s="13">
        <v>1668833.57</v>
      </c>
      <c r="Z84" s="13">
        <f>VLOOKUP(F84,'[1]MGM Report'!$D:$K,8,FALSE)</f>
        <v>1689013.57</v>
      </c>
      <c r="AA84" s="13" t="b">
        <f t="shared" si="18"/>
        <v>0</v>
      </c>
      <c r="AB84" s="12">
        <v>377517.83</v>
      </c>
      <c r="AC84" s="12">
        <f>VLOOKUP(F84,'[1]MGM Report'!$D:$M,10,FALSE)</f>
        <v>377517.83</v>
      </c>
      <c r="AD84" s="12" t="b">
        <f t="shared" si="19"/>
        <v>1</v>
      </c>
      <c r="AE84" s="13">
        <v>0</v>
      </c>
      <c r="AF84" s="13">
        <f>VLOOKUP(F84,'[1]MGM Report'!$D:$N,11,FALSE)</f>
        <v>0</v>
      </c>
      <c r="AG84" s="13" t="b">
        <f t="shared" si="20"/>
        <v>1</v>
      </c>
      <c r="AH84" s="12">
        <v>2046351.4</v>
      </c>
      <c r="AI84" s="12">
        <f>VLOOKUP(F84,'[1]MGM Report'!$D:$S,12,FALSE)</f>
        <v>2066531.4</v>
      </c>
      <c r="AJ84" s="12" t="b">
        <f t="shared" si="21"/>
        <v>0</v>
      </c>
      <c r="AK84" s="13">
        <f>VLOOKUP(F84,[2]HAVASMGMReportKBCUpdatedResult!$F:$R,13,FALSE)</f>
        <v>960699.42</v>
      </c>
      <c r="AL84" s="13">
        <f>VLOOKUP(F84,'[1]MGM Report'!$D:$S,14,FALSE)</f>
        <v>753181.33</v>
      </c>
    </row>
    <row r="85" spans="1:38">
      <c r="A85" s="7">
        <v>45758</v>
      </c>
      <c r="B85" s="8" t="s">
        <v>27</v>
      </c>
      <c r="C85" s="8" t="s">
        <v>120</v>
      </c>
      <c r="D85" s="8" t="s">
        <v>166</v>
      </c>
      <c r="E85" s="8" t="s">
        <v>167</v>
      </c>
      <c r="F85" s="8" t="str">
        <f t="shared" si="12"/>
        <v>SB22582</v>
      </c>
      <c r="G85" s="9">
        <v>138448</v>
      </c>
      <c r="H85" s="9">
        <f>VLOOKUP(F85,'[1]MGM Report'!$D:$E,2,FALSE)</f>
        <v>138448</v>
      </c>
      <c r="I85" s="9" t="b">
        <f t="shared" si="13"/>
        <v>1</v>
      </c>
      <c r="J85" s="12">
        <v>0</v>
      </c>
      <c r="K85" s="12">
        <f>VLOOKUP(F85,'[1]MGM Report'!$D:$F,3,FALSE)</f>
        <v>0</v>
      </c>
      <c r="L85" s="12" t="b">
        <f t="shared" si="14"/>
        <v>1</v>
      </c>
      <c r="M85" s="13">
        <v>138448</v>
      </c>
      <c r="N85" s="13">
        <f>VLOOKUP(F85,'[1]MGM Report'!$D:$G,4,FALSE)</f>
        <v>138448</v>
      </c>
      <c r="O85" s="13" t="b">
        <f t="shared" si="22"/>
        <v>1</v>
      </c>
      <c r="P85" s="12">
        <v>0</v>
      </c>
      <c r="Q85" s="12">
        <f>VLOOKUP(F85,'[1]MGM Report'!$D:$M,5,FALSE)</f>
        <v>0</v>
      </c>
      <c r="R85" s="12" t="b">
        <f t="shared" si="15"/>
        <v>1</v>
      </c>
      <c r="S85" s="13">
        <v>138448</v>
      </c>
      <c r="T85" s="13">
        <f>VLOOKUP(F85,'[1]MGM Report'!$D:$I,6,FALSE)</f>
        <v>138448</v>
      </c>
      <c r="U85" s="13" t="b">
        <f t="shared" si="16"/>
        <v>1</v>
      </c>
      <c r="V85" s="12">
        <v>43200</v>
      </c>
      <c r="W85" s="12">
        <f>VLOOKUP(F85,'[1]MGM Report'!$D:$J,7,FALSE)</f>
        <v>43200</v>
      </c>
      <c r="X85" s="12" t="b">
        <f t="shared" si="17"/>
        <v>1</v>
      </c>
      <c r="Y85" s="13">
        <v>43200</v>
      </c>
      <c r="Z85" s="13">
        <f>VLOOKUP(F85,'[1]MGM Report'!$D:$K,8,FALSE)</f>
        <v>43200</v>
      </c>
      <c r="AA85" s="13" t="b">
        <f t="shared" si="18"/>
        <v>1</v>
      </c>
      <c r="AB85" s="12">
        <v>45248</v>
      </c>
      <c r="AC85" s="12">
        <f>VLOOKUP(F85,'[1]MGM Report'!$D:$M,10,FALSE)</f>
        <v>45248</v>
      </c>
      <c r="AD85" s="12" t="b">
        <f t="shared" si="19"/>
        <v>1</v>
      </c>
      <c r="AE85" s="13">
        <v>0</v>
      </c>
      <c r="AF85" s="13">
        <f>VLOOKUP(F85,'[1]MGM Report'!$D:$N,11,FALSE)</f>
        <v>0</v>
      </c>
      <c r="AG85" s="13" t="b">
        <f t="shared" si="20"/>
        <v>1</v>
      </c>
      <c r="AH85" s="12">
        <v>88448</v>
      </c>
      <c r="AI85" s="12">
        <f>VLOOKUP(F85,'[1]MGM Report'!$D:$S,12,FALSE)</f>
        <v>88448</v>
      </c>
      <c r="AJ85" s="12" t="b">
        <f t="shared" si="21"/>
        <v>1</v>
      </c>
      <c r="AK85" s="13">
        <f>VLOOKUP(F85,[2]HAVASMGMReportKBCUpdatedResult!$F:$R,13,FALSE)</f>
        <v>95248</v>
      </c>
      <c r="AL85" s="13">
        <f>VLOOKUP(F85,'[1]MGM Report'!$D:$S,14,FALSE)</f>
        <v>95248</v>
      </c>
    </row>
    <row r="86" spans="1:38">
      <c r="A86" s="7">
        <v>45758</v>
      </c>
      <c r="B86" s="8" t="s">
        <v>27</v>
      </c>
      <c r="C86" s="8" t="s">
        <v>120</v>
      </c>
      <c r="D86" s="8" t="s">
        <v>168</v>
      </c>
      <c r="E86" s="8" t="s">
        <v>169</v>
      </c>
      <c r="F86" s="8" t="str">
        <f t="shared" si="12"/>
        <v>SB22583</v>
      </c>
      <c r="G86" s="9">
        <v>55000</v>
      </c>
      <c r="H86" s="9">
        <f>VLOOKUP(F86,'[1]MGM Report'!$D:$E,2,FALSE)</f>
        <v>55000</v>
      </c>
      <c r="I86" s="9" t="b">
        <f t="shared" si="13"/>
        <v>1</v>
      </c>
      <c r="J86" s="12">
        <v>55000</v>
      </c>
      <c r="K86" s="12">
        <f>VLOOKUP(F86,'[1]MGM Report'!$D:$F,3,FALSE)</f>
        <v>55000</v>
      </c>
      <c r="L86" s="12" t="b">
        <f t="shared" si="14"/>
        <v>1</v>
      </c>
      <c r="M86" s="13">
        <v>0</v>
      </c>
      <c r="N86" s="13">
        <f>VLOOKUP(F86,'[1]MGM Report'!$D:$G,4,FALSE)</f>
        <v>0</v>
      </c>
      <c r="O86" s="13" t="b">
        <f t="shared" si="22"/>
        <v>1</v>
      </c>
      <c r="P86" s="12">
        <v>0</v>
      </c>
      <c r="Q86" s="12">
        <f>VLOOKUP(F86,'[1]MGM Report'!$D:$M,5,FALSE)</f>
        <v>0</v>
      </c>
      <c r="R86" s="12" t="b">
        <f t="shared" si="15"/>
        <v>1</v>
      </c>
      <c r="S86" s="13">
        <v>55000</v>
      </c>
      <c r="T86" s="13">
        <f>VLOOKUP(F86,'[1]MGM Report'!$D:$I,6,FALSE)</f>
        <v>55000</v>
      </c>
      <c r="U86" s="13" t="b">
        <f t="shared" si="16"/>
        <v>1</v>
      </c>
      <c r="V86" s="12">
        <v>0</v>
      </c>
      <c r="W86" s="12">
        <f>VLOOKUP(F86,'[1]MGM Report'!$D:$J,7,FALSE)</f>
        <v>9728.8</v>
      </c>
      <c r="X86" s="12" t="b">
        <f t="shared" si="17"/>
        <v>0</v>
      </c>
      <c r="Y86" s="13">
        <v>9728.8</v>
      </c>
      <c r="Z86" s="13">
        <f>VLOOKUP(F86,'[1]MGM Report'!$D:$K,8,FALSE)</f>
        <v>9728.8</v>
      </c>
      <c r="AA86" s="13" t="b">
        <f t="shared" si="18"/>
        <v>1</v>
      </c>
      <c r="AB86" s="12">
        <v>0</v>
      </c>
      <c r="AC86" s="12">
        <f>VLOOKUP(F86,'[1]MGM Report'!$D:$M,10,FALSE)</f>
        <v>0</v>
      </c>
      <c r="AD86" s="12" t="b">
        <f t="shared" si="19"/>
        <v>1</v>
      </c>
      <c r="AE86" s="13">
        <v>0</v>
      </c>
      <c r="AF86" s="13">
        <f>VLOOKUP(F86,'[1]MGM Report'!$D:$N,11,FALSE)</f>
        <v>0</v>
      </c>
      <c r="AG86" s="13" t="b">
        <f t="shared" si="20"/>
        <v>1</v>
      </c>
      <c r="AH86" s="12">
        <v>9728.8</v>
      </c>
      <c r="AI86" s="12">
        <f>VLOOKUP(F86,'[1]MGM Report'!$D:$S,12,FALSE)</f>
        <v>9728.8</v>
      </c>
      <c r="AJ86" s="12" t="b">
        <f t="shared" si="21"/>
        <v>1</v>
      </c>
      <c r="AK86" s="13">
        <f>VLOOKUP(F86,[2]HAVASMGMReportKBCUpdatedResult!$F:$R,13,FALSE)</f>
        <v>55000</v>
      </c>
      <c r="AL86" s="13">
        <f>VLOOKUP(F86,'[1]MGM Report'!$D:$S,14,FALSE)</f>
        <v>45271.2</v>
      </c>
    </row>
    <row r="87" spans="1:38">
      <c r="A87" s="7">
        <v>45758</v>
      </c>
      <c r="B87" s="8" t="s">
        <v>27</v>
      </c>
      <c r="C87" s="8" t="s">
        <v>120</v>
      </c>
      <c r="D87" s="8" t="s">
        <v>104</v>
      </c>
      <c r="E87" s="8" t="s">
        <v>170</v>
      </c>
      <c r="F87" s="8" t="str">
        <f t="shared" si="12"/>
        <v>SB22580</v>
      </c>
      <c r="G87" s="9">
        <v>650000</v>
      </c>
      <c r="H87" s="9">
        <f>VLOOKUP(F87,'[1]MGM Report'!$D:$E,2,FALSE)</f>
        <v>680000</v>
      </c>
      <c r="I87" s="9" t="b">
        <f t="shared" si="13"/>
        <v>0</v>
      </c>
      <c r="J87" s="12">
        <v>0</v>
      </c>
      <c r="K87" s="12">
        <f>VLOOKUP(F87,'[1]MGM Report'!$D:$F,3,FALSE)</f>
        <v>0</v>
      </c>
      <c r="L87" s="12" t="b">
        <f t="shared" si="14"/>
        <v>1</v>
      </c>
      <c r="M87" s="13">
        <v>650000</v>
      </c>
      <c r="N87" s="13">
        <f>VLOOKUP(F87,'[1]MGM Report'!$D:$G,4,FALSE)</f>
        <v>650000</v>
      </c>
      <c r="O87" s="13" t="b">
        <f t="shared" si="22"/>
        <v>1</v>
      </c>
      <c r="P87" s="12">
        <v>0</v>
      </c>
      <c r="Q87" s="12">
        <f>VLOOKUP(F87,'[1]MGM Report'!$D:$M,5,FALSE)</f>
        <v>0</v>
      </c>
      <c r="R87" s="12" t="b">
        <f t="shared" si="15"/>
        <v>1</v>
      </c>
      <c r="S87" s="13">
        <v>650000</v>
      </c>
      <c r="T87" s="13">
        <f>VLOOKUP(F87,'[1]MGM Report'!$D:$I,6,FALSE)</f>
        <v>650000</v>
      </c>
      <c r="U87" s="13" t="b">
        <f t="shared" si="16"/>
        <v>1</v>
      </c>
      <c r="V87" s="12">
        <v>650000</v>
      </c>
      <c r="W87" s="12">
        <f>VLOOKUP(F87,'[1]MGM Report'!$D:$J,7,FALSE)</f>
        <v>650000</v>
      </c>
      <c r="X87" s="12" t="b">
        <f t="shared" si="17"/>
        <v>1</v>
      </c>
      <c r="Y87" s="13">
        <v>650000</v>
      </c>
      <c r="Z87" s="13">
        <f>VLOOKUP(F87,'[1]MGM Report'!$D:$K,8,FALSE)</f>
        <v>650000</v>
      </c>
      <c r="AA87" s="13" t="b">
        <f t="shared" si="18"/>
        <v>1</v>
      </c>
      <c r="AB87" s="12">
        <v>0</v>
      </c>
      <c r="AC87" s="12">
        <f>VLOOKUP(F87,'[1]MGM Report'!$D:$M,10,FALSE)</f>
        <v>0</v>
      </c>
      <c r="AD87" s="12" t="b">
        <f t="shared" si="19"/>
        <v>1</v>
      </c>
      <c r="AE87" s="13">
        <v>0</v>
      </c>
      <c r="AF87" s="13">
        <f>VLOOKUP(F87,'[1]MGM Report'!$D:$N,11,FALSE)</f>
        <v>0</v>
      </c>
      <c r="AG87" s="13" t="b">
        <f t="shared" si="20"/>
        <v>1</v>
      </c>
      <c r="AH87" s="12">
        <v>650000</v>
      </c>
      <c r="AI87" s="12">
        <f>VLOOKUP(F87,'[1]MGM Report'!$D:$S,12,FALSE)</f>
        <v>650000</v>
      </c>
      <c r="AJ87" s="12" t="b">
        <f t="shared" si="21"/>
        <v>1</v>
      </c>
      <c r="AK87" s="13">
        <f>VLOOKUP(F87,[2]HAVASMGMReportKBCUpdatedResult!$F:$R,13,FALSE)</f>
        <v>0</v>
      </c>
      <c r="AL87" s="13">
        <f>VLOOKUP(F87,'[1]MGM Report'!$D:$S,14,FALSE)</f>
        <v>30000</v>
      </c>
    </row>
    <row r="88" spans="1:38">
      <c r="A88" s="7">
        <v>45758</v>
      </c>
      <c r="B88" s="8" t="s">
        <v>27</v>
      </c>
      <c r="C88" s="8" t="s">
        <v>120</v>
      </c>
      <c r="D88" s="8" t="s">
        <v>71</v>
      </c>
      <c r="E88" s="8" t="s">
        <v>171</v>
      </c>
      <c r="F88" s="8" t="str">
        <f t="shared" si="12"/>
        <v>SB22578</v>
      </c>
      <c r="G88" s="9">
        <v>5333936</v>
      </c>
      <c r="H88" s="9">
        <f>VLOOKUP(F88,'[1]MGM Report'!$D:$E,2,FALSE)</f>
        <v>10667872.81</v>
      </c>
      <c r="I88" s="9" t="b">
        <f t="shared" si="13"/>
        <v>0</v>
      </c>
      <c r="J88" s="12">
        <v>5333936.81</v>
      </c>
      <c r="K88" s="12">
        <f>VLOOKUP(F88,'[1]MGM Report'!$D:$F,3,FALSE)</f>
        <v>5333936.81</v>
      </c>
      <c r="L88" s="12" t="b">
        <f t="shared" si="14"/>
        <v>1</v>
      </c>
      <c r="M88" s="13">
        <v>0</v>
      </c>
      <c r="N88" s="13">
        <f>VLOOKUP(F88,'[1]MGM Report'!$D:$G,4,FALSE)</f>
        <v>0</v>
      </c>
      <c r="O88" s="13" t="b">
        <f t="shared" si="22"/>
        <v>1</v>
      </c>
      <c r="P88" s="12">
        <v>0</v>
      </c>
      <c r="Q88" s="12">
        <f>VLOOKUP(F88,'[1]MGM Report'!$D:$M,5,FALSE)</f>
        <v>0</v>
      </c>
      <c r="R88" s="12" t="b">
        <f t="shared" si="15"/>
        <v>1</v>
      </c>
      <c r="S88" s="13">
        <v>5333936.81</v>
      </c>
      <c r="T88" s="13">
        <f>VLOOKUP(F88,'[1]MGM Report'!$D:$I,6,FALSE)</f>
        <v>5333936.81</v>
      </c>
      <c r="U88" s="13" t="b">
        <f t="shared" si="16"/>
        <v>1</v>
      </c>
      <c r="V88" s="12">
        <v>3147394</v>
      </c>
      <c r="W88" s="12">
        <f>VLOOKUP(F88,'[1]MGM Report'!$D:$J,7,FALSE)</f>
        <v>3377971.05</v>
      </c>
      <c r="X88" s="12" t="b">
        <f t="shared" si="17"/>
        <v>0</v>
      </c>
      <c r="Y88" s="13">
        <v>2086639.61</v>
      </c>
      <c r="Z88" s="13">
        <f>VLOOKUP(F88,'[1]MGM Report'!$D:$K,8,FALSE)</f>
        <v>2128089.05</v>
      </c>
      <c r="AA88" s="13" t="b">
        <f t="shared" si="18"/>
        <v>0</v>
      </c>
      <c r="AB88" s="12">
        <v>1705846.95</v>
      </c>
      <c r="AC88" s="12">
        <f>VLOOKUP(F88,'[1]MGM Report'!$D:$M,10,FALSE)</f>
        <v>1705846.95</v>
      </c>
      <c r="AD88" s="12" t="b">
        <f t="shared" si="19"/>
        <v>1</v>
      </c>
      <c r="AE88" s="13">
        <v>0</v>
      </c>
      <c r="AF88" s="13">
        <f>VLOOKUP(F88,'[1]MGM Report'!$D:$N,11,FALSE)</f>
        <v>0</v>
      </c>
      <c r="AG88" s="13" t="b">
        <f t="shared" si="20"/>
        <v>1</v>
      </c>
      <c r="AH88" s="12">
        <v>3792486.56</v>
      </c>
      <c r="AI88" s="12">
        <f>VLOOKUP(F88,'[1]MGM Report'!$D:$S,12,FALSE)</f>
        <v>3833936</v>
      </c>
      <c r="AJ88" s="12" t="b">
        <f t="shared" si="21"/>
        <v>0</v>
      </c>
      <c r="AK88" s="13">
        <f>VLOOKUP(F88,[2]HAVASMGMReportKBCUpdatedResult!$F:$R,13,FALSE)</f>
        <v>2186542</v>
      </c>
      <c r="AL88" s="13">
        <f>VLOOKUP(F88,'[1]MGM Report'!$D:$S,14,FALSE)</f>
        <v>7289901.76</v>
      </c>
    </row>
    <row r="89" spans="1:38">
      <c r="A89" s="7">
        <v>45758</v>
      </c>
      <c r="B89" s="8" t="s">
        <v>27</v>
      </c>
      <c r="C89" s="8" t="s">
        <v>120</v>
      </c>
      <c r="D89" s="8" t="s">
        <v>172</v>
      </c>
      <c r="E89" s="8" t="s">
        <v>173</v>
      </c>
      <c r="F89" s="8" t="str">
        <f t="shared" si="12"/>
        <v>SB22581</v>
      </c>
      <c r="G89" s="9">
        <v>771075</v>
      </c>
      <c r="H89" s="9">
        <f>VLOOKUP(F89,'[1]MGM Report'!$D:$E,2,FALSE)</f>
        <v>771075</v>
      </c>
      <c r="I89" s="9" t="b">
        <f t="shared" si="13"/>
        <v>1</v>
      </c>
      <c r="J89" s="12">
        <v>771075</v>
      </c>
      <c r="K89" s="12">
        <f>VLOOKUP(F89,'[1]MGM Report'!$D:$F,3,FALSE)</f>
        <v>771075</v>
      </c>
      <c r="L89" s="12" t="b">
        <f t="shared" si="14"/>
        <v>1</v>
      </c>
      <c r="M89" s="13">
        <v>0</v>
      </c>
      <c r="N89" s="13">
        <f>VLOOKUP(F89,'[1]MGM Report'!$D:$G,4,FALSE)</f>
        <v>0</v>
      </c>
      <c r="O89" s="13" t="b">
        <f t="shared" si="22"/>
        <v>1</v>
      </c>
      <c r="P89" s="12">
        <v>0</v>
      </c>
      <c r="Q89" s="12">
        <f>VLOOKUP(F89,'[1]MGM Report'!$D:$M,5,FALSE)</f>
        <v>0</v>
      </c>
      <c r="R89" s="12" t="b">
        <f t="shared" si="15"/>
        <v>1</v>
      </c>
      <c r="S89" s="13">
        <v>771075</v>
      </c>
      <c r="T89" s="13">
        <f>VLOOKUP(F89,'[1]MGM Report'!$D:$I,6,FALSE)</f>
        <v>771075</v>
      </c>
      <c r="U89" s="13" t="b">
        <f t="shared" si="16"/>
        <v>1</v>
      </c>
      <c r="V89" s="12">
        <v>398548</v>
      </c>
      <c r="W89" s="12">
        <f>VLOOKUP(F89,'[1]MGM Report'!$D:$J,7,FALSE)</f>
        <v>488131.99</v>
      </c>
      <c r="X89" s="12" t="b">
        <f t="shared" si="17"/>
        <v>0</v>
      </c>
      <c r="Y89" s="13">
        <v>472583.99</v>
      </c>
      <c r="Z89" s="13">
        <f>VLOOKUP(F89,'[1]MGM Report'!$D:$K,8,FALSE)</f>
        <v>472583.99</v>
      </c>
      <c r="AA89" s="13" t="b">
        <f t="shared" si="18"/>
        <v>1</v>
      </c>
      <c r="AB89" s="12">
        <v>38706.01</v>
      </c>
      <c r="AC89" s="12">
        <f>VLOOKUP(F89,'[1]MGM Report'!$D:$M,10,FALSE)</f>
        <v>38706.01</v>
      </c>
      <c r="AD89" s="12" t="b">
        <f t="shared" si="19"/>
        <v>1</v>
      </c>
      <c r="AE89" s="13">
        <v>0</v>
      </c>
      <c r="AF89" s="13">
        <f>VLOOKUP(F89,'[1]MGM Report'!$D:$N,11,FALSE)</f>
        <v>0</v>
      </c>
      <c r="AG89" s="13" t="b">
        <f t="shared" si="20"/>
        <v>1</v>
      </c>
      <c r="AH89" s="12">
        <v>511290</v>
      </c>
      <c r="AI89" s="12">
        <f>VLOOKUP(F89,'[1]MGM Report'!$D:$S,12,FALSE)</f>
        <v>511290</v>
      </c>
      <c r="AJ89" s="12" t="b">
        <f t="shared" si="21"/>
        <v>1</v>
      </c>
      <c r="AK89" s="13">
        <f>VLOOKUP(F89,[2]HAVASMGMReportKBCUpdatedResult!$F:$R,13,FALSE)</f>
        <v>372527</v>
      </c>
      <c r="AL89" s="13">
        <f>VLOOKUP(F89,'[1]MGM Report'!$D:$S,14,FALSE)</f>
        <v>282943.01</v>
      </c>
    </row>
    <row r="90" spans="1:38">
      <c r="A90" s="7">
        <v>45758</v>
      </c>
      <c r="B90" s="8" t="s">
        <v>27</v>
      </c>
      <c r="C90" s="8" t="s">
        <v>120</v>
      </c>
      <c r="D90" s="8" t="s">
        <v>166</v>
      </c>
      <c r="E90" s="8" t="s">
        <v>174</v>
      </c>
      <c r="F90" s="8" t="str">
        <f t="shared" si="12"/>
        <v>SB22575</v>
      </c>
      <c r="G90" s="9">
        <v>0</v>
      </c>
      <c r="H90" s="9">
        <f>VLOOKUP(F90,'[1]MGM Report'!$D:$E,2,FALSE)</f>
        <v>835524</v>
      </c>
      <c r="I90" s="9" t="b">
        <f t="shared" si="13"/>
        <v>0</v>
      </c>
      <c r="J90" s="12">
        <v>0</v>
      </c>
      <c r="K90" s="12">
        <f>VLOOKUP(F90,'[1]MGM Report'!$D:$F,3,FALSE)</f>
        <v>0</v>
      </c>
      <c r="L90" s="12" t="b">
        <f t="shared" si="14"/>
        <v>1</v>
      </c>
      <c r="M90" s="13">
        <v>835524</v>
      </c>
      <c r="N90" s="13">
        <f>VLOOKUP(F90,'[1]MGM Report'!$D:$G,4,FALSE)</f>
        <v>835524</v>
      </c>
      <c r="O90" s="13" t="b">
        <f t="shared" si="22"/>
        <v>1</v>
      </c>
      <c r="P90" s="12">
        <v>0</v>
      </c>
      <c r="Q90" s="12">
        <f>VLOOKUP(F90,'[1]MGM Report'!$D:$M,5,FALSE)</f>
        <v>0</v>
      </c>
      <c r="R90" s="12" t="b">
        <f t="shared" si="15"/>
        <v>1</v>
      </c>
      <c r="S90" s="13">
        <v>835524</v>
      </c>
      <c r="T90" s="13">
        <f>VLOOKUP(F90,'[1]MGM Report'!$D:$I,6,FALSE)</f>
        <v>835524</v>
      </c>
      <c r="U90" s="13" t="b">
        <f t="shared" si="16"/>
        <v>1</v>
      </c>
      <c r="V90" s="12">
        <v>236500</v>
      </c>
      <c r="W90" s="12">
        <f>VLOOKUP(F90,'[1]MGM Report'!$D:$J,7,FALSE)</f>
        <v>258689.94</v>
      </c>
      <c r="X90" s="12" t="b">
        <f t="shared" si="17"/>
        <v>0</v>
      </c>
      <c r="Y90" s="13">
        <v>258689.94</v>
      </c>
      <c r="Z90" s="13">
        <f>VLOOKUP(F90,'[1]MGM Report'!$D:$K,8,FALSE)</f>
        <v>258689.94</v>
      </c>
      <c r="AA90" s="13" t="b">
        <f t="shared" si="18"/>
        <v>1</v>
      </c>
      <c r="AB90" s="12">
        <v>176834.06</v>
      </c>
      <c r="AC90" s="12">
        <f>VLOOKUP(F90,'[1]MGM Report'!$D:$M,10,FALSE)</f>
        <v>176834.06</v>
      </c>
      <c r="AD90" s="12" t="b">
        <f t="shared" si="19"/>
        <v>1</v>
      </c>
      <c r="AE90" s="13">
        <v>0</v>
      </c>
      <c r="AF90" s="13">
        <f>VLOOKUP(F90,'[1]MGM Report'!$D:$N,11,FALSE)</f>
        <v>0</v>
      </c>
      <c r="AG90" s="13" t="b">
        <f t="shared" si="20"/>
        <v>1</v>
      </c>
      <c r="AH90" s="12">
        <v>435524</v>
      </c>
      <c r="AI90" s="12">
        <f>VLOOKUP(F90,'[1]MGM Report'!$D:$S,12,FALSE)</f>
        <v>435524</v>
      </c>
      <c r="AJ90" s="12" t="b">
        <f t="shared" si="21"/>
        <v>1</v>
      </c>
      <c r="AK90" s="13">
        <f>VLOOKUP(F90,[2]HAVASMGMReportKBCUpdatedResult!$F:$R,13,FALSE)</f>
        <v>-236500</v>
      </c>
      <c r="AL90" s="13">
        <f>VLOOKUP(F90,'[1]MGM Report'!$D:$S,14,FALSE)</f>
        <v>576834.06</v>
      </c>
    </row>
    <row r="91" spans="1:38">
      <c r="A91" s="7">
        <v>45758</v>
      </c>
      <c r="B91" s="8" t="s">
        <v>59</v>
      </c>
      <c r="C91" s="8" t="s">
        <v>115</v>
      </c>
      <c r="D91" s="8" t="s">
        <v>175</v>
      </c>
      <c r="E91" s="8" t="s">
        <v>176</v>
      </c>
      <c r="F91" s="8" t="str">
        <f t="shared" si="12"/>
        <v>SB22576</v>
      </c>
      <c r="G91" s="9">
        <v>304656</v>
      </c>
      <c r="H91" s="9">
        <f>VLOOKUP(F91,'[1]MGM Report'!$D:$E,2,FALSE)</f>
        <v>304656</v>
      </c>
      <c r="I91" s="9" t="b">
        <f t="shared" si="13"/>
        <v>1</v>
      </c>
      <c r="J91" s="12">
        <v>0</v>
      </c>
      <c r="K91" s="12">
        <f>VLOOKUP(F91,'[1]MGM Report'!$D:$F,3,FALSE)</f>
        <v>0</v>
      </c>
      <c r="L91" s="12" t="b">
        <f t="shared" si="14"/>
        <v>1</v>
      </c>
      <c r="M91" s="13">
        <v>891616</v>
      </c>
      <c r="N91" s="13">
        <f>VLOOKUP(F91,'[1]MGM Report'!$D:$G,4,FALSE)</f>
        <v>891616</v>
      </c>
      <c r="O91" s="13" t="b">
        <f t="shared" si="22"/>
        <v>1</v>
      </c>
      <c r="P91" s="12">
        <v>0</v>
      </c>
      <c r="Q91" s="12">
        <f>VLOOKUP(F91,'[1]MGM Report'!$D:$M,5,FALSE)</f>
        <v>0</v>
      </c>
      <c r="R91" s="12" t="b">
        <f t="shared" si="15"/>
        <v>1</v>
      </c>
      <c r="S91" s="13">
        <v>891616</v>
      </c>
      <c r="T91" s="13">
        <f>VLOOKUP(F91,'[1]MGM Report'!$D:$I,6,FALSE)</f>
        <v>891616</v>
      </c>
      <c r="U91" s="13" t="b">
        <f t="shared" si="16"/>
        <v>1</v>
      </c>
      <c r="V91" s="12">
        <v>618138.76</v>
      </c>
      <c r="W91" s="12">
        <f>VLOOKUP(F91,'[1]MGM Report'!$D:$J,7,FALSE)</f>
        <v>643704.03</v>
      </c>
      <c r="X91" s="12" t="b">
        <f t="shared" si="17"/>
        <v>0</v>
      </c>
      <c r="Y91" s="13">
        <v>640954.03</v>
      </c>
      <c r="Z91" s="13">
        <f>VLOOKUP(F91,'[1]MGM Report'!$D:$K,8,FALSE)</f>
        <v>640954.03</v>
      </c>
      <c r="AA91" s="13" t="b">
        <f t="shared" si="18"/>
        <v>1</v>
      </c>
      <c r="AB91" s="12">
        <v>59045.97</v>
      </c>
      <c r="AC91" s="12">
        <f>VLOOKUP(F91,'[1]MGM Report'!$D:$M,10,FALSE)</f>
        <v>59045.97</v>
      </c>
      <c r="AD91" s="12" t="b">
        <f t="shared" si="19"/>
        <v>1</v>
      </c>
      <c r="AE91" s="13">
        <v>0</v>
      </c>
      <c r="AF91" s="13">
        <f>VLOOKUP(F91,'[1]MGM Report'!$D:$N,11,FALSE)</f>
        <v>0</v>
      </c>
      <c r="AG91" s="13" t="b">
        <f t="shared" si="20"/>
        <v>1</v>
      </c>
      <c r="AH91" s="12">
        <v>700000</v>
      </c>
      <c r="AI91" s="12">
        <f>VLOOKUP(F91,'[1]MGM Report'!$D:$S,12,FALSE)</f>
        <v>700000</v>
      </c>
      <c r="AJ91" s="12" t="b">
        <f t="shared" si="21"/>
        <v>1</v>
      </c>
      <c r="AK91" s="13">
        <f>VLOOKUP(F91,[2]HAVASMGMReportKBCUpdatedResult!$F:$R,13,FALSE)</f>
        <v>-313482.76</v>
      </c>
      <c r="AL91" s="13">
        <f>VLOOKUP(F91,'[1]MGM Report'!$D:$S,14,FALSE)</f>
        <v>339048.03</v>
      </c>
    </row>
    <row r="92" spans="1:38">
      <c r="A92" s="7">
        <v>45758</v>
      </c>
      <c r="B92" s="8" t="s">
        <v>38</v>
      </c>
      <c r="C92" s="8" t="s">
        <v>130</v>
      </c>
      <c r="D92" s="8" t="s">
        <v>62</v>
      </c>
      <c r="E92" s="8" t="s">
        <v>177</v>
      </c>
      <c r="F92" s="8" t="str">
        <f t="shared" si="12"/>
        <v>SB22577</v>
      </c>
      <c r="G92" s="9">
        <v>2450000</v>
      </c>
      <c r="H92" s="9">
        <f>VLOOKUP(F92,'[1]MGM Report'!$D:$E,2,FALSE)</f>
        <v>2450000</v>
      </c>
      <c r="I92" s="9" t="b">
        <f t="shared" si="13"/>
        <v>1</v>
      </c>
      <c r="J92" s="12">
        <v>0</v>
      </c>
      <c r="K92" s="12">
        <f>VLOOKUP(F92,'[1]MGM Report'!$D:$F,3,FALSE)</f>
        <v>0</v>
      </c>
      <c r="L92" s="12" t="b">
        <f t="shared" si="14"/>
        <v>1</v>
      </c>
      <c r="M92" s="13">
        <v>832754</v>
      </c>
      <c r="N92" s="13">
        <f>VLOOKUP(F92,'[1]MGM Report'!$D:$G,4,FALSE)</f>
        <v>832754</v>
      </c>
      <c r="O92" s="13" t="b">
        <f t="shared" si="22"/>
        <v>1</v>
      </c>
      <c r="P92" s="12">
        <v>0</v>
      </c>
      <c r="Q92" s="12">
        <f>VLOOKUP(F92,'[1]MGM Report'!$D:$M,5,FALSE)</f>
        <v>0</v>
      </c>
      <c r="R92" s="12" t="b">
        <f t="shared" si="15"/>
        <v>1</v>
      </c>
      <c r="S92" s="13">
        <v>832754</v>
      </c>
      <c r="T92" s="13">
        <f>VLOOKUP(F92,'[1]MGM Report'!$D:$I,6,FALSE)</f>
        <v>832754</v>
      </c>
      <c r="U92" s="13" t="b">
        <f t="shared" si="16"/>
        <v>1</v>
      </c>
      <c r="V92" s="12">
        <v>62197.5</v>
      </c>
      <c r="W92" s="12">
        <f>VLOOKUP(F92,'[1]MGM Report'!$D:$J,7,FALSE)</f>
        <v>63687.5</v>
      </c>
      <c r="X92" s="12" t="b">
        <f t="shared" si="17"/>
        <v>0</v>
      </c>
      <c r="Y92" s="13">
        <v>63687.5</v>
      </c>
      <c r="Z92" s="13">
        <f>VLOOKUP(F92,'[1]MGM Report'!$D:$K,8,FALSE)</f>
        <v>63687.5</v>
      </c>
      <c r="AA92" s="13" t="b">
        <f t="shared" si="18"/>
        <v>1</v>
      </c>
      <c r="AB92" s="12">
        <v>569066.5</v>
      </c>
      <c r="AC92" s="12">
        <f>VLOOKUP(F92,'[1]MGM Report'!$D:$M,10,FALSE)</f>
        <v>569066.5</v>
      </c>
      <c r="AD92" s="12" t="b">
        <f t="shared" si="19"/>
        <v>1</v>
      </c>
      <c r="AE92" s="13">
        <v>0</v>
      </c>
      <c r="AF92" s="13">
        <f>VLOOKUP(F92,'[1]MGM Report'!$D:$N,11,FALSE)</f>
        <v>0</v>
      </c>
      <c r="AG92" s="13" t="b">
        <f t="shared" si="20"/>
        <v>1</v>
      </c>
      <c r="AH92" s="12">
        <v>632754</v>
      </c>
      <c r="AI92" s="12">
        <f>VLOOKUP(F92,'[1]MGM Report'!$D:$S,12,FALSE)</f>
        <v>632754</v>
      </c>
      <c r="AJ92" s="12" t="b">
        <f t="shared" si="21"/>
        <v>1</v>
      </c>
      <c r="AK92" s="13">
        <f>VLOOKUP(F92,[2]HAVASMGMReportKBCUpdatedResult!$F:$R,13,FALSE)</f>
        <v>2387802.5</v>
      </c>
      <c r="AL92" s="13">
        <f>VLOOKUP(F92,'[1]MGM Report'!$D:$S,14,FALSE)</f>
        <v>2386312.5</v>
      </c>
    </row>
    <row r="93" spans="1:38">
      <c r="A93" s="7">
        <v>45758</v>
      </c>
      <c r="B93" s="8" t="s">
        <v>38</v>
      </c>
      <c r="C93" s="8" t="s">
        <v>130</v>
      </c>
      <c r="D93" s="8" t="s">
        <v>51</v>
      </c>
      <c r="E93" s="8" t="s">
        <v>178</v>
      </c>
      <c r="F93" s="8" t="str">
        <f t="shared" si="12"/>
        <v>SB22574</v>
      </c>
      <c r="G93" s="9">
        <v>0</v>
      </c>
      <c r="H93" s="9">
        <f>VLOOKUP(F93,'[1]MGM Report'!$D:$E,2,FALSE)</f>
        <v>0</v>
      </c>
      <c r="I93" s="9" t="b">
        <f t="shared" si="13"/>
        <v>1</v>
      </c>
      <c r="J93" s="12">
        <v>2156689</v>
      </c>
      <c r="K93" s="12">
        <f>VLOOKUP(F93,'[1]MGM Report'!$D:$F,3,FALSE)</f>
        <v>2156689</v>
      </c>
      <c r="L93" s="12" t="b">
        <f t="shared" si="14"/>
        <v>1</v>
      </c>
      <c r="M93" s="13">
        <v>0</v>
      </c>
      <c r="N93" s="13">
        <f>VLOOKUP(F93,'[1]MGM Report'!$D:$G,4,FALSE)</f>
        <v>0</v>
      </c>
      <c r="O93" s="13" t="b">
        <f t="shared" si="22"/>
        <v>1</v>
      </c>
      <c r="P93" s="12">
        <v>0</v>
      </c>
      <c r="Q93" s="12">
        <f>VLOOKUP(F93,'[1]MGM Report'!$D:$M,5,FALSE)</f>
        <v>0</v>
      </c>
      <c r="R93" s="12" t="b">
        <f t="shared" si="15"/>
        <v>1</v>
      </c>
      <c r="S93" s="13">
        <v>2156689</v>
      </c>
      <c r="T93" s="13">
        <f>VLOOKUP(F93,'[1]MGM Report'!$D:$I,6,FALSE)</f>
        <v>2156689</v>
      </c>
      <c r="U93" s="13" t="b">
        <f t="shared" si="16"/>
        <v>1</v>
      </c>
      <c r="V93" s="12">
        <v>990189.76</v>
      </c>
      <c r="W93" s="12">
        <f>VLOOKUP(F93,'[1]MGM Report'!$D:$J,7,FALSE)</f>
        <v>1038189.75</v>
      </c>
      <c r="X93" s="12" t="b">
        <f t="shared" si="17"/>
        <v>0</v>
      </c>
      <c r="Y93" s="13">
        <v>990189.76</v>
      </c>
      <c r="Z93" s="13">
        <f>VLOOKUP(F93,'[1]MGM Report'!$D:$K,8,FALSE)</f>
        <v>1038189.75</v>
      </c>
      <c r="AA93" s="13" t="b">
        <f t="shared" si="18"/>
        <v>0</v>
      </c>
      <c r="AB93" s="12">
        <v>582989.25</v>
      </c>
      <c r="AC93" s="12">
        <f>VLOOKUP(F93,'[1]MGM Report'!$D:$M,10,FALSE)</f>
        <v>582989.25</v>
      </c>
      <c r="AD93" s="12" t="b">
        <f t="shared" si="19"/>
        <v>1</v>
      </c>
      <c r="AE93" s="13">
        <v>0</v>
      </c>
      <c r="AF93" s="13">
        <f>VLOOKUP(F93,'[1]MGM Report'!$D:$N,11,FALSE)</f>
        <v>0</v>
      </c>
      <c r="AG93" s="13" t="b">
        <f t="shared" si="20"/>
        <v>1</v>
      </c>
      <c r="AH93" s="12">
        <v>1573179.01</v>
      </c>
      <c r="AI93" s="12">
        <f>VLOOKUP(F93,'[1]MGM Report'!$D:$S,12,FALSE)</f>
        <v>1621179</v>
      </c>
      <c r="AJ93" s="12" t="b">
        <f t="shared" si="21"/>
        <v>0</v>
      </c>
      <c r="AK93" s="13">
        <f>VLOOKUP(F93,[2]HAVASMGMReportKBCUpdatedResult!$F:$R,13,FALSE)</f>
        <v>-990189.76</v>
      </c>
      <c r="AL93" s="13">
        <f>VLOOKUP(F93,'[1]MGM Report'!$D:$S,14,FALSE)</f>
        <v>1038189.75</v>
      </c>
    </row>
    <row r="94" spans="1:38">
      <c r="A94" s="7">
        <v>45758</v>
      </c>
      <c r="B94" s="8" t="s">
        <v>31</v>
      </c>
      <c r="C94" s="8" t="s">
        <v>115</v>
      </c>
      <c r="D94" s="8" t="s">
        <v>45</v>
      </c>
      <c r="E94" s="8" t="s">
        <v>179</v>
      </c>
      <c r="F94" s="8" t="str">
        <f t="shared" si="12"/>
        <v>SB22573</v>
      </c>
      <c r="G94" s="9">
        <v>0</v>
      </c>
      <c r="H94" s="9">
        <f>VLOOKUP(F94,'[1]MGM Report'!$D:$E,2,FALSE)</f>
        <v>0</v>
      </c>
      <c r="I94" s="9" t="b">
        <f t="shared" si="13"/>
        <v>1</v>
      </c>
      <c r="J94" s="12">
        <v>0</v>
      </c>
      <c r="K94" s="12">
        <f>VLOOKUP(F94,'[1]MGM Report'!$D:$F,3,FALSE)</f>
        <v>0</v>
      </c>
      <c r="L94" s="12" t="b">
        <f t="shared" si="14"/>
        <v>1</v>
      </c>
      <c r="M94" s="13">
        <v>33583</v>
      </c>
      <c r="N94" s="13">
        <f>VLOOKUP(F94,'[1]MGM Report'!$D:$G,4,FALSE)</f>
        <v>33583</v>
      </c>
      <c r="O94" s="13" t="b">
        <f t="shared" si="22"/>
        <v>1</v>
      </c>
      <c r="P94" s="12">
        <v>0</v>
      </c>
      <c r="Q94" s="12">
        <f>VLOOKUP(F94,'[1]MGM Report'!$D:$M,5,FALSE)</f>
        <v>0</v>
      </c>
      <c r="R94" s="12" t="b">
        <f t="shared" si="15"/>
        <v>1</v>
      </c>
      <c r="S94" s="13">
        <v>33583</v>
      </c>
      <c r="T94" s="13">
        <f>VLOOKUP(F94,'[1]MGM Report'!$D:$I,6,FALSE)</f>
        <v>33583</v>
      </c>
      <c r="U94" s="13" t="b">
        <f t="shared" si="16"/>
        <v>1</v>
      </c>
      <c r="V94" s="12">
        <v>0</v>
      </c>
      <c r="W94" s="12">
        <f>VLOOKUP(F94,'[1]MGM Report'!$D:$J,7,FALSE)</f>
        <v>1903</v>
      </c>
      <c r="X94" s="12" t="b">
        <f t="shared" si="17"/>
        <v>0</v>
      </c>
      <c r="Y94" s="13">
        <v>1903</v>
      </c>
      <c r="Z94" s="13">
        <f>VLOOKUP(F94,'[1]MGM Report'!$D:$K,8,FALSE)</f>
        <v>1903</v>
      </c>
      <c r="AA94" s="13" t="b">
        <f t="shared" si="18"/>
        <v>1</v>
      </c>
      <c r="AB94" s="12">
        <v>20097</v>
      </c>
      <c r="AC94" s="12">
        <f>VLOOKUP(F94,'[1]MGM Report'!$D:$M,10,FALSE)</f>
        <v>20097</v>
      </c>
      <c r="AD94" s="12" t="b">
        <f t="shared" si="19"/>
        <v>1</v>
      </c>
      <c r="AE94" s="13">
        <v>0</v>
      </c>
      <c r="AF94" s="13">
        <f>VLOOKUP(F94,'[1]MGM Report'!$D:$N,11,FALSE)</f>
        <v>0</v>
      </c>
      <c r="AG94" s="13" t="b">
        <f t="shared" si="20"/>
        <v>1</v>
      </c>
      <c r="AH94" s="12">
        <v>22000</v>
      </c>
      <c r="AI94" s="12">
        <f>VLOOKUP(F94,'[1]MGM Report'!$D:$S,12,FALSE)</f>
        <v>22000</v>
      </c>
      <c r="AJ94" s="12" t="b">
        <f t="shared" si="21"/>
        <v>1</v>
      </c>
      <c r="AK94" s="13">
        <f>VLOOKUP(F94,[2]HAVASMGMReportKBCUpdatedResult!$F:$R,13,FALSE)</f>
        <v>0</v>
      </c>
      <c r="AL94" s="13">
        <f>VLOOKUP(F94,'[1]MGM Report'!$D:$S,14,FALSE)</f>
        <v>1903</v>
      </c>
    </row>
    <row r="95" spans="1:38">
      <c r="A95" s="7">
        <v>45758</v>
      </c>
      <c r="B95" s="8" t="s">
        <v>27</v>
      </c>
      <c r="C95" s="8" t="s">
        <v>120</v>
      </c>
      <c r="D95" s="8" t="s">
        <v>143</v>
      </c>
      <c r="E95" s="8" t="s">
        <v>180</v>
      </c>
      <c r="F95" s="8" t="str">
        <f t="shared" si="12"/>
        <v>SB22571</v>
      </c>
      <c r="G95" s="9">
        <v>0</v>
      </c>
      <c r="H95" s="9">
        <f>VLOOKUP(F95,'[1]MGM Report'!$D:$E,2,FALSE)</f>
        <v>1721092.49</v>
      </c>
      <c r="I95" s="9" t="b">
        <f t="shared" si="13"/>
        <v>0</v>
      </c>
      <c r="J95" s="12">
        <v>0</v>
      </c>
      <c r="K95" s="12">
        <f>VLOOKUP(F95,'[1]MGM Report'!$D:$F,3,FALSE)</f>
        <v>1721092.49</v>
      </c>
      <c r="L95" s="12" t="b">
        <f t="shared" si="14"/>
        <v>0</v>
      </c>
      <c r="M95" s="13">
        <v>0</v>
      </c>
      <c r="N95" s="13">
        <f>VLOOKUP(F95,'[1]MGM Report'!$D:$G,4,FALSE)</f>
        <v>0</v>
      </c>
      <c r="O95" s="13" t="b">
        <f t="shared" si="22"/>
        <v>1</v>
      </c>
      <c r="P95" s="12">
        <v>0</v>
      </c>
      <c r="Q95" s="12">
        <f>VLOOKUP(F95,'[1]MGM Report'!$D:$M,5,FALSE)</f>
        <v>0</v>
      </c>
      <c r="R95" s="12" t="b">
        <f t="shared" si="15"/>
        <v>1</v>
      </c>
      <c r="S95" s="13">
        <v>0</v>
      </c>
      <c r="T95" s="13">
        <f>VLOOKUP(F95,'[1]MGM Report'!$D:$I,6,FALSE)</f>
        <v>1721092.49</v>
      </c>
      <c r="U95" s="13" t="b">
        <f t="shared" si="16"/>
        <v>0</v>
      </c>
      <c r="V95" s="12">
        <v>1148205</v>
      </c>
      <c r="W95" s="12">
        <f>VLOOKUP(F95,'[1]MGM Report'!$D:$J,7,FALSE)</f>
        <v>1181572</v>
      </c>
      <c r="X95" s="12" t="b">
        <f t="shared" si="17"/>
        <v>0</v>
      </c>
      <c r="Y95" s="13">
        <v>1178072</v>
      </c>
      <c r="Z95" s="13">
        <f>VLOOKUP(F95,'[1]MGM Report'!$D:$K,8,FALSE)</f>
        <v>1181572</v>
      </c>
      <c r="AA95" s="13" t="b">
        <f t="shared" si="18"/>
        <v>0</v>
      </c>
      <c r="AB95" s="12">
        <v>318428</v>
      </c>
      <c r="AC95" s="12">
        <f>VLOOKUP(F95,'[1]MGM Report'!$D:$M,10,FALSE)</f>
        <v>318428</v>
      </c>
      <c r="AD95" s="12" t="b">
        <f t="shared" si="19"/>
        <v>1</v>
      </c>
      <c r="AE95" s="13">
        <v>0</v>
      </c>
      <c r="AF95" s="13">
        <f>VLOOKUP(F95,'[1]MGM Report'!$D:$N,11,FALSE)</f>
        <v>0</v>
      </c>
      <c r="AG95" s="13" t="b">
        <f t="shared" si="20"/>
        <v>1</v>
      </c>
      <c r="AH95" s="12">
        <v>1496500</v>
      </c>
      <c r="AI95" s="12">
        <f>VLOOKUP(F95,'[1]MGM Report'!$D:$S,12,FALSE)</f>
        <v>1500000</v>
      </c>
      <c r="AJ95" s="12" t="b">
        <f t="shared" si="21"/>
        <v>0</v>
      </c>
      <c r="AK95" s="13">
        <f>VLOOKUP(F95,[2]HAVASMGMReportKBCUpdatedResult!$F:$R,13,FALSE)</f>
        <v>-1148205</v>
      </c>
      <c r="AL95" s="13">
        <f>VLOOKUP(F95,'[1]MGM Report'!$D:$S,14,FALSE)</f>
        <v>539520.49</v>
      </c>
    </row>
    <row r="96" spans="1:38">
      <c r="A96" s="7">
        <v>45758</v>
      </c>
      <c r="B96" s="8" t="s">
        <v>59</v>
      </c>
      <c r="C96" s="8" t="s">
        <v>115</v>
      </c>
      <c r="D96" s="8" t="s">
        <v>181</v>
      </c>
      <c r="E96" s="8" t="s">
        <v>182</v>
      </c>
      <c r="F96" s="8" t="str">
        <f t="shared" si="12"/>
        <v>SB22572</v>
      </c>
      <c r="G96" s="9">
        <v>94071.96</v>
      </c>
      <c r="H96" s="9">
        <f>VLOOKUP(F96,'[1]MGM Report'!$D:$E,2,FALSE)</f>
        <v>94072</v>
      </c>
      <c r="I96" s="9" t="b">
        <f t="shared" si="13"/>
        <v>0</v>
      </c>
      <c r="J96" s="12">
        <v>94071.96</v>
      </c>
      <c r="K96" s="12">
        <f>VLOOKUP(F96,'[1]MGM Report'!$D:$F,3,FALSE)</f>
        <v>94072</v>
      </c>
      <c r="L96" s="12" t="b">
        <f t="shared" si="14"/>
        <v>0</v>
      </c>
      <c r="M96" s="13">
        <v>0</v>
      </c>
      <c r="N96" s="13">
        <f>VLOOKUP(F96,'[1]MGM Report'!$D:$G,4,FALSE)</f>
        <v>0</v>
      </c>
      <c r="O96" s="13" t="b">
        <f t="shared" si="22"/>
        <v>1</v>
      </c>
      <c r="P96" s="12">
        <v>0</v>
      </c>
      <c r="Q96" s="12">
        <f>VLOOKUP(F96,'[1]MGM Report'!$D:$M,5,FALSE)</f>
        <v>0</v>
      </c>
      <c r="R96" s="12" t="b">
        <f t="shared" si="15"/>
        <v>1</v>
      </c>
      <c r="S96" s="13">
        <v>94071.96</v>
      </c>
      <c r="T96" s="13">
        <f>VLOOKUP(F96,'[1]MGM Report'!$D:$I,6,FALSE)</f>
        <v>94072</v>
      </c>
      <c r="U96" s="13" t="b">
        <f t="shared" si="16"/>
        <v>0</v>
      </c>
      <c r="V96" s="12">
        <v>45000</v>
      </c>
      <c r="W96" s="12">
        <f>VLOOKUP(F96,'[1]MGM Report'!$D:$J,7,FALSE)</f>
        <v>45000</v>
      </c>
      <c r="X96" s="12" t="b">
        <f t="shared" si="17"/>
        <v>1</v>
      </c>
      <c r="Y96" s="13">
        <v>36000</v>
      </c>
      <c r="Z96" s="13">
        <f>VLOOKUP(F96,'[1]MGM Report'!$D:$K,8,FALSE)</f>
        <v>36000</v>
      </c>
      <c r="AA96" s="13" t="b">
        <f t="shared" si="18"/>
        <v>1</v>
      </c>
      <c r="AB96" s="12">
        <v>33072</v>
      </c>
      <c r="AC96" s="12">
        <f>VLOOKUP(F96,'[1]MGM Report'!$D:$M,10,FALSE)</f>
        <v>33072</v>
      </c>
      <c r="AD96" s="12" t="b">
        <f t="shared" si="19"/>
        <v>1</v>
      </c>
      <c r="AE96" s="13">
        <v>0</v>
      </c>
      <c r="AF96" s="13">
        <f>VLOOKUP(F96,'[1]MGM Report'!$D:$N,11,FALSE)</f>
        <v>0</v>
      </c>
      <c r="AG96" s="13" t="b">
        <f t="shared" si="20"/>
        <v>1</v>
      </c>
      <c r="AH96" s="12">
        <v>69072</v>
      </c>
      <c r="AI96" s="12">
        <f>VLOOKUP(F96,'[1]MGM Report'!$D:$S,12,FALSE)</f>
        <v>69072</v>
      </c>
      <c r="AJ96" s="12" t="b">
        <f t="shared" si="21"/>
        <v>1</v>
      </c>
      <c r="AK96" s="13">
        <f>VLOOKUP(F96,[2]HAVASMGMReportKBCUpdatedResult!$F:$R,13,FALSE)</f>
        <v>49071.96</v>
      </c>
      <c r="AL96" s="13">
        <f>VLOOKUP(F96,'[1]MGM Report'!$D:$S,14,FALSE)</f>
        <v>49072</v>
      </c>
    </row>
    <row r="97" spans="1:38">
      <c r="A97" s="7">
        <v>45758</v>
      </c>
      <c r="B97" s="8" t="s">
        <v>27</v>
      </c>
      <c r="C97" s="8" t="s">
        <v>120</v>
      </c>
      <c r="D97" s="8" t="s">
        <v>81</v>
      </c>
      <c r="E97" s="8" t="s">
        <v>183</v>
      </c>
      <c r="F97" s="8" t="str">
        <f t="shared" si="12"/>
        <v>SB22570</v>
      </c>
      <c r="G97" s="9">
        <v>375100</v>
      </c>
      <c r="H97" s="9">
        <f>VLOOKUP(F97,'[1]MGM Report'!$D:$E,2,FALSE)</f>
        <v>342650</v>
      </c>
      <c r="I97" s="9" t="b">
        <f t="shared" si="13"/>
        <v>0</v>
      </c>
      <c r="J97" s="12">
        <v>171050</v>
      </c>
      <c r="K97" s="12">
        <f>VLOOKUP(F97,'[1]MGM Report'!$D:$F,3,FALSE)</f>
        <v>171050</v>
      </c>
      <c r="L97" s="12" t="b">
        <f t="shared" si="14"/>
        <v>1</v>
      </c>
      <c r="M97" s="13">
        <v>0</v>
      </c>
      <c r="N97" s="13">
        <f>VLOOKUP(F97,'[1]MGM Report'!$D:$G,4,FALSE)</f>
        <v>0</v>
      </c>
      <c r="O97" s="13" t="b">
        <f t="shared" si="22"/>
        <v>1</v>
      </c>
      <c r="P97" s="12">
        <v>0</v>
      </c>
      <c r="Q97" s="12">
        <f>VLOOKUP(F97,'[1]MGM Report'!$D:$M,5,FALSE)</f>
        <v>0</v>
      </c>
      <c r="R97" s="12" t="b">
        <f t="shared" si="15"/>
        <v>1</v>
      </c>
      <c r="S97" s="13">
        <v>171050</v>
      </c>
      <c r="T97" s="13">
        <f>VLOOKUP(F97,'[1]MGM Report'!$D:$I,6,FALSE)</f>
        <v>171050</v>
      </c>
      <c r="U97" s="13" t="b">
        <f t="shared" si="16"/>
        <v>1</v>
      </c>
      <c r="V97" s="12">
        <v>46000</v>
      </c>
      <c r="W97" s="12">
        <f>VLOOKUP(F97,'[1]MGM Report'!$D:$J,7,FALSE)</f>
        <v>46000</v>
      </c>
      <c r="X97" s="12" t="b">
        <f t="shared" si="17"/>
        <v>1</v>
      </c>
      <c r="Y97" s="13">
        <v>46000</v>
      </c>
      <c r="Z97" s="13">
        <f>VLOOKUP(F97,'[1]MGM Report'!$D:$K,8,FALSE)</f>
        <v>46000</v>
      </c>
      <c r="AA97" s="13" t="b">
        <f t="shared" si="18"/>
        <v>1</v>
      </c>
      <c r="AB97" s="12">
        <v>48380</v>
      </c>
      <c r="AC97" s="12">
        <f>VLOOKUP(F97,'[1]MGM Report'!$D:$M,10,FALSE)</f>
        <v>48380</v>
      </c>
      <c r="AD97" s="12" t="b">
        <f t="shared" si="19"/>
        <v>1</v>
      </c>
      <c r="AE97" s="13">
        <v>0</v>
      </c>
      <c r="AF97" s="13">
        <f>VLOOKUP(F97,'[1]MGM Report'!$D:$N,11,FALSE)</f>
        <v>0</v>
      </c>
      <c r="AG97" s="13" t="b">
        <f t="shared" si="20"/>
        <v>1</v>
      </c>
      <c r="AH97" s="12">
        <v>94380</v>
      </c>
      <c r="AI97" s="12">
        <f>VLOOKUP(F97,'[1]MGM Report'!$D:$S,12,FALSE)</f>
        <v>94380</v>
      </c>
      <c r="AJ97" s="12" t="b">
        <f t="shared" si="21"/>
        <v>1</v>
      </c>
      <c r="AK97" s="13">
        <f>VLOOKUP(F97,[2]HAVASMGMReportKBCUpdatedResult!$F:$R,13,FALSE)</f>
        <v>329100</v>
      </c>
      <c r="AL97" s="13">
        <f>VLOOKUP(F97,'[1]MGM Report'!$D:$S,14,FALSE)</f>
        <v>296650</v>
      </c>
    </row>
    <row r="98" spans="1:38">
      <c r="A98" s="7">
        <v>45758</v>
      </c>
      <c r="B98" s="8" t="s">
        <v>27</v>
      </c>
      <c r="C98" s="8" t="s">
        <v>120</v>
      </c>
      <c r="D98" s="8" t="s">
        <v>168</v>
      </c>
      <c r="E98" s="8" t="s">
        <v>184</v>
      </c>
      <c r="F98" s="8" t="str">
        <f t="shared" si="12"/>
        <v>SB22567</v>
      </c>
      <c r="G98" s="9">
        <v>24145</v>
      </c>
      <c r="H98" s="9">
        <f>VLOOKUP(F98,'[1]MGM Report'!$D:$E,2,FALSE)</f>
        <v>24145</v>
      </c>
      <c r="I98" s="9" t="b">
        <f t="shared" si="13"/>
        <v>1</v>
      </c>
      <c r="J98" s="12">
        <v>24145</v>
      </c>
      <c r="K98" s="12">
        <f>VLOOKUP(F98,'[1]MGM Report'!$D:$F,3,FALSE)</f>
        <v>24145</v>
      </c>
      <c r="L98" s="12" t="b">
        <f t="shared" si="14"/>
        <v>1</v>
      </c>
      <c r="M98" s="13">
        <v>0</v>
      </c>
      <c r="N98" s="13">
        <f>VLOOKUP(F98,'[1]MGM Report'!$D:$G,4,FALSE)</f>
        <v>0</v>
      </c>
      <c r="O98" s="13" t="b">
        <f t="shared" si="22"/>
        <v>1</v>
      </c>
      <c r="P98" s="12">
        <v>0</v>
      </c>
      <c r="Q98" s="12">
        <f>VLOOKUP(F98,'[1]MGM Report'!$D:$M,5,FALSE)</f>
        <v>0</v>
      </c>
      <c r="R98" s="12" t="b">
        <f t="shared" si="15"/>
        <v>1</v>
      </c>
      <c r="S98" s="13">
        <v>24145</v>
      </c>
      <c r="T98" s="13">
        <f>VLOOKUP(F98,'[1]MGM Report'!$D:$I,6,FALSE)</f>
        <v>24145</v>
      </c>
      <c r="U98" s="13" t="b">
        <f t="shared" si="16"/>
        <v>1</v>
      </c>
      <c r="V98" s="12">
        <v>0</v>
      </c>
      <c r="W98" s="12">
        <f>VLOOKUP(F98,'[1]MGM Report'!$D:$J,7,FALSE)</f>
        <v>3453.33</v>
      </c>
      <c r="X98" s="12" t="b">
        <f t="shared" si="17"/>
        <v>0</v>
      </c>
      <c r="Y98" s="13">
        <v>3453.33</v>
      </c>
      <c r="Z98" s="13">
        <f>VLOOKUP(F98,'[1]MGM Report'!$D:$K,8,FALSE)</f>
        <v>3453.33</v>
      </c>
      <c r="AA98" s="13" t="b">
        <f t="shared" si="18"/>
        <v>1</v>
      </c>
      <c r="AB98" s="12">
        <v>14049.87</v>
      </c>
      <c r="AC98" s="12">
        <f>VLOOKUP(F98,'[1]MGM Report'!$D:$M,10,FALSE)</f>
        <v>14049.87</v>
      </c>
      <c r="AD98" s="12" t="b">
        <f t="shared" si="19"/>
        <v>1</v>
      </c>
      <c r="AE98" s="13">
        <v>0</v>
      </c>
      <c r="AF98" s="13">
        <f>VLOOKUP(F98,'[1]MGM Report'!$D:$N,11,FALSE)</f>
        <v>0</v>
      </c>
      <c r="AG98" s="13" t="b">
        <f t="shared" si="20"/>
        <v>1</v>
      </c>
      <c r="AH98" s="12">
        <v>17503.2</v>
      </c>
      <c r="AI98" s="12">
        <f>VLOOKUP(F98,'[1]MGM Report'!$D:$S,12,FALSE)</f>
        <v>17503.2</v>
      </c>
      <c r="AJ98" s="12" t="b">
        <f t="shared" si="21"/>
        <v>1</v>
      </c>
      <c r="AK98" s="13">
        <f>VLOOKUP(F98,[2]HAVASMGMReportKBCUpdatedResult!$F:$R,13,FALSE)</f>
        <v>24145</v>
      </c>
      <c r="AL98" s="13">
        <f>VLOOKUP(F98,'[1]MGM Report'!$D:$S,14,FALSE)</f>
        <v>20691.67</v>
      </c>
    </row>
    <row r="99" spans="1:38">
      <c r="A99" s="7">
        <v>45758</v>
      </c>
      <c r="B99" s="8" t="s">
        <v>38</v>
      </c>
      <c r="C99" s="8" t="s">
        <v>130</v>
      </c>
      <c r="D99" s="8" t="s">
        <v>185</v>
      </c>
      <c r="E99" s="8" t="s">
        <v>186</v>
      </c>
      <c r="F99" s="8" t="str">
        <f t="shared" si="12"/>
        <v>SB22569</v>
      </c>
      <c r="G99" s="9">
        <v>5599600</v>
      </c>
      <c r="H99" s="9">
        <f>VLOOKUP(F99,'[1]MGM Report'!$D:$E,2,FALSE)</f>
        <v>5599600</v>
      </c>
      <c r="I99" s="9" t="b">
        <f t="shared" si="13"/>
        <v>1</v>
      </c>
      <c r="J99" s="12">
        <v>7613750</v>
      </c>
      <c r="K99" s="12">
        <f>VLOOKUP(F99,'[1]MGM Report'!$D:$F,3,FALSE)</f>
        <v>7613750</v>
      </c>
      <c r="L99" s="12" t="b">
        <f t="shared" si="14"/>
        <v>1</v>
      </c>
      <c r="M99" s="13">
        <v>6899640</v>
      </c>
      <c r="N99" s="13">
        <f>VLOOKUP(F99,'[1]MGM Report'!$D:$G,4,FALSE)</f>
        <v>6899640</v>
      </c>
      <c r="O99" s="13" t="b">
        <f t="shared" si="22"/>
        <v>1</v>
      </c>
      <c r="P99" s="12">
        <v>0</v>
      </c>
      <c r="Q99" s="12">
        <f>VLOOKUP(F99,'[1]MGM Report'!$D:$M,5,FALSE)</f>
        <v>0</v>
      </c>
      <c r="R99" s="12" t="b">
        <f t="shared" si="15"/>
        <v>1</v>
      </c>
      <c r="S99" s="13">
        <v>14513390</v>
      </c>
      <c r="T99" s="13">
        <f>VLOOKUP(F99,'[1]MGM Report'!$D:$I,6,FALSE)</f>
        <v>14513390</v>
      </c>
      <c r="U99" s="13" t="b">
        <f t="shared" si="16"/>
        <v>1</v>
      </c>
      <c r="V99" s="12">
        <v>3855949.94</v>
      </c>
      <c r="W99" s="12">
        <f>VLOOKUP(F99,'[1]MGM Report'!$D:$J,7,FALSE)</f>
        <v>4836572.34</v>
      </c>
      <c r="X99" s="12" t="b">
        <f t="shared" si="17"/>
        <v>0</v>
      </c>
      <c r="Y99" s="13">
        <v>2547292.34</v>
      </c>
      <c r="Z99" s="13">
        <f>VLOOKUP(F99,'[1]MGM Report'!$D:$K,8,FALSE)</f>
        <v>2565317.34</v>
      </c>
      <c r="AA99" s="13" t="b">
        <f t="shared" si="18"/>
        <v>0</v>
      </c>
      <c r="AB99" s="12">
        <v>9834682.66</v>
      </c>
      <c r="AC99" s="12">
        <f>VLOOKUP(F99,'[1]MGM Report'!$D:$M,10,FALSE)</f>
        <v>9834682.66</v>
      </c>
      <c r="AD99" s="12" t="b">
        <f t="shared" si="19"/>
        <v>1</v>
      </c>
      <c r="AE99" s="13">
        <v>0</v>
      </c>
      <c r="AF99" s="13">
        <f>VLOOKUP(F99,'[1]MGM Report'!$D:$N,11,FALSE)</f>
        <v>0</v>
      </c>
      <c r="AG99" s="13" t="b">
        <f t="shared" si="20"/>
        <v>1</v>
      </c>
      <c r="AH99" s="12">
        <v>12381975</v>
      </c>
      <c r="AI99" s="12">
        <f>VLOOKUP(F99,'[1]MGM Report'!$D:$S,12,FALSE)</f>
        <v>12400000</v>
      </c>
      <c r="AJ99" s="12" t="b">
        <f t="shared" si="21"/>
        <v>0</v>
      </c>
      <c r="AK99" s="13">
        <f>VLOOKUP(F99,[2]HAVASMGMReportKBCUpdatedResult!$F:$R,13,FALSE)</f>
        <v>1743650.06</v>
      </c>
      <c r="AL99" s="13">
        <f>VLOOKUP(F99,'[1]MGM Report'!$D:$S,14,FALSE)</f>
        <v>763027.66</v>
      </c>
    </row>
    <row r="100" spans="1:38">
      <c r="A100" s="7">
        <v>45758</v>
      </c>
      <c r="B100" s="8" t="s">
        <v>27</v>
      </c>
      <c r="C100" s="8" t="s">
        <v>120</v>
      </c>
      <c r="D100" s="8" t="s">
        <v>64</v>
      </c>
      <c r="E100" s="8" t="s">
        <v>187</v>
      </c>
      <c r="F100" s="8" t="str">
        <f t="shared" si="12"/>
        <v>SB22566</v>
      </c>
      <c r="G100" s="9">
        <v>2060170.57</v>
      </c>
      <c r="H100" s="9">
        <f>VLOOKUP(F100,'[1]MGM Report'!$D:$E,2,FALSE)</f>
        <v>2060170.57</v>
      </c>
      <c r="I100" s="9" t="b">
        <f t="shared" si="13"/>
        <v>1</v>
      </c>
      <c r="J100" s="12">
        <v>2060170.57</v>
      </c>
      <c r="K100" s="12">
        <f>VLOOKUP(F100,'[1]MGM Report'!$D:$F,3,FALSE)</f>
        <v>2060170.57</v>
      </c>
      <c r="L100" s="12" t="b">
        <f t="shared" si="14"/>
        <v>1</v>
      </c>
      <c r="M100" s="13">
        <v>-2060170.57</v>
      </c>
      <c r="N100" s="13">
        <f>VLOOKUP(F100,'[1]MGM Report'!$D:$G,4,FALSE)</f>
        <v>2060170.57</v>
      </c>
      <c r="O100" s="13" t="b">
        <f t="shared" si="22"/>
        <v>0</v>
      </c>
      <c r="P100" s="12">
        <v>0</v>
      </c>
      <c r="Q100" s="12">
        <f>VLOOKUP(F100,'[1]MGM Report'!$D:$M,5,FALSE)</f>
        <v>0</v>
      </c>
      <c r="R100" s="12" t="b">
        <f t="shared" si="15"/>
        <v>1</v>
      </c>
      <c r="S100" s="13">
        <v>0</v>
      </c>
      <c r="T100" s="13">
        <f>VLOOKUP(F100,'[1]MGM Report'!$D:$I,6,FALSE)</f>
        <v>0</v>
      </c>
      <c r="U100" s="13" t="b">
        <f t="shared" si="16"/>
        <v>1</v>
      </c>
      <c r="V100" s="12">
        <v>968500</v>
      </c>
      <c r="W100" s="12">
        <f>VLOOKUP(F100,'[1]MGM Report'!$D:$J,7,FALSE)</f>
        <v>994503</v>
      </c>
      <c r="X100" s="12" t="b">
        <f t="shared" si="17"/>
        <v>0</v>
      </c>
      <c r="Y100" s="13">
        <v>2793503</v>
      </c>
      <c r="Z100" s="13">
        <f>VLOOKUP(F100,'[1]MGM Report'!$D:$K,8,FALSE)</f>
        <v>2793503</v>
      </c>
      <c r="AA100" s="13" t="b">
        <f t="shared" si="18"/>
        <v>1</v>
      </c>
      <c r="AB100" s="12">
        <v>-2877500</v>
      </c>
      <c r="AC100" s="12">
        <f>VLOOKUP(F100,'[1]MGM Report'!$D:$M,10,FALSE)</f>
        <v>2877500</v>
      </c>
      <c r="AD100" s="12" t="b">
        <f t="shared" si="19"/>
        <v>0</v>
      </c>
      <c r="AE100" s="13">
        <v>0</v>
      </c>
      <c r="AF100" s="13">
        <f>VLOOKUP(F100,'[1]MGM Report'!$D:$N,11,FALSE)</f>
        <v>0</v>
      </c>
      <c r="AG100" s="13" t="b">
        <f t="shared" si="20"/>
        <v>1</v>
      </c>
      <c r="AH100" s="12">
        <v>-83997</v>
      </c>
      <c r="AI100" s="12">
        <f>VLOOKUP(F100,'[1]MGM Report'!$D:$S,12,FALSE)</f>
        <v>83997</v>
      </c>
      <c r="AJ100" s="12" t="b">
        <f t="shared" si="21"/>
        <v>0</v>
      </c>
      <c r="AK100" s="13">
        <f>VLOOKUP(F100,[2]HAVASMGMReportKBCUpdatedResult!$F:$R,13,FALSE)</f>
        <v>1091670.57</v>
      </c>
      <c r="AL100" s="13">
        <f>VLOOKUP(F100,'[1]MGM Report'!$D:$S,14,FALSE)</f>
        <v>1065667.57</v>
      </c>
    </row>
    <row r="101" spans="1:38">
      <c r="A101" s="7">
        <v>45758</v>
      </c>
      <c r="B101" s="8" t="s">
        <v>31</v>
      </c>
      <c r="C101" s="8" t="s">
        <v>115</v>
      </c>
      <c r="D101" s="8" t="s">
        <v>188</v>
      </c>
      <c r="E101" s="8" t="s">
        <v>189</v>
      </c>
      <c r="F101" s="8" t="str">
        <f t="shared" si="12"/>
        <v>SB22565</v>
      </c>
      <c r="G101" s="9">
        <v>1804616</v>
      </c>
      <c r="H101" s="9">
        <f>VLOOKUP(F101,'[1]MGM Report'!$D:$E,2,FALSE)</f>
        <v>1804616</v>
      </c>
      <c r="I101" s="9" t="b">
        <f t="shared" si="13"/>
        <v>1</v>
      </c>
      <c r="J101" s="12">
        <v>0</v>
      </c>
      <c r="K101" s="12">
        <f>VLOOKUP(F101,'[1]MGM Report'!$D:$F,3,FALSE)</f>
        <v>0</v>
      </c>
      <c r="L101" s="12" t="b">
        <f t="shared" si="14"/>
        <v>1</v>
      </c>
      <c r="M101" s="13">
        <v>1804616</v>
      </c>
      <c r="N101" s="13">
        <f>VLOOKUP(F101,'[1]MGM Report'!$D:$G,4,FALSE)</f>
        <v>1804616</v>
      </c>
      <c r="O101" s="13" t="b">
        <f t="shared" si="22"/>
        <v>1</v>
      </c>
      <c r="P101" s="12">
        <v>0</v>
      </c>
      <c r="Q101" s="12">
        <f>VLOOKUP(F101,'[1]MGM Report'!$D:$M,5,FALSE)</f>
        <v>0</v>
      </c>
      <c r="R101" s="12" t="b">
        <f t="shared" si="15"/>
        <v>1</v>
      </c>
      <c r="S101" s="13">
        <v>1804616</v>
      </c>
      <c r="T101" s="13">
        <f>VLOOKUP(F101,'[1]MGM Report'!$D:$I,6,FALSE)</f>
        <v>1804616</v>
      </c>
      <c r="U101" s="13" t="b">
        <f t="shared" si="16"/>
        <v>1</v>
      </c>
      <c r="V101" s="12">
        <v>82324</v>
      </c>
      <c r="W101" s="12">
        <f>VLOOKUP(F101,'[1]MGM Report'!$D:$J,7,FALSE)</f>
        <v>133928</v>
      </c>
      <c r="X101" s="12" t="b">
        <f t="shared" si="17"/>
        <v>0</v>
      </c>
      <c r="Y101" s="13">
        <v>133928</v>
      </c>
      <c r="Z101" s="13">
        <f>VLOOKUP(F101,'[1]MGM Report'!$D:$K,8,FALSE)</f>
        <v>133928</v>
      </c>
      <c r="AA101" s="13" t="b">
        <f t="shared" si="18"/>
        <v>1</v>
      </c>
      <c r="AB101" s="12">
        <v>1515043</v>
      </c>
      <c r="AC101" s="12">
        <f>VLOOKUP(F101,'[1]MGM Report'!$D:$M,10,FALSE)</f>
        <v>1515043</v>
      </c>
      <c r="AD101" s="12" t="b">
        <f t="shared" si="19"/>
        <v>1</v>
      </c>
      <c r="AE101" s="13">
        <v>-11315</v>
      </c>
      <c r="AF101" s="13">
        <f>VLOOKUP(F101,'[1]MGM Report'!$D:$N,11,FALSE)</f>
        <v>11315</v>
      </c>
      <c r="AG101" s="13" t="b">
        <f t="shared" si="20"/>
        <v>0</v>
      </c>
      <c r="AH101" s="12">
        <v>1637656</v>
      </c>
      <c r="AI101" s="12">
        <f>VLOOKUP(F101,'[1]MGM Report'!$D:$S,12,FALSE)</f>
        <v>1637656</v>
      </c>
      <c r="AJ101" s="12" t="b">
        <f t="shared" si="21"/>
        <v>1</v>
      </c>
      <c r="AK101" s="13">
        <f>VLOOKUP(F101,[2]HAVASMGMReportKBCUpdatedResult!$F:$R,13,FALSE)</f>
        <v>1722292</v>
      </c>
      <c r="AL101" s="13">
        <f>VLOOKUP(F101,'[1]MGM Report'!$D:$S,14,FALSE)</f>
        <v>1670688</v>
      </c>
    </row>
    <row r="102" spans="1:38">
      <c r="A102" s="7">
        <v>45758</v>
      </c>
      <c r="B102" s="8" t="s">
        <v>27</v>
      </c>
      <c r="C102" s="8" t="s">
        <v>120</v>
      </c>
      <c r="D102" s="8" t="s">
        <v>166</v>
      </c>
      <c r="E102" s="8" t="s">
        <v>190</v>
      </c>
      <c r="F102" s="8" t="str">
        <f t="shared" si="12"/>
        <v>SB22564</v>
      </c>
      <c r="G102" s="9">
        <v>0</v>
      </c>
      <c r="H102" s="9">
        <f>VLOOKUP(F102,'[1]MGM Report'!$D:$E,2,FALSE)</f>
        <v>0</v>
      </c>
      <c r="I102" s="9" t="b">
        <f t="shared" si="13"/>
        <v>1</v>
      </c>
      <c r="J102" s="12">
        <v>0</v>
      </c>
      <c r="K102" s="12">
        <f>VLOOKUP(F102,'[1]MGM Report'!$D:$F,3,FALSE)</f>
        <v>0</v>
      </c>
      <c r="L102" s="12" t="b">
        <f t="shared" si="14"/>
        <v>1</v>
      </c>
      <c r="M102" s="13">
        <v>1017327</v>
      </c>
      <c r="N102" s="13">
        <f>VLOOKUP(F102,'[1]MGM Report'!$D:$G,4,FALSE)</f>
        <v>1017327</v>
      </c>
      <c r="O102" s="13" t="b">
        <f t="shared" si="22"/>
        <v>1</v>
      </c>
      <c r="P102" s="12">
        <v>0</v>
      </c>
      <c r="Q102" s="12">
        <f>VLOOKUP(F102,'[1]MGM Report'!$D:$M,5,FALSE)</f>
        <v>0</v>
      </c>
      <c r="R102" s="12" t="b">
        <f t="shared" si="15"/>
        <v>1</v>
      </c>
      <c r="S102" s="13">
        <v>1017327</v>
      </c>
      <c r="T102" s="13">
        <f>VLOOKUP(F102,'[1]MGM Report'!$D:$I,6,FALSE)</f>
        <v>1017327</v>
      </c>
      <c r="U102" s="13" t="b">
        <f t="shared" si="16"/>
        <v>1</v>
      </c>
      <c r="V102" s="12">
        <v>33050</v>
      </c>
      <c r="W102" s="12">
        <f>VLOOKUP(F102,'[1]MGM Report'!$D:$J,7,FALSE)</f>
        <v>54466.43</v>
      </c>
      <c r="X102" s="12" t="b">
        <f t="shared" si="17"/>
        <v>0</v>
      </c>
      <c r="Y102" s="13">
        <v>496966.43</v>
      </c>
      <c r="Z102" s="13">
        <f>VLOOKUP(F102,'[1]MGM Report'!$D:$K,8,FALSE)</f>
        <v>496966.43</v>
      </c>
      <c r="AA102" s="13" t="b">
        <f t="shared" si="18"/>
        <v>1</v>
      </c>
      <c r="AB102" s="12">
        <v>170000</v>
      </c>
      <c r="AC102" s="12">
        <f>VLOOKUP(F102,'[1]MGM Report'!$D:$M,10,FALSE)</f>
        <v>170000</v>
      </c>
      <c r="AD102" s="12" t="b">
        <f t="shared" si="19"/>
        <v>1</v>
      </c>
      <c r="AE102" s="13">
        <v>0</v>
      </c>
      <c r="AF102" s="13">
        <f>VLOOKUP(F102,'[1]MGM Report'!$D:$N,11,FALSE)</f>
        <v>0</v>
      </c>
      <c r="AG102" s="13" t="b">
        <f t="shared" si="20"/>
        <v>1</v>
      </c>
      <c r="AH102" s="12">
        <v>666966.43</v>
      </c>
      <c r="AI102" s="12">
        <f>VLOOKUP(F102,'[1]MGM Report'!$D:$S,12,FALSE)</f>
        <v>666966.43</v>
      </c>
      <c r="AJ102" s="12" t="b">
        <f t="shared" si="21"/>
        <v>1</v>
      </c>
      <c r="AK102" s="13">
        <f>VLOOKUP(F102,[2]HAVASMGMReportKBCUpdatedResult!$F:$R,13,FALSE)</f>
        <v>-33050</v>
      </c>
      <c r="AL102" s="13">
        <f>VLOOKUP(F102,'[1]MGM Report'!$D:$S,14,FALSE)</f>
        <v>54466.43</v>
      </c>
    </row>
    <row r="103" spans="1:38">
      <c r="A103" s="7">
        <v>45758</v>
      </c>
      <c r="B103" s="8" t="s">
        <v>38</v>
      </c>
      <c r="C103" s="8" t="s">
        <v>130</v>
      </c>
      <c r="D103" s="8" t="s">
        <v>156</v>
      </c>
      <c r="E103" s="8" t="s">
        <v>191</v>
      </c>
      <c r="F103" s="8" t="str">
        <f t="shared" si="12"/>
        <v>SB22563</v>
      </c>
      <c r="G103" s="9">
        <v>0</v>
      </c>
      <c r="H103" s="9">
        <f>VLOOKUP(F103,'[1]MGM Report'!$D:$E,2,FALSE)</f>
        <v>12000000</v>
      </c>
      <c r="I103" s="9" t="b">
        <f t="shared" si="13"/>
        <v>0</v>
      </c>
      <c r="J103" s="12">
        <v>0</v>
      </c>
      <c r="K103" s="12">
        <f>VLOOKUP(F103,'[1]MGM Report'!$D:$F,3,FALSE)</f>
        <v>0</v>
      </c>
      <c r="L103" s="12" t="b">
        <f t="shared" si="14"/>
        <v>1</v>
      </c>
      <c r="M103" s="13">
        <v>10634</v>
      </c>
      <c r="N103" s="13">
        <f>VLOOKUP(F103,'[1]MGM Report'!$D:$G,4,FALSE)</f>
        <v>0</v>
      </c>
      <c r="O103" s="13" t="b">
        <f t="shared" si="22"/>
        <v>0</v>
      </c>
      <c r="P103" s="12">
        <v>0</v>
      </c>
      <c r="Q103" s="12">
        <f>VLOOKUP(F103,'[1]MGM Report'!$D:$M,5,FALSE)</f>
        <v>0</v>
      </c>
      <c r="R103" s="12" t="b">
        <f t="shared" si="15"/>
        <v>1</v>
      </c>
      <c r="S103" s="13">
        <v>10634</v>
      </c>
      <c r="T103" s="13">
        <f>VLOOKUP(F103,'[1]MGM Report'!$D:$I,6,FALSE)</f>
        <v>0</v>
      </c>
      <c r="U103" s="13" t="b">
        <f t="shared" si="16"/>
        <v>0</v>
      </c>
      <c r="V103" s="12">
        <v>2782500</v>
      </c>
      <c r="W103" s="12">
        <f>VLOOKUP(F103,'[1]MGM Report'!$D:$J,7,FALSE)</f>
        <v>4042500</v>
      </c>
      <c r="X103" s="12" t="b">
        <f t="shared" si="17"/>
        <v>0</v>
      </c>
      <c r="Y103" s="13">
        <v>0</v>
      </c>
      <c r="Z103" s="13">
        <f>VLOOKUP(F103,'[1]MGM Report'!$D:$K,8,FALSE)</f>
        <v>0</v>
      </c>
      <c r="AA103" s="13" t="b">
        <f t="shared" si="18"/>
        <v>1</v>
      </c>
      <c r="AB103" s="12">
        <v>0</v>
      </c>
      <c r="AC103" s="12">
        <f>VLOOKUP(F103,'[1]MGM Report'!$D:$M,10,FALSE)</f>
        <v>0</v>
      </c>
      <c r="AD103" s="12" t="b">
        <f t="shared" si="19"/>
        <v>1</v>
      </c>
      <c r="AE103" s="13">
        <v>0</v>
      </c>
      <c r="AF103" s="13">
        <f>VLOOKUP(F103,'[1]MGM Report'!$D:$N,11,FALSE)</f>
        <v>0</v>
      </c>
      <c r="AG103" s="13" t="b">
        <f t="shared" si="20"/>
        <v>1</v>
      </c>
      <c r="AH103" s="12">
        <v>0</v>
      </c>
      <c r="AI103" s="12">
        <f>VLOOKUP(F103,'[1]MGM Report'!$D:$S,12,FALSE)</f>
        <v>0</v>
      </c>
      <c r="AJ103" s="12" t="b">
        <f t="shared" si="21"/>
        <v>1</v>
      </c>
      <c r="AK103" s="13">
        <f>VLOOKUP(F103,[2]HAVASMGMReportKBCUpdatedResult!$F:$R,13,FALSE)</f>
        <v>-2782500</v>
      </c>
      <c r="AL103" s="13">
        <f>VLOOKUP(F103,'[1]MGM Report'!$D:$S,14,FALSE)</f>
        <v>7957500</v>
      </c>
    </row>
    <row r="104" spans="1:38">
      <c r="A104" s="7">
        <v>45758</v>
      </c>
      <c r="B104" s="8" t="s">
        <v>38</v>
      </c>
      <c r="C104" s="8" t="s">
        <v>130</v>
      </c>
      <c r="D104" s="8" t="s">
        <v>156</v>
      </c>
      <c r="E104" s="8" t="s">
        <v>192</v>
      </c>
      <c r="F104" s="8" t="str">
        <f t="shared" si="12"/>
        <v>SB22562</v>
      </c>
      <c r="G104" s="9">
        <v>0</v>
      </c>
      <c r="H104" s="9">
        <f>VLOOKUP(F104,'[1]MGM Report'!$D:$E,2,FALSE)</f>
        <v>12000000</v>
      </c>
      <c r="I104" s="9" t="b">
        <f t="shared" si="13"/>
        <v>0</v>
      </c>
      <c r="J104" s="12">
        <v>0</v>
      </c>
      <c r="K104" s="12">
        <f>VLOOKUP(F104,'[1]MGM Report'!$D:$F,3,FALSE)</f>
        <v>0</v>
      </c>
      <c r="L104" s="12" t="b">
        <f t="shared" si="14"/>
        <v>1</v>
      </c>
      <c r="M104" s="13">
        <v>24408</v>
      </c>
      <c r="N104" s="13">
        <f>VLOOKUP(F104,'[1]MGM Report'!$D:$G,4,FALSE)</f>
        <v>0</v>
      </c>
      <c r="O104" s="13" t="b">
        <f t="shared" si="22"/>
        <v>0</v>
      </c>
      <c r="P104" s="12">
        <v>0</v>
      </c>
      <c r="Q104" s="12">
        <f>VLOOKUP(F104,'[1]MGM Report'!$D:$M,5,FALSE)</f>
        <v>0</v>
      </c>
      <c r="R104" s="12" t="b">
        <f t="shared" si="15"/>
        <v>1</v>
      </c>
      <c r="S104" s="13">
        <v>24408</v>
      </c>
      <c r="T104" s="13">
        <f>VLOOKUP(F104,'[1]MGM Report'!$D:$I,6,FALSE)</f>
        <v>0</v>
      </c>
      <c r="U104" s="13" t="b">
        <f t="shared" si="16"/>
        <v>0</v>
      </c>
      <c r="V104" s="12">
        <v>4279097.68</v>
      </c>
      <c r="W104" s="12">
        <f>VLOOKUP(F104,'[1]MGM Report'!$D:$J,7,FALSE)</f>
        <v>3988277</v>
      </c>
      <c r="X104" s="12" t="b">
        <f t="shared" si="17"/>
        <v>0</v>
      </c>
      <c r="Y104" s="13">
        <v>0</v>
      </c>
      <c r="Z104" s="13">
        <f>VLOOKUP(F104,'[1]MGM Report'!$D:$K,8,FALSE)</f>
        <v>0</v>
      </c>
      <c r="AA104" s="13" t="b">
        <f t="shared" si="18"/>
        <v>1</v>
      </c>
      <c r="AB104" s="12">
        <v>0</v>
      </c>
      <c r="AC104" s="12">
        <f>VLOOKUP(F104,'[1]MGM Report'!$D:$M,10,FALSE)</f>
        <v>0</v>
      </c>
      <c r="AD104" s="12" t="b">
        <f t="shared" si="19"/>
        <v>1</v>
      </c>
      <c r="AE104" s="13">
        <v>0</v>
      </c>
      <c r="AF104" s="13">
        <f>VLOOKUP(F104,'[1]MGM Report'!$D:$N,11,FALSE)</f>
        <v>0</v>
      </c>
      <c r="AG104" s="13" t="b">
        <f t="shared" si="20"/>
        <v>1</v>
      </c>
      <c r="AH104" s="12">
        <v>0</v>
      </c>
      <c r="AI104" s="12">
        <f>VLOOKUP(F104,'[1]MGM Report'!$D:$S,12,FALSE)</f>
        <v>0</v>
      </c>
      <c r="AJ104" s="12" t="b">
        <f t="shared" si="21"/>
        <v>1</v>
      </c>
      <c r="AK104" s="13">
        <f>VLOOKUP(F104,[2]HAVASMGMReportKBCUpdatedResult!$F:$R,13,FALSE)</f>
        <v>-4279097.68</v>
      </c>
      <c r="AL104" s="13">
        <f>VLOOKUP(F104,'[1]MGM Report'!$D:$S,14,FALSE)</f>
        <v>8011723</v>
      </c>
    </row>
    <row r="105" spans="1:38">
      <c r="A105" s="7">
        <v>45758</v>
      </c>
      <c r="B105" s="8" t="s">
        <v>38</v>
      </c>
      <c r="C105" s="8" t="s">
        <v>130</v>
      </c>
      <c r="D105" s="8" t="s">
        <v>156</v>
      </c>
      <c r="E105" s="8" t="s">
        <v>193</v>
      </c>
      <c r="F105" s="8" t="str">
        <f t="shared" si="12"/>
        <v>SB22561</v>
      </c>
      <c r="G105" s="9">
        <v>0</v>
      </c>
      <c r="H105" s="9">
        <f>VLOOKUP(F105,'[1]MGM Report'!$D:$E,2,FALSE)</f>
        <v>15300000</v>
      </c>
      <c r="I105" s="9" t="b">
        <f t="shared" si="13"/>
        <v>0</v>
      </c>
      <c r="J105" s="12">
        <v>0</v>
      </c>
      <c r="K105" s="12">
        <f>VLOOKUP(F105,'[1]MGM Report'!$D:$F,3,FALSE)</f>
        <v>0</v>
      </c>
      <c r="L105" s="12" t="b">
        <f t="shared" si="14"/>
        <v>1</v>
      </c>
      <c r="M105" s="13">
        <v>8163</v>
      </c>
      <c r="N105" s="13">
        <f>VLOOKUP(F105,'[1]MGM Report'!$D:$G,4,FALSE)</f>
        <v>0</v>
      </c>
      <c r="O105" s="13" t="b">
        <f t="shared" si="22"/>
        <v>0</v>
      </c>
      <c r="P105" s="12">
        <v>0</v>
      </c>
      <c r="Q105" s="12">
        <f>VLOOKUP(F105,'[1]MGM Report'!$D:$M,5,FALSE)</f>
        <v>0</v>
      </c>
      <c r="R105" s="12" t="b">
        <f t="shared" si="15"/>
        <v>1</v>
      </c>
      <c r="S105" s="13">
        <v>8163</v>
      </c>
      <c r="T105" s="13">
        <f>VLOOKUP(F105,'[1]MGM Report'!$D:$I,6,FALSE)</f>
        <v>0</v>
      </c>
      <c r="U105" s="13" t="b">
        <f t="shared" si="16"/>
        <v>0</v>
      </c>
      <c r="V105" s="12">
        <v>5508391.25</v>
      </c>
      <c r="W105" s="12">
        <f>VLOOKUP(F105,'[1]MGM Report'!$D:$J,7,FALSE)</f>
        <v>5635612.25</v>
      </c>
      <c r="X105" s="12" t="b">
        <f t="shared" si="17"/>
        <v>0</v>
      </c>
      <c r="Y105" s="13">
        <v>0</v>
      </c>
      <c r="Z105" s="13">
        <f>VLOOKUP(F105,'[1]MGM Report'!$D:$K,8,FALSE)</f>
        <v>0</v>
      </c>
      <c r="AA105" s="13" t="b">
        <f t="shared" si="18"/>
        <v>1</v>
      </c>
      <c r="AB105" s="12">
        <v>0</v>
      </c>
      <c r="AC105" s="12">
        <f>VLOOKUP(F105,'[1]MGM Report'!$D:$M,10,FALSE)</f>
        <v>0</v>
      </c>
      <c r="AD105" s="12" t="b">
        <f t="shared" si="19"/>
        <v>1</v>
      </c>
      <c r="AE105" s="13">
        <v>0</v>
      </c>
      <c r="AF105" s="13">
        <f>VLOOKUP(F105,'[1]MGM Report'!$D:$N,11,FALSE)</f>
        <v>0</v>
      </c>
      <c r="AG105" s="13" t="b">
        <f t="shared" si="20"/>
        <v>1</v>
      </c>
      <c r="AH105" s="12">
        <v>0</v>
      </c>
      <c r="AI105" s="12">
        <f>VLOOKUP(F105,'[1]MGM Report'!$D:$S,12,FALSE)</f>
        <v>0</v>
      </c>
      <c r="AJ105" s="12" t="b">
        <f t="shared" si="21"/>
        <v>1</v>
      </c>
      <c r="AK105" s="13">
        <f>VLOOKUP(F105,[2]HAVASMGMReportKBCUpdatedResult!$F:$R,13,FALSE)</f>
        <v>-5508391.25</v>
      </c>
      <c r="AL105" s="13">
        <f>VLOOKUP(F105,'[1]MGM Report'!$D:$S,14,FALSE)</f>
        <v>9664387.75</v>
      </c>
    </row>
    <row r="106" spans="1:38">
      <c r="A106" s="7">
        <v>45758</v>
      </c>
      <c r="B106" s="8" t="s">
        <v>38</v>
      </c>
      <c r="C106" s="8" t="s">
        <v>130</v>
      </c>
      <c r="D106" s="8" t="s">
        <v>39</v>
      </c>
      <c r="E106" s="8" t="s">
        <v>194</v>
      </c>
      <c r="F106" s="8" t="str">
        <f t="shared" si="12"/>
        <v>SB22560</v>
      </c>
      <c r="G106" s="9">
        <v>515900</v>
      </c>
      <c r="H106" s="9">
        <f>VLOOKUP(F106,'[1]MGM Report'!$D:$E,2,FALSE)</f>
        <v>515900</v>
      </c>
      <c r="I106" s="9" t="b">
        <f t="shared" si="13"/>
        <v>1</v>
      </c>
      <c r="J106" s="12">
        <v>1548800</v>
      </c>
      <c r="K106" s="12">
        <f>VLOOKUP(F106,'[1]MGM Report'!$D:$F,3,FALSE)</f>
        <v>1548800</v>
      </c>
      <c r="L106" s="12" t="b">
        <f t="shared" si="14"/>
        <v>1</v>
      </c>
      <c r="M106" s="13">
        <v>0</v>
      </c>
      <c r="N106" s="13">
        <f>VLOOKUP(F106,'[1]MGM Report'!$D:$G,4,FALSE)</f>
        <v>0</v>
      </c>
      <c r="O106" s="13" t="b">
        <f t="shared" si="22"/>
        <v>1</v>
      </c>
      <c r="P106" s="12">
        <v>-515900</v>
      </c>
      <c r="Q106" s="12">
        <f>VLOOKUP(F106,'[1]MGM Report'!$D:$M,5,FALSE)</f>
        <v>515900</v>
      </c>
      <c r="R106" s="12" t="b">
        <f t="shared" si="15"/>
        <v>0</v>
      </c>
      <c r="S106" s="13">
        <v>1032900</v>
      </c>
      <c r="T106" s="13">
        <f>VLOOKUP(F106,'[1]MGM Report'!$D:$I,6,FALSE)</f>
        <v>1032900</v>
      </c>
      <c r="U106" s="13" t="b">
        <f t="shared" si="16"/>
        <v>1</v>
      </c>
      <c r="V106" s="12">
        <v>213434.99</v>
      </c>
      <c r="W106" s="12">
        <f>VLOOKUP(F106,'[1]MGM Report'!$D:$J,7,FALSE)</f>
        <v>302103.99</v>
      </c>
      <c r="X106" s="12" t="b">
        <f t="shared" si="17"/>
        <v>0</v>
      </c>
      <c r="Y106" s="13">
        <v>351863.99</v>
      </c>
      <c r="Z106" s="13">
        <f>VLOOKUP(F106,'[1]MGM Report'!$D:$K,8,FALSE)</f>
        <v>351863.99</v>
      </c>
      <c r="AA106" s="13" t="b">
        <f t="shared" si="18"/>
        <v>1</v>
      </c>
      <c r="AB106" s="12">
        <v>481036.01</v>
      </c>
      <c r="AC106" s="12">
        <f>VLOOKUP(F106,'[1]MGM Report'!$D:$M,10,FALSE)</f>
        <v>481036.01</v>
      </c>
      <c r="AD106" s="12" t="b">
        <f t="shared" si="19"/>
        <v>1</v>
      </c>
      <c r="AE106" s="13">
        <v>0</v>
      </c>
      <c r="AF106" s="13">
        <f>VLOOKUP(F106,'[1]MGM Report'!$D:$N,11,FALSE)</f>
        <v>0</v>
      </c>
      <c r="AG106" s="13" t="b">
        <f t="shared" si="20"/>
        <v>1</v>
      </c>
      <c r="AH106" s="12">
        <v>832900</v>
      </c>
      <c r="AI106" s="12">
        <f>VLOOKUP(F106,'[1]MGM Report'!$D:$S,12,FALSE)</f>
        <v>832900</v>
      </c>
      <c r="AJ106" s="12" t="b">
        <f t="shared" si="21"/>
        <v>1</v>
      </c>
      <c r="AK106" s="13">
        <f>VLOOKUP(F106,[2]HAVASMGMReportKBCUpdatedResult!$F:$R,13,FALSE)</f>
        <v>302465.01</v>
      </c>
      <c r="AL106" s="13">
        <f>VLOOKUP(F106,'[1]MGM Report'!$D:$S,14,FALSE)</f>
        <v>213796.01</v>
      </c>
    </row>
    <row r="107" spans="1:38">
      <c r="A107" s="7">
        <v>45758</v>
      </c>
      <c r="B107" s="8" t="s">
        <v>27</v>
      </c>
      <c r="C107" s="8" t="s">
        <v>130</v>
      </c>
      <c r="D107" s="8" t="s">
        <v>39</v>
      </c>
      <c r="E107" s="8" t="s">
        <v>195</v>
      </c>
      <c r="F107" s="8" t="str">
        <f t="shared" si="12"/>
        <v>SB22559</v>
      </c>
      <c r="G107" s="9">
        <v>2150500</v>
      </c>
      <c r="H107" s="9">
        <f>VLOOKUP(F107,'[1]MGM Report'!$D:$E,2,FALSE)</f>
        <v>2150500</v>
      </c>
      <c r="I107" s="9" t="b">
        <f t="shared" si="13"/>
        <v>1</v>
      </c>
      <c r="J107" s="12">
        <v>0</v>
      </c>
      <c r="K107" s="12">
        <f>VLOOKUP(F107,'[1]MGM Report'!$D:$F,3,FALSE)</f>
        <v>0</v>
      </c>
      <c r="L107" s="12" t="b">
        <f t="shared" si="14"/>
        <v>1</v>
      </c>
      <c r="M107" s="13">
        <v>2150500</v>
      </c>
      <c r="N107" s="13">
        <f>VLOOKUP(F107,'[1]MGM Report'!$D:$G,4,FALSE)</f>
        <v>2150500</v>
      </c>
      <c r="O107" s="13" t="b">
        <f t="shared" ref="O107:O138" si="23">M107=N107</f>
        <v>1</v>
      </c>
      <c r="P107" s="12">
        <v>0</v>
      </c>
      <c r="Q107" s="12">
        <f>VLOOKUP(F107,'[1]MGM Report'!$D:$M,5,FALSE)</f>
        <v>0</v>
      </c>
      <c r="R107" s="12" t="b">
        <f t="shared" si="15"/>
        <v>1</v>
      </c>
      <c r="S107" s="13">
        <v>2150500</v>
      </c>
      <c r="T107" s="13">
        <f>VLOOKUP(F107,'[1]MGM Report'!$D:$I,6,FALSE)</f>
        <v>2150500</v>
      </c>
      <c r="U107" s="13" t="b">
        <f t="shared" si="16"/>
        <v>1</v>
      </c>
      <c r="V107" s="12">
        <v>1561642</v>
      </c>
      <c r="W107" s="12">
        <f>VLOOKUP(F107,'[1]MGM Report'!$D:$J,7,FALSE)</f>
        <v>1561642.5</v>
      </c>
      <c r="X107" s="12" t="b">
        <f t="shared" si="17"/>
        <v>0</v>
      </c>
      <c r="Y107" s="13">
        <v>299730</v>
      </c>
      <c r="Z107" s="13">
        <f>VLOOKUP(F107,'[1]MGM Report'!$D:$K,8,FALSE)</f>
        <v>299730</v>
      </c>
      <c r="AA107" s="13" t="b">
        <f t="shared" si="18"/>
        <v>1</v>
      </c>
      <c r="AB107" s="12">
        <v>1550770</v>
      </c>
      <c r="AC107" s="12">
        <f>VLOOKUP(F107,'[1]MGM Report'!$D:$M,10,FALSE)</f>
        <v>1550770</v>
      </c>
      <c r="AD107" s="12" t="b">
        <f t="shared" si="19"/>
        <v>1</v>
      </c>
      <c r="AE107" s="13">
        <v>0</v>
      </c>
      <c r="AF107" s="13">
        <f>VLOOKUP(F107,'[1]MGM Report'!$D:$N,11,FALSE)</f>
        <v>0</v>
      </c>
      <c r="AG107" s="13" t="b">
        <f t="shared" si="20"/>
        <v>1</v>
      </c>
      <c r="AH107" s="12">
        <v>1850500</v>
      </c>
      <c r="AI107" s="12">
        <f>VLOOKUP(F107,'[1]MGM Report'!$D:$S,12,FALSE)</f>
        <v>1850500</v>
      </c>
      <c r="AJ107" s="12" t="b">
        <f t="shared" si="21"/>
        <v>1</v>
      </c>
      <c r="AK107" s="13">
        <f>VLOOKUP(F107,[2]HAVASMGMReportKBCUpdatedResult!$F:$R,13,FALSE)</f>
        <v>588858</v>
      </c>
      <c r="AL107" s="13">
        <f>VLOOKUP(F107,'[1]MGM Report'!$D:$S,14,FALSE)</f>
        <v>588857.5</v>
      </c>
    </row>
    <row r="108" spans="1:38">
      <c r="A108" s="7">
        <v>45758</v>
      </c>
      <c r="B108" s="8" t="s">
        <v>59</v>
      </c>
      <c r="C108" s="8" t="s">
        <v>115</v>
      </c>
      <c r="D108" s="8" t="s">
        <v>60</v>
      </c>
      <c r="E108" s="8" t="s">
        <v>196</v>
      </c>
      <c r="F108" s="8" t="str">
        <f t="shared" si="12"/>
        <v>SB22558</v>
      </c>
      <c r="G108" s="9">
        <v>224730</v>
      </c>
      <c r="H108" s="9">
        <f>VLOOKUP(F108,'[1]MGM Report'!$D:$E,2,FALSE)</f>
        <v>224730</v>
      </c>
      <c r="I108" s="9" t="b">
        <f t="shared" si="13"/>
        <v>1</v>
      </c>
      <c r="J108" s="12">
        <v>224730</v>
      </c>
      <c r="K108" s="12">
        <f>VLOOKUP(F108,'[1]MGM Report'!$D:$F,3,FALSE)</f>
        <v>224730</v>
      </c>
      <c r="L108" s="12" t="b">
        <f t="shared" si="14"/>
        <v>1</v>
      </c>
      <c r="M108" s="13">
        <v>0</v>
      </c>
      <c r="N108" s="13">
        <f>VLOOKUP(F108,'[1]MGM Report'!$D:$G,4,FALSE)</f>
        <v>0</v>
      </c>
      <c r="O108" s="13" t="b">
        <f t="shared" si="23"/>
        <v>1</v>
      </c>
      <c r="P108" s="12">
        <v>0</v>
      </c>
      <c r="Q108" s="12">
        <f>VLOOKUP(F108,'[1]MGM Report'!$D:$M,5,FALSE)</f>
        <v>0</v>
      </c>
      <c r="R108" s="12" t="b">
        <f t="shared" si="15"/>
        <v>1</v>
      </c>
      <c r="S108" s="13">
        <v>224730</v>
      </c>
      <c r="T108" s="13">
        <f>VLOOKUP(F108,'[1]MGM Report'!$D:$I,6,FALSE)</f>
        <v>224730</v>
      </c>
      <c r="U108" s="13" t="b">
        <f t="shared" si="16"/>
        <v>1</v>
      </c>
      <c r="V108" s="12">
        <v>180250</v>
      </c>
      <c r="W108" s="12">
        <f>VLOOKUP(F108,'[1]MGM Report'!$D:$J,7,FALSE)</f>
        <v>180250</v>
      </c>
      <c r="X108" s="12" t="b">
        <f t="shared" si="17"/>
        <v>1</v>
      </c>
      <c r="Y108" s="13">
        <v>180250</v>
      </c>
      <c r="Z108" s="13">
        <f>VLOOKUP(F108,'[1]MGM Report'!$D:$K,8,FALSE)</f>
        <v>180250</v>
      </c>
      <c r="AA108" s="13" t="b">
        <f t="shared" si="18"/>
        <v>1</v>
      </c>
      <c r="AB108" s="12">
        <v>0</v>
      </c>
      <c r="AC108" s="12">
        <f>VLOOKUP(F108,'[1]MGM Report'!$D:$M,10,FALSE)</f>
        <v>0</v>
      </c>
      <c r="AD108" s="12" t="b">
        <f t="shared" si="19"/>
        <v>1</v>
      </c>
      <c r="AE108" s="13">
        <v>0</v>
      </c>
      <c r="AF108" s="13">
        <f>VLOOKUP(F108,'[1]MGM Report'!$D:$N,11,FALSE)</f>
        <v>0</v>
      </c>
      <c r="AG108" s="13" t="b">
        <f t="shared" si="20"/>
        <v>1</v>
      </c>
      <c r="AH108" s="12">
        <v>180250</v>
      </c>
      <c r="AI108" s="12">
        <f>VLOOKUP(F108,'[1]MGM Report'!$D:$S,12,FALSE)</f>
        <v>180250</v>
      </c>
      <c r="AJ108" s="12" t="b">
        <f t="shared" si="21"/>
        <v>1</v>
      </c>
      <c r="AK108" s="13">
        <f>VLOOKUP(F108,[2]HAVASMGMReportKBCUpdatedResult!$F:$R,13,FALSE)</f>
        <v>44480</v>
      </c>
      <c r="AL108" s="13">
        <f>VLOOKUP(F108,'[1]MGM Report'!$D:$S,14,FALSE)</f>
        <v>44480</v>
      </c>
    </row>
    <row r="109" spans="1:38">
      <c r="A109" s="7">
        <v>45758</v>
      </c>
      <c r="B109" s="8" t="s">
        <v>38</v>
      </c>
      <c r="C109" s="8" t="s">
        <v>130</v>
      </c>
      <c r="D109" s="8" t="s">
        <v>51</v>
      </c>
      <c r="E109" s="8" t="s">
        <v>197</v>
      </c>
      <c r="F109" s="8" t="str">
        <f t="shared" si="12"/>
        <v>SB22557</v>
      </c>
      <c r="G109" s="9">
        <v>0</v>
      </c>
      <c r="H109" s="9">
        <f>VLOOKUP(F109,'[1]MGM Report'!$D:$E,2,FALSE)</f>
        <v>0</v>
      </c>
      <c r="I109" s="9" t="b">
        <f t="shared" si="13"/>
        <v>1</v>
      </c>
      <c r="J109" s="12">
        <v>0</v>
      </c>
      <c r="K109" s="12">
        <f>VLOOKUP(F109,'[1]MGM Report'!$D:$F,3,FALSE)</f>
        <v>0</v>
      </c>
      <c r="L109" s="12" t="b">
        <f t="shared" si="14"/>
        <v>1</v>
      </c>
      <c r="M109" s="13">
        <v>0</v>
      </c>
      <c r="N109" s="13">
        <f>VLOOKUP(F109,'[1]MGM Report'!$D:$G,4,FALSE)</f>
        <v>0</v>
      </c>
      <c r="O109" s="13" t="b">
        <f t="shared" si="23"/>
        <v>1</v>
      </c>
      <c r="P109" s="12">
        <v>0</v>
      </c>
      <c r="Q109" s="12">
        <f>VLOOKUP(F109,'[1]MGM Report'!$D:$M,5,FALSE)</f>
        <v>0</v>
      </c>
      <c r="R109" s="12" t="b">
        <f t="shared" si="15"/>
        <v>1</v>
      </c>
      <c r="S109" s="13">
        <v>0</v>
      </c>
      <c r="T109" s="13">
        <f>VLOOKUP(F109,'[1]MGM Report'!$D:$I,6,FALSE)</f>
        <v>0</v>
      </c>
      <c r="U109" s="13" t="b">
        <f t="shared" si="16"/>
        <v>1</v>
      </c>
      <c r="V109" s="12">
        <v>0</v>
      </c>
      <c r="W109" s="12">
        <f>VLOOKUP(F109,'[1]MGM Report'!$D:$J,7,FALSE)</f>
        <v>0</v>
      </c>
      <c r="X109" s="12" t="b">
        <f t="shared" si="17"/>
        <v>1</v>
      </c>
      <c r="Y109" s="13">
        <v>138700</v>
      </c>
      <c r="Z109" s="13">
        <f>VLOOKUP(F109,'[1]MGM Report'!$D:$K,8,FALSE)</f>
        <v>138700</v>
      </c>
      <c r="AA109" s="13" t="b">
        <f t="shared" si="18"/>
        <v>1</v>
      </c>
      <c r="AB109" s="12">
        <v>-138700</v>
      </c>
      <c r="AC109" s="12">
        <f>VLOOKUP(F109,'[1]MGM Report'!$D:$M,10,FALSE)</f>
        <v>138700</v>
      </c>
      <c r="AD109" s="12" t="b">
        <f t="shared" si="19"/>
        <v>0</v>
      </c>
      <c r="AE109" s="13">
        <v>0</v>
      </c>
      <c r="AF109" s="13">
        <f>VLOOKUP(F109,'[1]MGM Report'!$D:$N,11,FALSE)</f>
        <v>0</v>
      </c>
      <c r="AG109" s="13" t="b">
        <f t="shared" si="20"/>
        <v>1</v>
      </c>
      <c r="AH109" s="12">
        <v>0</v>
      </c>
      <c r="AI109" s="12">
        <f>VLOOKUP(F109,'[1]MGM Report'!$D:$S,12,FALSE)</f>
        <v>0</v>
      </c>
      <c r="AJ109" s="12" t="b">
        <f t="shared" si="21"/>
        <v>1</v>
      </c>
      <c r="AK109" s="13">
        <f>VLOOKUP(F109,[2]HAVASMGMReportKBCUpdatedResult!$F:$R,13,FALSE)</f>
        <v>0</v>
      </c>
      <c r="AL109" s="13">
        <f>VLOOKUP(F109,'[1]MGM Report'!$D:$S,14,FALSE)</f>
        <v>0</v>
      </c>
    </row>
    <row r="110" spans="1:38">
      <c r="A110" s="7">
        <v>45758</v>
      </c>
      <c r="B110" s="8" t="s">
        <v>31</v>
      </c>
      <c r="C110" s="8" t="s">
        <v>115</v>
      </c>
      <c r="D110" s="8" t="s">
        <v>45</v>
      </c>
      <c r="E110" s="8" t="s">
        <v>198</v>
      </c>
      <c r="F110" s="8" t="str">
        <f t="shared" si="12"/>
        <v>SB22555</v>
      </c>
      <c r="G110" s="9">
        <v>0</v>
      </c>
      <c r="H110" s="9">
        <f>VLOOKUP(F110,'[1]MGM Report'!$D:$E,2,FALSE)</f>
        <v>0</v>
      </c>
      <c r="I110" s="9" t="b">
        <f t="shared" si="13"/>
        <v>1</v>
      </c>
      <c r="J110" s="12">
        <v>0</v>
      </c>
      <c r="K110" s="12">
        <f>VLOOKUP(F110,'[1]MGM Report'!$D:$F,3,FALSE)</f>
        <v>0</v>
      </c>
      <c r="L110" s="12" t="b">
        <f t="shared" si="14"/>
        <v>1</v>
      </c>
      <c r="M110" s="13">
        <v>0</v>
      </c>
      <c r="N110" s="13">
        <f>VLOOKUP(F110,'[1]MGM Report'!$D:$G,4,FALSE)</f>
        <v>0</v>
      </c>
      <c r="O110" s="13" t="b">
        <f t="shared" si="23"/>
        <v>1</v>
      </c>
      <c r="P110" s="12">
        <v>0</v>
      </c>
      <c r="Q110" s="12">
        <f>VLOOKUP(F110,'[1]MGM Report'!$D:$M,5,FALSE)</f>
        <v>0</v>
      </c>
      <c r="R110" s="12" t="b">
        <f t="shared" si="15"/>
        <v>1</v>
      </c>
      <c r="S110" s="13">
        <v>0</v>
      </c>
      <c r="T110" s="13">
        <f>VLOOKUP(F110,'[1]MGM Report'!$D:$I,6,FALSE)</f>
        <v>0</v>
      </c>
      <c r="U110" s="13" t="b">
        <f t="shared" si="16"/>
        <v>1</v>
      </c>
      <c r="V110" s="12">
        <v>0</v>
      </c>
      <c r="W110" s="12">
        <f>VLOOKUP(F110,'[1]MGM Report'!$D:$J,7,FALSE)</f>
        <v>0</v>
      </c>
      <c r="X110" s="12" t="b">
        <f t="shared" si="17"/>
        <v>1</v>
      </c>
      <c r="Y110" s="13">
        <v>15000</v>
      </c>
      <c r="Z110" s="13">
        <f>VLOOKUP(F110,'[1]MGM Report'!$D:$K,8,FALSE)</f>
        <v>15000</v>
      </c>
      <c r="AA110" s="13" t="b">
        <f t="shared" si="18"/>
        <v>1</v>
      </c>
      <c r="AB110" s="12">
        <v>-15000</v>
      </c>
      <c r="AC110" s="12">
        <f>VLOOKUP(F110,'[1]MGM Report'!$D:$M,10,FALSE)</f>
        <v>15000</v>
      </c>
      <c r="AD110" s="12" t="b">
        <f t="shared" si="19"/>
        <v>0</v>
      </c>
      <c r="AE110" s="13">
        <v>0</v>
      </c>
      <c r="AF110" s="13">
        <f>VLOOKUP(F110,'[1]MGM Report'!$D:$N,11,FALSE)</f>
        <v>0</v>
      </c>
      <c r="AG110" s="13" t="b">
        <f t="shared" si="20"/>
        <v>1</v>
      </c>
      <c r="AH110" s="12">
        <v>0</v>
      </c>
      <c r="AI110" s="12">
        <f>VLOOKUP(F110,'[1]MGM Report'!$D:$S,12,FALSE)</f>
        <v>0</v>
      </c>
      <c r="AJ110" s="12" t="b">
        <f t="shared" si="21"/>
        <v>1</v>
      </c>
      <c r="AK110" s="13">
        <f>VLOOKUP(F110,[2]HAVASMGMReportKBCUpdatedResult!$F:$R,13,FALSE)</f>
        <v>0</v>
      </c>
      <c r="AL110" s="13">
        <f>VLOOKUP(F110,'[1]MGM Report'!$D:$S,14,FALSE)</f>
        <v>0</v>
      </c>
    </row>
    <row r="111" spans="1:38">
      <c r="A111" s="7">
        <v>45758</v>
      </c>
      <c r="B111" s="8" t="s">
        <v>31</v>
      </c>
      <c r="C111" s="8" t="s">
        <v>115</v>
      </c>
      <c r="D111" s="8" t="s">
        <v>45</v>
      </c>
      <c r="E111" s="8" t="s">
        <v>199</v>
      </c>
      <c r="F111" s="8" t="str">
        <f t="shared" si="12"/>
        <v>SB22556</v>
      </c>
      <c r="G111" s="9">
        <v>0</v>
      </c>
      <c r="H111" s="9">
        <f>VLOOKUP(F111,'[1]MGM Report'!$D:$E,2,FALSE)</f>
        <v>0</v>
      </c>
      <c r="I111" s="9" t="b">
        <f t="shared" si="13"/>
        <v>1</v>
      </c>
      <c r="J111" s="12">
        <v>0</v>
      </c>
      <c r="K111" s="12">
        <f>VLOOKUP(F111,'[1]MGM Report'!$D:$F,3,FALSE)</f>
        <v>0</v>
      </c>
      <c r="L111" s="12" t="b">
        <f t="shared" si="14"/>
        <v>1</v>
      </c>
      <c r="M111" s="13">
        <v>0</v>
      </c>
      <c r="N111" s="13">
        <f>VLOOKUP(F111,'[1]MGM Report'!$D:$G,4,FALSE)</f>
        <v>0</v>
      </c>
      <c r="O111" s="13" t="b">
        <f t="shared" si="23"/>
        <v>1</v>
      </c>
      <c r="P111" s="12">
        <v>0</v>
      </c>
      <c r="Q111" s="12">
        <f>VLOOKUP(F111,'[1]MGM Report'!$D:$M,5,FALSE)</f>
        <v>0</v>
      </c>
      <c r="R111" s="12" t="b">
        <f t="shared" si="15"/>
        <v>1</v>
      </c>
      <c r="S111" s="13">
        <v>0</v>
      </c>
      <c r="T111" s="13">
        <f>VLOOKUP(F111,'[1]MGM Report'!$D:$I,6,FALSE)</f>
        <v>0</v>
      </c>
      <c r="U111" s="13" t="b">
        <f t="shared" si="16"/>
        <v>1</v>
      </c>
      <c r="V111" s="12">
        <v>0</v>
      </c>
      <c r="W111" s="12">
        <f>VLOOKUP(F111,'[1]MGM Report'!$D:$J,7,FALSE)</f>
        <v>0</v>
      </c>
      <c r="X111" s="12" t="b">
        <f t="shared" si="17"/>
        <v>1</v>
      </c>
      <c r="Y111" s="13">
        <v>52056</v>
      </c>
      <c r="Z111" s="13">
        <f>VLOOKUP(F111,'[1]MGM Report'!$D:$K,8,FALSE)</f>
        <v>52056</v>
      </c>
      <c r="AA111" s="13" t="b">
        <f t="shared" si="18"/>
        <v>1</v>
      </c>
      <c r="AB111" s="12">
        <v>-52056</v>
      </c>
      <c r="AC111" s="12">
        <f>VLOOKUP(F111,'[1]MGM Report'!$D:$M,10,FALSE)</f>
        <v>52056</v>
      </c>
      <c r="AD111" s="12" t="b">
        <f t="shared" si="19"/>
        <v>0</v>
      </c>
      <c r="AE111" s="13">
        <v>0</v>
      </c>
      <c r="AF111" s="13">
        <f>VLOOKUP(F111,'[1]MGM Report'!$D:$N,11,FALSE)</f>
        <v>0</v>
      </c>
      <c r="AG111" s="13" t="b">
        <f t="shared" si="20"/>
        <v>1</v>
      </c>
      <c r="AH111" s="12">
        <v>0</v>
      </c>
      <c r="AI111" s="12">
        <f>VLOOKUP(F111,'[1]MGM Report'!$D:$S,12,FALSE)</f>
        <v>0</v>
      </c>
      <c r="AJ111" s="12" t="b">
        <f t="shared" si="21"/>
        <v>1</v>
      </c>
      <c r="AK111" s="13">
        <f>VLOOKUP(F111,[2]HAVASMGMReportKBCUpdatedResult!$F:$R,13,FALSE)</f>
        <v>0</v>
      </c>
      <c r="AL111" s="13">
        <f>VLOOKUP(F111,'[1]MGM Report'!$D:$S,14,FALSE)</f>
        <v>0</v>
      </c>
    </row>
    <row r="112" spans="1:38">
      <c r="A112" s="7">
        <v>45758</v>
      </c>
      <c r="B112" s="8" t="s">
        <v>27</v>
      </c>
      <c r="C112" s="8" t="s">
        <v>120</v>
      </c>
      <c r="D112" s="8" t="s">
        <v>64</v>
      </c>
      <c r="E112" s="8" t="s">
        <v>200</v>
      </c>
      <c r="F112" s="8" t="str">
        <f t="shared" si="12"/>
        <v>SB22552</v>
      </c>
      <c r="G112" s="9">
        <v>0</v>
      </c>
      <c r="H112" s="9">
        <f>VLOOKUP(F112,'[1]MGM Report'!$D:$E,2,FALSE)</f>
        <v>0</v>
      </c>
      <c r="I112" s="9" t="b">
        <f t="shared" si="13"/>
        <v>1</v>
      </c>
      <c r="J112" s="12">
        <v>0</v>
      </c>
      <c r="K112" s="12">
        <f>VLOOKUP(F112,'[1]MGM Report'!$D:$F,3,FALSE)</f>
        <v>0</v>
      </c>
      <c r="L112" s="12" t="b">
        <f t="shared" si="14"/>
        <v>1</v>
      </c>
      <c r="M112" s="13">
        <v>0</v>
      </c>
      <c r="N112" s="13">
        <f>VLOOKUP(F112,'[1]MGM Report'!$D:$G,4,FALSE)</f>
        <v>0</v>
      </c>
      <c r="O112" s="13" t="b">
        <f t="shared" si="23"/>
        <v>1</v>
      </c>
      <c r="P112" s="12">
        <v>0</v>
      </c>
      <c r="Q112" s="12">
        <f>VLOOKUP(F112,'[1]MGM Report'!$D:$M,5,FALSE)</f>
        <v>0</v>
      </c>
      <c r="R112" s="12" t="b">
        <f t="shared" si="15"/>
        <v>1</v>
      </c>
      <c r="S112" s="13">
        <v>0</v>
      </c>
      <c r="T112" s="13">
        <f>VLOOKUP(F112,'[1]MGM Report'!$D:$I,6,FALSE)</f>
        <v>0</v>
      </c>
      <c r="U112" s="13" t="b">
        <f t="shared" si="16"/>
        <v>1</v>
      </c>
      <c r="V112" s="12">
        <v>573790.29</v>
      </c>
      <c r="W112" s="12">
        <f>VLOOKUP(F112,'[1]MGM Report'!$D:$J,7,FALSE)</f>
        <v>603830.29</v>
      </c>
      <c r="X112" s="12" t="b">
        <f t="shared" si="17"/>
        <v>0</v>
      </c>
      <c r="Y112" s="13">
        <v>751830.29</v>
      </c>
      <c r="Z112" s="13">
        <f>VLOOKUP(F112,'[1]MGM Report'!$D:$K,8,FALSE)</f>
        <v>751830.29</v>
      </c>
      <c r="AA112" s="13" t="b">
        <f t="shared" si="18"/>
        <v>1</v>
      </c>
      <c r="AB112" s="12">
        <v>-790000</v>
      </c>
      <c r="AC112" s="12">
        <f>VLOOKUP(F112,'[1]MGM Report'!$D:$M,10,FALSE)</f>
        <v>790000</v>
      </c>
      <c r="AD112" s="12" t="b">
        <f t="shared" si="19"/>
        <v>0</v>
      </c>
      <c r="AE112" s="13">
        <v>0</v>
      </c>
      <c r="AF112" s="13">
        <f>VLOOKUP(F112,'[1]MGM Report'!$D:$N,11,FALSE)</f>
        <v>0</v>
      </c>
      <c r="AG112" s="13" t="b">
        <f t="shared" si="20"/>
        <v>1</v>
      </c>
      <c r="AH112" s="12">
        <v>-38169.71</v>
      </c>
      <c r="AI112" s="12">
        <f>VLOOKUP(F112,'[1]MGM Report'!$D:$S,12,FALSE)</f>
        <v>38169.71</v>
      </c>
      <c r="AJ112" s="12" t="b">
        <f t="shared" si="21"/>
        <v>0</v>
      </c>
      <c r="AK112" s="13">
        <f>VLOOKUP(F112,[2]HAVASMGMReportKBCUpdatedResult!$F:$R,13,FALSE)</f>
        <v>-573790.29</v>
      </c>
      <c r="AL112" s="13">
        <f>VLOOKUP(F112,'[1]MGM Report'!$D:$S,14,FALSE)</f>
        <v>603830.29</v>
      </c>
    </row>
    <row r="113" spans="1:38">
      <c r="A113" s="7">
        <v>45758</v>
      </c>
      <c r="B113" s="8" t="s">
        <v>38</v>
      </c>
      <c r="C113" s="8" t="s">
        <v>130</v>
      </c>
      <c r="D113" s="8" t="s">
        <v>51</v>
      </c>
      <c r="E113" s="8" t="s">
        <v>201</v>
      </c>
      <c r="F113" s="8" t="str">
        <f t="shared" si="12"/>
        <v>SB22551</v>
      </c>
      <c r="G113" s="9">
        <v>0</v>
      </c>
      <c r="H113" s="9">
        <f>VLOOKUP(F113,'[1]MGM Report'!$D:$E,2,FALSE)</f>
        <v>0</v>
      </c>
      <c r="I113" s="9" t="b">
        <f t="shared" si="13"/>
        <v>1</v>
      </c>
      <c r="J113" s="12">
        <v>699894</v>
      </c>
      <c r="K113" s="12">
        <f>VLOOKUP(F113,'[1]MGM Report'!$D:$F,3,FALSE)</f>
        <v>699894</v>
      </c>
      <c r="L113" s="12" t="b">
        <f t="shared" si="14"/>
        <v>1</v>
      </c>
      <c r="M113" s="13">
        <v>-699894</v>
      </c>
      <c r="N113" s="13">
        <f>VLOOKUP(F113,'[1]MGM Report'!$D:$G,4,FALSE)</f>
        <v>699894</v>
      </c>
      <c r="O113" s="13" t="b">
        <f t="shared" si="23"/>
        <v>0</v>
      </c>
      <c r="P113" s="12">
        <v>0</v>
      </c>
      <c r="Q113" s="12">
        <f>VLOOKUP(F113,'[1]MGM Report'!$D:$M,5,FALSE)</f>
        <v>0</v>
      </c>
      <c r="R113" s="12" t="b">
        <f t="shared" si="15"/>
        <v>1</v>
      </c>
      <c r="S113" s="13">
        <v>0</v>
      </c>
      <c r="T113" s="13">
        <f>VLOOKUP(F113,'[1]MGM Report'!$D:$I,6,FALSE)</f>
        <v>0</v>
      </c>
      <c r="U113" s="13" t="b">
        <f t="shared" si="16"/>
        <v>1</v>
      </c>
      <c r="V113" s="12">
        <v>259000</v>
      </c>
      <c r="W113" s="12">
        <f>VLOOKUP(F113,'[1]MGM Report'!$D:$J,7,FALSE)</f>
        <v>458120</v>
      </c>
      <c r="X113" s="12" t="b">
        <f t="shared" si="17"/>
        <v>0</v>
      </c>
      <c r="Y113" s="13">
        <v>293950</v>
      </c>
      <c r="Z113" s="13">
        <f>VLOOKUP(F113,'[1]MGM Report'!$D:$K,8,FALSE)</f>
        <v>303120</v>
      </c>
      <c r="AA113" s="13" t="b">
        <f t="shared" si="18"/>
        <v>0</v>
      </c>
      <c r="AB113" s="12">
        <v>-303120</v>
      </c>
      <c r="AC113" s="12">
        <f>VLOOKUP(F113,'[1]MGM Report'!$D:$M,10,FALSE)</f>
        <v>303120</v>
      </c>
      <c r="AD113" s="12" t="b">
        <f t="shared" si="19"/>
        <v>0</v>
      </c>
      <c r="AE113" s="13">
        <v>0</v>
      </c>
      <c r="AF113" s="13">
        <f>VLOOKUP(F113,'[1]MGM Report'!$D:$N,11,FALSE)</f>
        <v>0</v>
      </c>
      <c r="AG113" s="13" t="b">
        <f t="shared" si="20"/>
        <v>1</v>
      </c>
      <c r="AH113" s="12">
        <v>-9170</v>
      </c>
      <c r="AI113" s="12">
        <f>VLOOKUP(F113,'[1]MGM Report'!$D:$S,12,FALSE)</f>
        <v>0</v>
      </c>
      <c r="AJ113" s="12" t="b">
        <f t="shared" si="21"/>
        <v>0</v>
      </c>
      <c r="AK113" s="13">
        <f>VLOOKUP(F113,[2]HAVASMGMReportKBCUpdatedResult!$F:$R,13,FALSE)</f>
        <v>-259000</v>
      </c>
      <c r="AL113" s="13">
        <f>VLOOKUP(F113,'[1]MGM Report'!$D:$S,14,FALSE)</f>
        <v>458120</v>
      </c>
    </row>
    <row r="114" spans="1:38">
      <c r="A114" s="7">
        <v>45758</v>
      </c>
      <c r="B114" s="8" t="s">
        <v>27</v>
      </c>
      <c r="C114" s="8" t="s">
        <v>120</v>
      </c>
      <c r="D114" s="8" t="s">
        <v>71</v>
      </c>
      <c r="E114" s="8" t="s">
        <v>202</v>
      </c>
      <c r="F114" s="8" t="str">
        <f t="shared" si="12"/>
        <v>SB22549</v>
      </c>
      <c r="G114" s="9">
        <v>0</v>
      </c>
      <c r="H114" s="9">
        <f>VLOOKUP(F114,'[1]MGM Report'!$D:$E,2,FALSE)</f>
        <v>0</v>
      </c>
      <c r="I114" s="9" t="b">
        <f t="shared" si="13"/>
        <v>1</v>
      </c>
      <c r="J114" s="12">
        <v>286859.98</v>
      </c>
      <c r="K114" s="12">
        <f>VLOOKUP(F114,'[1]MGM Report'!$D:$F,3,FALSE)</f>
        <v>286859.98</v>
      </c>
      <c r="L114" s="12" t="b">
        <f t="shared" si="14"/>
        <v>1</v>
      </c>
      <c r="M114" s="13">
        <v>-301859.98</v>
      </c>
      <c r="N114" s="13">
        <f>VLOOKUP(F114,'[1]MGM Report'!$D:$G,4,FALSE)</f>
        <v>301859.98</v>
      </c>
      <c r="O114" s="13" t="b">
        <f t="shared" si="23"/>
        <v>0</v>
      </c>
      <c r="P114" s="12">
        <v>0</v>
      </c>
      <c r="Q114" s="12">
        <f>VLOOKUP(F114,'[1]MGM Report'!$D:$M,5,FALSE)</f>
        <v>0</v>
      </c>
      <c r="R114" s="12" t="b">
        <f t="shared" si="15"/>
        <v>1</v>
      </c>
      <c r="S114" s="13">
        <v>-15000</v>
      </c>
      <c r="T114" s="13">
        <f>VLOOKUP(F114,'[1]MGM Report'!$D:$I,6,FALSE)</f>
        <v>15000</v>
      </c>
      <c r="U114" s="13" t="b">
        <f t="shared" si="16"/>
        <v>0</v>
      </c>
      <c r="V114" s="12">
        <v>0</v>
      </c>
      <c r="W114" s="12">
        <f>VLOOKUP(F114,'[1]MGM Report'!$D:$J,7,FALSE)</f>
        <v>0</v>
      </c>
      <c r="X114" s="12" t="b">
        <f t="shared" si="17"/>
        <v>1</v>
      </c>
      <c r="Y114" s="13">
        <v>94000</v>
      </c>
      <c r="Z114" s="13">
        <f>VLOOKUP(F114,'[1]MGM Report'!$D:$K,8,FALSE)</f>
        <v>94000</v>
      </c>
      <c r="AA114" s="13" t="b">
        <f t="shared" si="18"/>
        <v>1</v>
      </c>
      <c r="AB114" s="12">
        <v>-94000</v>
      </c>
      <c r="AC114" s="12">
        <f>VLOOKUP(F114,'[1]MGM Report'!$D:$M,10,FALSE)</f>
        <v>94000</v>
      </c>
      <c r="AD114" s="12" t="b">
        <f t="shared" si="19"/>
        <v>0</v>
      </c>
      <c r="AE114" s="13">
        <v>0</v>
      </c>
      <c r="AF114" s="13">
        <f>VLOOKUP(F114,'[1]MGM Report'!$D:$N,11,FALSE)</f>
        <v>0</v>
      </c>
      <c r="AG114" s="13" t="b">
        <f t="shared" si="20"/>
        <v>1</v>
      </c>
      <c r="AH114" s="12">
        <v>0</v>
      </c>
      <c r="AI114" s="12">
        <f>VLOOKUP(F114,'[1]MGM Report'!$D:$S,12,FALSE)</f>
        <v>0</v>
      </c>
      <c r="AJ114" s="12" t="b">
        <f t="shared" si="21"/>
        <v>1</v>
      </c>
      <c r="AK114" s="13">
        <f>VLOOKUP(F114,[2]HAVASMGMReportKBCUpdatedResult!$F:$R,13,FALSE)</f>
        <v>0</v>
      </c>
      <c r="AL114" s="13">
        <f>VLOOKUP(F114,'[1]MGM Report'!$D:$S,14,FALSE)</f>
        <v>0</v>
      </c>
    </row>
    <row r="115" spans="1:38">
      <c r="A115" s="7">
        <v>45758</v>
      </c>
      <c r="B115" s="8" t="s">
        <v>27</v>
      </c>
      <c r="C115" s="8" t="s">
        <v>120</v>
      </c>
      <c r="D115" s="8" t="s">
        <v>203</v>
      </c>
      <c r="E115" s="8" t="s">
        <v>204</v>
      </c>
      <c r="F115" s="8" t="str">
        <f t="shared" si="12"/>
        <v>SB22550</v>
      </c>
      <c r="G115" s="9">
        <v>0</v>
      </c>
      <c r="H115" s="9">
        <f>VLOOKUP(F115,'[1]MGM Report'!$D:$E,2,FALSE)</f>
        <v>0</v>
      </c>
      <c r="I115" s="9" t="b">
        <f t="shared" si="13"/>
        <v>1</v>
      </c>
      <c r="J115" s="12">
        <v>2226654</v>
      </c>
      <c r="K115" s="12">
        <f>VLOOKUP(F115,'[1]MGM Report'!$D:$F,3,FALSE)</f>
        <v>2226654</v>
      </c>
      <c r="L115" s="12" t="b">
        <f t="shared" si="14"/>
        <v>1</v>
      </c>
      <c r="M115" s="13">
        <v>-2117000</v>
      </c>
      <c r="N115" s="13">
        <f>VLOOKUP(F115,'[1]MGM Report'!$D:$G,4,FALSE)</f>
        <v>2117000</v>
      </c>
      <c r="O115" s="13" t="b">
        <f t="shared" si="23"/>
        <v>0</v>
      </c>
      <c r="P115" s="12">
        <v>0</v>
      </c>
      <c r="Q115" s="12">
        <f>VLOOKUP(F115,'[1]MGM Report'!$D:$M,5,FALSE)</f>
        <v>0</v>
      </c>
      <c r="R115" s="12" t="b">
        <f t="shared" si="15"/>
        <v>1</v>
      </c>
      <c r="S115" s="13">
        <v>109654</v>
      </c>
      <c r="T115" s="13">
        <f>VLOOKUP(F115,'[1]MGM Report'!$D:$I,6,FALSE)</f>
        <v>109654</v>
      </c>
      <c r="U115" s="13" t="b">
        <f t="shared" si="16"/>
        <v>1</v>
      </c>
      <c r="V115" s="12">
        <v>1283640</v>
      </c>
      <c r="W115" s="12">
        <f>VLOOKUP(F115,'[1]MGM Report'!$D:$J,7,FALSE)</f>
        <v>1335025.02</v>
      </c>
      <c r="X115" s="12" t="b">
        <f t="shared" si="17"/>
        <v>0</v>
      </c>
      <c r="Y115" s="13">
        <v>1260505.02</v>
      </c>
      <c r="Z115" s="13">
        <f>VLOOKUP(F115,'[1]MGM Report'!$D:$K,8,FALSE)</f>
        <v>1260505.02</v>
      </c>
      <c r="AA115" s="13" t="b">
        <f t="shared" si="18"/>
        <v>1</v>
      </c>
      <c r="AB115" s="12">
        <v>-1258076.02</v>
      </c>
      <c r="AC115" s="12">
        <f>VLOOKUP(F115,'[1]MGM Report'!$D:$M,10,FALSE)</f>
        <v>1258076.02</v>
      </c>
      <c r="AD115" s="12" t="b">
        <f t="shared" si="19"/>
        <v>0</v>
      </c>
      <c r="AE115" s="13">
        <v>-2429</v>
      </c>
      <c r="AF115" s="13">
        <f>VLOOKUP(F115,'[1]MGM Report'!$D:$N,11,FALSE)</f>
        <v>2429</v>
      </c>
      <c r="AG115" s="13" t="b">
        <f t="shared" si="20"/>
        <v>0</v>
      </c>
      <c r="AH115" s="12">
        <v>0</v>
      </c>
      <c r="AI115" s="12">
        <f>VLOOKUP(F115,'[1]MGM Report'!$D:$S,12,FALSE)</f>
        <v>0</v>
      </c>
      <c r="AJ115" s="12" t="b">
        <f t="shared" si="21"/>
        <v>1</v>
      </c>
      <c r="AK115" s="13">
        <f>VLOOKUP(F115,[2]HAVASMGMReportKBCUpdatedResult!$F:$R,13,FALSE)</f>
        <v>-1283640</v>
      </c>
      <c r="AL115" s="13">
        <f>VLOOKUP(F115,'[1]MGM Report'!$D:$S,14,FALSE)</f>
        <v>1335025.02</v>
      </c>
    </row>
    <row r="116" spans="1:38">
      <c r="A116" s="7">
        <v>45758</v>
      </c>
      <c r="B116" s="8" t="s">
        <v>27</v>
      </c>
      <c r="C116" s="8" t="s">
        <v>120</v>
      </c>
      <c r="D116" s="8" t="s">
        <v>205</v>
      </c>
      <c r="E116" s="8" t="s">
        <v>206</v>
      </c>
      <c r="F116" s="8" t="str">
        <f t="shared" si="12"/>
        <v>SB22548</v>
      </c>
      <c r="G116" s="9">
        <v>581460</v>
      </c>
      <c r="H116" s="9">
        <f>VLOOKUP(F116,'[1]MGM Report'!$D:$E,2,FALSE)</f>
        <v>581460</v>
      </c>
      <c r="I116" s="9" t="b">
        <f t="shared" si="13"/>
        <v>1</v>
      </c>
      <c r="J116" s="12">
        <v>581460</v>
      </c>
      <c r="K116" s="12">
        <f>VLOOKUP(F116,'[1]MGM Report'!$D:$F,3,FALSE)</f>
        <v>581460</v>
      </c>
      <c r="L116" s="12" t="b">
        <f t="shared" si="14"/>
        <v>1</v>
      </c>
      <c r="M116" s="13">
        <v>0</v>
      </c>
      <c r="N116" s="13">
        <f>VLOOKUP(F116,'[1]MGM Report'!$D:$G,4,FALSE)</f>
        <v>0</v>
      </c>
      <c r="O116" s="13" t="b">
        <f t="shared" si="23"/>
        <v>1</v>
      </c>
      <c r="P116" s="12">
        <v>-581460</v>
      </c>
      <c r="Q116" s="12">
        <f>VLOOKUP(F116,'[1]MGM Report'!$D:$M,5,FALSE)</f>
        <v>581460</v>
      </c>
      <c r="R116" s="12" t="b">
        <f t="shared" si="15"/>
        <v>0</v>
      </c>
      <c r="S116" s="13">
        <v>0</v>
      </c>
      <c r="T116" s="13">
        <f>VLOOKUP(F116,'[1]MGM Report'!$D:$I,6,FALSE)</f>
        <v>0</v>
      </c>
      <c r="U116" s="13" t="b">
        <f t="shared" si="16"/>
        <v>1</v>
      </c>
      <c r="V116" s="12">
        <v>83363</v>
      </c>
      <c r="W116" s="12">
        <f>VLOOKUP(F116,'[1]MGM Report'!$D:$J,7,FALSE)</f>
        <v>83363</v>
      </c>
      <c r="X116" s="12" t="b">
        <f t="shared" si="17"/>
        <v>1</v>
      </c>
      <c r="Y116" s="13">
        <v>197038</v>
      </c>
      <c r="Z116" s="13">
        <f>VLOOKUP(F116,'[1]MGM Report'!$D:$K,8,FALSE)</f>
        <v>197038</v>
      </c>
      <c r="AA116" s="13" t="b">
        <f t="shared" si="18"/>
        <v>1</v>
      </c>
      <c r="AB116" s="12">
        <v>-243675</v>
      </c>
      <c r="AC116" s="12">
        <f>VLOOKUP(F116,'[1]MGM Report'!$D:$M,10,FALSE)</f>
        <v>243675</v>
      </c>
      <c r="AD116" s="12" t="b">
        <f t="shared" si="19"/>
        <v>0</v>
      </c>
      <c r="AE116" s="13">
        <v>0</v>
      </c>
      <c r="AF116" s="13">
        <f>VLOOKUP(F116,'[1]MGM Report'!$D:$N,11,FALSE)</f>
        <v>0</v>
      </c>
      <c r="AG116" s="13" t="b">
        <f t="shared" si="20"/>
        <v>1</v>
      </c>
      <c r="AH116" s="12">
        <v>-46637</v>
      </c>
      <c r="AI116" s="12">
        <f>VLOOKUP(F116,'[1]MGM Report'!$D:$S,12,FALSE)</f>
        <v>46637</v>
      </c>
      <c r="AJ116" s="12" t="b">
        <f t="shared" si="21"/>
        <v>0</v>
      </c>
      <c r="AK116" s="13">
        <f>VLOOKUP(F116,[2]HAVASMGMReportKBCUpdatedResult!$F:$R,13,FALSE)</f>
        <v>498097</v>
      </c>
      <c r="AL116" s="13">
        <f>VLOOKUP(F116,'[1]MGM Report'!$D:$S,14,FALSE)</f>
        <v>498097</v>
      </c>
    </row>
    <row r="117" spans="1:38">
      <c r="A117" s="7">
        <v>45758</v>
      </c>
      <c r="B117" s="8" t="s">
        <v>31</v>
      </c>
      <c r="C117" s="8" t="s">
        <v>115</v>
      </c>
      <c r="D117" s="8" t="s">
        <v>45</v>
      </c>
      <c r="E117" s="8" t="s">
        <v>207</v>
      </c>
      <c r="F117" s="8" t="str">
        <f t="shared" si="12"/>
        <v>SB22547</v>
      </c>
      <c r="G117" s="9">
        <v>0</v>
      </c>
      <c r="H117" s="9">
        <f>VLOOKUP(F117,'[1]MGM Report'!$D:$E,2,FALSE)</f>
        <v>0</v>
      </c>
      <c r="I117" s="9" t="b">
        <f t="shared" si="13"/>
        <v>1</v>
      </c>
      <c r="J117" s="12">
        <v>0</v>
      </c>
      <c r="K117" s="12">
        <f>VLOOKUP(F117,'[1]MGM Report'!$D:$F,3,FALSE)</f>
        <v>0</v>
      </c>
      <c r="L117" s="12" t="b">
        <f t="shared" si="14"/>
        <v>1</v>
      </c>
      <c r="M117" s="13">
        <v>0</v>
      </c>
      <c r="N117" s="13">
        <f>VLOOKUP(F117,'[1]MGM Report'!$D:$G,4,FALSE)</f>
        <v>0</v>
      </c>
      <c r="O117" s="13" t="b">
        <f t="shared" si="23"/>
        <v>1</v>
      </c>
      <c r="P117" s="12">
        <v>0</v>
      </c>
      <c r="Q117" s="12">
        <f>VLOOKUP(F117,'[1]MGM Report'!$D:$M,5,FALSE)</f>
        <v>0</v>
      </c>
      <c r="R117" s="12" t="b">
        <f t="shared" si="15"/>
        <v>1</v>
      </c>
      <c r="S117" s="13">
        <v>0</v>
      </c>
      <c r="T117" s="13">
        <f>VLOOKUP(F117,'[1]MGM Report'!$D:$I,6,FALSE)</f>
        <v>0</v>
      </c>
      <c r="U117" s="13" t="b">
        <f t="shared" si="16"/>
        <v>1</v>
      </c>
      <c r="V117" s="12">
        <v>0</v>
      </c>
      <c r="W117" s="12">
        <f>VLOOKUP(F117,'[1]MGM Report'!$D:$J,7,FALSE)</f>
        <v>0</v>
      </c>
      <c r="X117" s="12" t="b">
        <f t="shared" si="17"/>
        <v>1</v>
      </c>
      <c r="Y117" s="13">
        <v>42110</v>
      </c>
      <c r="Z117" s="13">
        <f>VLOOKUP(F117,'[1]MGM Report'!$D:$K,8,FALSE)</f>
        <v>42110</v>
      </c>
      <c r="AA117" s="13" t="b">
        <f t="shared" si="18"/>
        <v>1</v>
      </c>
      <c r="AB117" s="12">
        <v>-42110</v>
      </c>
      <c r="AC117" s="12">
        <f>VLOOKUP(F117,'[1]MGM Report'!$D:$M,10,FALSE)</f>
        <v>42110</v>
      </c>
      <c r="AD117" s="12" t="b">
        <f t="shared" si="19"/>
        <v>0</v>
      </c>
      <c r="AE117" s="13">
        <v>0</v>
      </c>
      <c r="AF117" s="13">
        <f>VLOOKUP(F117,'[1]MGM Report'!$D:$N,11,FALSE)</f>
        <v>0</v>
      </c>
      <c r="AG117" s="13" t="b">
        <f t="shared" si="20"/>
        <v>1</v>
      </c>
      <c r="AH117" s="12">
        <v>0</v>
      </c>
      <c r="AI117" s="12">
        <f>VLOOKUP(F117,'[1]MGM Report'!$D:$S,12,FALSE)</f>
        <v>0</v>
      </c>
      <c r="AJ117" s="12" t="b">
        <f t="shared" si="21"/>
        <v>1</v>
      </c>
      <c r="AK117" s="13">
        <f>VLOOKUP(F117,[2]HAVASMGMReportKBCUpdatedResult!$F:$R,13,FALSE)</f>
        <v>0</v>
      </c>
      <c r="AL117" s="13">
        <f>VLOOKUP(F117,'[1]MGM Report'!$D:$S,14,FALSE)</f>
        <v>0</v>
      </c>
    </row>
    <row r="118" spans="1:38">
      <c r="A118" s="7">
        <v>45758</v>
      </c>
      <c r="B118" s="8" t="s">
        <v>59</v>
      </c>
      <c r="C118" s="8" t="s">
        <v>115</v>
      </c>
      <c r="D118" s="8" t="s">
        <v>60</v>
      </c>
      <c r="E118" s="8" t="s">
        <v>208</v>
      </c>
      <c r="F118" s="8" t="str">
        <f t="shared" si="12"/>
        <v>SB22546</v>
      </c>
      <c r="G118" s="9">
        <v>0</v>
      </c>
      <c r="H118" s="9">
        <f>VLOOKUP(F118,'[1]MGM Report'!$D:$E,2,FALSE)</f>
        <v>0</v>
      </c>
      <c r="I118" s="9" t="b">
        <f t="shared" si="13"/>
        <v>1</v>
      </c>
      <c r="J118" s="12">
        <v>0</v>
      </c>
      <c r="K118" s="12">
        <f>VLOOKUP(F118,'[1]MGM Report'!$D:$F,3,FALSE)</f>
        <v>0</v>
      </c>
      <c r="L118" s="12" t="b">
        <f t="shared" si="14"/>
        <v>1</v>
      </c>
      <c r="M118" s="13">
        <v>0</v>
      </c>
      <c r="N118" s="13">
        <f>VLOOKUP(F118,'[1]MGM Report'!$D:$G,4,FALSE)</f>
        <v>0</v>
      </c>
      <c r="O118" s="13" t="b">
        <f t="shared" si="23"/>
        <v>1</v>
      </c>
      <c r="P118" s="12">
        <v>0</v>
      </c>
      <c r="Q118" s="12">
        <f>VLOOKUP(F118,'[1]MGM Report'!$D:$M,5,FALSE)</f>
        <v>0</v>
      </c>
      <c r="R118" s="12" t="b">
        <f t="shared" si="15"/>
        <v>1</v>
      </c>
      <c r="S118" s="13">
        <v>0</v>
      </c>
      <c r="T118" s="13">
        <f>VLOOKUP(F118,'[1]MGM Report'!$D:$I,6,FALSE)</f>
        <v>0</v>
      </c>
      <c r="U118" s="13" t="b">
        <f t="shared" si="16"/>
        <v>1</v>
      </c>
      <c r="V118" s="12">
        <v>0</v>
      </c>
      <c r="W118" s="12">
        <f>VLOOKUP(F118,'[1]MGM Report'!$D:$J,7,FALSE)</f>
        <v>0</v>
      </c>
      <c r="X118" s="12" t="b">
        <f t="shared" si="17"/>
        <v>1</v>
      </c>
      <c r="Y118" s="13">
        <v>330740</v>
      </c>
      <c r="Z118" s="13">
        <f>VLOOKUP(F118,'[1]MGM Report'!$D:$K,8,FALSE)</f>
        <v>330740</v>
      </c>
      <c r="AA118" s="13" t="b">
        <f t="shared" si="18"/>
        <v>1</v>
      </c>
      <c r="AB118" s="12">
        <v>-330740</v>
      </c>
      <c r="AC118" s="12">
        <f>VLOOKUP(F118,'[1]MGM Report'!$D:$M,10,FALSE)</f>
        <v>330740</v>
      </c>
      <c r="AD118" s="12" t="b">
        <f t="shared" si="19"/>
        <v>0</v>
      </c>
      <c r="AE118" s="13">
        <v>0</v>
      </c>
      <c r="AF118" s="13">
        <f>VLOOKUP(F118,'[1]MGM Report'!$D:$N,11,FALSE)</f>
        <v>0</v>
      </c>
      <c r="AG118" s="13" t="b">
        <f t="shared" si="20"/>
        <v>1</v>
      </c>
      <c r="AH118" s="12">
        <v>0</v>
      </c>
      <c r="AI118" s="12">
        <f>VLOOKUP(F118,'[1]MGM Report'!$D:$S,12,FALSE)</f>
        <v>0</v>
      </c>
      <c r="AJ118" s="12" t="b">
        <f t="shared" si="21"/>
        <v>1</v>
      </c>
      <c r="AK118" s="13">
        <f>VLOOKUP(F118,[2]HAVASMGMReportKBCUpdatedResult!$F:$R,13,FALSE)</f>
        <v>0</v>
      </c>
      <c r="AL118" s="13">
        <f>VLOOKUP(F118,'[1]MGM Report'!$D:$S,14,FALSE)</f>
        <v>0</v>
      </c>
    </row>
    <row r="119" spans="1:38">
      <c r="A119" s="7">
        <v>45758</v>
      </c>
      <c r="B119" s="8" t="s">
        <v>27</v>
      </c>
      <c r="C119" s="8" t="s">
        <v>120</v>
      </c>
      <c r="D119" s="8" t="s">
        <v>104</v>
      </c>
      <c r="E119" s="8" t="s">
        <v>209</v>
      </c>
      <c r="F119" s="8" t="str">
        <f t="shared" si="12"/>
        <v>SB22545</v>
      </c>
      <c r="G119" s="9">
        <v>3500020</v>
      </c>
      <c r="H119" s="9">
        <f>VLOOKUP(F119,'[1]MGM Report'!$D:$E,2,FALSE)</f>
        <v>4180020</v>
      </c>
      <c r="I119" s="9" t="b">
        <f t="shared" si="13"/>
        <v>0</v>
      </c>
      <c r="J119" s="12">
        <v>0</v>
      </c>
      <c r="K119" s="12">
        <f>VLOOKUP(F119,'[1]MGM Report'!$D:$F,3,FALSE)</f>
        <v>680000</v>
      </c>
      <c r="L119" s="12" t="b">
        <f t="shared" si="14"/>
        <v>0</v>
      </c>
      <c r="M119" s="13">
        <v>2839466</v>
      </c>
      <c r="N119" s="13">
        <f>VLOOKUP(F119,'[1]MGM Report'!$D:$G,4,FALSE)</f>
        <v>2820020</v>
      </c>
      <c r="O119" s="13" t="b">
        <f t="shared" si="23"/>
        <v>0</v>
      </c>
      <c r="P119" s="12">
        <v>0</v>
      </c>
      <c r="Q119" s="12">
        <f>VLOOKUP(F119,'[1]MGM Report'!$D:$M,5,FALSE)</f>
        <v>0</v>
      </c>
      <c r="R119" s="12" t="b">
        <f t="shared" si="15"/>
        <v>1</v>
      </c>
      <c r="S119" s="13">
        <v>2839466</v>
      </c>
      <c r="T119" s="13">
        <f>VLOOKUP(F119,'[1]MGM Report'!$D:$I,6,FALSE)</f>
        <v>3500020</v>
      </c>
      <c r="U119" s="13" t="b">
        <f t="shared" si="16"/>
        <v>0</v>
      </c>
      <c r="V119" s="12">
        <v>3027640.8</v>
      </c>
      <c r="W119" s="12">
        <f>VLOOKUP(F119,'[1]MGM Report'!$D:$J,7,FALSE)</f>
        <v>3033592.8</v>
      </c>
      <c r="X119" s="12" t="b">
        <f t="shared" si="17"/>
        <v>0</v>
      </c>
      <c r="Y119" s="13">
        <v>1187782</v>
      </c>
      <c r="Z119" s="13">
        <f>VLOOKUP(F119,'[1]MGM Report'!$D:$K,8,FALSE)</f>
        <v>1187782</v>
      </c>
      <c r="AA119" s="13" t="b">
        <f t="shared" si="18"/>
        <v>1</v>
      </c>
      <c r="AB119" s="12">
        <v>1612238</v>
      </c>
      <c r="AC119" s="12">
        <f>VLOOKUP(F119,'[1]MGM Report'!$D:$M,10,FALSE)</f>
        <v>1612238</v>
      </c>
      <c r="AD119" s="12" t="b">
        <f t="shared" si="19"/>
        <v>1</v>
      </c>
      <c r="AE119" s="13">
        <v>0</v>
      </c>
      <c r="AF119" s="13">
        <f>VLOOKUP(F119,'[1]MGM Report'!$D:$N,11,FALSE)</f>
        <v>0</v>
      </c>
      <c r="AG119" s="13" t="b">
        <f t="shared" si="20"/>
        <v>1</v>
      </c>
      <c r="AH119" s="12">
        <v>2800020</v>
      </c>
      <c r="AI119" s="12">
        <f>VLOOKUP(F119,'[1]MGM Report'!$D:$S,12,FALSE)</f>
        <v>2800020</v>
      </c>
      <c r="AJ119" s="12" t="b">
        <f t="shared" si="21"/>
        <v>1</v>
      </c>
      <c r="AK119" s="13">
        <f>VLOOKUP(F119,[2]HAVASMGMReportKBCUpdatedResult!$F:$R,13,FALSE)</f>
        <v>472379.2</v>
      </c>
      <c r="AL119" s="13">
        <f>VLOOKUP(F119,'[1]MGM Report'!$D:$S,14,FALSE)</f>
        <v>1146427.2</v>
      </c>
    </row>
    <row r="120" spans="1:38">
      <c r="A120" s="7">
        <v>45758</v>
      </c>
      <c r="B120" s="8" t="s">
        <v>27</v>
      </c>
      <c r="C120" s="8" t="s">
        <v>120</v>
      </c>
      <c r="D120" s="8" t="s">
        <v>140</v>
      </c>
      <c r="E120" s="8" t="s">
        <v>210</v>
      </c>
      <c r="F120" s="8" t="str">
        <f t="shared" si="12"/>
        <v>SB22541</v>
      </c>
      <c r="G120" s="9">
        <v>2929136.25</v>
      </c>
      <c r="H120" s="9">
        <f>VLOOKUP(F120,'[1]MGM Report'!$D:$E,2,FALSE)</f>
        <v>2929136.25</v>
      </c>
      <c r="I120" s="9" t="b">
        <f t="shared" si="13"/>
        <v>1</v>
      </c>
      <c r="J120" s="12">
        <v>4753266.25</v>
      </c>
      <c r="K120" s="12">
        <f>VLOOKUP(F120,'[1]MGM Report'!$D:$F,3,FALSE)</f>
        <v>4753266.25</v>
      </c>
      <c r="L120" s="12" t="b">
        <f t="shared" si="14"/>
        <v>1</v>
      </c>
      <c r="M120" s="13">
        <v>0</v>
      </c>
      <c r="N120" s="13">
        <f>VLOOKUP(F120,'[1]MGM Report'!$D:$G,4,FALSE)</f>
        <v>0</v>
      </c>
      <c r="O120" s="13" t="b">
        <f t="shared" si="23"/>
        <v>1</v>
      </c>
      <c r="P120" s="12">
        <v>0</v>
      </c>
      <c r="Q120" s="12">
        <f>VLOOKUP(F120,'[1]MGM Report'!$D:$M,5,FALSE)</f>
        <v>0</v>
      </c>
      <c r="R120" s="12" t="b">
        <f t="shared" si="15"/>
        <v>1</v>
      </c>
      <c r="S120" s="13">
        <v>4753266.25</v>
      </c>
      <c r="T120" s="13">
        <f>VLOOKUP(F120,'[1]MGM Report'!$D:$I,6,FALSE)</f>
        <v>4753266.25</v>
      </c>
      <c r="U120" s="13" t="b">
        <f t="shared" si="16"/>
        <v>1</v>
      </c>
      <c r="V120" s="12">
        <v>924455</v>
      </c>
      <c r="W120" s="12">
        <f>VLOOKUP(F120,'[1]MGM Report'!$D:$J,7,FALSE)</f>
        <v>924455</v>
      </c>
      <c r="X120" s="12" t="b">
        <f t="shared" si="17"/>
        <v>1</v>
      </c>
      <c r="Y120" s="13">
        <v>924455</v>
      </c>
      <c r="Z120" s="13">
        <f>VLOOKUP(F120,'[1]MGM Report'!$D:$K,8,FALSE)</f>
        <v>924455</v>
      </c>
      <c r="AA120" s="13" t="b">
        <f t="shared" si="18"/>
        <v>1</v>
      </c>
      <c r="AB120" s="12">
        <v>3115821.31</v>
      </c>
      <c r="AC120" s="12">
        <f>VLOOKUP(F120,'[1]MGM Report'!$D:$M,10,FALSE)</f>
        <v>3115821.31</v>
      </c>
      <c r="AD120" s="12" t="b">
        <f t="shared" si="19"/>
        <v>1</v>
      </c>
      <c r="AE120" s="13">
        <v>0</v>
      </c>
      <c r="AF120" s="13">
        <f>VLOOKUP(F120,'[1]MGM Report'!$D:$N,11,FALSE)</f>
        <v>0</v>
      </c>
      <c r="AG120" s="13" t="b">
        <f t="shared" si="20"/>
        <v>1</v>
      </c>
      <c r="AH120" s="12">
        <v>4040276.31</v>
      </c>
      <c r="AI120" s="12">
        <f>VLOOKUP(F120,'[1]MGM Report'!$D:$S,12,FALSE)</f>
        <v>4040276.31</v>
      </c>
      <c r="AJ120" s="12" t="b">
        <f t="shared" si="21"/>
        <v>1</v>
      </c>
      <c r="AK120" s="13">
        <f>VLOOKUP(F120,[2]HAVASMGMReportKBCUpdatedResult!$F:$R,13,FALSE)</f>
        <v>2004681.25</v>
      </c>
      <c r="AL120" s="13">
        <f>VLOOKUP(F120,'[1]MGM Report'!$D:$S,14,FALSE)</f>
        <v>2004681.25</v>
      </c>
    </row>
    <row r="121" spans="1:38">
      <c r="A121" s="7">
        <v>45758</v>
      </c>
      <c r="B121" s="8" t="s">
        <v>31</v>
      </c>
      <c r="C121" s="8" t="s">
        <v>115</v>
      </c>
      <c r="D121" s="8" t="s">
        <v>69</v>
      </c>
      <c r="E121" s="8" t="s">
        <v>211</v>
      </c>
      <c r="F121" s="8" t="str">
        <f t="shared" si="12"/>
        <v>SB22543</v>
      </c>
      <c r="G121" s="9">
        <v>0</v>
      </c>
      <c r="H121" s="9">
        <f>VLOOKUP(F121,'[1]MGM Report'!$D:$E,2,FALSE)</f>
        <v>1372057.5</v>
      </c>
      <c r="I121" s="9" t="b">
        <f t="shared" si="13"/>
        <v>0</v>
      </c>
      <c r="J121" s="12">
        <v>0</v>
      </c>
      <c r="K121" s="12">
        <f>VLOOKUP(F121,'[1]MGM Report'!$D:$F,3,FALSE)</f>
        <v>1372057.5</v>
      </c>
      <c r="L121" s="12" t="b">
        <f t="shared" si="14"/>
        <v>0</v>
      </c>
      <c r="M121" s="13">
        <v>0</v>
      </c>
      <c r="N121" s="13">
        <f>VLOOKUP(F121,'[1]MGM Report'!$D:$G,4,FALSE)</f>
        <v>0</v>
      </c>
      <c r="O121" s="13" t="b">
        <f t="shared" si="23"/>
        <v>1</v>
      </c>
      <c r="P121" s="12">
        <v>0</v>
      </c>
      <c r="Q121" s="12">
        <f>VLOOKUP(F121,'[1]MGM Report'!$D:$M,5,FALSE)</f>
        <v>1372057.5</v>
      </c>
      <c r="R121" s="12" t="b">
        <f t="shared" si="15"/>
        <v>0</v>
      </c>
      <c r="S121" s="13">
        <v>0</v>
      </c>
      <c r="T121" s="13">
        <f>VLOOKUP(F121,'[1]MGM Report'!$D:$I,6,FALSE)</f>
        <v>0</v>
      </c>
      <c r="U121" s="13" t="b">
        <f t="shared" si="16"/>
        <v>1</v>
      </c>
      <c r="V121" s="12">
        <v>985399</v>
      </c>
      <c r="W121" s="12">
        <f>VLOOKUP(F121,'[1]MGM Report'!$D:$J,7,FALSE)</f>
        <v>985399</v>
      </c>
      <c r="X121" s="12" t="b">
        <f t="shared" si="17"/>
        <v>1</v>
      </c>
      <c r="Y121" s="13">
        <v>1021439</v>
      </c>
      <c r="Z121" s="13">
        <f>VLOOKUP(F121,'[1]MGM Report'!$D:$K,8,FALSE)</f>
        <v>1021439</v>
      </c>
      <c r="AA121" s="13" t="b">
        <f t="shared" si="18"/>
        <v>1</v>
      </c>
      <c r="AB121" s="12">
        <v>-1021439</v>
      </c>
      <c r="AC121" s="12">
        <f>VLOOKUP(F121,'[1]MGM Report'!$D:$M,10,FALSE)</f>
        <v>1021439</v>
      </c>
      <c r="AD121" s="12" t="b">
        <f t="shared" si="19"/>
        <v>0</v>
      </c>
      <c r="AE121" s="13">
        <v>0</v>
      </c>
      <c r="AF121" s="13">
        <f>VLOOKUP(F121,'[1]MGM Report'!$D:$N,11,FALSE)</f>
        <v>0</v>
      </c>
      <c r="AG121" s="13" t="b">
        <f t="shared" si="20"/>
        <v>1</v>
      </c>
      <c r="AH121" s="12">
        <v>0</v>
      </c>
      <c r="AI121" s="12">
        <f>VLOOKUP(F121,'[1]MGM Report'!$D:$S,12,FALSE)</f>
        <v>0</v>
      </c>
      <c r="AJ121" s="12" t="b">
        <f t="shared" si="21"/>
        <v>1</v>
      </c>
      <c r="AK121" s="13">
        <f>VLOOKUP(F121,[2]HAVASMGMReportKBCUpdatedResult!$F:$R,13,FALSE)</f>
        <v>-985399</v>
      </c>
      <c r="AL121" s="13">
        <f>VLOOKUP(F121,'[1]MGM Report'!$D:$S,14,FALSE)</f>
        <v>386658.5</v>
      </c>
    </row>
    <row r="122" spans="1:38">
      <c r="A122" s="7">
        <v>45758</v>
      </c>
      <c r="B122" s="8" t="s">
        <v>27</v>
      </c>
      <c r="C122" s="8" t="s">
        <v>120</v>
      </c>
      <c r="D122" s="8" t="s">
        <v>212</v>
      </c>
      <c r="E122" s="8" t="s">
        <v>213</v>
      </c>
      <c r="F122" s="8" t="str">
        <f t="shared" si="12"/>
        <v>SB22538</v>
      </c>
      <c r="G122" s="9">
        <v>0</v>
      </c>
      <c r="H122" s="9">
        <f>VLOOKUP(F122,'[1]MGM Report'!$D:$E,2,FALSE)</f>
        <v>0</v>
      </c>
      <c r="I122" s="9" t="b">
        <f t="shared" si="13"/>
        <v>1</v>
      </c>
      <c r="J122" s="12">
        <v>63910</v>
      </c>
      <c r="K122" s="12">
        <f>VLOOKUP(F122,'[1]MGM Report'!$D:$F,3,FALSE)</f>
        <v>63910</v>
      </c>
      <c r="L122" s="12" t="b">
        <f t="shared" si="14"/>
        <v>1</v>
      </c>
      <c r="M122" s="13">
        <v>-64000</v>
      </c>
      <c r="N122" s="13">
        <f>VLOOKUP(F122,'[1]MGM Report'!$D:$G,4,FALSE)</f>
        <v>64000</v>
      </c>
      <c r="O122" s="13" t="b">
        <f t="shared" si="23"/>
        <v>0</v>
      </c>
      <c r="P122" s="12">
        <v>0</v>
      </c>
      <c r="Q122" s="12">
        <f>VLOOKUP(F122,'[1]MGM Report'!$D:$M,5,FALSE)</f>
        <v>0</v>
      </c>
      <c r="R122" s="12" t="b">
        <f t="shared" si="15"/>
        <v>1</v>
      </c>
      <c r="S122" s="13">
        <v>-90</v>
      </c>
      <c r="T122" s="13">
        <f>VLOOKUP(F122,'[1]MGM Report'!$D:$I,6,FALSE)</f>
        <v>90</v>
      </c>
      <c r="U122" s="13" t="b">
        <f t="shared" si="16"/>
        <v>0</v>
      </c>
      <c r="V122" s="12">
        <v>0</v>
      </c>
      <c r="W122" s="12">
        <f>VLOOKUP(F122,'[1]MGM Report'!$D:$J,7,FALSE)</f>
        <v>0</v>
      </c>
      <c r="X122" s="12" t="b">
        <f t="shared" si="17"/>
        <v>1</v>
      </c>
      <c r="Y122" s="13">
        <v>12149.44</v>
      </c>
      <c r="Z122" s="13">
        <f>VLOOKUP(F122,'[1]MGM Report'!$D:$K,8,FALSE)</f>
        <v>700</v>
      </c>
      <c r="AA122" s="13" t="b">
        <f t="shared" si="18"/>
        <v>0</v>
      </c>
      <c r="AB122" s="12">
        <v>-700</v>
      </c>
      <c r="AC122" s="12">
        <f>VLOOKUP(F122,'[1]MGM Report'!$D:$M,10,FALSE)</f>
        <v>700</v>
      </c>
      <c r="AD122" s="12" t="b">
        <f t="shared" si="19"/>
        <v>0</v>
      </c>
      <c r="AE122" s="13">
        <v>0</v>
      </c>
      <c r="AF122" s="13">
        <f>VLOOKUP(F122,'[1]MGM Report'!$D:$N,11,FALSE)</f>
        <v>0</v>
      </c>
      <c r="AG122" s="13" t="b">
        <f t="shared" si="20"/>
        <v>1</v>
      </c>
      <c r="AH122" s="12">
        <v>11449.44</v>
      </c>
      <c r="AI122" s="12">
        <f>VLOOKUP(F122,'[1]MGM Report'!$D:$S,12,FALSE)</f>
        <v>0</v>
      </c>
      <c r="AJ122" s="12" t="b">
        <f t="shared" si="21"/>
        <v>0</v>
      </c>
      <c r="AK122" s="13">
        <f>VLOOKUP(F122,[2]HAVASMGMReportKBCUpdatedResult!$F:$R,13,FALSE)</f>
        <v>0</v>
      </c>
      <c r="AL122" s="13">
        <f>VLOOKUP(F122,'[1]MGM Report'!$D:$S,14,FALSE)</f>
        <v>0</v>
      </c>
    </row>
    <row r="123" spans="1:38">
      <c r="A123" s="7">
        <v>45758</v>
      </c>
      <c r="B123" s="8" t="s">
        <v>27</v>
      </c>
      <c r="C123" s="8" t="s">
        <v>120</v>
      </c>
      <c r="D123" s="8" t="s">
        <v>214</v>
      </c>
      <c r="E123" s="8" t="s">
        <v>215</v>
      </c>
      <c r="F123" s="8" t="str">
        <f t="shared" si="12"/>
        <v>SB22540</v>
      </c>
      <c r="G123" s="9">
        <v>13665000</v>
      </c>
      <c r="H123" s="9">
        <f>VLOOKUP(F123,'[1]MGM Report'!$D:$E,2,FALSE)</f>
        <v>13665000</v>
      </c>
      <c r="I123" s="9" t="b">
        <f t="shared" si="13"/>
        <v>1</v>
      </c>
      <c r="J123" s="12">
        <v>8295000</v>
      </c>
      <c r="K123" s="12">
        <f>VLOOKUP(F123,'[1]MGM Report'!$D:$F,3,FALSE)</f>
        <v>8295000</v>
      </c>
      <c r="L123" s="12" t="b">
        <f t="shared" si="14"/>
        <v>1</v>
      </c>
      <c r="M123" s="13">
        <v>33211000</v>
      </c>
      <c r="N123" s="13">
        <f>VLOOKUP(F123,'[1]MGM Report'!$D:$G,4,FALSE)</f>
        <v>33211000</v>
      </c>
      <c r="O123" s="13" t="b">
        <f t="shared" si="23"/>
        <v>1</v>
      </c>
      <c r="P123" s="12">
        <v>0</v>
      </c>
      <c r="Q123" s="12">
        <f>VLOOKUP(F123,'[1]MGM Report'!$D:$M,5,FALSE)</f>
        <v>0</v>
      </c>
      <c r="R123" s="12" t="b">
        <f t="shared" si="15"/>
        <v>1</v>
      </c>
      <c r="S123" s="13">
        <v>41506000</v>
      </c>
      <c r="T123" s="13">
        <f>VLOOKUP(F123,'[1]MGM Report'!$D:$I,6,FALSE)</f>
        <v>41506000</v>
      </c>
      <c r="U123" s="13" t="b">
        <f t="shared" si="16"/>
        <v>1</v>
      </c>
      <c r="V123" s="12">
        <v>31640035.8</v>
      </c>
      <c r="W123" s="12">
        <f>VLOOKUP(F123,'[1]MGM Report'!$D:$J,7,FALSE)</f>
        <v>31879447.28</v>
      </c>
      <c r="X123" s="12" t="b">
        <f t="shared" si="17"/>
        <v>0</v>
      </c>
      <c r="Y123" s="13">
        <v>18769147.36</v>
      </c>
      <c r="Z123" s="13">
        <f>VLOOKUP(F123,'[1]MGM Report'!$D:$K,8,FALSE)</f>
        <v>18768742.36</v>
      </c>
      <c r="AA123" s="13" t="b">
        <f t="shared" si="18"/>
        <v>0</v>
      </c>
      <c r="AB123" s="12">
        <v>21458605.47</v>
      </c>
      <c r="AC123" s="12">
        <f>VLOOKUP(F123,'[1]MGM Report'!$D:$M,10,FALSE)</f>
        <v>21458605.47</v>
      </c>
      <c r="AD123" s="12" t="b">
        <f t="shared" si="19"/>
        <v>1</v>
      </c>
      <c r="AE123" s="13">
        <v>-4535000</v>
      </c>
      <c r="AF123" s="13">
        <f>VLOOKUP(F123,'[1]MGM Report'!$D:$N,11,FALSE)</f>
        <v>4535000</v>
      </c>
      <c r="AG123" s="13" t="b">
        <f t="shared" si="20"/>
        <v>0</v>
      </c>
      <c r="AH123" s="12">
        <v>35692752.83</v>
      </c>
      <c r="AI123" s="12">
        <f>VLOOKUP(F123,'[1]MGM Report'!$D:$S,12,FALSE)</f>
        <v>35692347.83</v>
      </c>
      <c r="AJ123" s="12" t="b">
        <f t="shared" si="21"/>
        <v>0</v>
      </c>
      <c r="AK123" s="13">
        <f>VLOOKUP(F123,[2]HAVASMGMReportKBCUpdatedResult!$F:$R,13,FALSE)</f>
        <v>-17975035.8</v>
      </c>
      <c r="AL123" s="13">
        <f>VLOOKUP(F123,'[1]MGM Report'!$D:$S,14,FALSE)</f>
        <v>18214447.28</v>
      </c>
    </row>
    <row r="124" spans="1:38">
      <c r="A124" s="7">
        <v>45758</v>
      </c>
      <c r="B124" s="8" t="s">
        <v>38</v>
      </c>
      <c r="C124" s="8" t="s">
        <v>130</v>
      </c>
      <c r="D124" s="8" t="s">
        <v>41</v>
      </c>
      <c r="E124" s="8" t="s">
        <v>216</v>
      </c>
      <c r="F124" s="8" t="str">
        <f t="shared" si="12"/>
        <v>SB22539</v>
      </c>
      <c r="G124" s="9">
        <v>0</v>
      </c>
      <c r="H124" s="9">
        <f>VLOOKUP(F124,'[1]MGM Report'!$D:$E,2,FALSE)</f>
        <v>0</v>
      </c>
      <c r="I124" s="9" t="b">
        <f t="shared" si="13"/>
        <v>1</v>
      </c>
      <c r="J124" s="12">
        <v>7760453</v>
      </c>
      <c r="K124" s="12">
        <f>VLOOKUP(F124,'[1]MGM Report'!$D:$F,3,FALSE)</f>
        <v>7760453</v>
      </c>
      <c r="L124" s="12" t="b">
        <f t="shared" si="14"/>
        <v>1</v>
      </c>
      <c r="M124" s="13">
        <v>-4904900</v>
      </c>
      <c r="N124" s="13">
        <f>VLOOKUP(F124,'[1]MGM Report'!$D:$G,4,FALSE)</f>
        <v>4904900</v>
      </c>
      <c r="O124" s="13" t="b">
        <f t="shared" si="23"/>
        <v>0</v>
      </c>
      <c r="P124" s="12">
        <v>0</v>
      </c>
      <c r="Q124" s="12">
        <f>VLOOKUP(F124,'[1]MGM Report'!$D:$M,5,FALSE)</f>
        <v>0</v>
      </c>
      <c r="R124" s="12" t="b">
        <f t="shared" si="15"/>
        <v>1</v>
      </c>
      <c r="S124" s="13">
        <v>2855553</v>
      </c>
      <c r="T124" s="13">
        <f>VLOOKUP(F124,'[1]MGM Report'!$D:$I,6,FALSE)</f>
        <v>2855553</v>
      </c>
      <c r="U124" s="13" t="b">
        <f t="shared" si="16"/>
        <v>1</v>
      </c>
      <c r="V124" s="12">
        <v>4576291.19</v>
      </c>
      <c r="W124" s="12">
        <f>VLOOKUP(F124,'[1]MGM Report'!$D:$J,7,FALSE)</f>
        <v>4610958.19</v>
      </c>
      <c r="X124" s="12" t="b">
        <f t="shared" si="17"/>
        <v>0</v>
      </c>
      <c r="Y124" s="13">
        <v>1337624.19</v>
      </c>
      <c r="Z124" s="13">
        <f>VLOOKUP(F124,'[1]MGM Report'!$D:$K,8,FALSE)</f>
        <v>1337624.19</v>
      </c>
      <c r="AA124" s="13" t="b">
        <f t="shared" si="18"/>
        <v>1</v>
      </c>
      <c r="AB124" s="12">
        <v>-219954.19</v>
      </c>
      <c r="AC124" s="12">
        <f>VLOOKUP(F124,'[1]MGM Report'!$D:$M,10,FALSE)</f>
        <v>219954.19</v>
      </c>
      <c r="AD124" s="12" t="b">
        <f t="shared" si="19"/>
        <v>0</v>
      </c>
      <c r="AE124" s="13">
        <v>-6450</v>
      </c>
      <c r="AF124" s="13">
        <f>VLOOKUP(F124,'[1]MGM Report'!$D:$N,11,FALSE)</f>
        <v>6450</v>
      </c>
      <c r="AG124" s="13" t="b">
        <f t="shared" si="20"/>
        <v>0</v>
      </c>
      <c r="AH124" s="12">
        <v>1111220</v>
      </c>
      <c r="AI124" s="12">
        <f>VLOOKUP(F124,'[1]MGM Report'!$D:$S,12,FALSE)</f>
        <v>1111220</v>
      </c>
      <c r="AJ124" s="12" t="b">
        <f t="shared" si="21"/>
        <v>1</v>
      </c>
      <c r="AK124" s="13">
        <f>VLOOKUP(F124,[2]HAVASMGMReportKBCUpdatedResult!$F:$R,13,FALSE)</f>
        <v>-4576291.19</v>
      </c>
      <c r="AL124" s="13">
        <f>VLOOKUP(F124,'[1]MGM Report'!$D:$S,14,FALSE)</f>
        <v>4610958.19</v>
      </c>
    </row>
    <row r="125" spans="1:38">
      <c r="A125" s="7">
        <v>45758</v>
      </c>
      <c r="B125" s="8" t="s">
        <v>27</v>
      </c>
      <c r="C125" s="8" t="s">
        <v>120</v>
      </c>
      <c r="D125" s="8" t="s">
        <v>217</v>
      </c>
      <c r="E125" s="8" t="s">
        <v>218</v>
      </c>
      <c r="F125" s="8" t="str">
        <f t="shared" si="12"/>
        <v>SB22536</v>
      </c>
      <c r="G125" s="9">
        <v>0</v>
      </c>
      <c r="H125" s="9">
        <f>VLOOKUP(F125,'[1]MGM Report'!$D:$E,2,FALSE)</f>
        <v>0</v>
      </c>
      <c r="I125" s="9" t="b">
        <f t="shared" si="13"/>
        <v>1</v>
      </c>
      <c r="J125" s="12">
        <v>0</v>
      </c>
      <c r="K125" s="12">
        <f>VLOOKUP(F125,'[1]MGM Report'!$D:$F,3,FALSE)</f>
        <v>11000</v>
      </c>
      <c r="L125" s="12" t="b">
        <f t="shared" si="14"/>
        <v>0</v>
      </c>
      <c r="M125" s="13">
        <v>-10000</v>
      </c>
      <c r="N125" s="13">
        <f>VLOOKUP(F125,'[1]MGM Report'!$D:$G,4,FALSE)</f>
        <v>10000</v>
      </c>
      <c r="O125" s="13" t="b">
        <f t="shared" si="23"/>
        <v>0</v>
      </c>
      <c r="P125" s="12">
        <v>0</v>
      </c>
      <c r="Q125" s="12">
        <f>VLOOKUP(F125,'[1]MGM Report'!$D:$M,5,FALSE)</f>
        <v>0</v>
      </c>
      <c r="R125" s="12" t="b">
        <f t="shared" si="15"/>
        <v>1</v>
      </c>
      <c r="S125" s="13">
        <v>-10000</v>
      </c>
      <c r="T125" s="13">
        <f>VLOOKUP(F125,'[1]MGM Report'!$D:$I,6,FALSE)</f>
        <v>1000</v>
      </c>
      <c r="U125" s="13" t="b">
        <f t="shared" si="16"/>
        <v>0</v>
      </c>
      <c r="V125" s="12">
        <v>0</v>
      </c>
      <c r="W125" s="12">
        <f>VLOOKUP(F125,'[1]MGM Report'!$D:$J,7,FALSE)</f>
        <v>0</v>
      </c>
      <c r="X125" s="12" t="b">
        <f t="shared" si="17"/>
        <v>1</v>
      </c>
      <c r="Y125" s="13">
        <v>0</v>
      </c>
      <c r="Z125" s="13">
        <f>VLOOKUP(F125,'[1]MGM Report'!$D:$K,8,FALSE)</f>
        <v>0</v>
      </c>
      <c r="AA125" s="13" t="b">
        <f t="shared" si="18"/>
        <v>1</v>
      </c>
      <c r="AB125" s="12">
        <v>0</v>
      </c>
      <c r="AC125" s="12">
        <f>VLOOKUP(F125,'[1]MGM Report'!$D:$M,10,FALSE)</f>
        <v>0</v>
      </c>
      <c r="AD125" s="12" t="b">
        <f t="shared" si="19"/>
        <v>1</v>
      </c>
      <c r="AE125" s="13">
        <v>0</v>
      </c>
      <c r="AF125" s="13">
        <f>VLOOKUP(F125,'[1]MGM Report'!$D:$N,11,FALSE)</f>
        <v>0</v>
      </c>
      <c r="AG125" s="13" t="b">
        <f t="shared" si="20"/>
        <v>1</v>
      </c>
      <c r="AH125" s="12">
        <v>0</v>
      </c>
      <c r="AI125" s="12">
        <f>VLOOKUP(F125,'[1]MGM Report'!$D:$S,12,FALSE)</f>
        <v>0</v>
      </c>
      <c r="AJ125" s="12" t="b">
        <f t="shared" si="21"/>
        <v>1</v>
      </c>
      <c r="AK125" s="13">
        <f>VLOOKUP(F125,[2]HAVASMGMReportKBCUpdatedResult!$F:$R,13,FALSE)</f>
        <v>0</v>
      </c>
      <c r="AL125" s="13">
        <f>VLOOKUP(F125,'[1]MGM Report'!$D:$S,14,FALSE)</f>
        <v>0</v>
      </c>
    </row>
    <row r="126" spans="1:38">
      <c r="A126" s="7">
        <v>45758</v>
      </c>
      <c r="B126" s="8" t="s">
        <v>27</v>
      </c>
      <c r="C126" s="8" t="s">
        <v>120</v>
      </c>
      <c r="D126" s="8" t="s">
        <v>71</v>
      </c>
      <c r="E126" s="8" t="s">
        <v>219</v>
      </c>
      <c r="F126" s="8" t="str">
        <f t="shared" si="12"/>
        <v>SB22537</v>
      </c>
      <c r="G126" s="9">
        <v>0</v>
      </c>
      <c r="H126" s="9">
        <f>VLOOKUP(F126,'[1]MGM Report'!$D:$E,2,FALSE)</f>
        <v>0</v>
      </c>
      <c r="I126" s="9" t="b">
        <f t="shared" si="13"/>
        <v>1</v>
      </c>
      <c r="J126" s="12">
        <v>0</v>
      </c>
      <c r="K126" s="12">
        <f>VLOOKUP(F126,'[1]MGM Report'!$D:$F,3,FALSE)</f>
        <v>0</v>
      </c>
      <c r="L126" s="12" t="b">
        <f t="shared" si="14"/>
        <v>1</v>
      </c>
      <c r="M126" s="13">
        <v>0</v>
      </c>
      <c r="N126" s="13">
        <f>VLOOKUP(F126,'[1]MGM Report'!$D:$G,4,FALSE)</f>
        <v>0</v>
      </c>
      <c r="O126" s="13" t="b">
        <f t="shared" si="23"/>
        <v>1</v>
      </c>
      <c r="P126" s="12">
        <v>0</v>
      </c>
      <c r="Q126" s="12">
        <f>VLOOKUP(F126,'[1]MGM Report'!$D:$M,5,FALSE)</f>
        <v>0</v>
      </c>
      <c r="R126" s="12" t="b">
        <f t="shared" si="15"/>
        <v>1</v>
      </c>
      <c r="S126" s="13">
        <v>0</v>
      </c>
      <c r="T126" s="13">
        <f>VLOOKUP(F126,'[1]MGM Report'!$D:$I,6,FALSE)</f>
        <v>0</v>
      </c>
      <c r="U126" s="13" t="b">
        <f t="shared" si="16"/>
        <v>1</v>
      </c>
      <c r="V126" s="12">
        <v>0</v>
      </c>
      <c r="W126" s="12">
        <f>VLOOKUP(F126,'[1]MGM Report'!$D:$J,7,FALSE)</f>
        <v>0</v>
      </c>
      <c r="X126" s="12" t="b">
        <f t="shared" si="17"/>
        <v>1</v>
      </c>
      <c r="Y126" s="13">
        <v>330000</v>
      </c>
      <c r="Z126" s="13">
        <f>VLOOKUP(F126,'[1]MGM Report'!$D:$K,8,FALSE)</f>
        <v>330000</v>
      </c>
      <c r="AA126" s="13" t="b">
        <f t="shared" si="18"/>
        <v>1</v>
      </c>
      <c r="AB126" s="12">
        <v>-330000</v>
      </c>
      <c r="AC126" s="12">
        <f>VLOOKUP(F126,'[1]MGM Report'!$D:$M,10,FALSE)</f>
        <v>330000</v>
      </c>
      <c r="AD126" s="12" t="b">
        <f t="shared" si="19"/>
        <v>0</v>
      </c>
      <c r="AE126" s="13">
        <v>0</v>
      </c>
      <c r="AF126" s="13">
        <f>VLOOKUP(F126,'[1]MGM Report'!$D:$N,11,FALSE)</f>
        <v>0</v>
      </c>
      <c r="AG126" s="13" t="b">
        <f t="shared" si="20"/>
        <v>1</v>
      </c>
      <c r="AH126" s="12">
        <v>0</v>
      </c>
      <c r="AI126" s="12">
        <f>VLOOKUP(F126,'[1]MGM Report'!$D:$S,12,FALSE)</f>
        <v>0</v>
      </c>
      <c r="AJ126" s="12" t="b">
        <f t="shared" si="21"/>
        <v>1</v>
      </c>
      <c r="AK126" s="13">
        <f>VLOOKUP(F126,[2]HAVASMGMReportKBCUpdatedResult!$F:$R,13,FALSE)</f>
        <v>0</v>
      </c>
      <c r="AL126" s="13">
        <f>VLOOKUP(F126,'[1]MGM Report'!$D:$S,14,FALSE)</f>
        <v>0</v>
      </c>
    </row>
    <row r="127" spans="1:38">
      <c r="A127" s="7">
        <v>45758</v>
      </c>
      <c r="B127" s="8" t="s">
        <v>59</v>
      </c>
      <c r="C127" s="8" t="s">
        <v>115</v>
      </c>
      <c r="D127" s="8" t="s">
        <v>60</v>
      </c>
      <c r="E127" s="8" t="s">
        <v>220</v>
      </c>
      <c r="F127" s="8" t="str">
        <f t="shared" si="12"/>
        <v>SB22534</v>
      </c>
      <c r="G127" s="9">
        <v>1679447</v>
      </c>
      <c r="H127" s="9">
        <f>VLOOKUP(F127,'[1]MGM Report'!$D:$E,2,FALSE)</f>
        <v>1679447</v>
      </c>
      <c r="I127" s="9" t="b">
        <f t="shared" si="13"/>
        <v>1</v>
      </c>
      <c r="J127" s="12">
        <v>909447</v>
      </c>
      <c r="K127" s="12">
        <f>VLOOKUP(F127,'[1]MGM Report'!$D:$F,3,FALSE)</f>
        <v>909447</v>
      </c>
      <c r="L127" s="12" t="b">
        <f t="shared" si="14"/>
        <v>1</v>
      </c>
      <c r="M127" s="13">
        <v>0</v>
      </c>
      <c r="N127" s="13">
        <f>VLOOKUP(F127,'[1]MGM Report'!$D:$G,4,FALSE)</f>
        <v>0</v>
      </c>
      <c r="O127" s="13" t="b">
        <f t="shared" si="23"/>
        <v>1</v>
      </c>
      <c r="P127" s="12">
        <v>0</v>
      </c>
      <c r="Q127" s="12">
        <f>VLOOKUP(F127,'[1]MGM Report'!$D:$M,5,FALSE)</f>
        <v>0</v>
      </c>
      <c r="R127" s="12" t="b">
        <f t="shared" si="15"/>
        <v>1</v>
      </c>
      <c r="S127" s="13">
        <v>909447</v>
      </c>
      <c r="T127" s="13">
        <f>VLOOKUP(F127,'[1]MGM Report'!$D:$I,6,FALSE)</f>
        <v>909447</v>
      </c>
      <c r="U127" s="13" t="b">
        <f t="shared" si="16"/>
        <v>1</v>
      </c>
      <c r="V127" s="12">
        <v>351760</v>
      </c>
      <c r="W127" s="12">
        <f>VLOOKUP(F127,'[1]MGM Report'!$D:$J,7,FALSE)</f>
        <v>364700</v>
      </c>
      <c r="X127" s="12" t="b">
        <f t="shared" si="17"/>
        <v>0</v>
      </c>
      <c r="Y127" s="13">
        <v>614211</v>
      </c>
      <c r="Z127" s="13">
        <f>VLOOKUP(F127,'[1]MGM Report'!$D:$K,8,FALSE)</f>
        <v>614211</v>
      </c>
      <c r="AA127" s="13" t="b">
        <f t="shared" si="18"/>
        <v>1</v>
      </c>
      <c r="AB127" s="12">
        <v>110540</v>
      </c>
      <c r="AC127" s="12">
        <f>VLOOKUP(F127,'[1]MGM Report'!$D:$M,10,FALSE)</f>
        <v>110540</v>
      </c>
      <c r="AD127" s="12" t="b">
        <f t="shared" si="19"/>
        <v>1</v>
      </c>
      <c r="AE127" s="13">
        <v>0</v>
      </c>
      <c r="AF127" s="13">
        <f>VLOOKUP(F127,'[1]MGM Report'!$D:$N,11,FALSE)</f>
        <v>0</v>
      </c>
      <c r="AG127" s="13" t="b">
        <f t="shared" si="20"/>
        <v>1</v>
      </c>
      <c r="AH127" s="12">
        <v>724751</v>
      </c>
      <c r="AI127" s="12">
        <f>VLOOKUP(F127,'[1]MGM Report'!$D:$S,12,FALSE)</f>
        <v>724751</v>
      </c>
      <c r="AJ127" s="12" t="b">
        <f t="shared" si="21"/>
        <v>1</v>
      </c>
      <c r="AK127" s="13">
        <f>VLOOKUP(F127,[2]HAVASMGMReportKBCUpdatedResult!$F:$R,13,FALSE)</f>
        <v>1327687</v>
      </c>
      <c r="AL127" s="13">
        <f>VLOOKUP(F127,'[1]MGM Report'!$D:$S,14,FALSE)</f>
        <v>1314747</v>
      </c>
    </row>
    <row r="128" spans="1:38">
      <c r="A128" s="7">
        <v>45758</v>
      </c>
      <c r="B128" s="8" t="s">
        <v>59</v>
      </c>
      <c r="C128" s="8" t="s">
        <v>115</v>
      </c>
      <c r="D128" s="8" t="s">
        <v>76</v>
      </c>
      <c r="E128" s="8" t="s">
        <v>221</v>
      </c>
      <c r="F128" s="8" t="str">
        <f t="shared" si="12"/>
        <v>SB22532</v>
      </c>
      <c r="G128" s="9">
        <v>0</v>
      </c>
      <c r="H128" s="9">
        <f>VLOOKUP(F128,'[1]MGM Report'!$D:$E,2,FALSE)</f>
        <v>0</v>
      </c>
      <c r="I128" s="9" t="b">
        <f t="shared" si="13"/>
        <v>1</v>
      </c>
      <c r="J128" s="12">
        <v>337700</v>
      </c>
      <c r="K128" s="12">
        <f>VLOOKUP(F128,'[1]MGM Report'!$D:$F,3,FALSE)</f>
        <v>337700</v>
      </c>
      <c r="L128" s="12" t="b">
        <f t="shared" si="14"/>
        <v>1</v>
      </c>
      <c r="M128" s="13">
        <v>-337700</v>
      </c>
      <c r="N128" s="13">
        <f>VLOOKUP(F128,'[1]MGM Report'!$D:$G,4,FALSE)</f>
        <v>337700</v>
      </c>
      <c r="O128" s="13" t="b">
        <f t="shared" si="23"/>
        <v>0</v>
      </c>
      <c r="P128" s="12">
        <v>0</v>
      </c>
      <c r="Q128" s="12">
        <f>VLOOKUP(F128,'[1]MGM Report'!$D:$M,5,FALSE)</f>
        <v>0</v>
      </c>
      <c r="R128" s="12" t="b">
        <f t="shared" si="15"/>
        <v>1</v>
      </c>
      <c r="S128" s="13">
        <v>0</v>
      </c>
      <c r="T128" s="13">
        <f>VLOOKUP(F128,'[1]MGM Report'!$D:$I,6,FALSE)</f>
        <v>0</v>
      </c>
      <c r="U128" s="13" t="b">
        <f t="shared" si="16"/>
        <v>1</v>
      </c>
      <c r="V128" s="12">
        <v>0</v>
      </c>
      <c r="W128" s="12">
        <f>VLOOKUP(F128,'[1]MGM Report'!$D:$J,7,FALSE)</f>
        <v>0</v>
      </c>
      <c r="X128" s="12" t="b">
        <f t="shared" si="17"/>
        <v>1</v>
      </c>
      <c r="Y128" s="13">
        <v>255000</v>
      </c>
      <c r="Z128" s="13">
        <f>VLOOKUP(F128,'[1]MGM Report'!$D:$K,8,FALSE)</f>
        <v>255000</v>
      </c>
      <c r="AA128" s="13" t="b">
        <f t="shared" si="18"/>
        <v>1</v>
      </c>
      <c r="AB128" s="12">
        <v>-255000</v>
      </c>
      <c r="AC128" s="12">
        <f>VLOOKUP(F128,'[1]MGM Report'!$D:$M,10,FALSE)</f>
        <v>255000</v>
      </c>
      <c r="AD128" s="12" t="b">
        <f t="shared" si="19"/>
        <v>0</v>
      </c>
      <c r="AE128" s="13">
        <v>0</v>
      </c>
      <c r="AF128" s="13">
        <f>VLOOKUP(F128,'[1]MGM Report'!$D:$N,11,FALSE)</f>
        <v>0</v>
      </c>
      <c r="AG128" s="13" t="b">
        <f t="shared" si="20"/>
        <v>1</v>
      </c>
      <c r="AH128" s="12">
        <v>0</v>
      </c>
      <c r="AI128" s="12">
        <f>VLOOKUP(F128,'[1]MGM Report'!$D:$S,12,FALSE)</f>
        <v>0</v>
      </c>
      <c r="AJ128" s="12" t="b">
        <f t="shared" si="21"/>
        <v>1</v>
      </c>
      <c r="AK128" s="13">
        <f>VLOOKUP(F128,[2]HAVASMGMReportKBCUpdatedResult!$F:$R,13,FALSE)</f>
        <v>0</v>
      </c>
      <c r="AL128" s="13">
        <f>VLOOKUP(F128,'[1]MGM Report'!$D:$S,14,FALSE)</f>
        <v>0</v>
      </c>
    </row>
    <row r="129" spans="1:38">
      <c r="A129" s="7">
        <v>45758</v>
      </c>
      <c r="B129" s="8" t="s">
        <v>59</v>
      </c>
      <c r="C129" s="8" t="s">
        <v>115</v>
      </c>
      <c r="D129" s="8" t="s">
        <v>60</v>
      </c>
      <c r="E129" s="8" t="s">
        <v>222</v>
      </c>
      <c r="F129" s="8" t="str">
        <f t="shared" si="12"/>
        <v>SB22529</v>
      </c>
      <c r="G129" s="9">
        <v>86020</v>
      </c>
      <c r="H129" s="9">
        <f>VLOOKUP(F129,'[1]MGM Report'!$D:$E,2,FALSE)</f>
        <v>86020</v>
      </c>
      <c r="I129" s="9" t="b">
        <f t="shared" si="13"/>
        <v>1</v>
      </c>
      <c r="J129" s="12">
        <v>656271</v>
      </c>
      <c r="K129" s="12">
        <f>VLOOKUP(F129,'[1]MGM Report'!$D:$F,3,FALSE)</f>
        <v>656271</v>
      </c>
      <c r="L129" s="12" t="b">
        <f t="shared" si="14"/>
        <v>1</v>
      </c>
      <c r="M129" s="13">
        <v>-656271</v>
      </c>
      <c r="N129" s="13">
        <f>VLOOKUP(F129,'[1]MGM Report'!$D:$G,4,FALSE)</f>
        <v>656271</v>
      </c>
      <c r="O129" s="13" t="b">
        <f t="shared" si="23"/>
        <v>0</v>
      </c>
      <c r="P129" s="12">
        <v>0</v>
      </c>
      <c r="Q129" s="12">
        <f>VLOOKUP(F129,'[1]MGM Report'!$D:$M,5,FALSE)</f>
        <v>0</v>
      </c>
      <c r="R129" s="12" t="b">
        <f t="shared" si="15"/>
        <v>1</v>
      </c>
      <c r="S129" s="13">
        <v>0</v>
      </c>
      <c r="T129" s="13">
        <f>VLOOKUP(F129,'[1]MGM Report'!$D:$I,6,FALSE)</f>
        <v>0</v>
      </c>
      <c r="U129" s="13" t="b">
        <f t="shared" si="16"/>
        <v>1</v>
      </c>
      <c r="V129" s="12">
        <v>0</v>
      </c>
      <c r="W129" s="12">
        <f>VLOOKUP(F129,'[1]MGM Report'!$D:$J,7,FALSE)</f>
        <v>0</v>
      </c>
      <c r="X129" s="12" t="b">
        <f t="shared" si="17"/>
        <v>1</v>
      </c>
      <c r="Y129" s="13">
        <v>490814</v>
      </c>
      <c r="Z129" s="13">
        <f>VLOOKUP(F129,'[1]MGM Report'!$D:$K,8,FALSE)</f>
        <v>490814</v>
      </c>
      <c r="AA129" s="13" t="b">
        <f t="shared" si="18"/>
        <v>1</v>
      </c>
      <c r="AB129" s="12">
        <v>-490814</v>
      </c>
      <c r="AC129" s="12">
        <f>VLOOKUP(F129,'[1]MGM Report'!$D:$M,10,FALSE)</f>
        <v>490814</v>
      </c>
      <c r="AD129" s="12" t="b">
        <f t="shared" si="19"/>
        <v>0</v>
      </c>
      <c r="AE129" s="13">
        <v>0</v>
      </c>
      <c r="AF129" s="13">
        <f>VLOOKUP(F129,'[1]MGM Report'!$D:$N,11,FALSE)</f>
        <v>0</v>
      </c>
      <c r="AG129" s="13" t="b">
        <f t="shared" si="20"/>
        <v>1</v>
      </c>
      <c r="AH129" s="12">
        <v>0</v>
      </c>
      <c r="AI129" s="12">
        <f>VLOOKUP(F129,'[1]MGM Report'!$D:$S,12,FALSE)</f>
        <v>0</v>
      </c>
      <c r="AJ129" s="12" t="b">
        <f t="shared" si="21"/>
        <v>1</v>
      </c>
      <c r="AK129" s="13">
        <f>VLOOKUP(F129,[2]HAVASMGMReportKBCUpdatedResult!$F:$R,13,FALSE)</f>
        <v>86020</v>
      </c>
      <c r="AL129" s="13">
        <f>VLOOKUP(F129,'[1]MGM Report'!$D:$S,14,FALSE)</f>
        <v>86020</v>
      </c>
    </row>
    <row r="130" spans="1:38">
      <c r="A130" s="7">
        <v>45758</v>
      </c>
      <c r="B130" s="8" t="s">
        <v>27</v>
      </c>
      <c r="C130" s="8" t="s">
        <v>120</v>
      </c>
      <c r="D130" s="8" t="s">
        <v>81</v>
      </c>
      <c r="E130" s="8" t="s">
        <v>223</v>
      </c>
      <c r="F130" s="8" t="str">
        <f t="shared" si="12"/>
        <v>SB22526</v>
      </c>
      <c r="G130" s="9">
        <v>121792</v>
      </c>
      <c r="H130" s="9">
        <f>VLOOKUP(F130,'[1]MGM Report'!$D:$E,2,FALSE)</f>
        <v>121792</v>
      </c>
      <c r="I130" s="9" t="b">
        <f t="shared" si="13"/>
        <v>1</v>
      </c>
      <c r="J130" s="12">
        <v>121792</v>
      </c>
      <c r="K130" s="12">
        <f>VLOOKUP(F130,'[1]MGM Report'!$D:$F,3,FALSE)</f>
        <v>121792</v>
      </c>
      <c r="L130" s="12" t="b">
        <f t="shared" si="14"/>
        <v>1</v>
      </c>
      <c r="M130" s="13">
        <v>-115008</v>
      </c>
      <c r="N130" s="13">
        <f>VLOOKUP(F130,'[1]MGM Report'!$D:$G,4,FALSE)</f>
        <v>115008</v>
      </c>
      <c r="O130" s="13" t="b">
        <f t="shared" si="23"/>
        <v>0</v>
      </c>
      <c r="P130" s="12">
        <v>0</v>
      </c>
      <c r="Q130" s="12">
        <f>VLOOKUP(F130,'[1]MGM Report'!$D:$M,5,FALSE)</f>
        <v>0</v>
      </c>
      <c r="R130" s="12" t="b">
        <f t="shared" si="15"/>
        <v>1</v>
      </c>
      <c r="S130" s="13">
        <v>6784</v>
      </c>
      <c r="T130" s="13">
        <f>VLOOKUP(F130,'[1]MGM Report'!$D:$I,6,FALSE)</f>
        <v>6784</v>
      </c>
      <c r="U130" s="13" t="b">
        <f t="shared" si="16"/>
        <v>1</v>
      </c>
      <c r="V130" s="12">
        <v>0</v>
      </c>
      <c r="W130" s="12">
        <f>VLOOKUP(F130,'[1]MGM Report'!$D:$J,7,FALSE)</f>
        <v>0</v>
      </c>
      <c r="X130" s="12" t="b">
        <f t="shared" si="17"/>
        <v>1</v>
      </c>
      <c r="Y130" s="13">
        <v>0</v>
      </c>
      <c r="Z130" s="13">
        <f>VLOOKUP(F130,'[1]MGM Report'!$D:$K,8,FALSE)</f>
        <v>0</v>
      </c>
      <c r="AA130" s="13" t="b">
        <f t="shared" si="18"/>
        <v>1</v>
      </c>
      <c r="AB130" s="12">
        <v>0</v>
      </c>
      <c r="AC130" s="12">
        <f>VLOOKUP(F130,'[1]MGM Report'!$D:$M,10,FALSE)</f>
        <v>0</v>
      </c>
      <c r="AD130" s="12" t="b">
        <f t="shared" si="19"/>
        <v>1</v>
      </c>
      <c r="AE130" s="13">
        <v>0</v>
      </c>
      <c r="AF130" s="13">
        <f>VLOOKUP(F130,'[1]MGM Report'!$D:$N,11,FALSE)</f>
        <v>0</v>
      </c>
      <c r="AG130" s="13" t="b">
        <f t="shared" si="20"/>
        <v>1</v>
      </c>
      <c r="AH130" s="12">
        <v>0</v>
      </c>
      <c r="AI130" s="12">
        <f>VLOOKUP(F130,'[1]MGM Report'!$D:$S,12,FALSE)</f>
        <v>0</v>
      </c>
      <c r="AJ130" s="12" t="b">
        <f t="shared" si="21"/>
        <v>1</v>
      </c>
      <c r="AK130" s="13">
        <f>VLOOKUP(F130,[2]HAVASMGMReportKBCUpdatedResult!$F:$R,13,FALSE)</f>
        <v>121792</v>
      </c>
      <c r="AL130" s="13">
        <f>VLOOKUP(F130,'[1]MGM Report'!$D:$S,14,FALSE)</f>
        <v>121792</v>
      </c>
    </row>
    <row r="131" spans="1:38">
      <c r="A131" s="7">
        <v>45758</v>
      </c>
      <c r="B131" s="8" t="s">
        <v>38</v>
      </c>
      <c r="C131" s="8" t="s">
        <v>130</v>
      </c>
      <c r="D131" s="8" t="s">
        <v>224</v>
      </c>
      <c r="E131" s="8" t="s">
        <v>225</v>
      </c>
      <c r="F131" s="8" t="str">
        <f>_xlfn.TEXTBEFORE(E131," ")</f>
        <v>SB22527</v>
      </c>
      <c r="G131" s="9">
        <v>0</v>
      </c>
      <c r="H131" s="9">
        <f>VLOOKUP(F131,'[1]MGM Report'!$D:$E,2,FALSE)</f>
        <v>0</v>
      </c>
      <c r="I131" s="9" t="b">
        <f>G131=H131</f>
        <v>1</v>
      </c>
      <c r="J131" s="12">
        <v>284211</v>
      </c>
      <c r="K131" s="12">
        <f>VLOOKUP(F131,'[1]MGM Report'!$D:$F,3,FALSE)</f>
        <v>284211</v>
      </c>
      <c r="L131" s="12" t="b">
        <f t="shared" ref="L131:L194" si="24">J131=K131</f>
        <v>1</v>
      </c>
      <c r="M131" s="13">
        <v>-284211</v>
      </c>
      <c r="N131" s="13">
        <f>VLOOKUP(F131,'[1]MGM Report'!$D:$G,4,FALSE)</f>
        <v>284211</v>
      </c>
      <c r="O131" s="13" t="b">
        <f t="shared" si="23"/>
        <v>0</v>
      </c>
      <c r="P131" s="12">
        <v>0</v>
      </c>
      <c r="Q131" s="12">
        <f>VLOOKUP(F131,'[1]MGM Report'!$D:$M,5,FALSE)</f>
        <v>0</v>
      </c>
      <c r="R131" s="12" t="b">
        <f t="shared" ref="R131:R194" si="25">P131=Q131</f>
        <v>1</v>
      </c>
      <c r="S131" s="13">
        <v>0</v>
      </c>
      <c r="T131" s="13">
        <f>VLOOKUP(F131,'[1]MGM Report'!$D:$I,6,FALSE)</f>
        <v>0</v>
      </c>
      <c r="U131" s="13" t="b">
        <f t="shared" ref="U131:U194" si="26">S131=T131</f>
        <v>1</v>
      </c>
      <c r="V131" s="12">
        <v>175000</v>
      </c>
      <c r="W131" s="12">
        <f>VLOOKUP(F131,'[1]MGM Report'!$D:$J,7,FALSE)</f>
        <v>175000</v>
      </c>
      <c r="X131" s="12" t="b">
        <f t="shared" ref="X131:X194" si="27">V131=W131</f>
        <v>1</v>
      </c>
      <c r="Y131" s="13">
        <v>0</v>
      </c>
      <c r="Z131" s="13">
        <f>VLOOKUP(F131,'[1]MGM Report'!$D:$K,8,FALSE)</f>
        <v>0</v>
      </c>
      <c r="AA131" s="13" t="b">
        <f t="shared" ref="AA131:AA194" si="28">Y131=Z131</f>
        <v>1</v>
      </c>
      <c r="AB131" s="12">
        <v>0</v>
      </c>
      <c r="AC131" s="12">
        <f>VLOOKUP(F131,'[1]MGM Report'!$D:$M,10,FALSE)</f>
        <v>0</v>
      </c>
      <c r="AD131" s="12" t="b">
        <f t="shared" ref="AD131:AD194" si="29">AB131=AC131</f>
        <v>1</v>
      </c>
      <c r="AE131" s="13">
        <v>0</v>
      </c>
      <c r="AF131" s="13">
        <f>VLOOKUP(F131,'[1]MGM Report'!$D:$N,11,FALSE)</f>
        <v>0</v>
      </c>
      <c r="AG131" s="13" t="b">
        <f t="shared" ref="AG131:AG194" si="30">AE131=AF131</f>
        <v>1</v>
      </c>
      <c r="AH131" s="12">
        <v>0</v>
      </c>
      <c r="AI131" s="12">
        <f>VLOOKUP(F131,'[1]MGM Report'!$D:$S,12,FALSE)</f>
        <v>0</v>
      </c>
      <c r="AJ131" s="12" t="b">
        <f t="shared" ref="AJ131:AJ194" si="31">AH131=AI131</f>
        <v>1</v>
      </c>
      <c r="AK131" s="13">
        <f>VLOOKUP(F131,[2]HAVASMGMReportKBCUpdatedResult!$F:$R,13,FALSE)</f>
        <v>-175000</v>
      </c>
      <c r="AL131" s="13">
        <f>VLOOKUP(F131,'[1]MGM Report'!$D:$S,14,FALSE)</f>
        <v>175000</v>
      </c>
    </row>
    <row r="132" spans="1:38">
      <c r="A132" s="7">
        <v>45758</v>
      </c>
      <c r="B132" s="8" t="s">
        <v>31</v>
      </c>
      <c r="C132" s="8" t="s">
        <v>115</v>
      </c>
      <c r="D132" s="8" t="s">
        <v>45</v>
      </c>
      <c r="E132" s="8" t="s">
        <v>226</v>
      </c>
      <c r="F132" s="8" t="str">
        <f>_xlfn.TEXTBEFORE(E132," ")</f>
        <v>SB22524</v>
      </c>
      <c r="G132" s="9">
        <v>0</v>
      </c>
      <c r="H132" s="9">
        <f>VLOOKUP(F132,'[1]MGM Report'!$D:$E,2,FALSE)</f>
        <v>0</v>
      </c>
      <c r="I132" s="9" t="b">
        <f>G132=H132</f>
        <v>1</v>
      </c>
      <c r="J132" s="12">
        <v>0</v>
      </c>
      <c r="K132" s="12">
        <f>VLOOKUP(F132,'[1]MGM Report'!$D:$F,3,FALSE)</f>
        <v>0</v>
      </c>
      <c r="L132" s="12" t="b">
        <f t="shared" si="24"/>
        <v>1</v>
      </c>
      <c r="M132" s="13">
        <v>0</v>
      </c>
      <c r="N132" s="13">
        <f>VLOOKUP(F132,'[1]MGM Report'!$D:$G,4,FALSE)</f>
        <v>0</v>
      </c>
      <c r="O132" s="13" t="b">
        <f t="shared" si="23"/>
        <v>1</v>
      </c>
      <c r="P132" s="12">
        <v>0</v>
      </c>
      <c r="Q132" s="12">
        <f>VLOOKUP(F132,'[1]MGM Report'!$D:$M,5,FALSE)</f>
        <v>0</v>
      </c>
      <c r="R132" s="12" t="b">
        <f t="shared" si="25"/>
        <v>1</v>
      </c>
      <c r="S132" s="13">
        <v>0</v>
      </c>
      <c r="T132" s="13">
        <f>VLOOKUP(F132,'[1]MGM Report'!$D:$I,6,FALSE)</f>
        <v>0</v>
      </c>
      <c r="U132" s="13" t="b">
        <f t="shared" si="26"/>
        <v>1</v>
      </c>
      <c r="V132" s="12">
        <v>0</v>
      </c>
      <c r="W132" s="12">
        <f>VLOOKUP(F132,'[1]MGM Report'!$D:$J,7,FALSE)</f>
        <v>0</v>
      </c>
      <c r="X132" s="12" t="b">
        <f t="shared" si="27"/>
        <v>1</v>
      </c>
      <c r="Y132" s="13">
        <v>22800</v>
      </c>
      <c r="Z132" s="13">
        <f>VLOOKUP(F132,'[1]MGM Report'!$D:$K,8,FALSE)</f>
        <v>22800</v>
      </c>
      <c r="AA132" s="13" t="b">
        <f t="shared" si="28"/>
        <v>1</v>
      </c>
      <c r="AB132" s="12">
        <v>-22800</v>
      </c>
      <c r="AC132" s="12">
        <f>VLOOKUP(F132,'[1]MGM Report'!$D:$M,10,FALSE)</f>
        <v>22800</v>
      </c>
      <c r="AD132" s="12" t="b">
        <f t="shared" si="29"/>
        <v>0</v>
      </c>
      <c r="AE132" s="13">
        <v>0</v>
      </c>
      <c r="AF132" s="13">
        <f>VLOOKUP(F132,'[1]MGM Report'!$D:$N,11,FALSE)</f>
        <v>0</v>
      </c>
      <c r="AG132" s="13" t="b">
        <f t="shared" si="30"/>
        <v>1</v>
      </c>
      <c r="AH132" s="12">
        <v>0</v>
      </c>
      <c r="AI132" s="12">
        <f>VLOOKUP(F132,'[1]MGM Report'!$D:$S,12,FALSE)</f>
        <v>0</v>
      </c>
      <c r="AJ132" s="12" t="b">
        <f t="shared" si="31"/>
        <v>1</v>
      </c>
      <c r="AK132" s="13">
        <f>VLOOKUP(F132,[2]HAVASMGMReportKBCUpdatedResult!$F:$R,13,FALSE)</f>
        <v>0</v>
      </c>
      <c r="AL132" s="13">
        <f>VLOOKUP(F132,'[1]MGM Report'!$D:$S,14,FALSE)</f>
        <v>0</v>
      </c>
    </row>
    <row r="133" spans="1:38">
      <c r="A133" s="7">
        <v>45758</v>
      </c>
      <c r="B133" s="8" t="s">
        <v>59</v>
      </c>
      <c r="C133" s="8" t="s">
        <v>115</v>
      </c>
      <c r="D133" s="8" t="s">
        <v>175</v>
      </c>
      <c r="E133" s="8" t="s">
        <v>227</v>
      </c>
      <c r="F133" s="8" t="str">
        <f>_xlfn.TEXTBEFORE(E133," ")</f>
        <v>SB22523</v>
      </c>
      <c r="G133" s="9">
        <v>186450</v>
      </c>
      <c r="H133" s="9">
        <f>VLOOKUP(F133,'[1]MGM Report'!$D:$E,2,FALSE)</f>
        <v>186450</v>
      </c>
      <c r="I133" s="9" t="b">
        <f>G133=H133</f>
        <v>1</v>
      </c>
      <c r="J133" s="12">
        <v>186450</v>
      </c>
      <c r="K133" s="12">
        <f>VLOOKUP(F133,'[1]MGM Report'!$D:$F,3,FALSE)</f>
        <v>186450</v>
      </c>
      <c r="L133" s="12" t="b">
        <f t="shared" si="24"/>
        <v>1</v>
      </c>
      <c r="M133" s="13">
        <v>-186450</v>
      </c>
      <c r="N133" s="13">
        <f>VLOOKUP(F133,'[1]MGM Report'!$D:$G,4,FALSE)</f>
        <v>186450</v>
      </c>
      <c r="O133" s="13" t="b">
        <f t="shared" si="23"/>
        <v>0</v>
      </c>
      <c r="P133" s="12">
        <v>0</v>
      </c>
      <c r="Q133" s="12">
        <f>VLOOKUP(F133,'[1]MGM Report'!$D:$M,5,FALSE)</f>
        <v>0</v>
      </c>
      <c r="R133" s="12" t="b">
        <f t="shared" si="25"/>
        <v>1</v>
      </c>
      <c r="S133" s="13">
        <v>0</v>
      </c>
      <c r="T133" s="13">
        <f>VLOOKUP(F133,'[1]MGM Report'!$D:$I,6,FALSE)</f>
        <v>0</v>
      </c>
      <c r="U133" s="13" t="b">
        <f t="shared" si="26"/>
        <v>1</v>
      </c>
      <c r="V133" s="12">
        <v>0</v>
      </c>
      <c r="W133" s="12">
        <f>VLOOKUP(F133,'[1]MGM Report'!$D:$J,7,FALSE)</f>
        <v>0</v>
      </c>
      <c r="X133" s="12" t="b">
        <f t="shared" si="27"/>
        <v>1</v>
      </c>
      <c r="Y133" s="13">
        <v>15000</v>
      </c>
      <c r="Z133" s="13">
        <f>VLOOKUP(F133,'[1]MGM Report'!$D:$K,8,FALSE)</f>
        <v>15000</v>
      </c>
      <c r="AA133" s="13" t="b">
        <f t="shared" si="28"/>
        <v>1</v>
      </c>
      <c r="AB133" s="12">
        <v>-15000</v>
      </c>
      <c r="AC133" s="12">
        <f>VLOOKUP(F133,'[1]MGM Report'!$D:$M,10,FALSE)</f>
        <v>15000</v>
      </c>
      <c r="AD133" s="12" t="b">
        <f t="shared" si="29"/>
        <v>0</v>
      </c>
      <c r="AE133" s="13">
        <v>0</v>
      </c>
      <c r="AF133" s="13">
        <f>VLOOKUP(F133,'[1]MGM Report'!$D:$N,11,FALSE)</f>
        <v>0</v>
      </c>
      <c r="AG133" s="13" t="b">
        <f t="shared" si="30"/>
        <v>1</v>
      </c>
      <c r="AH133" s="12">
        <v>0</v>
      </c>
      <c r="AI133" s="12">
        <f>VLOOKUP(F133,'[1]MGM Report'!$D:$S,12,FALSE)</f>
        <v>0</v>
      </c>
      <c r="AJ133" s="12" t="b">
        <f t="shared" si="31"/>
        <v>1</v>
      </c>
      <c r="AK133" s="13">
        <f>VLOOKUP(F133,[2]HAVASMGMReportKBCUpdatedResult!$F:$R,13,FALSE)</f>
        <v>186450</v>
      </c>
      <c r="AL133" s="13">
        <f>VLOOKUP(F133,'[1]MGM Report'!$D:$S,14,FALSE)</f>
        <v>186450</v>
      </c>
    </row>
    <row r="134" spans="1:38">
      <c r="A134" s="7">
        <v>45758</v>
      </c>
      <c r="B134" s="8" t="s">
        <v>27</v>
      </c>
      <c r="C134" s="8" t="s">
        <v>120</v>
      </c>
      <c r="D134" s="8" t="s">
        <v>228</v>
      </c>
      <c r="E134" s="8" t="s">
        <v>229</v>
      </c>
      <c r="F134" s="8" t="str">
        <f>_xlfn.TEXTBEFORE(E134," ")</f>
        <v>SB22520</v>
      </c>
      <c r="G134" s="9">
        <v>0</v>
      </c>
      <c r="H134" s="9">
        <f>VLOOKUP(F134,'[1]MGM Report'!$D:$E,2,FALSE)</f>
        <v>0</v>
      </c>
      <c r="I134" s="9" t="b">
        <f>G134=H134</f>
        <v>1</v>
      </c>
      <c r="J134" s="12">
        <v>197144</v>
      </c>
      <c r="K134" s="12">
        <f>VLOOKUP(F134,'[1]MGM Report'!$D:$F,3,FALSE)</f>
        <v>197144</v>
      </c>
      <c r="L134" s="12" t="b">
        <f t="shared" si="24"/>
        <v>1</v>
      </c>
      <c r="M134" s="13">
        <v>0</v>
      </c>
      <c r="N134" s="13">
        <f>VLOOKUP(F134,'[1]MGM Report'!$D:$G,4,FALSE)</f>
        <v>0</v>
      </c>
      <c r="O134" s="13" t="b">
        <f t="shared" si="23"/>
        <v>1</v>
      </c>
      <c r="P134" s="12">
        <v>0</v>
      </c>
      <c r="Q134" s="12">
        <f>VLOOKUP(F134,'[1]MGM Report'!$D:$M,5,FALSE)</f>
        <v>0</v>
      </c>
      <c r="R134" s="12" t="b">
        <f t="shared" si="25"/>
        <v>1</v>
      </c>
      <c r="S134" s="13">
        <v>197144</v>
      </c>
      <c r="T134" s="13">
        <f>VLOOKUP(F134,'[1]MGM Report'!$D:$I,6,FALSE)</f>
        <v>197144</v>
      </c>
      <c r="U134" s="13" t="b">
        <f t="shared" si="26"/>
        <v>1</v>
      </c>
      <c r="V134" s="12">
        <v>88880</v>
      </c>
      <c r="W134" s="12">
        <f>VLOOKUP(F134,'[1]MGM Report'!$D:$J,7,FALSE)</f>
        <v>88880</v>
      </c>
      <c r="X134" s="12" t="b">
        <f t="shared" si="27"/>
        <v>1</v>
      </c>
      <c r="Y134" s="13">
        <v>126380</v>
      </c>
      <c r="Z134" s="13">
        <f>VLOOKUP(F134,'[1]MGM Report'!$D:$K,8,FALSE)</f>
        <v>126380</v>
      </c>
      <c r="AA134" s="13" t="b">
        <f t="shared" si="28"/>
        <v>1</v>
      </c>
      <c r="AB134" s="12">
        <v>27392.32</v>
      </c>
      <c r="AC134" s="12">
        <f>VLOOKUP(F134,'[1]MGM Report'!$D:$M,10,FALSE)</f>
        <v>27392.32</v>
      </c>
      <c r="AD134" s="12" t="b">
        <f t="shared" si="29"/>
        <v>1</v>
      </c>
      <c r="AE134" s="13">
        <v>0</v>
      </c>
      <c r="AF134" s="13">
        <f>VLOOKUP(F134,'[1]MGM Report'!$D:$N,11,FALSE)</f>
        <v>0</v>
      </c>
      <c r="AG134" s="13" t="b">
        <f t="shared" si="30"/>
        <v>1</v>
      </c>
      <c r="AH134" s="12">
        <v>153772.32</v>
      </c>
      <c r="AI134" s="12">
        <f>VLOOKUP(F134,'[1]MGM Report'!$D:$S,12,FALSE)</f>
        <v>153772.32</v>
      </c>
      <c r="AJ134" s="12" t="b">
        <f t="shared" si="31"/>
        <v>1</v>
      </c>
      <c r="AK134" s="13">
        <f>VLOOKUP(F134,[2]HAVASMGMReportKBCUpdatedResult!$F:$R,13,FALSE)</f>
        <v>-88880</v>
      </c>
      <c r="AL134" s="13">
        <f>VLOOKUP(F134,'[1]MGM Report'!$D:$S,14,FALSE)</f>
        <v>88880</v>
      </c>
    </row>
    <row r="135" spans="1:38">
      <c r="A135" s="7">
        <v>45758</v>
      </c>
      <c r="B135" s="8" t="s">
        <v>27</v>
      </c>
      <c r="C135" s="8" t="s">
        <v>120</v>
      </c>
      <c r="D135" s="8" t="s">
        <v>104</v>
      </c>
      <c r="E135" s="8" t="s">
        <v>230</v>
      </c>
      <c r="F135" s="8" t="str">
        <f>_xlfn.TEXTBEFORE(E135," ")</f>
        <v>SB22517</v>
      </c>
      <c r="G135" s="9">
        <v>1200000</v>
      </c>
      <c r="H135" s="9">
        <f>VLOOKUP(F135,'[1]MGM Report'!$D:$E,2,FALSE)</f>
        <v>1200000</v>
      </c>
      <c r="I135" s="9" t="b">
        <f>G135=H135</f>
        <v>1</v>
      </c>
      <c r="J135" s="12">
        <v>0</v>
      </c>
      <c r="K135" s="12">
        <f>VLOOKUP(F135,'[1]MGM Report'!$D:$F,3,FALSE)</f>
        <v>0</v>
      </c>
      <c r="L135" s="12" t="b">
        <f t="shared" si="24"/>
        <v>1</v>
      </c>
      <c r="M135" s="13">
        <v>0</v>
      </c>
      <c r="N135" s="13">
        <f>VLOOKUP(F135,'[1]MGM Report'!$D:$G,4,FALSE)</f>
        <v>0</v>
      </c>
      <c r="O135" s="13" t="b">
        <f t="shared" si="23"/>
        <v>1</v>
      </c>
      <c r="P135" s="12">
        <v>0</v>
      </c>
      <c r="Q135" s="12">
        <f>VLOOKUP(F135,'[1]MGM Report'!$D:$M,5,FALSE)</f>
        <v>0</v>
      </c>
      <c r="R135" s="12" t="b">
        <f t="shared" si="25"/>
        <v>1</v>
      </c>
      <c r="S135" s="13">
        <v>0</v>
      </c>
      <c r="T135" s="13">
        <f>VLOOKUP(F135,'[1]MGM Report'!$D:$I,6,FALSE)</f>
        <v>0</v>
      </c>
      <c r="U135" s="13" t="b">
        <f t="shared" si="26"/>
        <v>1</v>
      </c>
      <c r="V135" s="12">
        <v>1200000</v>
      </c>
      <c r="W135" s="12">
        <f>VLOOKUP(F135,'[1]MGM Report'!$D:$J,7,FALSE)</f>
        <v>1200000</v>
      </c>
      <c r="X135" s="12" t="b">
        <f t="shared" si="27"/>
        <v>1</v>
      </c>
      <c r="Y135" s="13">
        <v>0</v>
      </c>
      <c r="Z135" s="13">
        <f>VLOOKUP(F135,'[1]MGM Report'!$D:$K,8,FALSE)</f>
        <v>0</v>
      </c>
      <c r="AA135" s="13" t="b">
        <f t="shared" si="28"/>
        <v>1</v>
      </c>
      <c r="AB135" s="12">
        <v>0</v>
      </c>
      <c r="AC135" s="12">
        <f>VLOOKUP(F135,'[1]MGM Report'!$D:$M,10,FALSE)</f>
        <v>0</v>
      </c>
      <c r="AD135" s="12" t="b">
        <f t="shared" si="29"/>
        <v>1</v>
      </c>
      <c r="AE135" s="13">
        <v>0</v>
      </c>
      <c r="AF135" s="13">
        <f>VLOOKUP(F135,'[1]MGM Report'!$D:$N,11,FALSE)</f>
        <v>0</v>
      </c>
      <c r="AG135" s="13" t="b">
        <f t="shared" si="30"/>
        <v>1</v>
      </c>
      <c r="AH135" s="12">
        <v>0</v>
      </c>
      <c r="AI135" s="12">
        <f>VLOOKUP(F135,'[1]MGM Report'!$D:$S,12,FALSE)</f>
        <v>0</v>
      </c>
      <c r="AJ135" s="12" t="b">
        <f t="shared" si="31"/>
        <v>1</v>
      </c>
      <c r="AK135" s="13">
        <f>VLOOKUP(F135,[2]HAVASMGMReportKBCUpdatedResult!$F:$R,13,FALSE)</f>
        <v>0</v>
      </c>
      <c r="AL135" s="13">
        <f>VLOOKUP(F135,'[1]MGM Report'!$D:$S,14,FALSE)</f>
        <v>0</v>
      </c>
    </row>
    <row r="136" spans="1:38">
      <c r="A136" s="7">
        <v>45758</v>
      </c>
      <c r="B136" s="8" t="s">
        <v>27</v>
      </c>
      <c r="C136" s="8" t="s">
        <v>120</v>
      </c>
      <c r="D136" s="8" t="s">
        <v>138</v>
      </c>
      <c r="E136" s="8" t="s">
        <v>231</v>
      </c>
      <c r="F136" s="8" t="str">
        <f>_xlfn.TEXTBEFORE(E136," ")</f>
        <v>SB22518</v>
      </c>
      <c r="G136" s="9">
        <v>0</v>
      </c>
      <c r="H136" s="9">
        <f>VLOOKUP(F136,'[1]MGM Report'!$D:$E,2,FALSE)</f>
        <v>0</v>
      </c>
      <c r="I136" s="9" t="b">
        <f>G136=H136</f>
        <v>1</v>
      </c>
      <c r="J136" s="12">
        <v>17248</v>
      </c>
      <c r="K136" s="12">
        <f>VLOOKUP(F136,'[1]MGM Report'!$D:$F,3,FALSE)</f>
        <v>17248</v>
      </c>
      <c r="L136" s="12" t="b">
        <f t="shared" si="24"/>
        <v>1</v>
      </c>
      <c r="M136" s="13">
        <v>-17248</v>
      </c>
      <c r="N136" s="13">
        <f>VLOOKUP(F136,'[1]MGM Report'!$D:$G,4,FALSE)</f>
        <v>17248</v>
      </c>
      <c r="O136" s="13" t="b">
        <f t="shared" si="23"/>
        <v>0</v>
      </c>
      <c r="P136" s="12">
        <v>0</v>
      </c>
      <c r="Q136" s="12">
        <f>VLOOKUP(F136,'[1]MGM Report'!$D:$M,5,FALSE)</f>
        <v>0</v>
      </c>
      <c r="R136" s="12" t="b">
        <f t="shared" si="25"/>
        <v>1</v>
      </c>
      <c r="S136" s="13">
        <v>0</v>
      </c>
      <c r="T136" s="13">
        <f>VLOOKUP(F136,'[1]MGM Report'!$D:$I,6,FALSE)</f>
        <v>0</v>
      </c>
      <c r="U136" s="13" t="b">
        <f t="shared" si="26"/>
        <v>1</v>
      </c>
      <c r="V136" s="12">
        <v>0</v>
      </c>
      <c r="W136" s="12">
        <f>VLOOKUP(F136,'[1]MGM Report'!$D:$J,7,FALSE)</f>
        <v>0</v>
      </c>
      <c r="X136" s="12" t="b">
        <f t="shared" si="27"/>
        <v>1</v>
      </c>
      <c r="Y136" s="13">
        <v>0</v>
      </c>
      <c r="Z136" s="13">
        <f>VLOOKUP(F136,'[1]MGM Report'!$D:$K,8,FALSE)</f>
        <v>0</v>
      </c>
      <c r="AA136" s="13" t="b">
        <f t="shared" si="28"/>
        <v>1</v>
      </c>
      <c r="AB136" s="12">
        <v>0</v>
      </c>
      <c r="AC136" s="12">
        <f>VLOOKUP(F136,'[1]MGM Report'!$D:$M,10,FALSE)</f>
        <v>0</v>
      </c>
      <c r="AD136" s="12" t="b">
        <f t="shared" si="29"/>
        <v>1</v>
      </c>
      <c r="AE136" s="13">
        <v>0</v>
      </c>
      <c r="AF136" s="13">
        <f>VLOOKUP(F136,'[1]MGM Report'!$D:$N,11,FALSE)</f>
        <v>0</v>
      </c>
      <c r="AG136" s="13" t="b">
        <f t="shared" si="30"/>
        <v>1</v>
      </c>
      <c r="AH136" s="12">
        <v>0</v>
      </c>
      <c r="AI136" s="12">
        <f>VLOOKUP(F136,'[1]MGM Report'!$D:$S,12,FALSE)</f>
        <v>0</v>
      </c>
      <c r="AJ136" s="12" t="b">
        <f t="shared" si="31"/>
        <v>1</v>
      </c>
      <c r="AK136" s="13">
        <f>VLOOKUP(F136,[2]HAVASMGMReportKBCUpdatedResult!$F:$R,13,FALSE)</f>
        <v>0</v>
      </c>
      <c r="AL136" s="13">
        <f>VLOOKUP(F136,'[1]MGM Report'!$D:$S,14,FALSE)</f>
        <v>0</v>
      </c>
    </row>
    <row r="137" spans="1:38">
      <c r="A137" s="7">
        <v>45758</v>
      </c>
      <c r="B137" s="8" t="s">
        <v>27</v>
      </c>
      <c r="C137" s="8" t="s">
        <v>120</v>
      </c>
      <c r="D137" s="8" t="s">
        <v>232</v>
      </c>
      <c r="E137" s="8" t="s">
        <v>233</v>
      </c>
      <c r="F137" s="8" t="str">
        <f>_xlfn.TEXTBEFORE(E137," ")</f>
        <v>SB22513</v>
      </c>
      <c r="G137" s="9">
        <v>0</v>
      </c>
      <c r="H137" s="9">
        <f>VLOOKUP(F137,'[1]MGM Report'!$D:$E,2,FALSE)</f>
        <v>0</v>
      </c>
      <c r="I137" s="9" t="b">
        <f>G137=H137</f>
        <v>1</v>
      </c>
      <c r="J137" s="12">
        <v>0</v>
      </c>
      <c r="K137" s="12">
        <f>VLOOKUP(F137,'[1]MGM Report'!$D:$F,3,FALSE)</f>
        <v>0</v>
      </c>
      <c r="L137" s="12" t="b">
        <f t="shared" si="24"/>
        <v>1</v>
      </c>
      <c r="M137" s="13">
        <v>0</v>
      </c>
      <c r="N137" s="13">
        <f>VLOOKUP(F137,'[1]MGM Report'!$D:$G,4,FALSE)</f>
        <v>0</v>
      </c>
      <c r="O137" s="13" t="b">
        <f t="shared" si="23"/>
        <v>1</v>
      </c>
      <c r="P137" s="12">
        <v>0</v>
      </c>
      <c r="Q137" s="12">
        <f>VLOOKUP(F137,'[1]MGM Report'!$D:$M,5,FALSE)</f>
        <v>0</v>
      </c>
      <c r="R137" s="12" t="b">
        <f t="shared" si="25"/>
        <v>1</v>
      </c>
      <c r="S137" s="13">
        <v>0</v>
      </c>
      <c r="T137" s="13">
        <f>VLOOKUP(F137,'[1]MGM Report'!$D:$I,6,FALSE)</f>
        <v>0</v>
      </c>
      <c r="U137" s="13" t="b">
        <f t="shared" si="26"/>
        <v>1</v>
      </c>
      <c r="V137" s="12">
        <v>41100</v>
      </c>
      <c r="W137" s="12">
        <f>VLOOKUP(F137,'[1]MGM Report'!$D:$J,7,FALSE)</f>
        <v>59695</v>
      </c>
      <c r="X137" s="12" t="b">
        <f t="shared" si="27"/>
        <v>0</v>
      </c>
      <c r="Y137" s="13">
        <v>59695</v>
      </c>
      <c r="Z137" s="13">
        <f>VLOOKUP(F137,'[1]MGM Report'!$D:$K,8,FALSE)</f>
        <v>59695</v>
      </c>
      <c r="AA137" s="13" t="b">
        <f t="shared" si="28"/>
        <v>1</v>
      </c>
      <c r="AB137" s="12">
        <v>-59695</v>
      </c>
      <c r="AC137" s="12">
        <f>VLOOKUP(F137,'[1]MGM Report'!$D:$M,10,FALSE)</f>
        <v>59695</v>
      </c>
      <c r="AD137" s="12" t="b">
        <f t="shared" si="29"/>
        <v>0</v>
      </c>
      <c r="AE137" s="13">
        <v>0</v>
      </c>
      <c r="AF137" s="13">
        <f>VLOOKUP(F137,'[1]MGM Report'!$D:$N,11,FALSE)</f>
        <v>0</v>
      </c>
      <c r="AG137" s="13" t="b">
        <f t="shared" si="30"/>
        <v>1</v>
      </c>
      <c r="AH137" s="12">
        <v>0</v>
      </c>
      <c r="AI137" s="12">
        <f>VLOOKUP(F137,'[1]MGM Report'!$D:$S,12,FALSE)</f>
        <v>0</v>
      </c>
      <c r="AJ137" s="12" t="b">
        <f t="shared" si="31"/>
        <v>1</v>
      </c>
      <c r="AK137" s="13">
        <f>VLOOKUP(F137,[2]HAVASMGMReportKBCUpdatedResult!$F:$R,13,FALSE)</f>
        <v>-41100</v>
      </c>
      <c r="AL137" s="13">
        <f>VLOOKUP(F137,'[1]MGM Report'!$D:$S,14,FALSE)</f>
        <v>59695</v>
      </c>
    </row>
    <row r="138" spans="1:38">
      <c r="A138" s="7">
        <v>45758</v>
      </c>
      <c r="B138" s="8" t="s">
        <v>27</v>
      </c>
      <c r="C138" s="8" t="s">
        <v>120</v>
      </c>
      <c r="D138" s="8" t="s">
        <v>234</v>
      </c>
      <c r="E138" s="8" t="s">
        <v>235</v>
      </c>
      <c r="F138" s="8" t="str">
        <f>_xlfn.TEXTBEFORE(E138," ")</f>
        <v>SB22512</v>
      </c>
      <c r="G138" s="9">
        <v>1000000</v>
      </c>
      <c r="H138" s="9">
        <f>VLOOKUP(F138,'[1]MGM Report'!$D:$E,2,FALSE)</f>
        <v>1000000</v>
      </c>
      <c r="I138" s="9" t="b">
        <f>G138=H138</f>
        <v>1</v>
      </c>
      <c r="J138" s="12">
        <v>0</v>
      </c>
      <c r="K138" s="12">
        <f>VLOOKUP(F138,'[1]MGM Report'!$D:$F,3,FALSE)</f>
        <v>0</v>
      </c>
      <c r="L138" s="12" t="b">
        <f t="shared" si="24"/>
        <v>1</v>
      </c>
      <c r="M138" s="13">
        <v>0</v>
      </c>
      <c r="N138" s="13">
        <f>VLOOKUP(F138,'[1]MGM Report'!$D:$G,4,FALSE)</f>
        <v>0</v>
      </c>
      <c r="O138" s="13" t="b">
        <f t="shared" si="23"/>
        <v>1</v>
      </c>
      <c r="P138" s="12">
        <v>0</v>
      </c>
      <c r="Q138" s="12">
        <f>VLOOKUP(F138,'[1]MGM Report'!$D:$M,5,FALSE)</f>
        <v>0</v>
      </c>
      <c r="R138" s="12" t="b">
        <f t="shared" si="25"/>
        <v>1</v>
      </c>
      <c r="S138" s="13">
        <v>0</v>
      </c>
      <c r="T138" s="13">
        <f>VLOOKUP(F138,'[1]MGM Report'!$D:$I,6,FALSE)</f>
        <v>0</v>
      </c>
      <c r="U138" s="13" t="b">
        <f t="shared" si="26"/>
        <v>1</v>
      </c>
      <c r="V138" s="12">
        <v>0</v>
      </c>
      <c r="W138" s="12">
        <f>VLOOKUP(F138,'[1]MGM Report'!$D:$J,7,FALSE)</f>
        <v>559134.47</v>
      </c>
      <c r="X138" s="12" t="b">
        <f t="shared" si="27"/>
        <v>0</v>
      </c>
      <c r="Y138" s="13">
        <v>559134.47</v>
      </c>
      <c r="Z138" s="13">
        <f>VLOOKUP(F138,'[1]MGM Report'!$D:$K,8,FALSE)</f>
        <v>559134.47</v>
      </c>
      <c r="AA138" s="13" t="b">
        <f t="shared" si="28"/>
        <v>1</v>
      </c>
      <c r="AB138" s="12">
        <v>-559134.47</v>
      </c>
      <c r="AC138" s="12">
        <f>VLOOKUP(F138,'[1]MGM Report'!$D:$M,10,FALSE)</f>
        <v>559134.47</v>
      </c>
      <c r="AD138" s="12" t="b">
        <f t="shared" si="29"/>
        <v>0</v>
      </c>
      <c r="AE138" s="13">
        <v>0</v>
      </c>
      <c r="AF138" s="13">
        <f>VLOOKUP(F138,'[1]MGM Report'!$D:$N,11,FALSE)</f>
        <v>0</v>
      </c>
      <c r="AG138" s="13" t="b">
        <f t="shared" si="30"/>
        <v>1</v>
      </c>
      <c r="AH138" s="12">
        <v>0</v>
      </c>
      <c r="AI138" s="12">
        <f>VLOOKUP(F138,'[1]MGM Report'!$D:$S,12,FALSE)</f>
        <v>0</v>
      </c>
      <c r="AJ138" s="12" t="b">
        <f t="shared" si="31"/>
        <v>1</v>
      </c>
      <c r="AK138" s="13">
        <f>VLOOKUP(F138,[2]HAVASMGMReportKBCUpdatedResult!$F:$R,13,FALSE)</f>
        <v>1000000</v>
      </c>
      <c r="AL138" s="13">
        <f>VLOOKUP(F138,'[1]MGM Report'!$D:$S,14,FALSE)</f>
        <v>440865.53</v>
      </c>
    </row>
    <row r="139" spans="1:38">
      <c r="A139" s="7">
        <v>45758</v>
      </c>
      <c r="B139" s="8" t="s">
        <v>31</v>
      </c>
      <c r="C139" s="8" t="s">
        <v>115</v>
      </c>
      <c r="D139" s="8" t="s">
        <v>143</v>
      </c>
      <c r="E139" s="8" t="s">
        <v>236</v>
      </c>
      <c r="F139" s="8" t="str">
        <f>_xlfn.TEXTBEFORE(E139," ")</f>
        <v>SB22508</v>
      </c>
      <c r="G139" s="9">
        <v>0</v>
      </c>
      <c r="H139" s="9">
        <f>VLOOKUP(F139,'[1]MGM Report'!$D:$E,2,FALSE)</f>
        <v>0</v>
      </c>
      <c r="I139" s="9" t="b">
        <f>G139=H139</f>
        <v>1</v>
      </c>
      <c r="J139" s="12">
        <v>0</v>
      </c>
      <c r="K139" s="12">
        <f>VLOOKUP(F139,'[1]MGM Report'!$D:$F,3,FALSE)</f>
        <v>0</v>
      </c>
      <c r="L139" s="12" t="b">
        <f t="shared" si="24"/>
        <v>1</v>
      </c>
      <c r="M139" s="13">
        <v>0</v>
      </c>
      <c r="N139" s="13">
        <f>VLOOKUP(F139,'[1]MGM Report'!$D:$G,4,FALSE)</f>
        <v>0</v>
      </c>
      <c r="O139" s="13" t="b">
        <f t="shared" ref="O139:O170" si="32">M139=N139</f>
        <v>1</v>
      </c>
      <c r="P139" s="12">
        <v>0</v>
      </c>
      <c r="Q139" s="12">
        <f>VLOOKUP(F139,'[1]MGM Report'!$D:$M,5,FALSE)</f>
        <v>0</v>
      </c>
      <c r="R139" s="12" t="b">
        <f t="shared" si="25"/>
        <v>1</v>
      </c>
      <c r="S139" s="13">
        <v>0</v>
      </c>
      <c r="T139" s="13">
        <f>VLOOKUP(F139,'[1]MGM Report'!$D:$I,6,FALSE)</f>
        <v>0</v>
      </c>
      <c r="U139" s="13" t="b">
        <f t="shared" si="26"/>
        <v>1</v>
      </c>
      <c r="V139" s="12">
        <v>10000</v>
      </c>
      <c r="W139" s="12">
        <f>VLOOKUP(F139,'[1]MGM Report'!$D:$J,7,FALSE)</f>
        <v>24024</v>
      </c>
      <c r="X139" s="12" t="b">
        <f t="shared" si="27"/>
        <v>0</v>
      </c>
      <c r="Y139" s="13">
        <v>24024</v>
      </c>
      <c r="Z139" s="13">
        <f>VLOOKUP(F139,'[1]MGM Report'!$D:$K,8,FALSE)</f>
        <v>24024</v>
      </c>
      <c r="AA139" s="13" t="b">
        <f t="shared" si="28"/>
        <v>1</v>
      </c>
      <c r="AB139" s="12">
        <v>-23884</v>
      </c>
      <c r="AC139" s="12">
        <f>VLOOKUP(F139,'[1]MGM Report'!$D:$M,10,FALSE)</f>
        <v>23884</v>
      </c>
      <c r="AD139" s="12" t="b">
        <f t="shared" si="29"/>
        <v>0</v>
      </c>
      <c r="AE139" s="13">
        <v>0</v>
      </c>
      <c r="AF139" s="13">
        <f>VLOOKUP(F139,'[1]MGM Report'!$D:$N,11,FALSE)</f>
        <v>0</v>
      </c>
      <c r="AG139" s="13" t="b">
        <f t="shared" si="30"/>
        <v>1</v>
      </c>
      <c r="AH139" s="12">
        <v>140</v>
      </c>
      <c r="AI139" s="12">
        <f>VLOOKUP(F139,'[1]MGM Report'!$D:$S,12,FALSE)</f>
        <v>140</v>
      </c>
      <c r="AJ139" s="12" t="b">
        <f t="shared" si="31"/>
        <v>1</v>
      </c>
      <c r="AK139" s="13">
        <f>VLOOKUP(F139,[2]HAVASMGMReportKBCUpdatedResult!$F:$R,13,FALSE)</f>
        <v>-10000</v>
      </c>
      <c r="AL139" s="13">
        <f>VLOOKUP(F139,'[1]MGM Report'!$D:$S,14,FALSE)</f>
        <v>24024</v>
      </c>
    </row>
    <row r="140" spans="1:38">
      <c r="A140" s="7">
        <v>45758</v>
      </c>
      <c r="B140" s="8" t="s">
        <v>27</v>
      </c>
      <c r="C140" s="8" t="s">
        <v>120</v>
      </c>
      <c r="D140" s="8" t="s">
        <v>81</v>
      </c>
      <c r="E140" s="8" t="s">
        <v>237</v>
      </c>
      <c r="F140" s="8" t="str">
        <f>_xlfn.TEXTBEFORE(E140," ")</f>
        <v>SB22511</v>
      </c>
      <c r="G140" s="9">
        <v>1456383.5</v>
      </c>
      <c r="H140" s="9">
        <f>VLOOKUP(F140,'[1]MGM Report'!$D:$E,2,FALSE)</f>
        <v>1456383.5</v>
      </c>
      <c r="I140" s="9" t="b">
        <f>G140=H140</f>
        <v>1</v>
      </c>
      <c r="J140" s="12">
        <v>1456383.5</v>
      </c>
      <c r="K140" s="12">
        <f>VLOOKUP(F140,'[1]MGM Report'!$D:$F,3,FALSE)</f>
        <v>1456383.5</v>
      </c>
      <c r="L140" s="12" t="b">
        <f t="shared" si="24"/>
        <v>1</v>
      </c>
      <c r="M140" s="13">
        <v>943616.5</v>
      </c>
      <c r="N140" s="13">
        <f>VLOOKUP(F140,'[1]MGM Report'!$D:$G,4,FALSE)</f>
        <v>943616.5</v>
      </c>
      <c r="O140" s="13" t="b">
        <f t="shared" si="32"/>
        <v>1</v>
      </c>
      <c r="P140" s="12">
        <v>0</v>
      </c>
      <c r="Q140" s="12">
        <f>VLOOKUP(F140,'[1]MGM Report'!$D:$M,5,FALSE)</f>
        <v>0</v>
      </c>
      <c r="R140" s="12" t="b">
        <f t="shared" si="25"/>
        <v>1</v>
      </c>
      <c r="S140" s="13">
        <v>2400000</v>
      </c>
      <c r="T140" s="13">
        <f>VLOOKUP(F140,'[1]MGM Report'!$D:$I,6,FALSE)</f>
        <v>2400000</v>
      </c>
      <c r="U140" s="13" t="b">
        <f t="shared" si="26"/>
        <v>1</v>
      </c>
      <c r="V140" s="12">
        <v>1051839.85</v>
      </c>
      <c r="W140" s="12">
        <f>VLOOKUP(F140,'[1]MGM Report'!$D:$J,7,FALSE)</f>
        <v>1079750.09</v>
      </c>
      <c r="X140" s="12" t="b">
        <f t="shared" si="27"/>
        <v>0</v>
      </c>
      <c r="Y140" s="13">
        <v>1036880.09</v>
      </c>
      <c r="Z140" s="13">
        <f>VLOOKUP(F140,'[1]MGM Report'!$D:$K,8,FALSE)</f>
        <v>1036880.09</v>
      </c>
      <c r="AA140" s="13" t="b">
        <f t="shared" si="28"/>
        <v>1</v>
      </c>
      <c r="AB140" s="12">
        <v>763119.91</v>
      </c>
      <c r="AC140" s="12">
        <f>VLOOKUP(F140,'[1]MGM Report'!$D:$M,10,FALSE)</f>
        <v>763119.91</v>
      </c>
      <c r="AD140" s="12" t="b">
        <f t="shared" si="29"/>
        <v>1</v>
      </c>
      <c r="AE140" s="13">
        <v>0</v>
      </c>
      <c r="AF140" s="13">
        <f>VLOOKUP(F140,'[1]MGM Report'!$D:$N,11,FALSE)</f>
        <v>0</v>
      </c>
      <c r="AG140" s="13" t="b">
        <f t="shared" si="30"/>
        <v>1</v>
      </c>
      <c r="AH140" s="12">
        <v>1800000</v>
      </c>
      <c r="AI140" s="12">
        <f>VLOOKUP(F140,'[1]MGM Report'!$D:$S,12,FALSE)</f>
        <v>1800000</v>
      </c>
      <c r="AJ140" s="12" t="b">
        <f t="shared" si="31"/>
        <v>1</v>
      </c>
      <c r="AK140" s="13">
        <f>VLOOKUP(F140,[2]HAVASMGMReportKBCUpdatedResult!$F:$R,13,FALSE)</f>
        <v>404543.65</v>
      </c>
      <c r="AL140" s="13">
        <f>VLOOKUP(F140,'[1]MGM Report'!$D:$S,14,FALSE)</f>
        <v>376633.41</v>
      </c>
    </row>
    <row r="141" spans="1:38">
      <c r="A141" s="7">
        <v>45758</v>
      </c>
      <c r="B141" s="8" t="s">
        <v>31</v>
      </c>
      <c r="C141" s="8" t="s">
        <v>115</v>
      </c>
      <c r="D141" s="8" t="s">
        <v>45</v>
      </c>
      <c r="E141" s="8" t="s">
        <v>238</v>
      </c>
      <c r="F141" s="8" t="str">
        <f>_xlfn.TEXTBEFORE(E141," ")</f>
        <v>SB22504</v>
      </c>
      <c r="G141" s="9">
        <v>0</v>
      </c>
      <c r="H141" s="9">
        <f>VLOOKUP(F141,'[1]MGM Report'!$D:$E,2,FALSE)</f>
        <v>0</v>
      </c>
      <c r="I141" s="9" t="b">
        <f>G141=H141</f>
        <v>1</v>
      </c>
      <c r="J141" s="12">
        <v>0</v>
      </c>
      <c r="K141" s="12">
        <f>VLOOKUP(F141,'[1]MGM Report'!$D:$F,3,FALSE)</f>
        <v>0</v>
      </c>
      <c r="L141" s="12" t="b">
        <f t="shared" si="24"/>
        <v>1</v>
      </c>
      <c r="M141" s="13">
        <v>290</v>
      </c>
      <c r="N141" s="13">
        <f>VLOOKUP(F141,'[1]MGM Report'!$D:$G,4,FALSE)</f>
        <v>0</v>
      </c>
      <c r="O141" s="13" t="b">
        <f t="shared" si="32"/>
        <v>0</v>
      </c>
      <c r="P141" s="12">
        <v>0</v>
      </c>
      <c r="Q141" s="12">
        <f>VLOOKUP(F141,'[1]MGM Report'!$D:$M,5,FALSE)</f>
        <v>0</v>
      </c>
      <c r="R141" s="12" t="b">
        <f t="shared" si="25"/>
        <v>1</v>
      </c>
      <c r="S141" s="13">
        <v>290</v>
      </c>
      <c r="T141" s="13">
        <f>VLOOKUP(F141,'[1]MGM Report'!$D:$I,6,FALSE)</f>
        <v>0</v>
      </c>
      <c r="U141" s="13" t="b">
        <f t="shared" si="26"/>
        <v>0</v>
      </c>
      <c r="V141" s="12">
        <v>0</v>
      </c>
      <c r="W141" s="12">
        <f>VLOOKUP(F141,'[1]MGM Report'!$D:$J,7,FALSE)</f>
        <v>0</v>
      </c>
      <c r="X141" s="12" t="b">
        <f t="shared" si="27"/>
        <v>1</v>
      </c>
      <c r="Y141" s="13">
        <v>8391</v>
      </c>
      <c r="Z141" s="13">
        <f>VLOOKUP(F141,'[1]MGM Report'!$D:$K,8,FALSE)</f>
        <v>8391</v>
      </c>
      <c r="AA141" s="13" t="b">
        <f t="shared" si="28"/>
        <v>1</v>
      </c>
      <c r="AB141" s="12">
        <v>-8391</v>
      </c>
      <c r="AC141" s="12">
        <f>VLOOKUP(F141,'[1]MGM Report'!$D:$M,10,FALSE)</f>
        <v>8391</v>
      </c>
      <c r="AD141" s="12" t="b">
        <f t="shared" si="29"/>
        <v>0</v>
      </c>
      <c r="AE141" s="13">
        <v>0</v>
      </c>
      <c r="AF141" s="13">
        <f>VLOOKUP(F141,'[1]MGM Report'!$D:$N,11,FALSE)</f>
        <v>0</v>
      </c>
      <c r="AG141" s="13" t="b">
        <f t="shared" si="30"/>
        <v>1</v>
      </c>
      <c r="AH141" s="12">
        <v>0</v>
      </c>
      <c r="AI141" s="12">
        <f>VLOOKUP(F141,'[1]MGM Report'!$D:$S,12,FALSE)</f>
        <v>0</v>
      </c>
      <c r="AJ141" s="12" t="b">
        <f t="shared" si="31"/>
        <v>1</v>
      </c>
      <c r="AK141" s="13">
        <f>VLOOKUP(F141,[2]HAVASMGMReportKBCUpdatedResult!$F:$R,13,FALSE)</f>
        <v>0</v>
      </c>
      <c r="AL141" s="13">
        <f>VLOOKUP(F141,'[1]MGM Report'!$D:$S,14,FALSE)</f>
        <v>0</v>
      </c>
    </row>
    <row r="142" spans="1:38">
      <c r="A142" s="7">
        <v>45758</v>
      </c>
      <c r="B142" s="8" t="s">
        <v>27</v>
      </c>
      <c r="C142" s="8" t="s">
        <v>120</v>
      </c>
      <c r="D142" s="8" t="s">
        <v>64</v>
      </c>
      <c r="E142" s="8" t="s">
        <v>239</v>
      </c>
      <c r="F142" s="8" t="str">
        <f>_xlfn.TEXTBEFORE(E142," ")</f>
        <v>SB22503</v>
      </c>
      <c r="G142" s="9">
        <v>500000</v>
      </c>
      <c r="H142" s="9">
        <f>VLOOKUP(F142,'[1]MGM Report'!$D:$E,2,FALSE)</f>
        <v>500000</v>
      </c>
      <c r="I142" s="9" t="b">
        <f>G142=H142</f>
        <v>1</v>
      </c>
      <c r="J142" s="12">
        <v>2500043</v>
      </c>
      <c r="K142" s="12">
        <f>VLOOKUP(F142,'[1]MGM Report'!$D:$F,3,FALSE)</f>
        <v>2500043</v>
      </c>
      <c r="L142" s="12" t="b">
        <f t="shared" si="24"/>
        <v>1</v>
      </c>
      <c r="M142" s="13">
        <v>-2500000</v>
      </c>
      <c r="N142" s="13">
        <f>VLOOKUP(F142,'[1]MGM Report'!$D:$G,4,FALSE)</f>
        <v>2500000</v>
      </c>
      <c r="O142" s="13" t="b">
        <f t="shared" si="32"/>
        <v>0</v>
      </c>
      <c r="P142" s="12">
        <v>0</v>
      </c>
      <c r="Q142" s="12">
        <f>VLOOKUP(F142,'[1]MGM Report'!$D:$M,5,FALSE)</f>
        <v>0</v>
      </c>
      <c r="R142" s="12" t="b">
        <f t="shared" si="25"/>
        <v>1</v>
      </c>
      <c r="S142" s="13">
        <v>43</v>
      </c>
      <c r="T142" s="13">
        <f>VLOOKUP(F142,'[1]MGM Report'!$D:$I,6,FALSE)</f>
        <v>43</v>
      </c>
      <c r="U142" s="13" t="b">
        <f t="shared" si="26"/>
        <v>1</v>
      </c>
      <c r="V142" s="12">
        <v>0</v>
      </c>
      <c r="W142" s="12">
        <f>VLOOKUP(F142,'[1]MGM Report'!$D:$J,7,FALSE)</f>
        <v>0</v>
      </c>
      <c r="X142" s="12" t="b">
        <f t="shared" si="27"/>
        <v>1</v>
      </c>
      <c r="Y142" s="13">
        <v>1100000</v>
      </c>
      <c r="Z142" s="13">
        <f>VLOOKUP(F142,'[1]MGM Report'!$D:$K,8,FALSE)</f>
        <v>1100000</v>
      </c>
      <c r="AA142" s="13" t="b">
        <f t="shared" si="28"/>
        <v>1</v>
      </c>
      <c r="AB142" s="12">
        <v>-1100000</v>
      </c>
      <c r="AC142" s="12">
        <f>VLOOKUP(F142,'[1]MGM Report'!$D:$M,10,FALSE)</f>
        <v>1100000</v>
      </c>
      <c r="AD142" s="12" t="b">
        <f t="shared" si="29"/>
        <v>0</v>
      </c>
      <c r="AE142" s="13">
        <v>0</v>
      </c>
      <c r="AF142" s="13">
        <f>VLOOKUP(F142,'[1]MGM Report'!$D:$N,11,FALSE)</f>
        <v>0</v>
      </c>
      <c r="AG142" s="13" t="b">
        <f t="shared" si="30"/>
        <v>1</v>
      </c>
      <c r="AH142" s="12">
        <v>0</v>
      </c>
      <c r="AI142" s="12">
        <f>VLOOKUP(F142,'[1]MGM Report'!$D:$S,12,FALSE)</f>
        <v>0</v>
      </c>
      <c r="AJ142" s="12" t="b">
        <f t="shared" si="31"/>
        <v>1</v>
      </c>
      <c r="AK142" s="13">
        <f>VLOOKUP(F142,[2]HAVASMGMReportKBCUpdatedResult!$F:$R,13,FALSE)</f>
        <v>500000</v>
      </c>
      <c r="AL142" s="13">
        <f>VLOOKUP(F142,'[1]MGM Report'!$D:$S,14,FALSE)</f>
        <v>500000</v>
      </c>
    </row>
    <row r="143" spans="1:38">
      <c r="A143" s="7">
        <v>45758</v>
      </c>
      <c r="B143" s="8" t="s">
        <v>27</v>
      </c>
      <c r="C143" s="8" t="s">
        <v>120</v>
      </c>
      <c r="D143" s="8" t="s">
        <v>71</v>
      </c>
      <c r="E143" s="8" t="s">
        <v>240</v>
      </c>
      <c r="F143" s="8" t="str">
        <f>_xlfn.TEXTBEFORE(E143," ")</f>
        <v>SB22501</v>
      </c>
      <c r="G143" s="9">
        <v>0</v>
      </c>
      <c r="H143" s="9">
        <f>VLOOKUP(F143,'[1]MGM Report'!$D:$E,2,FALSE)</f>
        <v>0</v>
      </c>
      <c r="I143" s="9" t="b">
        <f>G143=H143</f>
        <v>1</v>
      </c>
      <c r="J143" s="12">
        <v>0</v>
      </c>
      <c r="K143" s="12">
        <f>VLOOKUP(F143,'[1]MGM Report'!$D:$F,3,FALSE)</f>
        <v>0</v>
      </c>
      <c r="L143" s="12" t="b">
        <f t="shared" si="24"/>
        <v>1</v>
      </c>
      <c r="M143" s="13">
        <v>0</v>
      </c>
      <c r="N143" s="13">
        <f>VLOOKUP(F143,'[1]MGM Report'!$D:$G,4,FALSE)</f>
        <v>0</v>
      </c>
      <c r="O143" s="13" t="b">
        <f t="shared" si="32"/>
        <v>1</v>
      </c>
      <c r="P143" s="12">
        <v>0</v>
      </c>
      <c r="Q143" s="12">
        <f>VLOOKUP(F143,'[1]MGM Report'!$D:$M,5,FALSE)</f>
        <v>0</v>
      </c>
      <c r="R143" s="12" t="b">
        <f t="shared" si="25"/>
        <v>1</v>
      </c>
      <c r="S143" s="13">
        <v>0</v>
      </c>
      <c r="T143" s="13">
        <f>VLOOKUP(F143,'[1]MGM Report'!$D:$I,6,FALSE)</f>
        <v>0</v>
      </c>
      <c r="U143" s="13" t="b">
        <f t="shared" si="26"/>
        <v>1</v>
      </c>
      <c r="V143" s="12">
        <v>0</v>
      </c>
      <c r="W143" s="12">
        <f>VLOOKUP(F143,'[1]MGM Report'!$D:$J,7,FALSE)</f>
        <v>0</v>
      </c>
      <c r="X143" s="12" t="b">
        <f t="shared" si="27"/>
        <v>1</v>
      </c>
      <c r="Y143" s="13">
        <v>180000</v>
      </c>
      <c r="Z143" s="13">
        <f>VLOOKUP(F143,'[1]MGM Report'!$D:$K,8,FALSE)</f>
        <v>180000</v>
      </c>
      <c r="AA143" s="13" t="b">
        <f t="shared" si="28"/>
        <v>1</v>
      </c>
      <c r="AB143" s="12">
        <v>-180000</v>
      </c>
      <c r="AC143" s="12">
        <f>VLOOKUP(F143,'[1]MGM Report'!$D:$M,10,FALSE)</f>
        <v>180000</v>
      </c>
      <c r="AD143" s="12" t="b">
        <f t="shared" si="29"/>
        <v>0</v>
      </c>
      <c r="AE143" s="13">
        <v>0</v>
      </c>
      <c r="AF143" s="13">
        <f>VLOOKUP(F143,'[1]MGM Report'!$D:$N,11,FALSE)</f>
        <v>0</v>
      </c>
      <c r="AG143" s="13" t="b">
        <f t="shared" si="30"/>
        <v>1</v>
      </c>
      <c r="AH143" s="12">
        <v>0</v>
      </c>
      <c r="AI143" s="12">
        <f>VLOOKUP(F143,'[1]MGM Report'!$D:$S,12,FALSE)</f>
        <v>0</v>
      </c>
      <c r="AJ143" s="12" t="b">
        <f t="shared" si="31"/>
        <v>1</v>
      </c>
      <c r="AK143" s="13">
        <f>VLOOKUP(F143,[2]HAVASMGMReportKBCUpdatedResult!$F:$R,13,FALSE)</f>
        <v>0</v>
      </c>
      <c r="AL143" s="13">
        <f>VLOOKUP(F143,'[1]MGM Report'!$D:$S,14,FALSE)</f>
        <v>0</v>
      </c>
    </row>
    <row r="144" spans="1:38">
      <c r="A144" s="7">
        <v>45758</v>
      </c>
      <c r="B144" s="8" t="s">
        <v>38</v>
      </c>
      <c r="C144" s="8" t="s">
        <v>130</v>
      </c>
      <c r="D144" s="8" t="s">
        <v>43</v>
      </c>
      <c r="E144" s="8" t="s">
        <v>241</v>
      </c>
      <c r="F144" s="8" t="str">
        <f>_xlfn.TEXTBEFORE(E144," ")</f>
        <v>SB22500</v>
      </c>
      <c r="G144" s="9">
        <v>0</v>
      </c>
      <c r="H144" s="9">
        <f>VLOOKUP(F144,'[1]MGM Report'!$D:$E,2,FALSE)</f>
        <v>0</v>
      </c>
      <c r="I144" s="9" t="b">
        <f>G144=H144</f>
        <v>1</v>
      </c>
      <c r="J144" s="12">
        <v>0</v>
      </c>
      <c r="K144" s="12">
        <f>VLOOKUP(F144,'[1]MGM Report'!$D:$F,3,FALSE)</f>
        <v>7892880</v>
      </c>
      <c r="L144" s="12" t="b">
        <f t="shared" si="24"/>
        <v>0</v>
      </c>
      <c r="M144" s="13">
        <v>-7894260</v>
      </c>
      <c r="N144" s="13">
        <f>VLOOKUP(F144,'[1]MGM Report'!$D:$G,4,FALSE)</f>
        <v>7894260</v>
      </c>
      <c r="O144" s="13" t="b">
        <f t="shared" si="32"/>
        <v>0</v>
      </c>
      <c r="P144" s="12">
        <v>0</v>
      </c>
      <c r="Q144" s="12">
        <f>VLOOKUP(F144,'[1]MGM Report'!$D:$M,5,FALSE)</f>
        <v>0</v>
      </c>
      <c r="R144" s="12" t="b">
        <f t="shared" si="25"/>
        <v>1</v>
      </c>
      <c r="S144" s="13">
        <v>-7894260</v>
      </c>
      <c r="T144" s="13">
        <f>VLOOKUP(F144,'[1]MGM Report'!$D:$I,6,FALSE)</f>
        <v>1380</v>
      </c>
      <c r="U144" s="13" t="b">
        <f t="shared" si="26"/>
        <v>0</v>
      </c>
      <c r="V144" s="12">
        <v>982055.76</v>
      </c>
      <c r="W144" s="12">
        <f>VLOOKUP(F144,'[1]MGM Report'!$D:$J,7,FALSE)</f>
        <v>1002047.76</v>
      </c>
      <c r="X144" s="12" t="b">
        <f t="shared" si="27"/>
        <v>0</v>
      </c>
      <c r="Y144" s="13">
        <v>4785048.76</v>
      </c>
      <c r="Z144" s="13">
        <f>VLOOKUP(F144,'[1]MGM Report'!$D:$K,8,FALSE)</f>
        <v>4785048.76</v>
      </c>
      <c r="AA144" s="13" t="b">
        <f t="shared" si="28"/>
        <v>1</v>
      </c>
      <c r="AB144" s="12">
        <v>-4735048.76</v>
      </c>
      <c r="AC144" s="12">
        <f>VLOOKUP(F144,'[1]MGM Report'!$D:$M,10,FALSE)</f>
        <v>4735048.76</v>
      </c>
      <c r="AD144" s="12" t="b">
        <f t="shared" si="29"/>
        <v>0</v>
      </c>
      <c r="AE144" s="13">
        <v>-50000</v>
      </c>
      <c r="AF144" s="13">
        <f>VLOOKUP(F144,'[1]MGM Report'!$D:$N,11,FALSE)</f>
        <v>50000</v>
      </c>
      <c r="AG144" s="13" t="b">
        <f t="shared" si="30"/>
        <v>0</v>
      </c>
      <c r="AH144" s="12">
        <v>0</v>
      </c>
      <c r="AI144" s="12">
        <f>VLOOKUP(F144,'[1]MGM Report'!$D:$S,12,FALSE)</f>
        <v>0</v>
      </c>
      <c r="AJ144" s="12" t="b">
        <f t="shared" si="31"/>
        <v>1</v>
      </c>
      <c r="AK144" s="13">
        <f>VLOOKUP(F144,[2]HAVASMGMReportKBCUpdatedResult!$F:$R,13,FALSE)</f>
        <v>-982055.76</v>
      </c>
      <c r="AL144" s="13">
        <f>VLOOKUP(F144,'[1]MGM Report'!$D:$S,14,FALSE)</f>
        <v>1002047.76</v>
      </c>
    </row>
    <row r="145" spans="1:38">
      <c r="A145" s="7">
        <v>45758</v>
      </c>
      <c r="B145" s="8" t="s">
        <v>27</v>
      </c>
      <c r="C145" s="8" t="s">
        <v>120</v>
      </c>
      <c r="D145" s="8" t="s">
        <v>71</v>
      </c>
      <c r="E145" s="8" t="s">
        <v>242</v>
      </c>
      <c r="F145" s="8" t="str">
        <f>_xlfn.TEXTBEFORE(E145," ")</f>
        <v>SB22502</v>
      </c>
      <c r="G145" s="9">
        <v>0</v>
      </c>
      <c r="H145" s="9">
        <f>VLOOKUP(F145,'[1]MGM Report'!$D:$E,2,FALSE)</f>
        <v>0</v>
      </c>
      <c r="I145" s="9" t="b">
        <f>G145=H145</f>
        <v>1</v>
      </c>
      <c r="J145" s="12">
        <v>0</v>
      </c>
      <c r="K145" s="12">
        <f>VLOOKUP(F145,'[1]MGM Report'!$D:$F,3,FALSE)</f>
        <v>0</v>
      </c>
      <c r="L145" s="12" t="b">
        <f t="shared" si="24"/>
        <v>1</v>
      </c>
      <c r="M145" s="13">
        <v>0</v>
      </c>
      <c r="N145" s="13">
        <f>VLOOKUP(F145,'[1]MGM Report'!$D:$G,4,FALSE)</f>
        <v>0</v>
      </c>
      <c r="O145" s="13" t="b">
        <f t="shared" si="32"/>
        <v>1</v>
      </c>
      <c r="P145" s="12">
        <v>0</v>
      </c>
      <c r="Q145" s="12">
        <f>VLOOKUP(F145,'[1]MGM Report'!$D:$M,5,FALSE)</f>
        <v>0</v>
      </c>
      <c r="R145" s="12" t="b">
        <f t="shared" si="25"/>
        <v>1</v>
      </c>
      <c r="S145" s="13">
        <v>0</v>
      </c>
      <c r="T145" s="13">
        <f>VLOOKUP(F145,'[1]MGM Report'!$D:$I,6,FALSE)</f>
        <v>0</v>
      </c>
      <c r="U145" s="13" t="b">
        <f t="shared" si="26"/>
        <v>1</v>
      </c>
      <c r="V145" s="12">
        <v>142768</v>
      </c>
      <c r="W145" s="12">
        <f>VLOOKUP(F145,'[1]MGM Report'!$D:$J,7,FALSE)</f>
        <v>267108.3</v>
      </c>
      <c r="X145" s="12" t="b">
        <f t="shared" si="27"/>
        <v>0</v>
      </c>
      <c r="Y145" s="13">
        <v>428608.3</v>
      </c>
      <c r="Z145" s="13">
        <f>VLOOKUP(F145,'[1]MGM Report'!$D:$K,8,FALSE)</f>
        <v>428608.3</v>
      </c>
      <c r="AA145" s="13" t="b">
        <f t="shared" si="28"/>
        <v>1</v>
      </c>
      <c r="AB145" s="12">
        <v>-486500</v>
      </c>
      <c r="AC145" s="12">
        <f>VLOOKUP(F145,'[1]MGM Report'!$D:$M,10,FALSE)</f>
        <v>486500</v>
      </c>
      <c r="AD145" s="12" t="b">
        <f t="shared" si="29"/>
        <v>0</v>
      </c>
      <c r="AE145" s="13">
        <v>0</v>
      </c>
      <c r="AF145" s="13">
        <f>VLOOKUP(F145,'[1]MGM Report'!$D:$N,11,FALSE)</f>
        <v>0</v>
      </c>
      <c r="AG145" s="13" t="b">
        <f t="shared" si="30"/>
        <v>1</v>
      </c>
      <c r="AH145" s="12">
        <v>-57891.7</v>
      </c>
      <c r="AI145" s="12">
        <f>VLOOKUP(F145,'[1]MGM Report'!$D:$S,12,FALSE)</f>
        <v>57891.7</v>
      </c>
      <c r="AJ145" s="12" t="b">
        <f t="shared" si="31"/>
        <v>0</v>
      </c>
      <c r="AK145" s="13">
        <f>VLOOKUP(F145,[2]HAVASMGMReportKBCUpdatedResult!$F:$R,13,FALSE)</f>
        <v>-142768</v>
      </c>
      <c r="AL145" s="13">
        <f>VLOOKUP(F145,'[1]MGM Report'!$D:$S,14,FALSE)</f>
        <v>267108.3</v>
      </c>
    </row>
    <row r="146" spans="1:38">
      <c r="A146" s="7">
        <v>45758</v>
      </c>
      <c r="B146" s="8" t="s">
        <v>38</v>
      </c>
      <c r="C146" s="8" t="s">
        <v>130</v>
      </c>
      <c r="D146" s="8" t="s">
        <v>51</v>
      </c>
      <c r="E146" s="8" t="s">
        <v>243</v>
      </c>
      <c r="F146" s="8" t="str">
        <f>_xlfn.TEXTBEFORE(E146," ")</f>
        <v>SB22498</v>
      </c>
      <c r="G146" s="9">
        <v>0</v>
      </c>
      <c r="H146" s="9">
        <f>VLOOKUP(F146,'[1]MGM Report'!$D:$E,2,FALSE)</f>
        <v>0</v>
      </c>
      <c r="I146" s="9" t="b">
        <f>G146=H146</f>
        <v>1</v>
      </c>
      <c r="J146" s="12">
        <v>0</v>
      </c>
      <c r="K146" s="12">
        <f>VLOOKUP(F146,'[1]MGM Report'!$D:$F,3,FALSE)</f>
        <v>0</v>
      </c>
      <c r="L146" s="12" t="b">
        <f t="shared" si="24"/>
        <v>1</v>
      </c>
      <c r="M146" s="13">
        <v>0</v>
      </c>
      <c r="N146" s="13">
        <f>VLOOKUP(F146,'[1]MGM Report'!$D:$G,4,FALSE)</f>
        <v>0</v>
      </c>
      <c r="O146" s="13" t="b">
        <f t="shared" si="32"/>
        <v>1</v>
      </c>
      <c r="P146" s="12">
        <v>0</v>
      </c>
      <c r="Q146" s="12">
        <f>VLOOKUP(F146,'[1]MGM Report'!$D:$M,5,FALSE)</f>
        <v>0</v>
      </c>
      <c r="R146" s="12" t="b">
        <f t="shared" si="25"/>
        <v>1</v>
      </c>
      <c r="S146" s="13">
        <v>0</v>
      </c>
      <c r="T146" s="13">
        <f>VLOOKUP(F146,'[1]MGM Report'!$D:$I,6,FALSE)</f>
        <v>0</v>
      </c>
      <c r="U146" s="13" t="b">
        <f t="shared" si="26"/>
        <v>1</v>
      </c>
      <c r="V146" s="12">
        <v>99741.6</v>
      </c>
      <c r="W146" s="12">
        <f>VLOOKUP(F146,'[1]MGM Report'!$D:$J,7,FALSE)</f>
        <v>99741.6</v>
      </c>
      <c r="X146" s="12" t="b">
        <f t="shared" si="27"/>
        <v>1</v>
      </c>
      <c r="Y146" s="13">
        <v>119741.6</v>
      </c>
      <c r="Z146" s="13">
        <f>VLOOKUP(F146,'[1]MGM Report'!$D:$K,8,FALSE)</f>
        <v>119741.6</v>
      </c>
      <c r="AA146" s="13" t="b">
        <f t="shared" si="28"/>
        <v>1</v>
      </c>
      <c r="AB146" s="12">
        <v>-119741</v>
      </c>
      <c r="AC146" s="12">
        <f>VLOOKUP(F146,'[1]MGM Report'!$D:$M,10,FALSE)</f>
        <v>119741</v>
      </c>
      <c r="AD146" s="12" t="b">
        <f t="shared" si="29"/>
        <v>0</v>
      </c>
      <c r="AE146" s="13">
        <v>0</v>
      </c>
      <c r="AF146" s="13">
        <f>VLOOKUP(F146,'[1]MGM Report'!$D:$N,11,FALSE)</f>
        <v>0</v>
      </c>
      <c r="AG146" s="13" t="b">
        <f t="shared" si="30"/>
        <v>1</v>
      </c>
      <c r="AH146" s="12">
        <v>0.6</v>
      </c>
      <c r="AI146" s="12">
        <f>VLOOKUP(F146,'[1]MGM Report'!$D:$S,12,FALSE)</f>
        <v>0.6</v>
      </c>
      <c r="AJ146" s="12" t="b">
        <f t="shared" si="31"/>
        <v>1</v>
      </c>
      <c r="AK146" s="13">
        <f>VLOOKUP(F146,[2]HAVASMGMReportKBCUpdatedResult!$F:$R,13,FALSE)</f>
        <v>-99741.6</v>
      </c>
      <c r="AL146" s="13">
        <f>VLOOKUP(F146,'[1]MGM Report'!$D:$S,14,FALSE)</f>
        <v>99741.6</v>
      </c>
    </row>
    <row r="147" spans="1:38">
      <c r="A147" s="7">
        <v>45758</v>
      </c>
      <c r="B147" s="8" t="s">
        <v>27</v>
      </c>
      <c r="C147" s="8" t="s">
        <v>120</v>
      </c>
      <c r="D147" s="8" t="s">
        <v>64</v>
      </c>
      <c r="E147" s="8" t="s">
        <v>244</v>
      </c>
      <c r="F147" s="8" t="str">
        <f>_xlfn.TEXTBEFORE(E147," ")</f>
        <v>SB22495</v>
      </c>
      <c r="G147" s="9">
        <v>2741972</v>
      </c>
      <c r="H147" s="9">
        <f>VLOOKUP(F147,'[1]MGM Report'!$D:$E,2,FALSE)</f>
        <v>2741972</v>
      </c>
      <c r="I147" s="9" t="b">
        <f>G147=H147</f>
        <v>1</v>
      </c>
      <c r="J147" s="12">
        <v>0</v>
      </c>
      <c r="K147" s="12">
        <f>VLOOKUP(F147,'[1]MGM Report'!$D:$F,3,FALSE)</f>
        <v>0</v>
      </c>
      <c r="L147" s="12" t="b">
        <f t="shared" si="24"/>
        <v>1</v>
      </c>
      <c r="M147" s="13">
        <v>0</v>
      </c>
      <c r="N147" s="13">
        <f>VLOOKUP(F147,'[1]MGM Report'!$D:$G,4,FALSE)</f>
        <v>0</v>
      </c>
      <c r="O147" s="13" t="b">
        <f t="shared" si="32"/>
        <v>1</v>
      </c>
      <c r="P147" s="12">
        <v>0</v>
      </c>
      <c r="Q147" s="12">
        <f>VLOOKUP(F147,'[1]MGM Report'!$D:$M,5,FALSE)</f>
        <v>0</v>
      </c>
      <c r="R147" s="12" t="b">
        <f t="shared" si="25"/>
        <v>1</v>
      </c>
      <c r="S147" s="13">
        <v>0</v>
      </c>
      <c r="T147" s="13">
        <f>VLOOKUP(F147,'[1]MGM Report'!$D:$I,6,FALSE)</f>
        <v>0</v>
      </c>
      <c r="U147" s="13" t="b">
        <f t="shared" si="26"/>
        <v>1</v>
      </c>
      <c r="V147" s="12">
        <v>0</v>
      </c>
      <c r="W147" s="12">
        <f>VLOOKUP(F147,'[1]MGM Report'!$D:$J,7,FALSE)</f>
        <v>0</v>
      </c>
      <c r="X147" s="12" t="b">
        <f t="shared" si="27"/>
        <v>1</v>
      </c>
      <c r="Y147" s="13">
        <v>658382</v>
      </c>
      <c r="Z147" s="13">
        <f>VLOOKUP(F147,'[1]MGM Report'!$D:$K,8,FALSE)</f>
        <v>658382</v>
      </c>
      <c r="AA147" s="13" t="b">
        <f t="shared" si="28"/>
        <v>1</v>
      </c>
      <c r="AB147" s="12">
        <v>-657910</v>
      </c>
      <c r="AC147" s="12">
        <f>VLOOKUP(F147,'[1]MGM Report'!$D:$M,10,FALSE)</f>
        <v>657910</v>
      </c>
      <c r="AD147" s="12" t="b">
        <f t="shared" si="29"/>
        <v>0</v>
      </c>
      <c r="AE147" s="13">
        <v>0</v>
      </c>
      <c r="AF147" s="13">
        <f>VLOOKUP(F147,'[1]MGM Report'!$D:$N,11,FALSE)</f>
        <v>0</v>
      </c>
      <c r="AG147" s="13" t="b">
        <f t="shared" si="30"/>
        <v>1</v>
      </c>
      <c r="AH147" s="12">
        <v>472</v>
      </c>
      <c r="AI147" s="12">
        <f>VLOOKUP(F147,'[1]MGM Report'!$D:$S,12,FALSE)</f>
        <v>472</v>
      </c>
      <c r="AJ147" s="12" t="b">
        <f t="shared" si="31"/>
        <v>1</v>
      </c>
      <c r="AK147" s="13">
        <f>VLOOKUP(F147,[2]HAVASMGMReportKBCUpdatedResult!$F:$R,13,FALSE)</f>
        <v>2741972</v>
      </c>
      <c r="AL147" s="13">
        <f>VLOOKUP(F147,'[1]MGM Report'!$D:$S,14,FALSE)</f>
        <v>2741972</v>
      </c>
    </row>
    <row r="148" spans="1:38">
      <c r="A148" s="7">
        <v>45758</v>
      </c>
      <c r="B148" s="8" t="s">
        <v>27</v>
      </c>
      <c r="C148" s="8" t="s">
        <v>120</v>
      </c>
      <c r="D148" s="8" t="s">
        <v>168</v>
      </c>
      <c r="E148" s="8" t="s">
        <v>245</v>
      </c>
      <c r="F148" s="8" t="str">
        <f>_xlfn.TEXTBEFORE(E148," ")</f>
        <v>SB22492</v>
      </c>
      <c r="G148" s="9">
        <v>0</v>
      </c>
      <c r="H148" s="9">
        <f>VLOOKUP(F148,'[1]MGM Report'!$D:$E,2,FALSE)</f>
        <v>0</v>
      </c>
      <c r="I148" s="9" t="b">
        <f>G148=H148</f>
        <v>1</v>
      </c>
      <c r="J148" s="12">
        <v>1920687</v>
      </c>
      <c r="K148" s="12">
        <f>VLOOKUP(F148,'[1]MGM Report'!$D:$F,3,FALSE)</f>
        <v>1920687</v>
      </c>
      <c r="L148" s="12" t="b">
        <f t="shared" si="24"/>
        <v>1</v>
      </c>
      <c r="M148" s="13">
        <v>-1871000</v>
      </c>
      <c r="N148" s="13">
        <f>VLOOKUP(F148,'[1]MGM Report'!$D:$G,4,FALSE)</f>
        <v>1871000</v>
      </c>
      <c r="O148" s="13" t="b">
        <f t="shared" si="32"/>
        <v>0</v>
      </c>
      <c r="P148" s="12">
        <v>0</v>
      </c>
      <c r="Q148" s="12">
        <f>VLOOKUP(F148,'[1]MGM Report'!$D:$M,5,FALSE)</f>
        <v>0</v>
      </c>
      <c r="R148" s="12" t="b">
        <f t="shared" si="25"/>
        <v>1</v>
      </c>
      <c r="S148" s="13">
        <v>49687</v>
      </c>
      <c r="T148" s="13">
        <f>VLOOKUP(F148,'[1]MGM Report'!$D:$I,6,FALSE)</f>
        <v>49687</v>
      </c>
      <c r="U148" s="13" t="b">
        <f t="shared" si="26"/>
        <v>1</v>
      </c>
      <c r="V148" s="12">
        <v>745579</v>
      </c>
      <c r="W148" s="12">
        <f>VLOOKUP(F148,'[1]MGM Report'!$D:$J,7,FALSE)</f>
        <v>742817.44</v>
      </c>
      <c r="X148" s="12" t="b">
        <f t="shared" si="27"/>
        <v>0</v>
      </c>
      <c r="Y148" s="13">
        <v>1222217.48</v>
      </c>
      <c r="Z148" s="13">
        <f>VLOOKUP(F148,'[1]MGM Report'!$D:$K,8,FALSE)</f>
        <v>1204302.48</v>
      </c>
      <c r="AA148" s="13" t="b">
        <f t="shared" si="28"/>
        <v>0</v>
      </c>
      <c r="AB148" s="12">
        <v>-779853.52</v>
      </c>
      <c r="AC148" s="12">
        <f>VLOOKUP(F148,'[1]MGM Report'!$D:$M,10,FALSE)</f>
        <v>779853.52</v>
      </c>
      <c r="AD148" s="12" t="b">
        <f t="shared" si="29"/>
        <v>0</v>
      </c>
      <c r="AE148" s="13">
        <v>-200000</v>
      </c>
      <c r="AF148" s="13">
        <f>VLOOKUP(F148,'[1]MGM Report'!$D:$N,11,FALSE)</f>
        <v>200000</v>
      </c>
      <c r="AG148" s="13" t="b">
        <f t="shared" si="30"/>
        <v>0</v>
      </c>
      <c r="AH148" s="12">
        <v>242363.96</v>
      </c>
      <c r="AI148" s="12">
        <f>VLOOKUP(F148,'[1]MGM Report'!$D:$S,12,FALSE)</f>
        <v>224448.96</v>
      </c>
      <c r="AJ148" s="12" t="b">
        <f t="shared" si="31"/>
        <v>0</v>
      </c>
      <c r="AK148" s="13">
        <f>VLOOKUP(F148,[2]HAVASMGMReportKBCUpdatedResult!$F:$R,13,FALSE)</f>
        <v>-745579</v>
      </c>
      <c r="AL148" s="13">
        <f>VLOOKUP(F148,'[1]MGM Report'!$D:$S,14,FALSE)</f>
        <v>742817.44</v>
      </c>
    </row>
    <row r="149" spans="1:38">
      <c r="A149" s="7">
        <v>45758</v>
      </c>
      <c r="B149" s="8" t="s">
        <v>27</v>
      </c>
      <c r="C149" s="8" t="s">
        <v>120</v>
      </c>
      <c r="D149" s="8" t="s">
        <v>71</v>
      </c>
      <c r="E149" s="8" t="s">
        <v>246</v>
      </c>
      <c r="F149" s="8" t="str">
        <f>_xlfn.TEXTBEFORE(E149," ")</f>
        <v>SB22494</v>
      </c>
      <c r="G149" s="9">
        <v>0</v>
      </c>
      <c r="H149" s="9">
        <f>VLOOKUP(F149,'[1]MGM Report'!$D:$E,2,FALSE)</f>
        <v>0</v>
      </c>
      <c r="I149" s="9" t="b">
        <f>G149=H149</f>
        <v>1</v>
      </c>
      <c r="J149" s="12">
        <v>0</v>
      </c>
      <c r="K149" s="12">
        <f>VLOOKUP(F149,'[1]MGM Report'!$D:$F,3,FALSE)</f>
        <v>0</v>
      </c>
      <c r="L149" s="12" t="b">
        <f t="shared" si="24"/>
        <v>1</v>
      </c>
      <c r="M149" s="13">
        <v>0</v>
      </c>
      <c r="N149" s="13">
        <f>VLOOKUP(F149,'[1]MGM Report'!$D:$G,4,FALSE)</f>
        <v>0</v>
      </c>
      <c r="O149" s="13" t="b">
        <f t="shared" si="32"/>
        <v>1</v>
      </c>
      <c r="P149" s="12">
        <v>0</v>
      </c>
      <c r="Q149" s="12">
        <f>VLOOKUP(F149,'[1]MGM Report'!$D:$M,5,FALSE)</f>
        <v>0</v>
      </c>
      <c r="R149" s="12" t="b">
        <f t="shared" si="25"/>
        <v>1</v>
      </c>
      <c r="S149" s="13">
        <v>0</v>
      </c>
      <c r="T149" s="13">
        <f>VLOOKUP(F149,'[1]MGM Report'!$D:$I,6,FALSE)</f>
        <v>0</v>
      </c>
      <c r="U149" s="13" t="b">
        <f t="shared" si="26"/>
        <v>1</v>
      </c>
      <c r="V149" s="12">
        <v>0</v>
      </c>
      <c r="W149" s="12">
        <f>VLOOKUP(F149,'[1]MGM Report'!$D:$J,7,FALSE)</f>
        <v>0</v>
      </c>
      <c r="X149" s="12" t="b">
        <f t="shared" si="27"/>
        <v>1</v>
      </c>
      <c r="Y149" s="13">
        <v>26000</v>
      </c>
      <c r="Z149" s="13">
        <f>VLOOKUP(F149,'[1]MGM Report'!$D:$K,8,FALSE)</f>
        <v>26000</v>
      </c>
      <c r="AA149" s="13" t="b">
        <f t="shared" si="28"/>
        <v>1</v>
      </c>
      <c r="AB149" s="12">
        <v>-26000</v>
      </c>
      <c r="AC149" s="12">
        <f>VLOOKUP(F149,'[1]MGM Report'!$D:$M,10,FALSE)</f>
        <v>26000</v>
      </c>
      <c r="AD149" s="12" t="b">
        <f t="shared" si="29"/>
        <v>0</v>
      </c>
      <c r="AE149" s="13">
        <v>0</v>
      </c>
      <c r="AF149" s="13">
        <f>VLOOKUP(F149,'[1]MGM Report'!$D:$N,11,FALSE)</f>
        <v>0</v>
      </c>
      <c r="AG149" s="13" t="b">
        <f t="shared" si="30"/>
        <v>1</v>
      </c>
      <c r="AH149" s="12">
        <v>0</v>
      </c>
      <c r="AI149" s="12">
        <f>VLOOKUP(F149,'[1]MGM Report'!$D:$S,12,FALSE)</f>
        <v>0</v>
      </c>
      <c r="AJ149" s="12" t="b">
        <f t="shared" si="31"/>
        <v>1</v>
      </c>
      <c r="AK149" s="13">
        <f>VLOOKUP(F149,[2]HAVASMGMReportKBCUpdatedResult!$F:$R,13,FALSE)</f>
        <v>0</v>
      </c>
      <c r="AL149" s="13">
        <f>VLOOKUP(F149,'[1]MGM Report'!$D:$S,14,FALSE)</f>
        <v>0</v>
      </c>
    </row>
    <row r="150" spans="1:38">
      <c r="A150" s="7">
        <v>45758</v>
      </c>
      <c r="B150" s="8" t="s">
        <v>27</v>
      </c>
      <c r="C150" s="8" t="s">
        <v>120</v>
      </c>
      <c r="D150" s="8" t="s">
        <v>64</v>
      </c>
      <c r="E150" s="8" t="s">
        <v>247</v>
      </c>
      <c r="F150" s="8" t="str">
        <f>_xlfn.TEXTBEFORE(E150," ")</f>
        <v>SB22491</v>
      </c>
      <c r="G150" s="9">
        <v>800166</v>
      </c>
      <c r="H150" s="9">
        <f>VLOOKUP(F150,'[1]MGM Report'!$D:$E,2,FALSE)</f>
        <v>800166</v>
      </c>
      <c r="I150" s="9" t="b">
        <f>G150=H150</f>
        <v>1</v>
      </c>
      <c r="J150" s="12">
        <v>15800720</v>
      </c>
      <c r="K150" s="12">
        <f>VLOOKUP(F150,'[1]MGM Report'!$D:$F,3,FALSE)</f>
        <v>15800720</v>
      </c>
      <c r="L150" s="12" t="b">
        <f t="shared" si="24"/>
        <v>1</v>
      </c>
      <c r="M150" s="13">
        <v>-14900720.39</v>
      </c>
      <c r="N150" s="13">
        <f>VLOOKUP(F150,'[1]MGM Report'!$D:$G,4,FALSE)</f>
        <v>14900720.39</v>
      </c>
      <c r="O150" s="13" t="b">
        <f t="shared" si="32"/>
        <v>0</v>
      </c>
      <c r="P150" s="12">
        <v>0</v>
      </c>
      <c r="Q150" s="12">
        <f>VLOOKUP(F150,'[1]MGM Report'!$D:$M,5,FALSE)</f>
        <v>0</v>
      </c>
      <c r="R150" s="12" t="b">
        <f t="shared" si="25"/>
        <v>1</v>
      </c>
      <c r="S150" s="13">
        <v>899999.61</v>
      </c>
      <c r="T150" s="13">
        <f>VLOOKUP(F150,'[1]MGM Report'!$D:$I,6,FALSE)</f>
        <v>899999.61</v>
      </c>
      <c r="U150" s="13" t="b">
        <f t="shared" si="26"/>
        <v>1</v>
      </c>
      <c r="V150" s="12">
        <v>2378944.5</v>
      </c>
      <c r="W150" s="12">
        <f>VLOOKUP(F150,'[1]MGM Report'!$D:$J,7,FALSE)</f>
        <v>2868336.67</v>
      </c>
      <c r="X150" s="12" t="b">
        <f t="shared" si="27"/>
        <v>0</v>
      </c>
      <c r="Y150" s="13">
        <v>6289754.67</v>
      </c>
      <c r="Z150" s="13">
        <f>VLOOKUP(F150,'[1]MGM Report'!$D:$K,8,FALSE)</f>
        <v>6416420.67</v>
      </c>
      <c r="AA150" s="13" t="b">
        <f t="shared" si="28"/>
        <v>0</v>
      </c>
      <c r="AB150" s="12">
        <v>-5959838.19</v>
      </c>
      <c r="AC150" s="12">
        <f>VLOOKUP(F150,'[1]MGM Report'!$D:$M,10,FALSE)</f>
        <v>5959838.19</v>
      </c>
      <c r="AD150" s="12" t="b">
        <f t="shared" si="29"/>
        <v>0</v>
      </c>
      <c r="AE150" s="13">
        <v>0</v>
      </c>
      <c r="AF150" s="13">
        <f>VLOOKUP(F150,'[1]MGM Report'!$D:$N,11,FALSE)</f>
        <v>0</v>
      </c>
      <c r="AG150" s="13" t="b">
        <f t="shared" si="30"/>
        <v>1</v>
      </c>
      <c r="AH150" s="12">
        <v>329916.48</v>
      </c>
      <c r="AI150" s="12">
        <f>VLOOKUP(F150,'[1]MGM Report'!$D:$S,12,FALSE)</f>
        <v>456582.48</v>
      </c>
      <c r="AJ150" s="12" t="b">
        <f t="shared" si="31"/>
        <v>0</v>
      </c>
      <c r="AK150" s="13">
        <f>VLOOKUP(F150,[2]HAVASMGMReportKBCUpdatedResult!$F:$R,13,FALSE)</f>
        <v>-1578778.5</v>
      </c>
      <c r="AL150" s="13">
        <f>VLOOKUP(F150,'[1]MGM Report'!$D:$S,14,FALSE)</f>
        <v>2068170.67</v>
      </c>
    </row>
    <row r="151" spans="1:38">
      <c r="A151" s="7">
        <v>45758</v>
      </c>
      <c r="B151" s="8" t="s">
        <v>31</v>
      </c>
      <c r="C151" s="8" t="s">
        <v>115</v>
      </c>
      <c r="D151" s="8" t="s">
        <v>248</v>
      </c>
      <c r="E151" s="8" t="s">
        <v>249</v>
      </c>
      <c r="F151" s="8" t="str">
        <f>_xlfn.TEXTBEFORE(E151," ")</f>
        <v>SB22488</v>
      </c>
      <c r="G151" s="9">
        <v>0</v>
      </c>
      <c r="H151" s="9">
        <f>VLOOKUP(F151,'[1]MGM Report'!$D:$E,2,FALSE)</f>
        <v>0</v>
      </c>
      <c r="I151" s="9" t="b">
        <f>G151=H151</f>
        <v>1</v>
      </c>
      <c r="J151" s="12">
        <v>339093</v>
      </c>
      <c r="K151" s="12">
        <f>VLOOKUP(F151,'[1]MGM Report'!$D:$F,3,FALSE)</f>
        <v>339093</v>
      </c>
      <c r="L151" s="12" t="b">
        <f t="shared" si="24"/>
        <v>1</v>
      </c>
      <c r="M151" s="13">
        <v>-339093</v>
      </c>
      <c r="N151" s="13">
        <f>VLOOKUP(F151,'[1]MGM Report'!$D:$G,4,FALSE)</f>
        <v>339093</v>
      </c>
      <c r="O151" s="13" t="b">
        <f t="shared" si="32"/>
        <v>0</v>
      </c>
      <c r="P151" s="12">
        <v>0</v>
      </c>
      <c r="Q151" s="12">
        <f>VLOOKUP(F151,'[1]MGM Report'!$D:$M,5,FALSE)</f>
        <v>0</v>
      </c>
      <c r="R151" s="12" t="b">
        <f t="shared" si="25"/>
        <v>1</v>
      </c>
      <c r="S151" s="13">
        <v>0</v>
      </c>
      <c r="T151" s="13">
        <f>VLOOKUP(F151,'[1]MGM Report'!$D:$I,6,FALSE)</f>
        <v>0</v>
      </c>
      <c r="U151" s="13" t="b">
        <f t="shared" si="26"/>
        <v>1</v>
      </c>
      <c r="V151" s="12">
        <v>0</v>
      </c>
      <c r="W151" s="12">
        <f>VLOOKUP(F151,'[1]MGM Report'!$D:$J,7,FALSE)</f>
        <v>0</v>
      </c>
      <c r="X151" s="12" t="b">
        <f t="shared" si="27"/>
        <v>1</v>
      </c>
      <c r="Y151" s="13">
        <v>58820</v>
      </c>
      <c r="Z151" s="13">
        <f>VLOOKUP(F151,'[1]MGM Report'!$D:$K,8,FALSE)</f>
        <v>58820</v>
      </c>
      <c r="AA151" s="13" t="b">
        <f t="shared" si="28"/>
        <v>1</v>
      </c>
      <c r="AB151" s="12">
        <v>-58820</v>
      </c>
      <c r="AC151" s="12">
        <f>VLOOKUP(F151,'[1]MGM Report'!$D:$M,10,FALSE)</f>
        <v>58820</v>
      </c>
      <c r="AD151" s="12" t="b">
        <f t="shared" si="29"/>
        <v>0</v>
      </c>
      <c r="AE151" s="13">
        <v>0</v>
      </c>
      <c r="AF151" s="13">
        <f>VLOOKUP(F151,'[1]MGM Report'!$D:$N,11,FALSE)</f>
        <v>0</v>
      </c>
      <c r="AG151" s="13" t="b">
        <f t="shared" si="30"/>
        <v>1</v>
      </c>
      <c r="AH151" s="12">
        <v>0</v>
      </c>
      <c r="AI151" s="12">
        <f>VLOOKUP(F151,'[1]MGM Report'!$D:$S,12,FALSE)</f>
        <v>0</v>
      </c>
      <c r="AJ151" s="12" t="b">
        <f t="shared" si="31"/>
        <v>1</v>
      </c>
      <c r="AK151" s="13">
        <f>VLOOKUP(F151,[2]HAVASMGMReportKBCUpdatedResult!$F:$R,13,FALSE)</f>
        <v>0</v>
      </c>
      <c r="AL151" s="13">
        <f>VLOOKUP(F151,'[1]MGM Report'!$D:$S,14,FALSE)</f>
        <v>0</v>
      </c>
    </row>
    <row r="152" spans="1:38">
      <c r="A152" s="7">
        <v>45758</v>
      </c>
      <c r="B152" s="8" t="s">
        <v>31</v>
      </c>
      <c r="C152" s="8" t="s">
        <v>115</v>
      </c>
      <c r="D152" s="8" t="s">
        <v>45</v>
      </c>
      <c r="E152" s="8" t="s">
        <v>250</v>
      </c>
      <c r="F152" s="8" t="str">
        <f>_xlfn.TEXTBEFORE(E152," ")</f>
        <v>SB22487</v>
      </c>
      <c r="G152" s="9">
        <v>0</v>
      </c>
      <c r="H152" s="9">
        <f>VLOOKUP(F152,'[1]MGM Report'!$D:$E,2,FALSE)</f>
        <v>0</v>
      </c>
      <c r="I152" s="9" t="b">
        <f>G152=H152</f>
        <v>1</v>
      </c>
      <c r="J152" s="12">
        <v>0</v>
      </c>
      <c r="K152" s="12">
        <f>VLOOKUP(F152,'[1]MGM Report'!$D:$F,3,FALSE)</f>
        <v>0</v>
      </c>
      <c r="L152" s="12" t="b">
        <f t="shared" si="24"/>
        <v>1</v>
      </c>
      <c r="M152" s="13">
        <v>0</v>
      </c>
      <c r="N152" s="13">
        <f>VLOOKUP(F152,'[1]MGM Report'!$D:$G,4,FALSE)</f>
        <v>0</v>
      </c>
      <c r="O152" s="13" t="b">
        <f t="shared" si="32"/>
        <v>1</v>
      </c>
      <c r="P152" s="12">
        <v>0</v>
      </c>
      <c r="Q152" s="12">
        <f>VLOOKUP(F152,'[1]MGM Report'!$D:$M,5,FALSE)</f>
        <v>0</v>
      </c>
      <c r="R152" s="12" t="b">
        <f t="shared" si="25"/>
        <v>1</v>
      </c>
      <c r="S152" s="13">
        <v>0</v>
      </c>
      <c r="T152" s="13">
        <f>VLOOKUP(F152,'[1]MGM Report'!$D:$I,6,FALSE)</f>
        <v>0</v>
      </c>
      <c r="U152" s="13" t="b">
        <f t="shared" si="26"/>
        <v>1</v>
      </c>
      <c r="V152" s="12">
        <v>0</v>
      </c>
      <c r="W152" s="12">
        <f>VLOOKUP(F152,'[1]MGM Report'!$D:$J,7,FALSE)</f>
        <v>0</v>
      </c>
      <c r="X152" s="12" t="b">
        <f t="shared" si="27"/>
        <v>1</v>
      </c>
      <c r="Y152" s="13">
        <v>36830</v>
      </c>
      <c r="Z152" s="13">
        <f>VLOOKUP(F152,'[1]MGM Report'!$D:$K,8,FALSE)</f>
        <v>36830</v>
      </c>
      <c r="AA152" s="13" t="b">
        <f t="shared" si="28"/>
        <v>1</v>
      </c>
      <c r="AB152" s="12">
        <v>-36830</v>
      </c>
      <c r="AC152" s="12">
        <f>VLOOKUP(F152,'[1]MGM Report'!$D:$M,10,FALSE)</f>
        <v>36830</v>
      </c>
      <c r="AD152" s="12" t="b">
        <f t="shared" si="29"/>
        <v>0</v>
      </c>
      <c r="AE152" s="13">
        <v>0</v>
      </c>
      <c r="AF152" s="13">
        <f>VLOOKUP(F152,'[1]MGM Report'!$D:$N,11,FALSE)</f>
        <v>0</v>
      </c>
      <c r="AG152" s="13" t="b">
        <f t="shared" si="30"/>
        <v>1</v>
      </c>
      <c r="AH152" s="12">
        <v>0</v>
      </c>
      <c r="AI152" s="12">
        <f>VLOOKUP(F152,'[1]MGM Report'!$D:$S,12,FALSE)</f>
        <v>0</v>
      </c>
      <c r="AJ152" s="12" t="b">
        <f t="shared" si="31"/>
        <v>1</v>
      </c>
      <c r="AK152" s="13">
        <f>VLOOKUP(F152,[2]HAVASMGMReportKBCUpdatedResult!$F:$R,13,FALSE)</f>
        <v>0</v>
      </c>
      <c r="AL152" s="13">
        <f>VLOOKUP(F152,'[1]MGM Report'!$D:$S,14,FALSE)</f>
        <v>0</v>
      </c>
    </row>
    <row r="153" spans="1:38">
      <c r="A153" s="7">
        <v>45758</v>
      </c>
      <c r="B153" s="8" t="s">
        <v>38</v>
      </c>
      <c r="C153" s="8" t="s">
        <v>130</v>
      </c>
      <c r="D153" s="8" t="s">
        <v>62</v>
      </c>
      <c r="E153" s="8" t="s">
        <v>251</v>
      </c>
      <c r="F153" s="8" t="str">
        <f>_xlfn.TEXTBEFORE(E153," ")</f>
        <v>SB22483</v>
      </c>
      <c r="G153" s="9">
        <v>0</v>
      </c>
      <c r="H153" s="9">
        <f>VLOOKUP(F153,'[1]MGM Report'!$D:$E,2,FALSE)</f>
        <v>0</v>
      </c>
      <c r="I153" s="9" t="b">
        <f>G153=H153</f>
        <v>1</v>
      </c>
      <c r="J153" s="12">
        <v>2475150</v>
      </c>
      <c r="K153" s="12">
        <f>VLOOKUP(F153,'[1]MGM Report'!$D:$F,3,FALSE)</f>
        <v>2475150</v>
      </c>
      <c r="L153" s="12" t="b">
        <f t="shared" si="24"/>
        <v>1</v>
      </c>
      <c r="M153" s="13">
        <v>-2475150</v>
      </c>
      <c r="N153" s="13">
        <f>VLOOKUP(F153,'[1]MGM Report'!$D:$G,4,FALSE)</f>
        <v>2475150</v>
      </c>
      <c r="O153" s="13" t="b">
        <f t="shared" si="32"/>
        <v>0</v>
      </c>
      <c r="P153" s="12">
        <v>0</v>
      </c>
      <c r="Q153" s="12">
        <f>VLOOKUP(F153,'[1]MGM Report'!$D:$M,5,FALSE)</f>
        <v>0</v>
      </c>
      <c r="R153" s="12" t="b">
        <f t="shared" si="25"/>
        <v>1</v>
      </c>
      <c r="S153" s="13">
        <v>0</v>
      </c>
      <c r="T153" s="13">
        <f>VLOOKUP(F153,'[1]MGM Report'!$D:$I,6,FALSE)</f>
        <v>0</v>
      </c>
      <c r="U153" s="13" t="b">
        <f t="shared" si="26"/>
        <v>1</v>
      </c>
      <c r="V153" s="12">
        <v>0</v>
      </c>
      <c r="W153" s="12">
        <f>VLOOKUP(F153,'[1]MGM Report'!$D:$J,7,FALSE)</f>
        <v>0</v>
      </c>
      <c r="X153" s="12" t="b">
        <f t="shared" si="27"/>
        <v>1</v>
      </c>
      <c r="Y153" s="13">
        <v>187950</v>
      </c>
      <c r="Z153" s="13">
        <f>VLOOKUP(F153,'[1]MGM Report'!$D:$K,8,FALSE)</f>
        <v>187950</v>
      </c>
      <c r="AA153" s="13" t="b">
        <f t="shared" si="28"/>
        <v>1</v>
      </c>
      <c r="AB153" s="12">
        <v>-187950</v>
      </c>
      <c r="AC153" s="12">
        <f>VLOOKUP(F153,'[1]MGM Report'!$D:$M,10,FALSE)</f>
        <v>187950</v>
      </c>
      <c r="AD153" s="12" t="b">
        <f t="shared" si="29"/>
        <v>0</v>
      </c>
      <c r="AE153" s="13">
        <v>0</v>
      </c>
      <c r="AF153" s="13">
        <f>VLOOKUP(F153,'[1]MGM Report'!$D:$N,11,FALSE)</f>
        <v>0</v>
      </c>
      <c r="AG153" s="13" t="b">
        <f t="shared" si="30"/>
        <v>1</v>
      </c>
      <c r="AH153" s="12">
        <v>0</v>
      </c>
      <c r="AI153" s="12">
        <f>VLOOKUP(F153,'[1]MGM Report'!$D:$S,12,FALSE)</f>
        <v>0</v>
      </c>
      <c r="AJ153" s="12" t="b">
        <f t="shared" si="31"/>
        <v>1</v>
      </c>
      <c r="AK153" s="13">
        <f>VLOOKUP(F153,[2]HAVASMGMReportKBCUpdatedResult!$F:$R,13,FALSE)</f>
        <v>0</v>
      </c>
      <c r="AL153" s="13">
        <f>VLOOKUP(F153,'[1]MGM Report'!$D:$S,14,FALSE)</f>
        <v>0</v>
      </c>
    </row>
    <row r="154" spans="1:38">
      <c r="A154" s="7">
        <v>45758</v>
      </c>
      <c r="B154" s="8" t="s">
        <v>27</v>
      </c>
      <c r="C154" s="8" t="s">
        <v>120</v>
      </c>
      <c r="D154" s="8" t="s">
        <v>140</v>
      </c>
      <c r="E154" s="8" t="s">
        <v>252</v>
      </c>
      <c r="F154" s="8" t="str">
        <f>_xlfn.TEXTBEFORE(E154," ")</f>
        <v>SB22325</v>
      </c>
      <c r="G154" s="9">
        <v>0</v>
      </c>
      <c r="H154" s="9">
        <f>VLOOKUP(F154,'[1]MGM Report'!$D:$E,2,FALSE)</f>
        <v>0</v>
      </c>
      <c r="I154" s="9" t="b">
        <f>G154=H154</f>
        <v>1</v>
      </c>
      <c r="J154" s="12">
        <v>0</v>
      </c>
      <c r="K154" s="12">
        <f>VLOOKUP(F154,'[1]MGM Report'!$D:$F,3,FALSE)</f>
        <v>0</v>
      </c>
      <c r="L154" s="12" t="b">
        <f t="shared" si="24"/>
        <v>1</v>
      </c>
      <c r="M154" s="13">
        <v>0</v>
      </c>
      <c r="N154" s="13">
        <f>VLOOKUP(F154,'[1]MGM Report'!$D:$G,4,FALSE)</f>
        <v>0</v>
      </c>
      <c r="O154" s="13" t="b">
        <f t="shared" si="32"/>
        <v>1</v>
      </c>
      <c r="P154" s="12">
        <v>0</v>
      </c>
      <c r="Q154" s="12">
        <f>VLOOKUP(F154,'[1]MGM Report'!$D:$M,5,FALSE)</f>
        <v>0</v>
      </c>
      <c r="R154" s="12" t="b">
        <f t="shared" si="25"/>
        <v>1</v>
      </c>
      <c r="S154" s="13">
        <v>0</v>
      </c>
      <c r="T154" s="13">
        <f>VLOOKUP(F154,'[1]MGM Report'!$D:$I,6,FALSE)</f>
        <v>0</v>
      </c>
      <c r="U154" s="13" t="b">
        <f t="shared" si="26"/>
        <v>1</v>
      </c>
      <c r="V154" s="12">
        <v>0</v>
      </c>
      <c r="W154" s="12">
        <f>VLOOKUP(F154,'[1]MGM Report'!$D:$J,7,FALSE)</f>
        <v>0</v>
      </c>
      <c r="X154" s="12" t="b">
        <f t="shared" si="27"/>
        <v>1</v>
      </c>
      <c r="Y154" s="13">
        <v>263100</v>
      </c>
      <c r="Z154" s="13">
        <f>VLOOKUP(F154,'[1]MGM Report'!$D:$K,8,FALSE)</f>
        <v>263100</v>
      </c>
      <c r="AA154" s="13" t="b">
        <f t="shared" si="28"/>
        <v>1</v>
      </c>
      <c r="AB154" s="12">
        <v>-263100</v>
      </c>
      <c r="AC154" s="12">
        <f>VLOOKUP(F154,'[1]MGM Report'!$D:$M,10,FALSE)</f>
        <v>263100</v>
      </c>
      <c r="AD154" s="12" t="b">
        <f t="shared" si="29"/>
        <v>0</v>
      </c>
      <c r="AE154" s="13">
        <v>0</v>
      </c>
      <c r="AF154" s="13">
        <f>VLOOKUP(F154,'[1]MGM Report'!$D:$N,11,FALSE)</f>
        <v>0</v>
      </c>
      <c r="AG154" s="13" t="b">
        <f t="shared" si="30"/>
        <v>1</v>
      </c>
      <c r="AH154" s="12">
        <v>0</v>
      </c>
      <c r="AI154" s="12">
        <f>VLOOKUP(F154,'[1]MGM Report'!$D:$S,12,FALSE)</f>
        <v>0</v>
      </c>
      <c r="AJ154" s="12" t="b">
        <f t="shared" si="31"/>
        <v>1</v>
      </c>
      <c r="AK154" s="13">
        <f>VLOOKUP(F154,[2]HAVASMGMReportKBCUpdatedResult!$F:$R,13,FALSE)</f>
        <v>0</v>
      </c>
      <c r="AL154" s="13">
        <f>VLOOKUP(F154,'[1]MGM Report'!$D:$S,14,FALSE)</f>
        <v>0</v>
      </c>
    </row>
    <row r="155" spans="1:38">
      <c r="A155" s="7">
        <v>45741</v>
      </c>
      <c r="B155" s="8" t="s">
        <v>31</v>
      </c>
      <c r="C155" s="8" t="s">
        <v>115</v>
      </c>
      <c r="D155" s="8" t="s">
        <v>69</v>
      </c>
      <c r="E155" s="8" t="s">
        <v>253</v>
      </c>
      <c r="F155" s="8" t="str">
        <f>_xlfn.TEXTBEFORE(E155," ")</f>
        <v>SB22479</v>
      </c>
      <c r="G155" s="9">
        <v>0</v>
      </c>
      <c r="H155" s="9">
        <f>VLOOKUP(F155,'[1]MGM Report'!$D:$E,2,FALSE)</f>
        <v>0</v>
      </c>
      <c r="I155" s="9" t="b">
        <f>G155=H155</f>
        <v>1</v>
      </c>
      <c r="J155" s="12">
        <v>0</v>
      </c>
      <c r="K155" s="12">
        <f>VLOOKUP(F155,'[1]MGM Report'!$D:$F,3,FALSE)</f>
        <v>3416869.5</v>
      </c>
      <c r="L155" s="12" t="b">
        <f t="shared" si="24"/>
        <v>0</v>
      </c>
      <c r="M155" s="13">
        <v>-3554369.5</v>
      </c>
      <c r="N155" s="13">
        <f>VLOOKUP(F155,'[1]MGM Report'!$D:$G,4,FALSE)</f>
        <v>3554369.5</v>
      </c>
      <c r="O155" s="13" t="b">
        <f t="shared" si="32"/>
        <v>0</v>
      </c>
      <c r="P155" s="12">
        <v>0</v>
      </c>
      <c r="Q155" s="12">
        <f>VLOOKUP(F155,'[1]MGM Report'!$D:$M,5,FALSE)</f>
        <v>0</v>
      </c>
      <c r="R155" s="12" t="b">
        <f t="shared" si="25"/>
        <v>1</v>
      </c>
      <c r="S155" s="13">
        <v>-3554369.5</v>
      </c>
      <c r="T155" s="13">
        <f>VLOOKUP(F155,'[1]MGM Report'!$D:$I,6,FALSE)</f>
        <v>137500</v>
      </c>
      <c r="U155" s="13" t="b">
        <f t="shared" si="26"/>
        <v>0</v>
      </c>
      <c r="V155" s="12">
        <v>2623008.77</v>
      </c>
      <c r="W155" s="12">
        <f>VLOOKUP(F155,'[1]MGM Report'!$D:$J,7,FALSE)</f>
        <v>2623008.77</v>
      </c>
      <c r="X155" s="12" t="b">
        <f t="shared" si="27"/>
        <v>1</v>
      </c>
      <c r="Y155" s="13">
        <v>1942440</v>
      </c>
      <c r="Z155" s="13">
        <f>VLOOKUP(F155,'[1]MGM Report'!$D:$K,8,FALSE)</f>
        <v>1942440</v>
      </c>
      <c r="AA155" s="13" t="b">
        <f t="shared" si="28"/>
        <v>1</v>
      </c>
      <c r="AB155" s="12">
        <v>-1942440</v>
      </c>
      <c r="AC155" s="12">
        <f>VLOOKUP(F155,'[1]MGM Report'!$D:$M,10,FALSE)</f>
        <v>1942440</v>
      </c>
      <c r="AD155" s="12" t="b">
        <f t="shared" si="29"/>
        <v>0</v>
      </c>
      <c r="AE155" s="13">
        <v>0</v>
      </c>
      <c r="AF155" s="13">
        <f>VLOOKUP(F155,'[1]MGM Report'!$D:$N,11,FALSE)</f>
        <v>0</v>
      </c>
      <c r="AG155" s="13" t="b">
        <f t="shared" si="30"/>
        <v>1</v>
      </c>
      <c r="AH155" s="12">
        <v>0</v>
      </c>
      <c r="AI155" s="12">
        <f>VLOOKUP(F155,'[1]MGM Report'!$D:$S,12,FALSE)</f>
        <v>0</v>
      </c>
      <c r="AJ155" s="12" t="b">
        <f t="shared" si="31"/>
        <v>1</v>
      </c>
      <c r="AK155" s="13">
        <f>VLOOKUP(F155,[2]HAVASMGMReportKBCUpdatedResult!$F:$R,13,FALSE)</f>
        <v>-2623008.77</v>
      </c>
      <c r="AL155" s="13">
        <f>VLOOKUP(F155,'[1]MGM Report'!$D:$S,14,FALSE)</f>
        <v>2623008.77</v>
      </c>
    </row>
    <row r="156" spans="1:38">
      <c r="A156" s="7">
        <v>45741</v>
      </c>
      <c r="B156" s="8" t="s">
        <v>38</v>
      </c>
      <c r="C156" s="8" t="s">
        <v>130</v>
      </c>
      <c r="D156" s="8" t="s">
        <v>49</v>
      </c>
      <c r="E156" s="8" t="s">
        <v>254</v>
      </c>
      <c r="F156" s="8" t="str">
        <f>_xlfn.TEXTBEFORE(E156," ")</f>
        <v>SB22477</v>
      </c>
      <c r="G156" s="9">
        <v>0</v>
      </c>
      <c r="H156" s="9">
        <f>VLOOKUP(F156,'[1]MGM Report'!$D:$E,2,FALSE)</f>
        <v>0</v>
      </c>
      <c r="I156" s="9" t="b">
        <f>G156=H156</f>
        <v>1</v>
      </c>
      <c r="J156" s="12">
        <v>0</v>
      </c>
      <c r="K156" s="12">
        <f>VLOOKUP(F156,'[1]MGM Report'!$D:$F,3,FALSE)</f>
        <v>1568753</v>
      </c>
      <c r="L156" s="12" t="b">
        <f t="shared" si="24"/>
        <v>0</v>
      </c>
      <c r="M156" s="13">
        <v>-1568753</v>
      </c>
      <c r="N156" s="13">
        <f>VLOOKUP(F156,'[1]MGM Report'!$D:$G,4,FALSE)</f>
        <v>1568753</v>
      </c>
      <c r="O156" s="13" t="b">
        <f t="shared" si="32"/>
        <v>0</v>
      </c>
      <c r="P156" s="12">
        <v>0</v>
      </c>
      <c r="Q156" s="12">
        <f>VLOOKUP(F156,'[1]MGM Report'!$D:$M,5,FALSE)</f>
        <v>0</v>
      </c>
      <c r="R156" s="12" t="b">
        <f t="shared" si="25"/>
        <v>1</v>
      </c>
      <c r="S156" s="13">
        <v>-1568753</v>
      </c>
      <c r="T156" s="13">
        <f>VLOOKUP(F156,'[1]MGM Report'!$D:$I,6,FALSE)</f>
        <v>0</v>
      </c>
      <c r="U156" s="13" t="b">
        <f t="shared" si="26"/>
        <v>0</v>
      </c>
      <c r="V156" s="12">
        <v>745067.14</v>
      </c>
      <c r="W156" s="12">
        <f>VLOOKUP(F156,'[1]MGM Report'!$D:$J,7,FALSE)</f>
        <v>849067.14</v>
      </c>
      <c r="X156" s="12" t="b">
        <f t="shared" si="27"/>
        <v>0</v>
      </c>
      <c r="Y156" s="13">
        <v>1211651.14</v>
      </c>
      <c r="Z156" s="13">
        <f>VLOOKUP(F156,'[1]MGM Report'!$D:$K,8,FALSE)</f>
        <v>1211651.14</v>
      </c>
      <c r="AA156" s="13" t="b">
        <f t="shared" si="28"/>
        <v>1</v>
      </c>
      <c r="AB156" s="12">
        <v>-1211650</v>
      </c>
      <c r="AC156" s="12">
        <f>VLOOKUP(F156,'[1]MGM Report'!$D:$M,10,FALSE)</f>
        <v>1211650</v>
      </c>
      <c r="AD156" s="12" t="b">
        <f t="shared" si="29"/>
        <v>0</v>
      </c>
      <c r="AE156" s="13">
        <v>0</v>
      </c>
      <c r="AF156" s="13">
        <f>VLOOKUP(F156,'[1]MGM Report'!$D:$N,11,FALSE)</f>
        <v>0</v>
      </c>
      <c r="AG156" s="13" t="b">
        <f t="shared" si="30"/>
        <v>1</v>
      </c>
      <c r="AH156" s="12">
        <v>1.14</v>
      </c>
      <c r="AI156" s="12">
        <f>VLOOKUP(F156,'[1]MGM Report'!$D:$S,12,FALSE)</f>
        <v>1.14</v>
      </c>
      <c r="AJ156" s="12" t="b">
        <f t="shared" si="31"/>
        <v>1</v>
      </c>
      <c r="AK156" s="13">
        <f>VLOOKUP(F156,[2]HAVASMGMReportKBCUpdatedResult!$F:$R,13,FALSE)</f>
        <v>-745067.14</v>
      </c>
      <c r="AL156" s="13">
        <f>VLOOKUP(F156,'[1]MGM Report'!$D:$S,14,FALSE)</f>
        <v>849067.14</v>
      </c>
    </row>
    <row r="157" spans="1:38">
      <c r="A157" s="7">
        <v>45741</v>
      </c>
      <c r="B157" s="8" t="s">
        <v>31</v>
      </c>
      <c r="C157" s="8" t="s">
        <v>115</v>
      </c>
      <c r="D157" s="8" t="s">
        <v>255</v>
      </c>
      <c r="E157" s="8" t="s">
        <v>256</v>
      </c>
      <c r="F157" s="8" t="str">
        <f>_xlfn.TEXTBEFORE(E157," ")</f>
        <v>SB22471</v>
      </c>
      <c r="G157" s="9">
        <v>0</v>
      </c>
      <c r="H157" s="9">
        <f>VLOOKUP(F157,'[1]MGM Report'!$D:$E,2,FALSE)</f>
        <v>0</v>
      </c>
      <c r="I157" s="9" t="b">
        <f>G157=H157</f>
        <v>1</v>
      </c>
      <c r="J157" s="12">
        <v>0</v>
      </c>
      <c r="K157" s="12">
        <f>VLOOKUP(F157,'[1]MGM Report'!$D:$F,3,FALSE)</f>
        <v>0</v>
      </c>
      <c r="L157" s="12" t="b">
        <f t="shared" si="24"/>
        <v>1</v>
      </c>
      <c r="M157" s="13">
        <v>0</v>
      </c>
      <c r="N157" s="13">
        <f>VLOOKUP(F157,'[1]MGM Report'!$D:$G,4,FALSE)</f>
        <v>0</v>
      </c>
      <c r="O157" s="13" t="b">
        <f t="shared" si="32"/>
        <v>1</v>
      </c>
      <c r="P157" s="12">
        <v>0</v>
      </c>
      <c r="Q157" s="12">
        <f>VLOOKUP(F157,'[1]MGM Report'!$D:$M,5,FALSE)</f>
        <v>0</v>
      </c>
      <c r="R157" s="12" t="b">
        <f t="shared" si="25"/>
        <v>1</v>
      </c>
      <c r="S157" s="13">
        <v>0</v>
      </c>
      <c r="T157" s="13">
        <f>VLOOKUP(F157,'[1]MGM Report'!$D:$I,6,FALSE)</f>
        <v>0</v>
      </c>
      <c r="U157" s="13" t="b">
        <f t="shared" si="26"/>
        <v>1</v>
      </c>
      <c r="V157" s="12">
        <v>45451</v>
      </c>
      <c r="W157" s="12">
        <f>VLOOKUP(F157,'[1]MGM Report'!$D:$J,7,FALSE)</f>
        <v>102685</v>
      </c>
      <c r="X157" s="12" t="b">
        <f t="shared" si="27"/>
        <v>0</v>
      </c>
      <c r="Y157" s="13">
        <v>102685</v>
      </c>
      <c r="Z157" s="13">
        <f>VLOOKUP(F157,'[1]MGM Report'!$D:$K,8,FALSE)</f>
        <v>102685</v>
      </c>
      <c r="AA157" s="13" t="b">
        <f t="shared" si="28"/>
        <v>1</v>
      </c>
      <c r="AB157" s="12">
        <v>-102685</v>
      </c>
      <c r="AC157" s="12">
        <f>VLOOKUP(F157,'[1]MGM Report'!$D:$M,10,FALSE)</f>
        <v>102685</v>
      </c>
      <c r="AD157" s="12" t="b">
        <f t="shared" si="29"/>
        <v>0</v>
      </c>
      <c r="AE157" s="13">
        <v>0</v>
      </c>
      <c r="AF157" s="13">
        <f>VLOOKUP(F157,'[1]MGM Report'!$D:$N,11,FALSE)</f>
        <v>0</v>
      </c>
      <c r="AG157" s="13" t="b">
        <f t="shared" si="30"/>
        <v>1</v>
      </c>
      <c r="AH157" s="12">
        <v>0</v>
      </c>
      <c r="AI157" s="12">
        <f>VLOOKUP(F157,'[1]MGM Report'!$D:$S,12,FALSE)</f>
        <v>0</v>
      </c>
      <c r="AJ157" s="12" t="b">
        <f t="shared" si="31"/>
        <v>1</v>
      </c>
      <c r="AK157" s="13">
        <f>VLOOKUP(F157,[2]HAVASMGMReportKBCUpdatedResult!$F:$R,13,FALSE)</f>
        <v>-45451</v>
      </c>
      <c r="AL157" s="13">
        <f>VLOOKUP(F157,'[1]MGM Report'!$D:$S,14,FALSE)</f>
        <v>102685</v>
      </c>
    </row>
    <row r="158" spans="1:38">
      <c r="A158" s="7">
        <v>45741</v>
      </c>
      <c r="B158" s="8" t="s">
        <v>38</v>
      </c>
      <c r="C158" s="8" t="s">
        <v>130</v>
      </c>
      <c r="D158" s="8" t="s">
        <v>62</v>
      </c>
      <c r="E158" s="8" t="s">
        <v>257</v>
      </c>
      <c r="F158" s="8" t="str">
        <f>_xlfn.TEXTBEFORE(E158," ")</f>
        <v>SB22475</v>
      </c>
      <c r="G158" s="9">
        <v>0</v>
      </c>
      <c r="H158" s="9">
        <f>VLOOKUP(F158,'[1]MGM Report'!$D:$E,2,FALSE)</f>
        <v>0</v>
      </c>
      <c r="I158" s="9" t="b">
        <f>G158=H158</f>
        <v>1</v>
      </c>
      <c r="J158" s="12">
        <v>0</v>
      </c>
      <c r="K158" s="12">
        <f>VLOOKUP(F158,'[1]MGM Report'!$D:$F,3,FALSE)</f>
        <v>0</v>
      </c>
      <c r="L158" s="12" t="b">
        <f t="shared" si="24"/>
        <v>1</v>
      </c>
      <c r="M158" s="13">
        <v>0</v>
      </c>
      <c r="N158" s="13">
        <f>VLOOKUP(F158,'[1]MGM Report'!$D:$G,4,FALSE)</f>
        <v>0</v>
      </c>
      <c r="O158" s="13" t="b">
        <f t="shared" si="32"/>
        <v>1</v>
      </c>
      <c r="P158" s="12">
        <v>0</v>
      </c>
      <c r="Q158" s="12">
        <f>VLOOKUP(F158,'[1]MGM Report'!$D:$M,5,FALSE)</f>
        <v>0</v>
      </c>
      <c r="R158" s="12" t="b">
        <f t="shared" si="25"/>
        <v>1</v>
      </c>
      <c r="S158" s="13">
        <v>0</v>
      </c>
      <c r="T158" s="13">
        <f>VLOOKUP(F158,'[1]MGM Report'!$D:$I,6,FALSE)</f>
        <v>0</v>
      </c>
      <c r="U158" s="13" t="b">
        <f t="shared" si="26"/>
        <v>1</v>
      </c>
      <c r="V158" s="12">
        <v>0</v>
      </c>
      <c r="W158" s="12">
        <f>VLOOKUP(F158,'[1]MGM Report'!$D:$J,7,FALSE)</f>
        <v>0</v>
      </c>
      <c r="X158" s="12" t="b">
        <f t="shared" si="27"/>
        <v>1</v>
      </c>
      <c r="Y158" s="13">
        <v>1312055</v>
      </c>
      <c r="Z158" s="13">
        <f>VLOOKUP(F158,'[1]MGM Report'!$D:$K,8,FALSE)</f>
        <v>1312055</v>
      </c>
      <c r="AA158" s="13" t="b">
        <f t="shared" si="28"/>
        <v>1</v>
      </c>
      <c r="AB158" s="12">
        <v>-1312055</v>
      </c>
      <c r="AC158" s="12">
        <f>VLOOKUP(F158,'[1]MGM Report'!$D:$M,10,FALSE)</f>
        <v>1312055</v>
      </c>
      <c r="AD158" s="12" t="b">
        <f t="shared" si="29"/>
        <v>0</v>
      </c>
      <c r="AE158" s="13">
        <v>0</v>
      </c>
      <c r="AF158" s="13">
        <f>VLOOKUP(F158,'[1]MGM Report'!$D:$N,11,FALSE)</f>
        <v>0</v>
      </c>
      <c r="AG158" s="13" t="b">
        <f t="shared" si="30"/>
        <v>1</v>
      </c>
      <c r="AH158" s="12">
        <v>0</v>
      </c>
      <c r="AI158" s="12">
        <f>VLOOKUP(F158,'[1]MGM Report'!$D:$S,12,FALSE)</f>
        <v>0</v>
      </c>
      <c r="AJ158" s="12" t="b">
        <f t="shared" si="31"/>
        <v>1</v>
      </c>
      <c r="AK158" s="13">
        <f>VLOOKUP(F158,[2]HAVASMGMReportKBCUpdatedResult!$F:$R,13,FALSE)</f>
        <v>0</v>
      </c>
      <c r="AL158" s="13">
        <f>VLOOKUP(F158,'[1]MGM Report'!$D:$S,14,FALSE)</f>
        <v>0</v>
      </c>
    </row>
    <row r="159" spans="1:38">
      <c r="A159" s="7">
        <v>45741</v>
      </c>
      <c r="B159" s="8" t="s">
        <v>31</v>
      </c>
      <c r="C159" s="8" t="s">
        <v>115</v>
      </c>
      <c r="D159" s="8" t="s">
        <v>89</v>
      </c>
      <c r="E159" s="8" t="s">
        <v>258</v>
      </c>
      <c r="F159" s="8" t="str">
        <f>_xlfn.TEXTBEFORE(E159," ")</f>
        <v>SB22470</v>
      </c>
      <c r="G159" s="9">
        <v>0</v>
      </c>
      <c r="H159" s="9">
        <f>VLOOKUP(F159,'[1]MGM Report'!$D:$E,2,FALSE)</f>
        <v>0</v>
      </c>
      <c r="I159" s="9" t="b">
        <f>G159=H159</f>
        <v>1</v>
      </c>
      <c r="J159" s="12">
        <v>0</v>
      </c>
      <c r="K159" s="12">
        <f>VLOOKUP(F159,'[1]MGM Report'!$D:$F,3,FALSE)</f>
        <v>0</v>
      </c>
      <c r="L159" s="12" t="b">
        <f t="shared" si="24"/>
        <v>1</v>
      </c>
      <c r="M159" s="13">
        <v>0</v>
      </c>
      <c r="N159" s="13">
        <f>VLOOKUP(F159,'[1]MGM Report'!$D:$G,4,FALSE)</f>
        <v>0</v>
      </c>
      <c r="O159" s="13" t="b">
        <f t="shared" si="32"/>
        <v>1</v>
      </c>
      <c r="P159" s="12">
        <v>0</v>
      </c>
      <c r="Q159" s="12">
        <f>VLOOKUP(F159,'[1]MGM Report'!$D:$M,5,FALSE)</f>
        <v>0</v>
      </c>
      <c r="R159" s="12" t="b">
        <f t="shared" si="25"/>
        <v>1</v>
      </c>
      <c r="S159" s="13">
        <v>0</v>
      </c>
      <c r="T159" s="13">
        <f>VLOOKUP(F159,'[1]MGM Report'!$D:$I,6,FALSE)</f>
        <v>0</v>
      </c>
      <c r="U159" s="13" t="b">
        <f t="shared" si="26"/>
        <v>1</v>
      </c>
      <c r="V159" s="12">
        <v>0</v>
      </c>
      <c r="W159" s="12">
        <f>VLOOKUP(F159,'[1]MGM Report'!$D:$J,7,FALSE)</f>
        <v>0</v>
      </c>
      <c r="X159" s="12" t="b">
        <f t="shared" si="27"/>
        <v>1</v>
      </c>
      <c r="Y159" s="13">
        <v>33353</v>
      </c>
      <c r="Z159" s="13">
        <f>VLOOKUP(F159,'[1]MGM Report'!$D:$K,8,FALSE)</f>
        <v>33353</v>
      </c>
      <c r="AA159" s="13" t="b">
        <f t="shared" si="28"/>
        <v>1</v>
      </c>
      <c r="AB159" s="12">
        <v>-33353</v>
      </c>
      <c r="AC159" s="12">
        <f>VLOOKUP(F159,'[1]MGM Report'!$D:$M,10,FALSE)</f>
        <v>33353</v>
      </c>
      <c r="AD159" s="12" t="b">
        <f t="shared" si="29"/>
        <v>0</v>
      </c>
      <c r="AE159" s="13">
        <v>0</v>
      </c>
      <c r="AF159" s="13">
        <f>VLOOKUP(F159,'[1]MGM Report'!$D:$N,11,FALSE)</f>
        <v>0</v>
      </c>
      <c r="AG159" s="13" t="b">
        <f t="shared" si="30"/>
        <v>1</v>
      </c>
      <c r="AH159" s="12">
        <v>0</v>
      </c>
      <c r="AI159" s="12">
        <f>VLOOKUP(F159,'[1]MGM Report'!$D:$S,12,FALSE)</f>
        <v>0</v>
      </c>
      <c r="AJ159" s="12" t="b">
        <f t="shared" si="31"/>
        <v>1</v>
      </c>
      <c r="AK159" s="13">
        <f>VLOOKUP(F159,[2]HAVASMGMReportKBCUpdatedResult!$F:$R,13,FALSE)</f>
        <v>0</v>
      </c>
      <c r="AL159" s="13">
        <f>VLOOKUP(F159,'[1]MGM Report'!$D:$S,14,FALSE)</f>
        <v>0</v>
      </c>
    </row>
    <row r="160" spans="1:38">
      <c r="A160" s="7">
        <v>45741</v>
      </c>
      <c r="B160" s="8" t="s">
        <v>59</v>
      </c>
      <c r="C160" s="8" t="s">
        <v>115</v>
      </c>
      <c r="D160" s="8" t="s">
        <v>60</v>
      </c>
      <c r="E160" s="8" t="s">
        <v>259</v>
      </c>
      <c r="F160" s="8" t="str">
        <f>_xlfn.TEXTBEFORE(E160," ")</f>
        <v>SB22469</v>
      </c>
      <c r="G160" s="9">
        <v>1142097</v>
      </c>
      <c r="H160" s="9">
        <f>VLOOKUP(F160,'[1]MGM Report'!$D:$E,2,FALSE)</f>
        <v>1142097</v>
      </c>
      <c r="I160" s="9" t="b">
        <f>G160=H160</f>
        <v>1</v>
      </c>
      <c r="J160" s="12">
        <v>3631001</v>
      </c>
      <c r="K160" s="12">
        <f>VLOOKUP(F160,'[1]MGM Report'!$D:$F,3,FALSE)</f>
        <v>3631001</v>
      </c>
      <c r="L160" s="12" t="b">
        <f t="shared" si="24"/>
        <v>1</v>
      </c>
      <c r="M160" s="13">
        <v>-3602429.6</v>
      </c>
      <c r="N160" s="13">
        <f>VLOOKUP(F160,'[1]MGM Report'!$D:$G,4,FALSE)</f>
        <v>3600229.6</v>
      </c>
      <c r="O160" s="13" t="b">
        <f t="shared" si="32"/>
        <v>0</v>
      </c>
      <c r="P160" s="12">
        <v>0</v>
      </c>
      <c r="Q160" s="12">
        <f>VLOOKUP(F160,'[1]MGM Report'!$D:$M,5,FALSE)</f>
        <v>0</v>
      </c>
      <c r="R160" s="12" t="b">
        <f t="shared" si="25"/>
        <v>1</v>
      </c>
      <c r="S160" s="13">
        <v>28571.4</v>
      </c>
      <c r="T160" s="13">
        <f>VLOOKUP(F160,'[1]MGM Report'!$D:$I,6,FALSE)</f>
        <v>30771.4</v>
      </c>
      <c r="U160" s="13" t="b">
        <f t="shared" si="26"/>
        <v>0</v>
      </c>
      <c r="V160" s="12">
        <v>838510</v>
      </c>
      <c r="W160" s="12">
        <f>VLOOKUP(F160,'[1]MGM Report'!$D:$J,7,FALSE)</f>
        <v>870000</v>
      </c>
      <c r="X160" s="12" t="b">
        <f t="shared" si="27"/>
        <v>0</v>
      </c>
      <c r="Y160" s="13">
        <v>2261631</v>
      </c>
      <c r="Z160" s="13">
        <f>VLOOKUP(F160,'[1]MGM Report'!$D:$K,8,FALSE)</f>
        <v>2261631</v>
      </c>
      <c r="AA160" s="13" t="b">
        <f t="shared" si="28"/>
        <v>1</v>
      </c>
      <c r="AB160" s="12">
        <v>-3090870.27</v>
      </c>
      <c r="AC160" s="12">
        <f>VLOOKUP(F160,'[1]MGM Report'!$D:$M,10,FALSE)</f>
        <v>2261631</v>
      </c>
      <c r="AD160" s="12" t="b">
        <f t="shared" si="29"/>
        <v>0</v>
      </c>
      <c r="AE160" s="13">
        <v>0</v>
      </c>
      <c r="AF160" s="13">
        <f>VLOOKUP(F160,'[1]MGM Report'!$D:$N,11,FALSE)</f>
        <v>0</v>
      </c>
      <c r="AG160" s="13" t="b">
        <f t="shared" si="30"/>
        <v>1</v>
      </c>
      <c r="AH160" s="12">
        <v>-829239.27</v>
      </c>
      <c r="AI160" s="12">
        <f>VLOOKUP(F160,'[1]MGM Report'!$D:$S,12,FALSE)</f>
        <v>0</v>
      </c>
      <c r="AJ160" s="12" t="b">
        <f t="shared" si="31"/>
        <v>0</v>
      </c>
      <c r="AK160" s="13">
        <f>VLOOKUP(F160,[2]HAVASMGMReportKBCUpdatedResult!$F:$R,13,FALSE)</f>
        <v>303587</v>
      </c>
      <c r="AL160" s="13">
        <f>VLOOKUP(F160,'[1]MGM Report'!$D:$S,14,FALSE)</f>
        <v>272097</v>
      </c>
    </row>
    <row r="161" spans="1:38">
      <c r="A161" s="7">
        <v>45741</v>
      </c>
      <c r="B161" s="8" t="s">
        <v>27</v>
      </c>
      <c r="C161" s="8" t="s">
        <v>120</v>
      </c>
      <c r="D161" s="8" t="s">
        <v>64</v>
      </c>
      <c r="E161" s="8" t="s">
        <v>260</v>
      </c>
      <c r="F161" s="8" t="str">
        <f>_xlfn.TEXTBEFORE(E161," ")</f>
        <v>SB22465</v>
      </c>
      <c r="G161" s="9">
        <v>0</v>
      </c>
      <c r="H161" s="9">
        <f>VLOOKUP(F161,'[1]MGM Report'!$D:$E,2,FALSE)</f>
        <v>0</v>
      </c>
      <c r="I161" s="9" t="b">
        <f>G161=H161</f>
        <v>1</v>
      </c>
      <c r="J161" s="12">
        <v>2500000</v>
      </c>
      <c r="K161" s="12">
        <f>VLOOKUP(F161,'[1]MGM Report'!$D:$F,3,FALSE)</f>
        <v>2500000</v>
      </c>
      <c r="L161" s="12" t="b">
        <f t="shared" si="24"/>
        <v>1</v>
      </c>
      <c r="M161" s="13">
        <v>-2500000</v>
      </c>
      <c r="N161" s="13">
        <f>VLOOKUP(F161,'[1]MGM Report'!$D:$G,4,FALSE)</f>
        <v>2500000</v>
      </c>
      <c r="O161" s="13" t="b">
        <f t="shared" si="32"/>
        <v>0</v>
      </c>
      <c r="P161" s="12">
        <v>0</v>
      </c>
      <c r="Q161" s="12">
        <f>VLOOKUP(F161,'[1]MGM Report'!$D:$M,5,FALSE)</f>
        <v>0</v>
      </c>
      <c r="R161" s="12" t="b">
        <f t="shared" si="25"/>
        <v>1</v>
      </c>
      <c r="S161" s="13">
        <v>0</v>
      </c>
      <c r="T161" s="13">
        <f>VLOOKUP(F161,'[1]MGM Report'!$D:$I,6,FALSE)</f>
        <v>0</v>
      </c>
      <c r="U161" s="13" t="b">
        <f t="shared" si="26"/>
        <v>1</v>
      </c>
      <c r="V161" s="12">
        <v>0</v>
      </c>
      <c r="W161" s="12">
        <f>VLOOKUP(F161,'[1]MGM Report'!$D:$J,7,FALSE)</f>
        <v>0</v>
      </c>
      <c r="X161" s="12" t="b">
        <f t="shared" si="27"/>
        <v>1</v>
      </c>
      <c r="Y161" s="13">
        <v>11000</v>
      </c>
      <c r="Z161" s="13">
        <f>VLOOKUP(F161,'[1]MGM Report'!$D:$K,8,FALSE)</f>
        <v>156000</v>
      </c>
      <c r="AA161" s="13" t="b">
        <f t="shared" si="28"/>
        <v>0</v>
      </c>
      <c r="AB161" s="12">
        <v>-156000</v>
      </c>
      <c r="AC161" s="12">
        <f>VLOOKUP(F161,'[1]MGM Report'!$D:$M,10,FALSE)</f>
        <v>156000</v>
      </c>
      <c r="AD161" s="12" t="b">
        <f t="shared" si="29"/>
        <v>0</v>
      </c>
      <c r="AE161" s="13">
        <v>0</v>
      </c>
      <c r="AF161" s="13">
        <f>VLOOKUP(F161,'[1]MGM Report'!$D:$N,11,FALSE)</f>
        <v>0</v>
      </c>
      <c r="AG161" s="13" t="b">
        <f t="shared" si="30"/>
        <v>1</v>
      </c>
      <c r="AH161" s="12">
        <v>-145000</v>
      </c>
      <c r="AI161" s="12">
        <f>VLOOKUP(F161,'[1]MGM Report'!$D:$S,12,FALSE)</f>
        <v>0</v>
      </c>
      <c r="AJ161" s="12" t="b">
        <f t="shared" si="31"/>
        <v>0</v>
      </c>
      <c r="AK161" s="13">
        <f>VLOOKUP(F161,[2]HAVASMGMReportKBCUpdatedResult!$F:$R,13,FALSE)</f>
        <v>0</v>
      </c>
      <c r="AL161" s="13">
        <f>VLOOKUP(F161,'[1]MGM Report'!$D:$S,14,FALSE)</f>
        <v>0</v>
      </c>
    </row>
    <row r="162" spans="1:38">
      <c r="A162" s="7">
        <v>45741</v>
      </c>
      <c r="B162" s="8" t="s">
        <v>38</v>
      </c>
      <c r="C162" s="8" t="s">
        <v>130</v>
      </c>
      <c r="D162" s="8" t="s">
        <v>99</v>
      </c>
      <c r="E162" s="8" t="s">
        <v>261</v>
      </c>
      <c r="F162" s="8" t="str">
        <f>_xlfn.TEXTBEFORE(E162," ")</f>
        <v>SB22460</v>
      </c>
      <c r="G162" s="9">
        <v>0</v>
      </c>
      <c r="H162" s="9">
        <f>VLOOKUP(F162,'[1]MGM Report'!$D:$E,2,FALSE)</f>
        <v>0</v>
      </c>
      <c r="I162" s="9" t="b">
        <f>G162=H162</f>
        <v>1</v>
      </c>
      <c r="J162" s="12">
        <v>0</v>
      </c>
      <c r="K162" s="12">
        <f>VLOOKUP(F162,'[1]MGM Report'!$D:$F,3,FALSE)</f>
        <v>0</v>
      </c>
      <c r="L162" s="12" t="b">
        <f t="shared" si="24"/>
        <v>1</v>
      </c>
      <c r="M162" s="13">
        <v>0</v>
      </c>
      <c r="N162" s="13">
        <f>VLOOKUP(F162,'[1]MGM Report'!$D:$G,4,FALSE)</f>
        <v>0</v>
      </c>
      <c r="O162" s="13" t="b">
        <f t="shared" si="32"/>
        <v>1</v>
      </c>
      <c r="P162" s="12">
        <v>0</v>
      </c>
      <c r="Q162" s="12">
        <f>VLOOKUP(F162,'[1]MGM Report'!$D:$M,5,FALSE)</f>
        <v>0</v>
      </c>
      <c r="R162" s="12" t="b">
        <f t="shared" si="25"/>
        <v>1</v>
      </c>
      <c r="S162" s="13">
        <v>0</v>
      </c>
      <c r="T162" s="13">
        <f>VLOOKUP(F162,'[1]MGM Report'!$D:$I,6,FALSE)</f>
        <v>0</v>
      </c>
      <c r="U162" s="13" t="b">
        <f t="shared" si="26"/>
        <v>1</v>
      </c>
      <c r="V162" s="12">
        <v>0</v>
      </c>
      <c r="W162" s="12">
        <f>VLOOKUP(F162,'[1]MGM Report'!$D:$J,7,FALSE)</f>
        <v>0</v>
      </c>
      <c r="X162" s="12" t="b">
        <f t="shared" si="27"/>
        <v>1</v>
      </c>
      <c r="Y162" s="13">
        <v>55000</v>
      </c>
      <c r="Z162" s="13">
        <f>VLOOKUP(F162,'[1]MGM Report'!$D:$K,8,FALSE)</f>
        <v>55000</v>
      </c>
      <c r="AA162" s="13" t="b">
        <f t="shared" si="28"/>
        <v>1</v>
      </c>
      <c r="AB162" s="12">
        <v>-55000</v>
      </c>
      <c r="AC162" s="12">
        <f>VLOOKUP(F162,'[1]MGM Report'!$D:$M,10,FALSE)</f>
        <v>55000</v>
      </c>
      <c r="AD162" s="12" t="b">
        <f t="shared" si="29"/>
        <v>0</v>
      </c>
      <c r="AE162" s="13">
        <v>0</v>
      </c>
      <c r="AF162" s="13">
        <f>VLOOKUP(F162,'[1]MGM Report'!$D:$N,11,FALSE)</f>
        <v>0</v>
      </c>
      <c r="AG162" s="13" t="b">
        <f t="shared" si="30"/>
        <v>1</v>
      </c>
      <c r="AH162" s="12">
        <v>0</v>
      </c>
      <c r="AI162" s="12">
        <f>VLOOKUP(F162,'[1]MGM Report'!$D:$S,12,FALSE)</f>
        <v>0</v>
      </c>
      <c r="AJ162" s="12" t="b">
        <f t="shared" si="31"/>
        <v>1</v>
      </c>
      <c r="AK162" s="13">
        <f>VLOOKUP(F162,[2]HAVASMGMReportKBCUpdatedResult!$F:$R,13,FALSE)</f>
        <v>0</v>
      </c>
      <c r="AL162" s="13">
        <f>VLOOKUP(F162,'[1]MGM Report'!$D:$S,14,FALSE)</f>
        <v>0</v>
      </c>
    </row>
    <row r="163" spans="1:38">
      <c r="A163" s="7">
        <v>45741</v>
      </c>
      <c r="B163" s="8" t="s">
        <v>31</v>
      </c>
      <c r="C163" s="8" t="s">
        <v>115</v>
      </c>
      <c r="D163" s="8" t="s">
        <v>69</v>
      </c>
      <c r="E163" s="8" t="s">
        <v>262</v>
      </c>
      <c r="F163" s="8" t="str">
        <f>_xlfn.TEXTBEFORE(E163," ")</f>
        <v>SB22461</v>
      </c>
      <c r="G163" s="9">
        <v>0</v>
      </c>
      <c r="H163" s="9">
        <f>VLOOKUP(F163,'[1]MGM Report'!$D:$E,2,FALSE)</f>
        <v>3011623.2</v>
      </c>
      <c r="I163" s="9" t="b">
        <f>G163=H163</f>
        <v>0</v>
      </c>
      <c r="J163" s="12">
        <v>0</v>
      </c>
      <c r="K163" s="12">
        <f>VLOOKUP(F163,'[1]MGM Report'!$D:$F,3,FALSE)</f>
        <v>3011623.2</v>
      </c>
      <c r="L163" s="12" t="b">
        <f t="shared" si="24"/>
        <v>0</v>
      </c>
      <c r="M163" s="13">
        <v>-3011623.2</v>
      </c>
      <c r="N163" s="13">
        <f>VLOOKUP(F163,'[1]MGM Report'!$D:$G,4,FALSE)</f>
        <v>3011623.2</v>
      </c>
      <c r="O163" s="13" t="b">
        <f t="shared" si="32"/>
        <v>0</v>
      </c>
      <c r="P163" s="12">
        <v>0</v>
      </c>
      <c r="Q163" s="12">
        <f>VLOOKUP(F163,'[1]MGM Report'!$D:$M,5,FALSE)</f>
        <v>0</v>
      </c>
      <c r="R163" s="12" t="b">
        <f t="shared" si="25"/>
        <v>1</v>
      </c>
      <c r="S163" s="13">
        <v>-3011623.2</v>
      </c>
      <c r="T163" s="13">
        <f>VLOOKUP(F163,'[1]MGM Report'!$D:$I,6,FALSE)</f>
        <v>0</v>
      </c>
      <c r="U163" s="13" t="b">
        <f t="shared" si="26"/>
        <v>0</v>
      </c>
      <c r="V163" s="12">
        <v>827000</v>
      </c>
      <c r="W163" s="12">
        <f>VLOOKUP(F163,'[1]MGM Report'!$D:$J,7,FALSE)</f>
        <v>830100</v>
      </c>
      <c r="X163" s="12" t="b">
        <f t="shared" si="27"/>
        <v>0</v>
      </c>
      <c r="Y163" s="13">
        <v>5690525</v>
      </c>
      <c r="Z163" s="13">
        <f>VLOOKUP(F163,'[1]MGM Report'!$D:$K,8,FALSE)</f>
        <v>5690525</v>
      </c>
      <c r="AA163" s="13" t="b">
        <f t="shared" si="28"/>
        <v>1</v>
      </c>
      <c r="AB163" s="12">
        <v>-5660425</v>
      </c>
      <c r="AC163" s="12">
        <f>VLOOKUP(F163,'[1]MGM Report'!$D:$M,10,FALSE)</f>
        <v>5660425</v>
      </c>
      <c r="AD163" s="12" t="b">
        <f t="shared" si="29"/>
        <v>0</v>
      </c>
      <c r="AE163" s="13">
        <v>-6500</v>
      </c>
      <c r="AF163" s="13">
        <f>VLOOKUP(F163,'[1]MGM Report'!$D:$N,11,FALSE)</f>
        <v>6500</v>
      </c>
      <c r="AG163" s="13" t="b">
        <f t="shared" si="30"/>
        <v>0</v>
      </c>
      <c r="AH163" s="12">
        <v>23600</v>
      </c>
      <c r="AI163" s="12">
        <f>VLOOKUP(F163,'[1]MGM Report'!$D:$S,12,FALSE)</f>
        <v>23600</v>
      </c>
      <c r="AJ163" s="12" t="b">
        <f t="shared" si="31"/>
        <v>1</v>
      </c>
      <c r="AK163" s="13">
        <f>VLOOKUP(F163,[2]HAVASMGMReportKBCUpdatedResult!$F:$R,13,FALSE)</f>
        <v>-827000</v>
      </c>
      <c r="AL163" s="13">
        <f>VLOOKUP(F163,'[1]MGM Report'!$D:$S,14,FALSE)</f>
        <v>2181523.2</v>
      </c>
    </row>
    <row r="164" spans="1:38">
      <c r="A164" s="7">
        <v>45741</v>
      </c>
      <c r="B164" s="8" t="s">
        <v>38</v>
      </c>
      <c r="C164" s="8" t="s">
        <v>130</v>
      </c>
      <c r="D164" s="8" t="s">
        <v>185</v>
      </c>
      <c r="E164" s="8" t="s">
        <v>263</v>
      </c>
      <c r="F164" s="8" t="str">
        <f t="shared" ref="F164:F191" si="33">_xlfn.TEXTBEFORE(E164," ")</f>
        <v>SB22455</v>
      </c>
      <c r="G164" s="9">
        <v>0</v>
      </c>
      <c r="H164" s="9">
        <f>VLOOKUP(F164,'[1]MGM Report'!$D:$E,2,FALSE)</f>
        <v>0</v>
      </c>
      <c r="I164" s="9" t="b">
        <f t="shared" ref="I164:I191" si="34">G164=H164</f>
        <v>1</v>
      </c>
      <c r="J164" s="12">
        <v>14000000</v>
      </c>
      <c r="K164" s="12">
        <f>VLOOKUP(F164,'[1]MGM Report'!$D:$F,3,FALSE)</f>
        <v>14000000</v>
      </c>
      <c r="L164" s="12" t="b">
        <f t="shared" si="24"/>
        <v>1</v>
      </c>
      <c r="M164" s="13">
        <v>-14000000</v>
      </c>
      <c r="N164" s="13">
        <f>VLOOKUP(F164,'[1]MGM Report'!$D:$G,4,FALSE)</f>
        <v>14000000</v>
      </c>
      <c r="O164" s="13" t="b">
        <f t="shared" si="32"/>
        <v>0</v>
      </c>
      <c r="P164" s="12">
        <v>0</v>
      </c>
      <c r="Q164" s="12">
        <f>VLOOKUP(F164,'[1]MGM Report'!$D:$M,5,FALSE)</f>
        <v>0</v>
      </c>
      <c r="R164" s="12" t="b">
        <f t="shared" si="25"/>
        <v>1</v>
      </c>
      <c r="S164" s="13">
        <v>0</v>
      </c>
      <c r="T164" s="13">
        <f>VLOOKUP(F164,'[1]MGM Report'!$D:$I,6,FALSE)</f>
        <v>0</v>
      </c>
      <c r="U164" s="13" t="b">
        <f t="shared" si="26"/>
        <v>1</v>
      </c>
      <c r="V164" s="12">
        <v>150000</v>
      </c>
      <c r="W164" s="12">
        <f>VLOOKUP(F164,'[1]MGM Report'!$D:$J,7,FALSE)</f>
        <v>550000</v>
      </c>
      <c r="X164" s="12" t="b">
        <f t="shared" si="27"/>
        <v>0</v>
      </c>
      <c r="Y164" s="13">
        <v>2044032</v>
      </c>
      <c r="Z164" s="13">
        <f>VLOOKUP(F164,'[1]MGM Report'!$D:$K,8,FALSE)</f>
        <v>3294032</v>
      </c>
      <c r="AA164" s="13" t="b">
        <f t="shared" si="28"/>
        <v>0</v>
      </c>
      <c r="AB164" s="12">
        <v>-3294032</v>
      </c>
      <c r="AC164" s="12">
        <f>VLOOKUP(F164,'[1]MGM Report'!$D:$M,10,FALSE)</f>
        <v>3294032</v>
      </c>
      <c r="AD164" s="12" t="b">
        <f t="shared" si="29"/>
        <v>0</v>
      </c>
      <c r="AE164" s="13">
        <v>0</v>
      </c>
      <c r="AF164" s="13">
        <f>VLOOKUP(F164,'[1]MGM Report'!$D:$N,11,FALSE)</f>
        <v>0</v>
      </c>
      <c r="AG164" s="13" t="b">
        <f t="shared" si="30"/>
        <v>1</v>
      </c>
      <c r="AH164" s="12">
        <v>-1250000</v>
      </c>
      <c r="AI164" s="12">
        <f>VLOOKUP(F164,'[1]MGM Report'!$D:$S,12,FALSE)</f>
        <v>0</v>
      </c>
      <c r="AJ164" s="12" t="b">
        <f t="shared" si="31"/>
        <v>0</v>
      </c>
      <c r="AK164" s="13">
        <f>VLOOKUP(F164,[2]HAVASMGMReportKBCUpdatedResult!$F:$R,13,FALSE)</f>
        <v>-150000</v>
      </c>
      <c r="AL164" s="13">
        <f>VLOOKUP(F164,'[1]MGM Report'!$D:$S,14,FALSE)</f>
        <v>550000</v>
      </c>
    </row>
    <row r="165" spans="1:38">
      <c r="A165" s="7">
        <v>45741</v>
      </c>
      <c r="B165" s="8" t="s">
        <v>31</v>
      </c>
      <c r="C165" s="8" t="s">
        <v>115</v>
      </c>
      <c r="D165" s="8" t="s">
        <v>87</v>
      </c>
      <c r="E165" s="8" t="s">
        <v>264</v>
      </c>
      <c r="F165" s="8" t="str">
        <f t="shared" si="33"/>
        <v>SB22451</v>
      </c>
      <c r="G165" s="9">
        <v>0</v>
      </c>
      <c r="H165" s="9">
        <f>VLOOKUP(F165,'[1]MGM Report'!$D:$E,2,FALSE)</f>
        <v>0</v>
      </c>
      <c r="I165" s="9" t="b">
        <f t="shared" si="34"/>
        <v>1</v>
      </c>
      <c r="J165" s="12">
        <v>0</v>
      </c>
      <c r="K165" s="12">
        <f>VLOOKUP(F165,'[1]MGM Report'!$D:$F,3,FALSE)</f>
        <v>0</v>
      </c>
      <c r="L165" s="12" t="b">
        <f t="shared" si="24"/>
        <v>1</v>
      </c>
      <c r="M165" s="13">
        <v>0</v>
      </c>
      <c r="N165" s="13">
        <f>VLOOKUP(F165,'[1]MGM Report'!$D:$G,4,FALSE)</f>
        <v>0</v>
      </c>
      <c r="O165" s="13" t="b">
        <f t="shared" si="32"/>
        <v>1</v>
      </c>
      <c r="P165" s="12">
        <v>0</v>
      </c>
      <c r="Q165" s="12">
        <f>VLOOKUP(F165,'[1]MGM Report'!$D:$M,5,FALSE)</f>
        <v>0</v>
      </c>
      <c r="R165" s="12" t="b">
        <f t="shared" si="25"/>
        <v>1</v>
      </c>
      <c r="S165" s="13">
        <v>0</v>
      </c>
      <c r="T165" s="13">
        <f>VLOOKUP(F165,'[1]MGM Report'!$D:$I,6,FALSE)</f>
        <v>0</v>
      </c>
      <c r="U165" s="13" t="b">
        <f t="shared" si="26"/>
        <v>1</v>
      </c>
      <c r="V165" s="12">
        <v>0</v>
      </c>
      <c r="W165" s="12">
        <f>VLOOKUP(F165,'[1]MGM Report'!$D:$J,7,FALSE)</f>
        <v>0</v>
      </c>
      <c r="X165" s="12" t="b">
        <f t="shared" si="27"/>
        <v>1</v>
      </c>
      <c r="Y165" s="13">
        <v>585000.79</v>
      </c>
      <c r="Z165" s="13">
        <f>VLOOKUP(F165,'[1]MGM Report'!$D:$K,8,FALSE)</f>
        <v>585000.79</v>
      </c>
      <c r="AA165" s="13" t="b">
        <f t="shared" si="28"/>
        <v>1</v>
      </c>
      <c r="AB165" s="12">
        <v>-585000.79</v>
      </c>
      <c r="AC165" s="12">
        <f>VLOOKUP(F165,'[1]MGM Report'!$D:$M,10,FALSE)</f>
        <v>585000.79</v>
      </c>
      <c r="AD165" s="12" t="b">
        <f t="shared" si="29"/>
        <v>0</v>
      </c>
      <c r="AE165" s="13">
        <v>0</v>
      </c>
      <c r="AF165" s="13">
        <f>VLOOKUP(F165,'[1]MGM Report'!$D:$N,11,FALSE)</f>
        <v>0</v>
      </c>
      <c r="AG165" s="13" t="b">
        <f t="shared" si="30"/>
        <v>1</v>
      </c>
      <c r="AH165" s="12">
        <v>0</v>
      </c>
      <c r="AI165" s="12">
        <f>VLOOKUP(F165,'[1]MGM Report'!$D:$S,12,FALSE)</f>
        <v>0</v>
      </c>
      <c r="AJ165" s="12" t="b">
        <f t="shared" si="31"/>
        <v>1</v>
      </c>
      <c r="AK165" s="13">
        <f>VLOOKUP(F165,[2]HAVASMGMReportKBCUpdatedResult!$F:$R,13,FALSE)</f>
        <v>0</v>
      </c>
      <c r="AL165" s="13">
        <f>VLOOKUP(F165,'[1]MGM Report'!$D:$S,14,FALSE)</f>
        <v>0</v>
      </c>
    </row>
    <row r="166" spans="1:38">
      <c r="A166" s="7">
        <v>45741</v>
      </c>
      <c r="B166" s="8" t="s">
        <v>38</v>
      </c>
      <c r="C166" s="8" t="s">
        <v>130</v>
      </c>
      <c r="D166" s="8" t="s">
        <v>265</v>
      </c>
      <c r="E166" s="8" t="s">
        <v>266</v>
      </c>
      <c r="F166" s="8" t="str">
        <f t="shared" si="33"/>
        <v>SB22448</v>
      </c>
      <c r="G166" s="9">
        <v>0</v>
      </c>
      <c r="H166" s="9">
        <f>VLOOKUP(F166,'[1]MGM Report'!$D:$E,2,FALSE)</f>
        <v>0</v>
      </c>
      <c r="I166" s="9" t="b">
        <f t="shared" si="34"/>
        <v>1</v>
      </c>
      <c r="J166" s="12">
        <v>0</v>
      </c>
      <c r="K166" s="12">
        <f>VLOOKUP(F166,'[1]MGM Report'!$D:$F,3,FALSE)</f>
        <v>928816</v>
      </c>
      <c r="L166" s="12" t="b">
        <f t="shared" si="24"/>
        <v>0</v>
      </c>
      <c r="M166" s="13">
        <v>-928816</v>
      </c>
      <c r="N166" s="13">
        <f>VLOOKUP(F166,'[1]MGM Report'!$D:$G,4,FALSE)</f>
        <v>928816</v>
      </c>
      <c r="O166" s="13" t="b">
        <f t="shared" si="32"/>
        <v>0</v>
      </c>
      <c r="P166" s="12">
        <v>0</v>
      </c>
      <c r="Q166" s="12">
        <f>VLOOKUP(F166,'[1]MGM Report'!$D:$M,5,FALSE)</f>
        <v>0</v>
      </c>
      <c r="R166" s="12" t="b">
        <f t="shared" si="25"/>
        <v>1</v>
      </c>
      <c r="S166" s="13">
        <v>-928816</v>
      </c>
      <c r="T166" s="13">
        <f>VLOOKUP(F166,'[1]MGM Report'!$D:$I,6,FALSE)</f>
        <v>0</v>
      </c>
      <c r="U166" s="13" t="b">
        <f t="shared" si="26"/>
        <v>0</v>
      </c>
      <c r="V166" s="12">
        <v>0</v>
      </c>
      <c r="W166" s="12">
        <f>VLOOKUP(F166,'[1]MGM Report'!$D:$J,7,FALSE)</f>
        <v>0</v>
      </c>
      <c r="X166" s="12" t="b">
        <f t="shared" si="27"/>
        <v>1</v>
      </c>
      <c r="Y166" s="13">
        <v>0</v>
      </c>
      <c r="Z166" s="13">
        <f>VLOOKUP(F166,'[1]MGM Report'!$D:$K,8,FALSE)</f>
        <v>0</v>
      </c>
      <c r="AA166" s="13" t="b">
        <f t="shared" si="28"/>
        <v>1</v>
      </c>
      <c r="AB166" s="12">
        <v>0</v>
      </c>
      <c r="AC166" s="12">
        <f>VLOOKUP(F166,'[1]MGM Report'!$D:$M,10,FALSE)</f>
        <v>0</v>
      </c>
      <c r="AD166" s="12" t="b">
        <f t="shared" si="29"/>
        <v>1</v>
      </c>
      <c r="AE166" s="13">
        <v>0</v>
      </c>
      <c r="AF166" s="13">
        <f>VLOOKUP(F166,'[1]MGM Report'!$D:$N,11,FALSE)</f>
        <v>0</v>
      </c>
      <c r="AG166" s="13" t="b">
        <f t="shared" si="30"/>
        <v>1</v>
      </c>
      <c r="AH166" s="12">
        <v>0</v>
      </c>
      <c r="AI166" s="12">
        <f>VLOOKUP(F166,'[1]MGM Report'!$D:$S,12,FALSE)</f>
        <v>0</v>
      </c>
      <c r="AJ166" s="12" t="b">
        <f t="shared" si="31"/>
        <v>1</v>
      </c>
      <c r="AK166" s="13">
        <f>VLOOKUP(F166,[2]HAVASMGMReportKBCUpdatedResult!$F:$R,13,FALSE)</f>
        <v>0</v>
      </c>
      <c r="AL166" s="13">
        <f>VLOOKUP(F166,'[1]MGM Report'!$D:$S,14,FALSE)</f>
        <v>0</v>
      </c>
    </row>
    <row r="167" spans="1:38">
      <c r="A167" s="7">
        <v>45741</v>
      </c>
      <c r="B167" s="8" t="s">
        <v>27</v>
      </c>
      <c r="C167" s="8" t="s">
        <v>120</v>
      </c>
      <c r="D167" s="8" t="s">
        <v>71</v>
      </c>
      <c r="E167" s="8" t="s">
        <v>267</v>
      </c>
      <c r="F167" s="8" t="str">
        <f t="shared" si="33"/>
        <v>SB22449</v>
      </c>
      <c r="G167" s="9">
        <v>399072.26</v>
      </c>
      <c r="H167" s="9">
        <f>VLOOKUP(F167,'[1]MGM Report'!$D:$E,2,FALSE)</f>
        <v>399072.26</v>
      </c>
      <c r="I167" s="9" t="b">
        <f t="shared" si="34"/>
        <v>1</v>
      </c>
      <c r="J167" s="12">
        <v>399072.26</v>
      </c>
      <c r="K167" s="12">
        <f>VLOOKUP(F167,'[1]MGM Report'!$D:$F,3,FALSE)</f>
        <v>399072.26</v>
      </c>
      <c r="L167" s="12" t="b">
        <f t="shared" si="24"/>
        <v>1</v>
      </c>
      <c r="M167" s="13">
        <v>0</v>
      </c>
      <c r="N167" s="13">
        <f>VLOOKUP(F167,'[1]MGM Report'!$D:$G,4,FALSE)</f>
        <v>0</v>
      </c>
      <c r="O167" s="13" t="b">
        <f t="shared" si="32"/>
        <v>1</v>
      </c>
      <c r="P167" s="12">
        <v>-399072.26</v>
      </c>
      <c r="Q167" s="12">
        <f>VLOOKUP(F167,'[1]MGM Report'!$D:$M,5,FALSE)</f>
        <v>399072.26</v>
      </c>
      <c r="R167" s="12" t="b">
        <f t="shared" si="25"/>
        <v>0</v>
      </c>
      <c r="S167" s="13">
        <v>0</v>
      </c>
      <c r="T167" s="13">
        <f>VLOOKUP(F167,'[1]MGM Report'!$D:$I,6,FALSE)</f>
        <v>0</v>
      </c>
      <c r="U167" s="13" t="b">
        <f t="shared" si="26"/>
        <v>1</v>
      </c>
      <c r="V167" s="12">
        <v>0</v>
      </c>
      <c r="W167" s="12">
        <f>VLOOKUP(F167,'[1]MGM Report'!$D:$J,7,FALSE)</f>
        <v>0</v>
      </c>
      <c r="X167" s="12" t="b">
        <f t="shared" si="27"/>
        <v>1</v>
      </c>
      <c r="Y167" s="13">
        <v>0</v>
      </c>
      <c r="Z167" s="13">
        <f>VLOOKUP(F167,'[1]MGM Report'!$D:$K,8,FALSE)</f>
        <v>0</v>
      </c>
      <c r="AA167" s="13" t="b">
        <f t="shared" si="28"/>
        <v>1</v>
      </c>
      <c r="AB167" s="12">
        <v>0</v>
      </c>
      <c r="AC167" s="12">
        <f>VLOOKUP(F167,'[1]MGM Report'!$D:$M,10,FALSE)</f>
        <v>0</v>
      </c>
      <c r="AD167" s="12" t="b">
        <f t="shared" si="29"/>
        <v>1</v>
      </c>
      <c r="AE167" s="13">
        <v>0</v>
      </c>
      <c r="AF167" s="13">
        <f>VLOOKUP(F167,'[1]MGM Report'!$D:$N,11,FALSE)</f>
        <v>0</v>
      </c>
      <c r="AG167" s="13" t="b">
        <f t="shared" si="30"/>
        <v>1</v>
      </c>
      <c r="AH167" s="12">
        <v>0</v>
      </c>
      <c r="AI167" s="12">
        <f>VLOOKUP(F167,'[1]MGM Report'!$D:$S,12,FALSE)</f>
        <v>0</v>
      </c>
      <c r="AJ167" s="12" t="b">
        <f t="shared" si="31"/>
        <v>1</v>
      </c>
      <c r="AK167" s="13">
        <f>VLOOKUP(F167,[2]HAVASMGMReportKBCUpdatedResult!$F:$R,13,FALSE)</f>
        <v>399072.26</v>
      </c>
      <c r="AL167" s="13">
        <f>VLOOKUP(F167,'[1]MGM Report'!$D:$S,14,FALSE)</f>
        <v>399072.26</v>
      </c>
    </row>
    <row r="168" spans="1:38">
      <c r="A168" s="7">
        <v>45741</v>
      </c>
      <c r="B168" s="8" t="s">
        <v>59</v>
      </c>
      <c r="C168" s="8" t="s">
        <v>115</v>
      </c>
      <c r="D168" s="8" t="s">
        <v>60</v>
      </c>
      <c r="E168" s="8" t="s">
        <v>268</v>
      </c>
      <c r="F168" s="8" t="str">
        <f t="shared" si="33"/>
        <v>SB22446</v>
      </c>
      <c r="G168" s="9">
        <v>207625</v>
      </c>
      <c r="H168" s="9">
        <f>VLOOKUP(F168,'[1]MGM Report'!$D:$E,2,FALSE)</f>
        <v>207625</v>
      </c>
      <c r="I168" s="9" t="b">
        <f t="shared" si="34"/>
        <v>1</v>
      </c>
      <c r="J168" s="12">
        <v>1668425</v>
      </c>
      <c r="K168" s="12">
        <f>VLOOKUP(F168,'[1]MGM Report'!$D:$F,3,FALSE)</f>
        <v>1668425</v>
      </c>
      <c r="L168" s="12" t="b">
        <f t="shared" si="24"/>
        <v>1</v>
      </c>
      <c r="M168" s="13">
        <v>-1668425</v>
      </c>
      <c r="N168" s="13">
        <f>VLOOKUP(F168,'[1]MGM Report'!$D:$G,4,FALSE)</f>
        <v>1668425</v>
      </c>
      <c r="O168" s="13" t="b">
        <f t="shared" si="32"/>
        <v>0</v>
      </c>
      <c r="P168" s="12">
        <v>0</v>
      </c>
      <c r="Q168" s="12">
        <f>VLOOKUP(F168,'[1]MGM Report'!$D:$M,5,FALSE)</f>
        <v>0</v>
      </c>
      <c r="R168" s="12" t="b">
        <f t="shared" si="25"/>
        <v>1</v>
      </c>
      <c r="S168" s="13">
        <v>0</v>
      </c>
      <c r="T168" s="13">
        <f>VLOOKUP(F168,'[1]MGM Report'!$D:$I,6,FALSE)</f>
        <v>0</v>
      </c>
      <c r="U168" s="13" t="b">
        <f t="shared" si="26"/>
        <v>1</v>
      </c>
      <c r="V168" s="12">
        <v>0</v>
      </c>
      <c r="W168" s="12">
        <f>VLOOKUP(F168,'[1]MGM Report'!$D:$J,7,FALSE)</f>
        <v>0</v>
      </c>
      <c r="X168" s="12" t="b">
        <f t="shared" si="27"/>
        <v>1</v>
      </c>
      <c r="Y168" s="13">
        <v>0</v>
      </c>
      <c r="Z168" s="13">
        <f>VLOOKUP(F168,'[1]MGM Report'!$D:$K,8,FALSE)</f>
        <v>0</v>
      </c>
      <c r="AA168" s="13" t="b">
        <f t="shared" si="28"/>
        <v>1</v>
      </c>
      <c r="AB168" s="12">
        <v>0</v>
      </c>
      <c r="AC168" s="12">
        <f>VLOOKUP(F168,'[1]MGM Report'!$D:$M,10,FALSE)</f>
        <v>0</v>
      </c>
      <c r="AD168" s="12" t="b">
        <f t="shared" si="29"/>
        <v>1</v>
      </c>
      <c r="AE168" s="13">
        <v>0</v>
      </c>
      <c r="AF168" s="13">
        <f>VLOOKUP(F168,'[1]MGM Report'!$D:$N,11,FALSE)</f>
        <v>0</v>
      </c>
      <c r="AG168" s="13" t="b">
        <f t="shared" si="30"/>
        <v>1</v>
      </c>
      <c r="AH168" s="12">
        <v>0</v>
      </c>
      <c r="AI168" s="12">
        <f>VLOOKUP(F168,'[1]MGM Report'!$D:$S,12,FALSE)</f>
        <v>0</v>
      </c>
      <c r="AJ168" s="12" t="b">
        <f t="shared" si="31"/>
        <v>1</v>
      </c>
      <c r="AK168" s="13">
        <f>VLOOKUP(F168,[2]HAVASMGMReportKBCUpdatedResult!$F:$R,13,FALSE)</f>
        <v>207625</v>
      </c>
      <c r="AL168" s="13">
        <f>VLOOKUP(F168,'[1]MGM Report'!$D:$S,14,FALSE)</f>
        <v>207625</v>
      </c>
    </row>
    <row r="169" spans="1:38">
      <c r="A169" s="7">
        <v>45741</v>
      </c>
      <c r="B169" s="8" t="s">
        <v>59</v>
      </c>
      <c r="C169" s="8" t="s">
        <v>115</v>
      </c>
      <c r="D169" s="8" t="s">
        <v>151</v>
      </c>
      <c r="E169" s="8" t="s">
        <v>269</v>
      </c>
      <c r="F169" s="8" t="str">
        <f t="shared" si="33"/>
        <v>SB22445</v>
      </c>
      <c r="G169" s="9">
        <v>0</v>
      </c>
      <c r="H169" s="9">
        <f>VLOOKUP(F169,'[1]MGM Report'!$D:$E,2,FALSE)</f>
        <v>0</v>
      </c>
      <c r="I169" s="9" t="b">
        <f t="shared" si="34"/>
        <v>1</v>
      </c>
      <c r="J169" s="12">
        <v>0</v>
      </c>
      <c r="K169" s="12">
        <f>VLOOKUP(F169,'[1]MGM Report'!$D:$F,3,FALSE)</f>
        <v>0</v>
      </c>
      <c r="L169" s="12" t="b">
        <f t="shared" si="24"/>
        <v>1</v>
      </c>
      <c r="M169" s="13">
        <v>0</v>
      </c>
      <c r="N169" s="13">
        <f>VLOOKUP(F169,'[1]MGM Report'!$D:$G,4,FALSE)</f>
        <v>0</v>
      </c>
      <c r="O169" s="13" t="b">
        <f t="shared" si="32"/>
        <v>1</v>
      </c>
      <c r="P169" s="12">
        <v>0</v>
      </c>
      <c r="Q169" s="12">
        <f>VLOOKUP(F169,'[1]MGM Report'!$D:$M,5,FALSE)</f>
        <v>0</v>
      </c>
      <c r="R169" s="12" t="b">
        <f t="shared" si="25"/>
        <v>1</v>
      </c>
      <c r="S169" s="13">
        <v>0</v>
      </c>
      <c r="T169" s="13">
        <f>VLOOKUP(F169,'[1]MGM Report'!$D:$I,6,FALSE)</f>
        <v>0</v>
      </c>
      <c r="U169" s="13" t="b">
        <f t="shared" si="26"/>
        <v>1</v>
      </c>
      <c r="V169" s="12">
        <v>0</v>
      </c>
      <c r="W169" s="12">
        <f>VLOOKUP(F169,'[1]MGM Report'!$D:$J,7,FALSE)</f>
        <v>0</v>
      </c>
      <c r="X169" s="12" t="b">
        <f t="shared" si="27"/>
        <v>1</v>
      </c>
      <c r="Y169" s="13">
        <v>15407</v>
      </c>
      <c r="Z169" s="13">
        <f>VLOOKUP(F169,'[1]MGM Report'!$D:$K,8,FALSE)</f>
        <v>15407</v>
      </c>
      <c r="AA169" s="13" t="b">
        <f t="shared" si="28"/>
        <v>1</v>
      </c>
      <c r="AB169" s="12">
        <v>-15407</v>
      </c>
      <c r="AC169" s="12">
        <f>VLOOKUP(F169,'[1]MGM Report'!$D:$M,10,FALSE)</f>
        <v>15407</v>
      </c>
      <c r="AD169" s="12" t="b">
        <f t="shared" si="29"/>
        <v>0</v>
      </c>
      <c r="AE169" s="13">
        <v>0</v>
      </c>
      <c r="AF169" s="13">
        <f>VLOOKUP(F169,'[1]MGM Report'!$D:$N,11,FALSE)</f>
        <v>0</v>
      </c>
      <c r="AG169" s="13" t="b">
        <f t="shared" si="30"/>
        <v>1</v>
      </c>
      <c r="AH169" s="12">
        <v>0</v>
      </c>
      <c r="AI169" s="12">
        <f>VLOOKUP(F169,'[1]MGM Report'!$D:$S,12,FALSE)</f>
        <v>0</v>
      </c>
      <c r="AJ169" s="12" t="b">
        <f t="shared" si="31"/>
        <v>1</v>
      </c>
      <c r="AK169" s="13">
        <f>VLOOKUP(F169,[2]HAVASMGMReportKBCUpdatedResult!$F:$R,13,FALSE)</f>
        <v>0</v>
      </c>
      <c r="AL169" s="13">
        <f>VLOOKUP(F169,'[1]MGM Report'!$D:$S,14,FALSE)</f>
        <v>0</v>
      </c>
    </row>
    <row r="170" spans="1:38">
      <c r="A170" s="7">
        <v>45741</v>
      </c>
      <c r="B170" s="8" t="s">
        <v>27</v>
      </c>
      <c r="C170" s="8" t="s">
        <v>120</v>
      </c>
      <c r="D170" s="8" t="s">
        <v>270</v>
      </c>
      <c r="E170" s="8" t="s">
        <v>271</v>
      </c>
      <c r="F170" s="8" t="str">
        <f t="shared" si="33"/>
        <v>SB22443</v>
      </c>
      <c r="G170" s="9">
        <v>0</v>
      </c>
      <c r="H170" s="9">
        <f>VLOOKUP(F170,'[1]MGM Report'!$D:$E,2,FALSE)</f>
        <v>0</v>
      </c>
      <c r="I170" s="9" t="b">
        <f t="shared" si="34"/>
        <v>1</v>
      </c>
      <c r="J170" s="12">
        <v>0</v>
      </c>
      <c r="K170" s="12">
        <f>VLOOKUP(F170,'[1]MGM Report'!$D:$F,3,FALSE)</f>
        <v>0</v>
      </c>
      <c r="L170" s="12" t="b">
        <f t="shared" si="24"/>
        <v>1</v>
      </c>
      <c r="M170" s="13">
        <v>0</v>
      </c>
      <c r="N170" s="13">
        <f>VLOOKUP(F170,'[1]MGM Report'!$D:$G,4,FALSE)</f>
        <v>0</v>
      </c>
      <c r="O170" s="13" t="b">
        <f t="shared" si="32"/>
        <v>1</v>
      </c>
      <c r="P170" s="12">
        <v>0</v>
      </c>
      <c r="Q170" s="12">
        <f>VLOOKUP(F170,'[1]MGM Report'!$D:$M,5,FALSE)</f>
        <v>0</v>
      </c>
      <c r="R170" s="12" t="b">
        <f t="shared" si="25"/>
        <v>1</v>
      </c>
      <c r="S170" s="13">
        <v>0</v>
      </c>
      <c r="T170" s="13">
        <f>VLOOKUP(F170,'[1]MGM Report'!$D:$I,6,FALSE)</f>
        <v>0</v>
      </c>
      <c r="U170" s="13" t="b">
        <f t="shared" si="26"/>
        <v>1</v>
      </c>
      <c r="V170" s="12">
        <v>0</v>
      </c>
      <c r="W170" s="12">
        <f>VLOOKUP(F170,'[1]MGM Report'!$D:$J,7,FALSE)</f>
        <v>0</v>
      </c>
      <c r="X170" s="12" t="b">
        <f t="shared" si="27"/>
        <v>1</v>
      </c>
      <c r="Y170" s="13">
        <v>14500</v>
      </c>
      <c r="Z170" s="13">
        <f>VLOOKUP(F170,'[1]MGM Report'!$D:$K,8,FALSE)</f>
        <v>14500</v>
      </c>
      <c r="AA170" s="13" t="b">
        <f t="shared" si="28"/>
        <v>1</v>
      </c>
      <c r="AB170" s="12">
        <v>-14500</v>
      </c>
      <c r="AC170" s="12">
        <f>VLOOKUP(F170,'[1]MGM Report'!$D:$M,10,FALSE)</f>
        <v>14500</v>
      </c>
      <c r="AD170" s="12" t="b">
        <f t="shared" si="29"/>
        <v>0</v>
      </c>
      <c r="AE170" s="13">
        <v>0</v>
      </c>
      <c r="AF170" s="13">
        <f>VLOOKUP(F170,'[1]MGM Report'!$D:$N,11,FALSE)</f>
        <v>0</v>
      </c>
      <c r="AG170" s="13" t="b">
        <f t="shared" si="30"/>
        <v>1</v>
      </c>
      <c r="AH170" s="12">
        <v>0</v>
      </c>
      <c r="AI170" s="12">
        <f>VLOOKUP(F170,'[1]MGM Report'!$D:$S,12,FALSE)</f>
        <v>0</v>
      </c>
      <c r="AJ170" s="12" t="b">
        <f t="shared" si="31"/>
        <v>1</v>
      </c>
      <c r="AK170" s="13">
        <f>VLOOKUP(F170,[2]HAVASMGMReportKBCUpdatedResult!$F:$R,13,FALSE)</f>
        <v>0</v>
      </c>
      <c r="AL170" s="13">
        <f>VLOOKUP(F170,'[1]MGM Report'!$D:$S,14,FALSE)</f>
        <v>0</v>
      </c>
    </row>
    <row r="171" spans="1:38">
      <c r="A171" s="7">
        <v>45741</v>
      </c>
      <c r="B171" s="8" t="s">
        <v>31</v>
      </c>
      <c r="C171" s="8" t="s">
        <v>115</v>
      </c>
      <c r="D171" s="8" t="s">
        <v>272</v>
      </c>
      <c r="E171" s="8" t="s">
        <v>273</v>
      </c>
      <c r="F171" s="8" t="str">
        <f t="shared" si="33"/>
        <v>SB22444</v>
      </c>
      <c r="G171" s="9">
        <v>175142</v>
      </c>
      <c r="H171" s="9">
        <f>VLOOKUP(F171,'[1]MGM Report'!$D:$E,2,FALSE)</f>
        <v>175142</v>
      </c>
      <c r="I171" s="9" t="b">
        <f t="shared" si="34"/>
        <v>1</v>
      </c>
      <c r="J171" s="12">
        <v>175142</v>
      </c>
      <c r="K171" s="12">
        <f>VLOOKUP(F171,'[1]MGM Report'!$D:$F,3,FALSE)</f>
        <v>175142</v>
      </c>
      <c r="L171" s="12" t="b">
        <f t="shared" si="24"/>
        <v>1</v>
      </c>
      <c r="M171" s="13">
        <v>-175142</v>
      </c>
      <c r="N171" s="13">
        <f>VLOOKUP(F171,'[1]MGM Report'!$D:$G,4,FALSE)</f>
        <v>175142</v>
      </c>
      <c r="O171" s="13" t="b">
        <f t="shared" ref="O171:O202" si="35">M171=N171</f>
        <v>0</v>
      </c>
      <c r="P171" s="12">
        <v>0</v>
      </c>
      <c r="Q171" s="12">
        <f>VLOOKUP(F171,'[1]MGM Report'!$D:$M,5,FALSE)</f>
        <v>0</v>
      </c>
      <c r="R171" s="12" t="b">
        <f t="shared" si="25"/>
        <v>1</v>
      </c>
      <c r="S171" s="13">
        <v>0</v>
      </c>
      <c r="T171" s="13">
        <f>VLOOKUP(F171,'[1]MGM Report'!$D:$I,6,FALSE)</f>
        <v>0</v>
      </c>
      <c r="U171" s="13" t="b">
        <f t="shared" si="26"/>
        <v>1</v>
      </c>
      <c r="V171" s="12">
        <v>140066</v>
      </c>
      <c r="W171" s="12">
        <f>VLOOKUP(F171,'[1]MGM Report'!$D:$J,7,FALSE)</f>
        <v>140066</v>
      </c>
      <c r="X171" s="12" t="b">
        <f t="shared" si="27"/>
        <v>1</v>
      </c>
      <c r="Y171" s="13">
        <v>192445</v>
      </c>
      <c r="Z171" s="13">
        <f>VLOOKUP(F171,'[1]MGM Report'!$D:$K,8,FALSE)</f>
        <v>192445</v>
      </c>
      <c r="AA171" s="13" t="b">
        <f t="shared" si="28"/>
        <v>1</v>
      </c>
      <c r="AB171" s="12">
        <v>-192445</v>
      </c>
      <c r="AC171" s="12">
        <f>VLOOKUP(F171,'[1]MGM Report'!$D:$M,10,FALSE)</f>
        <v>192445</v>
      </c>
      <c r="AD171" s="12" t="b">
        <f t="shared" si="29"/>
        <v>0</v>
      </c>
      <c r="AE171" s="13">
        <v>0</v>
      </c>
      <c r="AF171" s="13">
        <f>VLOOKUP(F171,'[1]MGM Report'!$D:$N,11,FALSE)</f>
        <v>0</v>
      </c>
      <c r="AG171" s="13" t="b">
        <f t="shared" si="30"/>
        <v>1</v>
      </c>
      <c r="AH171" s="12">
        <v>0</v>
      </c>
      <c r="AI171" s="12">
        <f>VLOOKUP(F171,'[1]MGM Report'!$D:$S,12,FALSE)</f>
        <v>0</v>
      </c>
      <c r="AJ171" s="12" t="b">
        <f t="shared" si="31"/>
        <v>1</v>
      </c>
      <c r="AK171" s="13">
        <f>VLOOKUP(F171,[2]HAVASMGMReportKBCUpdatedResult!$F:$R,13,FALSE)</f>
        <v>35076</v>
      </c>
      <c r="AL171" s="13">
        <f>VLOOKUP(F171,'[1]MGM Report'!$D:$S,14,FALSE)</f>
        <v>35076</v>
      </c>
    </row>
    <row r="172" spans="1:38">
      <c r="A172" s="7">
        <v>45741</v>
      </c>
      <c r="B172" s="8" t="s">
        <v>27</v>
      </c>
      <c r="C172" s="8" t="s">
        <v>120</v>
      </c>
      <c r="D172" s="8" t="s">
        <v>47</v>
      </c>
      <c r="E172" s="8" t="s">
        <v>274</v>
      </c>
      <c r="F172" s="8" t="str">
        <f t="shared" si="33"/>
        <v>SB22439</v>
      </c>
      <c r="G172" s="9">
        <v>0</v>
      </c>
      <c r="H172" s="9">
        <f>VLOOKUP(F172,'[1]MGM Report'!$D:$E,2,FALSE)</f>
        <v>0</v>
      </c>
      <c r="I172" s="9" t="b">
        <f t="shared" si="34"/>
        <v>1</v>
      </c>
      <c r="J172" s="12">
        <v>0</v>
      </c>
      <c r="K172" s="12">
        <f>VLOOKUP(F172,'[1]MGM Report'!$D:$F,3,FALSE)</f>
        <v>0</v>
      </c>
      <c r="L172" s="12" t="b">
        <f t="shared" si="24"/>
        <v>1</v>
      </c>
      <c r="M172" s="13">
        <v>1232800</v>
      </c>
      <c r="N172" s="13">
        <f>VLOOKUP(F172,'[1]MGM Report'!$D:$G,4,FALSE)</f>
        <v>1232800</v>
      </c>
      <c r="O172" s="13" t="b">
        <f t="shared" si="35"/>
        <v>1</v>
      </c>
      <c r="P172" s="12">
        <v>0</v>
      </c>
      <c r="Q172" s="12">
        <f>VLOOKUP(F172,'[1]MGM Report'!$D:$M,5,FALSE)</f>
        <v>0</v>
      </c>
      <c r="R172" s="12" t="b">
        <f t="shared" si="25"/>
        <v>1</v>
      </c>
      <c r="S172" s="13">
        <v>1232800</v>
      </c>
      <c r="T172" s="13">
        <f>VLOOKUP(F172,'[1]MGM Report'!$D:$I,6,FALSE)</f>
        <v>1232800</v>
      </c>
      <c r="U172" s="13" t="b">
        <f t="shared" si="26"/>
        <v>1</v>
      </c>
      <c r="V172" s="12">
        <v>54100</v>
      </c>
      <c r="W172" s="12">
        <f>VLOOKUP(F172,'[1]MGM Report'!$D:$J,7,FALSE)</f>
        <v>54100</v>
      </c>
      <c r="X172" s="12" t="b">
        <f t="shared" si="27"/>
        <v>1</v>
      </c>
      <c r="Y172" s="13">
        <v>54100</v>
      </c>
      <c r="Z172" s="13">
        <f>VLOOKUP(F172,'[1]MGM Report'!$D:$K,8,FALSE)</f>
        <v>54100</v>
      </c>
      <c r="AA172" s="13" t="b">
        <f t="shared" si="28"/>
        <v>1</v>
      </c>
      <c r="AB172" s="12">
        <v>907484</v>
      </c>
      <c r="AC172" s="12">
        <f>VLOOKUP(F172,'[1]MGM Report'!$D:$M,10,FALSE)</f>
        <v>907484</v>
      </c>
      <c r="AD172" s="12" t="b">
        <f t="shared" si="29"/>
        <v>1</v>
      </c>
      <c r="AE172" s="13">
        <v>0</v>
      </c>
      <c r="AF172" s="13">
        <f>VLOOKUP(F172,'[1]MGM Report'!$D:$N,11,FALSE)</f>
        <v>0</v>
      </c>
      <c r="AG172" s="13" t="b">
        <f t="shared" si="30"/>
        <v>1</v>
      </c>
      <c r="AH172" s="12">
        <v>961584</v>
      </c>
      <c r="AI172" s="12">
        <f>VLOOKUP(F172,'[1]MGM Report'!$D:$S,12,FALSE)</f>
        <v>961584</v>
      </c>
      <c r="AJ172" s="12" t="b">
        <f t="shared" si="31"/>
        <v>1</v>
      </c>
      <c r="AK172" s="13">
        <f>VLOOKUP(F172,[2]HAVASMGMReportKBCUpdatedResult!$F:$R,13,FALSE)</f>
        <v>-54100</v>
      </c>
      <c r="AL172" s="13">
        <f>VLOOKUP(F172,'[1]MGM Report'!$D:$S,14,FALSE)</f>
        <v>54100</v>
      </c>
    </row>
    <row r="173" spans="1:38">
      <c r="A173" s="7">
        <v>45741</v>
      </c>
      <c r="B173" s="8" t="s">
        <v>38</v>
      </c>
      <c r="C173" s="8" t="s">
        <v>130</v>
      </c>
      <c r="D173" s="8" t="s">
        <v>275</v>
      </c>
      <c r="E173" s="8" t="s">
        <v>276</v>
      </c>
      <c r="F173" s="8" t="str">
        <f t="shared" si="33"/>
        <v>SB22437</v>
      </c>
      <c r="G173" s="9">
        <v>0</v>
      </c>
      <c r="H173" s="9">
        <f>VLOOKUP(F173,'[1]MGM Report'!$D:$E,2,FALSE)</f>
        <v>1197840</v>
      </c>
      <c r="I173" s="9" t="b">
        <f t="shared" si="34"/>
        <v>0</v>
      </c>
      <c r="J173" s="12">
        <v>5855518</v>
      </c>
      <c r="K173" s="12">
        <f>VLOOKUP(F173,'[1]MGM Report'!$D:$F,3,FALSE)</f>
        <v>7053358</v>
      </c>
      <c r="L173" s="12" t="b">
        <f t="shared" si="24"/>
        <v>0</v>
      </c>
      <c r="M173" s="13">
        <v>0</v>
      </c>
      <c r="N173" s="13">
        <f>VLOOKUP(F173,'[1]MGM Report'!$D:$G,4,FALSE)</f>
        <v>0</v>
      </c>
      <c r="O173" s="13" t="b">
        <f t="shared" si="35"/>
        <v>1</v>
      </c>
      <c r="P173" s="12">
        <v>0</v>
      </c>
      <c r="Q173" s="12">
        <f>VLOOKUP(F173,'[1]MGM Report'!$D:$M,5,FALSE)</f>
        <v>0</v>
      </c>
      <c r="R173" s="12" t="b">
        <f t="shared" si="25"/>
        <v>1</v>
      </c>
      <c r="S173" s="13">
        <v>5855518</v>
      </c>
      <c r="T173" s="13">
        <f>VLOOKUP(F173,'[1]MGM Report'!$D:$I,6,FALSE)</f>
        <v>7053358</v>
      </c>
      <c r="U173" s="13" t="b">
        <f t="shared" si="26"/>
        <v>0</v>
      </c>
      <c r="V173" s="12">
        <v>944609.45</v>
      </c>
      <c r="W173" s="12">
        <f>VLOOKUP(F173,'[1]MGM Report'!$D:$J,7,FALSE)</f>
        <v>1027945.06</v>
      </c>
      <c r="X173" s="12" t="b">
        <f t="shared" si="27"/>
        <v>0</v>
      </c>
      <c r="Y173" s="13">
        <v>1073620.06</v>
      </c>
      <c r="Z173" s="13">
        <f>VLOOKUP(F173,'[1]MGM Report'!$D:$K,8,FALSE)</f>
        <v>1073620.06</v>
      </c>
      <c r="AA173" s="13" t="b">
        <f t="shared" si="28"/>
        <v>1</v>
      </c>
      <c r="AB173" s="12">
        <v>2932529.94</v>
      </c>
      <c r="AC173" s="12">
        <f>VLOOKUP(F173,'[1]MGM Report'!$D:$M,10,FALSE)</f>
        <v>2932529.94</v>
      </c>
      <c r="AD173" s="12" t="b">
        <f t="shared" si="29"/>
        <v>1</v>
      </c>
      <c r="AE173" s="13">
        <v>-6150</v>
      </c>
      <c r="AF173" s="13">
        <f>VLOOKUP(F173,'[1]MGM Report'!$D:$N,11,FALSE)</f>
        <v>6150</v>
      </c>
      <c r="AG173" s="13" t="b">
        <f t="shared" si="30"/>
        <v>0</v>
      </c>
      <c r="AH173" s="12">
        <v>4000000</v>
      </c>
      <c r="AI173" s="12">
        <f>VLOOKUP(F173,'[1]MGM Report'!$D:$S,12,FALSE)</f>
        <v>4000000</v>
      </c>
      <c r="AJ173" s="12" t="b">
        <f t="shared" si="31"/>
        <v>1</v>
      </c>
      <c r="AK173" s="13">
        <f>VLOOKUP(F173,[2]HAVASMGMReportKBCUpdatedResult!$F:$R,13,FALSE)</f>
        <v>-944609.45</v>
      </c>
      <c r="AL173" s="13">
        <f>VLOOKUP(F173,'[1]MGM Report'!$D:$S,14,FALSE)</f>
        <v>169894.94</v>
      </c>
    </row>
    <row r="174" spans="1:38">
      <c r="A174" s="7">
        <v>45741</v>
      </c>
      <c r="B174" s="8" t="s">
        <v>31</v>
      </c>
      <c r="C174" s="8" t="s">
        <v>115</v>
      </c>
      <c r="D174" s="8" t="s">
        <v>277</v>
      </c>
      <c r="E174" s="8" t="s">
        <v>278</v>
      </c>
      <c r="F174" s="8" t="str">
        <f t="shared" si="33"/>
        <v>SB22433</v>
      </c>
      <c r="G174" s="9">
        <v>317178.4</v>
      </c>
      <c r="H174" s="9">
        <f>VLOOKUP(F174,'[1]MGM Report'!$D:$E,2,FALSE)</f>
        <v>317178.4</v>
      </c>
      <c r="I174" s="9" t="b">
        <f t="shared" si="34"/>
        <v>1</v>
      </c>
      <c r="J174" s="12">
        <v>317178.4</v>
      </c>
      <c r="K174" s="12">
        <f>VLOOKUP(F174,'[1]MGM Report'!$D:$F,3,FALSE)</f>
        <v>317178.4</v>
      </c>
      <c r="L174" s="12" t="b">
        <f t="shared" si="24"/>
        <v>1</v>
      </c>
      <c r="M174" s="13">
        <v>-317178</v>
      </c>
      <c r="N174" s="13">
        <f>VLOOKUP(F174,'[1]MGM Report'!$D:$G,4,FALSE)</f>
        <v>317178</v>
      </c>
      <c r="O174" s="13" t="b">
        <f t="shared" si="35"/>
        <v>0</v>
      </c>
      <c r="P174" s="12">
        <v>0</v>
      </c>
      <c r="Q174" s="12">
        <f>VLOOKUP(F174,'[1]MGM Report'!$D:$M,5,FALSE)</f>
        <v>0</v>
      </c>
      <c r="R174" s="12" t="b">
        <f t="shared" si="25"/>
        <v>1</v>
      </c>
      <c r="S174" s="13">
        <v>0.4</v>
      </c>
      <c r="T174" s="13">
        <f>VLOOKUP(F174,'[1]MGM Report'!$D:$I,6,FALSE)</f>
        <v>0.4</v>
      </c>
      <c r="U174" s="13" t="b">
        <f t="shared" si="26"/>
        <v>1</v>
      </c>
      <c r="V174" s="12">
        <v>0</v>
      </c>
      <c r="W174" s="12">
        <f>VLOOKUP(F174,'[1]MGM Report'!$D:$J,7,FALSE)</f>
        <v>0</v>
      </c>
      <c r="X174" s="12" t="b">
        <f t="shared" si="27"/>
        <v>1</v>
      </c>
      <c r="Y174" s="13">
        <v>58437.5</v>
      </c>
      <c r="Z174" s="13">
        <f>VLOOKUP(F174,'[1]MGM Report'!$D:$K,8,FALSE)</f>
        <v>58437.5</v>
      </c>
      <c r="AA174" s="13" t="b">
        <f t="shared" si="28"/>
        <v>1</v>
      </c>
      <c r="AB174" s="12">
        <v>-58437.5</v>
      </c>
      <c r="AC174" s="12">
        <f>VLOOKUP(F174,'[1]MGM Report'!$D:$M,10,FALSE)</f>
        <v>58437.5</v>
      </c>
      <c r="AD174" s="12" t="b">
        <f t="shared" si="29"/>
        <v>0</v>
      </c>
      <c r="AE174" s="13">
        <v>0</v>
      </c>
      <c r="AF174" s="13">
        <f>VLOOKUP(F174,'[1]MGM Report'!$D:$N,11,FALSE)</f>
        <v>0</v>
      </c>
      <c r="AG174" s="13" t="b">
        <f t="shared" si="30"/>
        <v>1</v>
      </c>
      <c r="AH174" s="12">
        <v>0</v>
      </c>
      <c r="AI174" s="12">
        <f>VLOOKUP(F174,'[1]MGM Report'!$D:$S,12,FALSE)</f>
        <v>0</v>
      </c>
      <c r="AJ174" s="12" t="b">
        <f t="shared" si="31"/>
        <v>1</v>
      </c>
      <c r="AK174" s="13">
        <f>VLOOKUP(F174,[2]HAVASMGMReportKBCUpdatedResult!$F:$R,13,FALSE)</f>
        <v>317178.4</v>
      </c>
      <c r="AL174" s="13">
        <f>VLOOKUP(F174,'[1]MGM Report'!$D:$S,14,FALSE)</f>
        <v>317178.4</v>
      </c>
    </row>
    <row r="175" spans="1:38">
      <c r="A175" s="7">
        <v>45741</v>
      </c>
      <c r="B175" s="8" t="s">
        <v>27</v>
      </c>
      <c r="C175" s="8" t="s">
        <v>120</v>
      </c>
      <c r="D175" s="8" t="s">
        <v>214</v>
      </c>
      <c r="E175" s="8" t="s">
        <v>279</v>
      </c>
      <c r="F175" s="8" t="str">
        <f t="shared" si="33"/>
        <v>SB22428</v>
      </c>
      <c r="G175" s="9">
        <v>5492385.06</v>
      </c>
      <c r="H175" s="9">
        <f>VLOOKUP(F175,'[1]MGM Report'!$D:$E,2,FALSE)</f>
        <v>5492385.06</v>
      </c>
      <c r="I175" s="9" t="b">
        <f t="shared" si="34"/>
        <v>1</v>
      </c>
      <c r="J175" s="12">
        <v>5492385.06</v>
      </c>
      <c r="K175" s="12">
        <f>VLOOKUP(F175,'[1]MGM Report'!$D:$F,3,FALSE)</f>
        <v>5492385.06</v>
      </c>
      <c r="L175" s="12" t="b">
        <f t="shared" si="24"/>
        <v>1</v>
      </c>
      <c r="M175" s="13">
        <v>-5492385.06</v>
      </c>
      <c r="N175" s="13">
        <f>VLOOKUP(F175,'[1]MGM Report'!$D:$G,4,FALSE)</f>
        <v>5492385.06</v>
      </c>
      <c r="O175" s="13" t="b">
        <f t="shared" si="35"/>
        <v>0</v>
      </c>
      <c r="P175" s="12">
        <v>0</v>
      </c>
      <c r="Q175" s="12">
        <f>VLOOKUP(F175,'[1]MGM Report'!$D:$M,5,FALSE)</f>
        <v>0</v>
      </c>
      <c r="R175" s="12" t="b">
        <f t="shared" si="25"/>
        <v>1</v>
      </c>
      <c r="S175" s="13">
        <v>0</v>
      </c>
      <c r="T175" s="13">
        <f>VLOOKUP(F175,'[1]MGM Report'!$D:$I,6,FALSE)</f>
        <v>0</v>
      </c>
      <c r="U175" s="13" t="b">
        <f t="shared" si="26"/>
        <v>1</v>
      </c>
      <c r="V175" s="12">
        <v>0</v>
      </c>
      <c r="W175" s="12">
        <f>VLOOKUP(F175,'[1]MGM Report'!$D:$J,7,FALSE)</f>
        <v>0</v>
      </c>
      <c r="X175" s="12" t="b">
        <f t="shared" si="27"/>
        <v>1</v>
      </c>
      <c r="Y175" s="13">
        <v>350000</v>
      </c>
      <c r="Z175" s="13">
        <f>VLOOKUP(F175,'[1]MGM Report'!$D:$K,8,FALSE)</f>
        <v>350000</v>
      </c>
      <c r="AA175" s="13" t="b">
        <f t="shared" si="28"/>
        <v>1</v>
      </c>
      <c r="AB175" s="12">
        <v>-350000</v>
      </c>
      <c r="AC175" s="12">
        <f>VLOOKUP(F175,'[1]MGM Report'!$D:$M,10,FALSE)</f>
        <v>350000</v>
      </c>
      <c r="AD175" s="12" t="b">
        <f t="shared" si="29"/>
        <v>0</v>
      </c>
      <c r="AE175" s="13">
        <v>0</v>
      </c>
      <c r="AF175" s="13">
        <f>VLOOKUP(F175,'[1]MGM Report'!$D:$N,11,FALSE)</f>
        <v>0</v>
      </c>
      <c r="AG175" s="13" t="b">
        <f t="shared" si="30"/>
        <v>1</v>
      </c>
      <c r="AH175" s="12">
        <v>0</v>
      </c>
      <c r="AI175" s="12">
        <f>VLOOKUP(F175,'[1]MGM Report'!$D:$S,12,FALSE)</f>
        <v>0</v>
      </c>
      <c r="AJ175" s="12" t="b">
        <f t="shared" si="31"/>
        <v>1</v>
      </c>
      <c r="AK175" s="13">
        <f>VLOOKUP(F175,[2]HAVASMGMReportKBCUpdatedResult!$F:$R,13,FALSE)</f>
        <v>5492385.06</v>
      </c>
      <c r="AL175" s="13">
        <f>VLOOKUP(F175,'[1]MGM Report'!$D:$S,14,FALSE)</f>
        <v>5492385.06</v>
      </c>
    </row>
    <row r="176" spans="1:38">
      <c r="A176" s="7">
        <v>45741</v>
      </c>
      <c r="B176" s="8" t="s">
        <v>59</v>
      </c>
      <c r="C176" s="8" t="s">
        <v>115</v>
      </c>
      <c r="D176" s="8" t="s">
        <v>60</v>
      </c>
      <c r="E176" s="8" t="s">
        <v>280</v>
      </c>
      <c r="F176" s="8" t="str">
        <f t="shared" si="33"/>
        <v>SB22424</v>
      </c>
      <c r="G176" s="9">
        <v>0</v>
      </c>
      <c r="H176" s="9">
        <f>VLOOKUP(F176,'[1]MGM Report'!$D:$E,2,FALSE)</f>
        <v>0</v>
      </c>
      <c r="I176" s="9" t="b">
        <f t="shared" si="34"/>
        <v>1</v>
      </c>
      <c r="J176" s="12">
        <v>0</v>
      </c>
      <c r="K176" s="12">
        <f>VLOOKUP(F176,'[1]MGM Report'!$D:$F,3,FALSE)</f>
        <v>0</v>
      </c>
      <c r="L176" s="12" t="b">
        <f t="shared" si="24"/>
        <v>1</v>
      </c>
      <c r="M176" s="13">
        <v>0</v>
      </c>
      <c r="N176" s="13">
        <f>VLOOKUP(F176,'[1]MGM Report'!$D:$G,4,FALSE)</f>
        <v>0</v>
      </c>
      <c r="O176" s="13" t="b">
        <f t="shared" si="35"/>
        <v>1</v>
      </c>
      <c r="P176" s="12">
        <v>0</v>
      </c>
      <c r="Q176" s="12">
        <f>VLOOKUP(F176,'[1]MGM Report'!$D:$M,5,FALSE)</f>
        <v>0</v>
      </c>
      <c r="R176" s="12" t="b">
        <f t="shared" si="25"/>
        <v>1</v>
      </c>
      <c r="S176" s="13">
        <v>0</v>
      </c>
      <c r="T176" s="13">
        <f>VLOOKUP(F176,'[1]MGM Report'!$D:$I,6,FALSE)</f>
        <v>0</v>
      </c>
      <c r="U176" s="13" t="b">
        <f t="shared" si="26"/>
        <v>1</v>
      </c>
      <c r="V176" s="12">
        <v>0</v>
      </c>
      <c r="W176" s="12">
        <f>VLOOKUP(F176,'[1]MGM Report'!$D:$J,7,FALSE)</f>
        <v>0</v>
      </c>
      <c r="X176" s="12" t="b">
        <f t="shared" si="27"/>
        <v>1</v>
      </c>
      <c r="Y176" s="13">
        <v>0</v>
      </c>
      <c r="Z176" s="13">
        <f>VLOOKUP(F176,'[1]MGM Report'!$D:$K,8,FALSE)</f>
        <v>0</v>
      </c>
      <c r="AA176" s="13" t="b">
        <f t="shared" si="28"/>
        <v>1</v>
      </c>
      <c r="AB176" s="12">
        <v>34233</v>
      </c>
      <c r="AC176" s="12">
        <f>VLOOKUP(F176,'[1]MGM Report'!$D:$M,10,FALSE)</f>
        <v>34233</v>
      </c>
      <c r="AD176" s="12" t="b">
        <f t="shared" si="29"/>
        <v>1</v>
      </c>
      <c r="AE176" s="13">
        <v>-126649</v>
      </c>
      <c r="AF176" s="13">
        <f>VLOOKUP(F176,'[1]MGM Report'!$D:$N,11,FALSE)</f>
        <v>126649</v>
      </c>
      <c r="AG176" s="13" t="b">
        <f t="shared" si="30"/>
        <v>0</v>
      </c>
      <c r="AH176" s="12">
        <v>-92416</v>
      </c>
      <c r="AI176" s="12">
        <f>VLOOKUP(F176,'[1]MGM Report'!$D:$S,12,FALSE)</f>
        <v>92416</v>
      </c>
      <c r="AJ176" s="12" t="b">
        <f t="shared" si="31"/>
        <v>0</v>
      </c>
      <c r="AK176" s="13">
        <f>VLOOKUP(F176,[2]HAVASMGMReportKBCUpdatedResult!$F:$R,13,FALSE)</f>
        <v>0</v>
      </c>
      <c r="AL176" s="13">
        <f>VLOOKUP(F176,'[1]MGM Report'!$D:$S,14,FALSE)</f>
        <v>0</v>
      </c>
    </row>
    <row r="177" spans="1:38">
      <c r="A177" s="7">
        <v>45741</v>
      </c>
      <c r="B177" s="8" t="s">
        <v>31</v>
      </c>
      <c r="C177" s="8" t="s">
        <v>115</v>
      </c>
      <c r="D177" s="8" t="s">
        <v>69</v>
      </c>
      <c r="E177" s="8" t="s">
        <v>281</v>
      </c>
      <c r="F177" s="8" t="str">
        <f t="shared" si="33"/>
        <v>SB22417</v>
      </c>
      <c r="G177" s="9">
        <v>0</v>
      </c>
      <c r="H177" s="9">
        <f>VLOOKUP(F177,'[1]MGM Report'!$D:$E,2,FALSE)</f>
        <v>0</v>
      </c>
      <c r="I177" s="9" t="b">
        <f t="shared" si="34"/>
        <v>1</v>
      </c>
      <c r="J177" s="12">
        <v>0</v>
      </c>
      <c r="K177" s="12">
        <f>VLOOKUP(F177,'[1]MGM Report'!$D:$F,3,FALSE)</f>
        <v>0</v>
      </c>
      <c r="L177" s="12" t="b">
        <f t="shared" si="24"/>
        <v>1</v>
      </c>
      <c r="M177" s="13">
        <v>0</v>
      </c>
      <c r="N177" s="13">
        <f>VLOOKUP(F177,'[1]MGM Report'!$D:$G,4,FALSE)</f>
        <v>0</v>
      </c>
      <c r="O177" s="13" t="b">
        <f t="shared" si="35"/>
        <v>1</v>
      </c>
      <c r="P177" s="12">
        <v>0</v>
      </c>
      <c r="Q177" s="12">
        <f>VLOOKUP(F177,'[1]MGM Report'!$D:$M,5,FALSE)</f>
        <v>0</v>
      </c>
      <c r="R177" s="12" t="b">
        <f t="shared" si="25"/>
        <v>1</v>
      </c>
      <c r="S177" s="13">
        <v>0</v>
      </c>
      <c r="T177" s="13">
        <f>VLOOKUP(F177,'[1]MGM Report'!$D:$I,6,FALSE)</f>
        <v>0</v>
      </c>
      <c r="U177" s="13" t="b">
        <f t="shared" si="26"/>
        <v>1</v>
      </c>
      <c r="V177" s="12">
        <v>0</v>
      </c>
      <c r="W177" s="12">
        <f>VLOOKUP(F177,'[1]MGM Report'!$D:$J,7,FALSE)</f>
        <v>0</v>
      </c>
      <c r="X177" s="12" t="b">
        <f t="shared" si="27"/>
        <v>1</v>
      </c>
      <c r="Y177" s="13">
        <v>110000</v>
      </c>
      <c r="Z177" s="13">
        <f>VLOOKUP(F177,'[1]MGM Report'!$D:$K,8,FALSE)</f>
        <v>110000</v>
      </c>
      <c r="AA177" s="13" t="b">
        <f t="shared" si="28"/>
        <v>1</v>
      </c>
      <c r="AB177" s="12">
        <v>-110000</v>
      </c>
      <c r="AC177" s="12">
        <f>VLOOKUP(F177,'[1]MGM Report'!$D:$M,10,FALSE)</f>
        <v>110000</v>
      </c>
      <c r="AD177" s="12" t="b">
        <f t="shared" si="29"/>
        <v>0</v>
      </c>
      <c r="AE177" s="13">
        <v>0</v>
      </c>
      <c r="AF177" s="13">
        <f>VLOOKUP(F177,'[1]MGM Report'!$D:$N,11,FALSE)</f>
        <v>0</v>
      </c>
      <c r="AG177" s="13" t="b">
        <f t="shared" si="30"/>
        <v>1</v>
      </c>
      <c r="AH177" s="12">
        <v>0</v>
      </c>
      <c r="AI177" s="12">
        <f>VLOOKUP(F177,'[1]MGM Report'!$D:$S,12,FALSE)</f>
        <v>0</v>
      </c>
      <c r="AJ177" s="12" t="b">
        <f t="shared" si="31"/>
        <v>1</v>
      </c>
      <c r="AK177" s="13">
        <f>VLOOKUP(F177,[2]HAVASMGMReportKBCUpdatedResult!$F:$R,13,FALSE)</f>
        <v>0</v>
      </c>
      <c r="AL177" s="13">
        <f>VLOOKUP(F177,'[1]MGM Report'!$D:$S,14,FALSE)</f>
        <v>0</v>
      </c>
    </row>
    <row r="178" spans="1:38">
      <c r="A178" s="7">
        <v>45741</v>
      </c>
      <c r="B178" s="8" t="s">
        <v>27</v>
      </c>
      <c r="C178" s="8" t="s">
        <v>120</v>
      </c>
      <c r="D178" s="8" t="s">
        <v>168</v>
      </c>
      <c r="E178" s="8" t="s">
        <v>282</v>
      </c>
      <c r="F178" s="8" t="str">
        <f t="shared" si="33"/>
        <v>SB22416</v>
      </c>
      <c r="G178" s="9">
        <v>0</v>
      </c>
      <c r="H178" s="9">
        <f>VLOOKUP(F178,'[1]MGM Report'!$D:$E,2,FALSE)</f>
        <v>0</v>
      </c>
      <c r="I178" s="9" t="b">
        <f t="shared" si="34"/>
        <v>1</v>
      </c>
      <c r="J178" s="12">
        <v>0</v>
      </c>
      <c r="K178" s="12">
        <f>VLOOKUP(F178,'[1]MGM Report'!$D:$F,3,FALSE)</f>
        <v>0</v>
      </c>
      <c r="L178" s="12" t="b">
        <f t="shared" si="24"/>
        <v>1</v>
      </c>
      <c r="M178" s="13">
        <v>0</v>
      </c>
      <c r="N178" s="13">
        <f>VLOOKUP(F178,'[1]MGM Report'!$D:$G,4,FALSE)</f>
        <v>0</v>
      </c>
      <c r="O178" s="13" t="b">
        <f t="shared" si="35"/>
        <v>1</v>
      </c>
      <c r="P178" s="12">
        <v>0</v>
      </c>
      <c r="Q178" s="12">
        <f>VLOOKUP(F178,'[1]MGM Report'!$D:$M,5,FALSE)</f>
        <v>0</v>
      </c>
      <c r="R178" s="12" t="b">
        <f t="shared" si="25"/>
        <v>1</v>
      </c>
      <c r="S178" s="13">
        <v>0</v>
      </c>
      <c r="T178" s="13">
        <f>VLOOKUP(F178,'[1]MGM Report'!$D:$I,6,FALSE)</f>
        <v>0</v>
      </c>
      <c r="U178" s="13" t="b">
        <f t="shared" si="26"/>
        <v>1</v>
      </c>
      <c r="V178" s="12">
        <v>0</v>
      </c>
      <c r="W178" s="12">
        <f>VLOOKUP(F178,'[1]MGM Report'!$D:$J,7,FALSE)</f>
        <v>0</v>
      </c>
      <c r="X178" s="12" t="b">
        <f t="shared" si="27"/>
        <v>1</v>
      </c>
      <c r="Y178" s="13">
        <v>6000</v>
      </c>
      <c r="Z178" s="13">
        <f>VLOOKUP(F178,'[1]MGM Report'!$D:$K,8,FALSE)</f>
        <v>6000</v>
      </c>
      <c r="AA178" s="13" t="b">
        <f t="shared" si="28"/>
        <v>1</v>
      </c>
      <c r="AB178" s="12">
        <v>-6000</v>
      </c>
      <c r="AC178" s="12">
        <f>VLOOKUP(F178,'[1]MGM Report'!$D:$M,10,FALSE)</f>
        <v>6000</v>
      </c>
      <c r="AD178" s="12" t="b">
        <f t="shared" si="29"/>
        <v>0</v>
      </c>
      <c r="AE178" s="13">
        <v>0</v>
      </c>
      <c r="AF178" s="13">
        <f>VLOOKUP(F178,'[1]MGM Report'!$D:$N,11,FALSE)</f>
        <v>0</v>
      </c>
      <c r="AG178" s="13" t="b">
        <f t="shared" si="30"/>
        <v>1</v>
      </c>
      <c r="AH178" s="12">
        <v>0</v>
      </c>
      <c r="AI178" s="12">
        <f>VLOOKUP(F178,'[1]MGM Report'!$D:$S,12,FALSE)</f>
        <v>0</v>
      </c>
      <c r="AJ178" s="12" t="b">
        <f t="shared" si="31"/>
        <v>1</v>
      </c>
      <c r="AK178" s="13">
        <f>VLOOKUP(F178,[2]HAVASMGMReportKBCUpdatedResult!$F:$R,13,FALSE)</f>
        <v>0</v>
      </c>
      <c r="AL178" s="13">
        <f>VLOOKUP(F178,'[1]MGM Report'!$D:$S,14,FALSE)</f>
        <v>0</v>
      </c>
    </row>
    <row r="179" spans="1:38">
      <c r="A179" s="7">
        <v>45741</v>
      </c>
      <c r="B179" s="8" t="s">
        <v>38</v>
      </c>
      <c r="C179" s="8" t="s">
        <v>130</v>
      </c>
      <c r="D179" s="8" t="s">
        <v>91</v>
      </c>
      <c r="E179" s="8" t="s">
        <v>283</v>
      </c>
      <c r="F179" s="8" t="str">
        <f t="shared" si="33"/>
        <v>SB22414</v>
      </c>
      <c r="G179" s="9">
        <v>250000</v>
      </c>
      <c r="H179" s="9">
        <f>VLOOKUP(F179,'[1]MGM Report'!$D:$E,2,FALSE)</f>
        <v>250000</v>
      </c>
      <c r="I179" s="9" t="b">
        <f t="shared" si="34"/>
        <v>1</v>
      </c>
      <c r="J179" s="12">
        <v>250000</v>
      </c>
      <c r="K179" s="12">
        <f>VLOOKUP(F179,'[1]MGM Report'!$D:$F,3,FALSE)</f>
        <v>250000</v>
      </c>
      <c r="L179" s="12" t="b">
        <f t="shared" si="24"/>
        <v>1</v>
      </c>
      <c r="M179" s="13">
        <v>-250000</v>
      </c>
      <c r="N179" s="13">
        <f>VLOOKUP(F179,'[1]MGM Report'!$D:$G,4,FALSE)</f>
        <v>250000</v>
      </c>
      <c r="O179" s="13" t="b">
        <f t="shared" si="35"/>
        <v>0</v>
      </c>
      <c r="P179" s="12">
        <v>0</v>
      </c>
      <c r="Q179" s="12">
        <f>VLOOKUP(F179,'[1]MGM Report'!$D:$M,5,FALSE)</f>
        <v>0</v>
      </c>
      <c r="R179" s="12" t="b">
        <f t="shared" si="25"/>
        <v>1</v>
      </c>
      <c r="S179" s="13">
        <v>0</v>
      </c>
      <c r="T179" s="13">
        <f>VLOOKUP(F179,'[1]MGM Report'!$D:$I,6,FALSE)</f>
        <v>0</v>
      </c>
      <c r="U179" s="13" t="b">
        <f t="shared" si="26"/>
        <v>1</v>
      </c>
      <c r="V179" s="12">
        <v>0</v>
      </c>
      <c r="W179" s="12">
        <f>VLOOKUP(F179,'[1]MGM Report'!$D:$J,7,FALSE)</f>
        <v>0</v>
      </c>
      <c r="X179" s="12" t="b">
        <f t="shared" si="27"/>
        <v>1</v>
      </c>
      <c r="Y179" s="13">
        <v>1139500</v>
      </c>
      <c r="Z179" s="13">
        <f>VLOOKUP(F179,'[1]MGM Report'!$D:$K,8,FALSE)</f>
        <v>1139500</v>
      </c>
      <c r="AA179" s="13" t="b">
        <f t="shared" si="28"/>
        <v>1</v>
      </c>
      <c r="AB179" s="12">
        <v>-1139500</v>
      </c>
      <c r="AC179" s="12">
        <f>VLOOKUP(F179,'[1]MGM Report'!$D:$M,10,FALSE)</f>
        <v>1139500</v>
      </c>
      <c r="AD179" s="12" t="b">
        <f t="shared" si="29"/>
        <v>0</v>
      </c>
      <c r="AE179" s="13">
        <v>0</v>
      </c>
      <c r="AF179" s="13">
        <f>VLOOKUP(F179,'[1]MGM Report'!$D:$N,11,FALSE)</f>
        <v>0</v>
      </c>
      <c r="AG179" s="13" t="b">
        <f t="shared" si="30"/>
        <v>1</v>
      </c>
      <c r="AH179" s="12">
        <v>0</v>
      </c>
      <c r="AI179" s="12">
        <f>VLOOKUP(F179,'[1]MGM Report'!$D:$S,12,FALSE)</f>
        <v>0</v>
      </c>
      <c r="AJ179" s="12" t="b">
        <f t="shared" si="31"/>
        <v>1</v>
      </c>
      <c r="AK179" s="13">
        <f>VLOOKUP(F179,[2]HAVASMGMReportKBCUpdatedResult!$F:$R,13,FALSE)</f>
        <v>250000</v>
      </c>
      <c r="AL179" s="13">
        <f>VLOOKUP(F179,'[1]MGM Report'!$D:$S,14,FALSE)</f>
        <v>250000</v>
      </c>
    </row>
    <row r="180" spans="1:38">
      <c r="A180" s="7">
        <v>45741</v>
      </c>
      <c r="B180" s="8" t="s">
        <v>31</v>
      </c>
      <c r="C180" s="8" t="s">
        <v>115</v>
      </c>
      <c r="D180" s="8" t="s">
        <v>45</v>
      </c>
      <c r="E180" s="8" t="s">
        <v>284</v>
      </c>
      <c r="F180" s="8" t="str">
        <f t="shared" si="33"/>
        <v>SB22411</v>
      </c>
      <c r="G180" s="9">
        <v>0</v>
      </c>
      <c r="H180" s="9">
        <f>VLOOKUP(F180,'[1]MGM Report'!$D:$E,2,FALSE)</f>
        <v>0</v>
      </c>
      <c r="I180" s="9" t="b">
        <f t="shared" si="34"/>
        <v>1</v>
      </c>
      <c r="J180" s="12">
        <v>0</v>
      </c>
      <c r="K180" s="12">
        <f>VLOOKUP(F180,'[1]MGM Report'!$D:$F,3,FALSE)</f>
        <v>0</v>
      </c>
      <c r="L180" s="12" t="b">
        <f t="shared" si="24"/>
        <v>1</v>
      </c>
      <c r="M180" s="13">
        <v>0</v>
      </c>
      <c r="N180" s="13">
        <f>VLOOKUP(F180,'[1]MGM Report'!$D:$G,4,FALSE)</f>
        <v>0</v>
      </c>
      <c r="O180" s="13" t="b">
        <f t="shared" si="35"/>
        <v>1</v>
      </c>
      <c r="P180" s="12">
        <v>0</v>
      </c>
      <c r="Q180" s="12">
        <f>VLOOKUP(F180,'[1]MGM Report'!$D:$M,5,FALSE)</f>
        <v>0</v>
      </c>
      <c r="R180" s="12" t="b">
        <f t="shared" si="25"/>
        <v>1</v>
      </c>
      <c r="S180" s="13">
        <v>0</v>
      </c>
      <c r="T180" s="13">
        <f>VLOOKUP(F180,'[1]MGM Report'!$D:$I,6,FALSE)</f>
        <v>0</v>
      </c>
      <c r="U180" s="13" t="b">
        <f t="shared" si="26"/>
        <v>1</v>
      </c>
      <c r="V180" s="12">
        <v>0</v>
      </c>
      <c r="W180" s="12">
        <f>VLOOKUP(F180,'[1]MGM Report'!$D:$J,7,FALSE)</f>
        <v>0</v>
      </c>
      <c r="X180" s="12" t="b">
        <f t="shared" si="27"/>
        <v>1</v>
      </c>
      <c r="Y180" s="13">
        <v>7552</v>
      </c>
      <c r="Z180" s="13">
        <f>VLOOKUP(F180,'[1]MGM Report'!$D:$K,8,FALSE)</f>
        <v>7552</v>
      </c>
      <c r="AA180" s="13" t="b">
        <f t="shared" si="28"/>
        <v>1</v>
      </c>
      <c r="AB180" s="12">
        <v>-7552</v>
      </c>
      <c r="AC180" s="12">
        <f>VLOOKUP(F180,'[1]MGM Report'!$D:$M,10,FALSE)</f>
        <v>7552</v>
      </c>
      <c r="AD180" s="12" t="b">
        <f t="shared" si="29"/>
        <v>0</v>
      </c>
      <c r="AE180" s="13">
        <v>0</v>
      </c>
      <c r="AF180" s="13">
        <f>VLOOKUP(F180,'[1]MGM Report'!$D:$N,11,FALSE)</f>
        <v>0</v>
      </c>
      <c r="AG180" s="13" t="b">
        <f t="shared" si="30"/>
        <v>1</v>
      </c>
      <c r="AH180" s="12">
        <v>0</v>
      </c>
      <c r="AI180" s="12">
        <f>VLOOKUP(F180,'[1]MGM Report'!$D:$S,12,FALSE)</f>
        <v>0</v>
      </c>
      <c r="AJ180" s="12" t="b">
        <f t="shared" si="31"/>
        <v>1</v>
      </c>
      <c r="AK180" s="13">
        <f>VLOOKUP(F180,[2]HAVASMGMReportKBCUpdatedResult!$F:$R,13,FALSE)</f>
        <v>0</v>
      </c>
      <c r="AL180" s="13">
        <f>VLOOKUP(F180,'[1]MGM Report'!$D:$S,14,FALSE)</f>
        <v>0</v>
      </c>
    </row>
    <row r="181" spans="1:38">
      <c r="A181" s="7">
        <v>45741</v>
      </c>
      <c r="B181" s="8" t="s">
        <v>27</v>
      </c>
      <c r="C181" s="8" t="s">
        <v>120</v>
      </c>
      <c r="D181" s="8" t="s">
        <v>64</v>
      </c>
      <c r="E181" s="8" t="s">
        <v>285</v>
      </c>
      <c r="F181" s="8" t="str">
        <f t="shared" si="33"/>
        <v>SB22410</v>
      </c>
      <c r="G181" s="9">
        <v>0</v>
      </c>
      <c r="H181" s="9">
        <f>VLOOKUP(F181,'[1]MGM Report'!$D:$E,2,FALSE)</f>
        <v>0</v>
      </c>
      <c r="I181" s="9" t="b">
        <f t="shared" si="34"/>
        <v>1</v>
      </c>
      <c r="J181" s="12">
        <v>0</v>
      </c>
      <c r="K181" s="12">
        <f>VLOOKUP(F181,'[1]MGM Report'!$D:$F,3,FALSE)</f>
        <v>0</v>
      </c>
      <c r="L181" s="12" t="b">
        <f t="shared" si="24"/>
        <v>1</v>
      </c>
      <c r="M181" s="13">
        <v>0</v>
      </c>
      <c r="N181" s="13">
        <f>VLOOKUP(F181,'[1]MGM Report'!$D:$G,4,FALSE)</f>
        <v>0</v>
      </c>
      <c r="O181" s="13" t="b">
        <f t="shared" si="35"/>
        <v>1</v>
      </c>
      <c r="P181" s="12">
        <v>0</v>
      </c>
      <c r="Q181" s="12">
        <f>VLOOKUP(F181,'[1]MGM Report'!$D:$M,5,FALSE)</f>
        <v>0</v>
      </c>
      <c r="R181" s="12" t="b">
        <f t="shared" si="25"/>
        <v>1</v>
      </c>
      <c r="S181" s="13">
        <v>0</v>
      </c>
      <c r="T181" s="13">
        <f>VLOOKUP(F181,'[1]MGM Report'!$D:$I,6,FALSE)</f>
        <v>0</v>
      </c>
      <c r="U181" s="13" t="b">
        <f t="shared" si="26"/>
        <v>1</v>
      </c>
      <c r="V181" s="12">
        <v>0</v>
      </c>
      <c r="W181" s="12">
        <f>VLOOKUP(F181,'[1]MGM Report'!$D:$J,7,FALSE)</f>
        <v>0</v>
      </c>
      <c r="X181" s="12" t="b">
        <f t="shared" si="27"/>
        <v>1</v>
      </c>
      <c r="Y181" s="13">
        <v>40000</v>
      </c>
      <c r="Z181" s="13">
        <f>VLOOKUP(F181,'[1]MGM Report'!$D:$K,8,FALSE)</f>
        <v>40000</v>
      </c>
      <c r="AA181" s="13" t="b">
        <f t="shared" si="28"/>
        <v>1</v>
      </c>
      <c r="AB181" s="12">
        <v>-40000</v>
      </c>
      <c r="AC181" s="12">
        <f>VLOOKUP(F181,'[1]MGM Report'!$D:$M,10,FALSE)</f>
        <v>40000</v>
      </c>
      <c r="AD181" s="12" t="b">
        <f t="shared" si="29"/>
        <v>0</v>
      </c>
      <c r="AE181" s="13">
        <v>0</v>
      </c>
      <c r="AF181" s="13">
        <f>VLOOKUP(F181,'[1]MGM Report'!$D:$N,11,FALSE)</f>
        <v>0</v>
      </c>
      <c r="AG181" s="13" t="b">
        <f t="shared" si="30"/>
        <v>1</v>
      </c>
      <c r="AH181" s="12">
        <v>0</v>
      </c>
      <c r="AI181" s="12">
        <f>VLOOKUP(F181,'[1]MGM Report'!$D:$S,12,FALSE)</f>
        <v>0</v>
      </c>
      <c r="AJ181" s="12" t="b">
        <f t="shared" si="31"/>
        <v>1</v>
      </c>
      <c r="AK181" s="13">
        <f>VLOOKUP(F181,[2]HAVASMGMReportKBCUpdatedResult!$F:$R,13,FALSE)</f>
        <v>0</v>
      </c>
      <c r="AL181" s="13">
        <f>VLOOKUP(F181,'[1]MGM Report'!$D:$S,14,FALSE)</f>
        <v>0</v>
      </c>
    </row>
    <row r="182" spans="1:38">
      <c r="A182" s="7">
        <v>45741</v>
      </c>
      <c r="B182" s="8" t="s">
        <v>38</v>
      </c>
      <c r="C182" s="8" t="s">
        <v>130</v>
      </c>
      <c r="D182" s="8" t="s">
        <v>41</v>
      </c>
      <c r="E182" s="8" t="s">
        <v>286</v>
      </c>
      <c r="F182" s="8" t="str">
        <f t="shared" si="33"/>
        <v>SB22405</v>
      </c>
      <c r="G182" s="9">
        <v>0</v>
      </c>
      <c r="H182" s="9">
        <f>VLOOKUP(F182,'[1]MGM Report'!$D:$E,2,FALSE)</f>
        <v>0</v>
      </c>
      <c r="I182" s="9" t="b">
        <f t="shared" si="34"/>
        <v>1</v>
      </c>
      <c r="J182" s="12">
        <v>5313598</v>
      </c>
      <c r="K182" s="12">
        <f>VLOOKUP(F182,'[1]MGM Report'!$D:$F,3,FALSE)</f>
        <v>5313598</v>
      </c>
      <c r="L182" s="12" t="b">
        <f t="shared" si="24"/>
        <v>1</v>
      </c>
      <c r="M182" s="13">
        <v>-5313598</v>
      </c>
      <c r="N182" s="13">
        <f>VLOOKUP(F182,'[1]MGM Report'!$D:$G,4,FALSE)</f>
        <v>5313598</v>
      </c>
      <c r="O182" s="13" t="b">
        <f t="shared" si="35"/>
        <v>0</v>
      </c>
      <c r="P182" s="12">
        <v>0</v>
      </c>
      <c r="Q182" s="12">
        <f>VLOOKUP(F182,'[1]MGM Report'!$D:$M,5,FALSE)</f>
        <v>0</v>
      </c>
      <c r="R182" s="12" t="b">
        <f t="shared" si="25"/>
        <v>1</v>
      </c>
      <c r="S182" s="13">
        <v>0</v>
      </c>
      <c r="T182" s="13">
        <f>VLOOKUP(F182,'[1]MGM Report'!$D:$I,6,FALSE)</f>
        <v>0</v>
      </c>
      <c r="U182" s="13" t="b">
        <f t="shared" si="26"/>
        <v>1</v>
      </c>
      <c r="V182" s="12">
        <v>0</v>
      </c>
      <c r="W182" s="12">
        <f>VLOOKUP(F182,'[1]MGM Report'!$D:$J,7,FALSE)</f>
        <v>0</v>
      </c>
      <c r="X182" s="12" t="b">
        <f t="shared" si="27"/>
        <v>1</v>
      </c>
      <c r="Y182" s="13">
        <v>0</v>
      </c>
      <c r="Z182" s="13">
        <f>VLOOKUP(F182,'[1]MGM Report'!$D:$K,8,FALSE)</f>
        <v>0</v>
      </c>
      <c r="AA182" s="13" t="b">
        <f t="shared" si="28"/>
        <v>1</v>
      </c>
      <c r="AB182" s="12">
        <v>0</v>
      </c>
      <c r="AC182" s="12">
        <f>VLOOKUP(F182,'[1]MGM Report'!$D:$M,10,FALSE)</f>
        <v>0</v>
      </c>
      <c r="AD182" s="12" t="b">
        <f t="shared" si="29"/>
        <v>1</v>
      </c>
      <c r="AE182" s="13">
        <v>0</v>
      </c>
      <c r="AF182" s="13">
        <f>VLOOKUP(F182,'[1]MGM Report'!$D:$N,11,FALSE)</f>
        <v>0</v>
      </c>
      <c r="AG182" s="13" t="b">
        <f t="shared" si="30"/>
        <v>1</v>
      </c>
      <c r="AH182" s="12">
        <v>0</v>
      </c>
      <c r="AI182" s="12">
        <f>VLOOKUP(F182,'[1]MGM Report'!$D:$S,12,FALSE)</f>
        <v>0</v>
      </c>
      <c r="AJ182" s="12" t="b">
        <f t="shared" si="31"/>
        <v>1</v>
      </c>
      <c r="AK182" s="13">
        <f>VLOOKUP(F182,[2]HAVASMGMReportKBCUpdatedResult!$F:$R,13,FALSE)</f>
        <v>0</v>
      </c>
      <c r="AL182" s="13">
        <f>VLOOKUP(F182,'[1]MGM Report'!$D:$S,14,FALSE)</f>
        <v>0</v>
      </c>
    </row>
    <row r="183" spans="1:38">
      <c r="A183" s="7">
        <v>45741</v>
      </c>
      <c r="B183" s="8" t="s">
        <v>38</v>
      </c>
      <c r="C183" s="8" t="s">
        <v>130</v>
      </c>
      <c r="D183" s="8" t="s">
        <v>224</v>
      </c>
      <c r="E183" s="8" t="s">
        <v>287</v>
      </c>
      <c r="F183" s="8" t="str">
        <f t="shared" si="33"/>
        <v>SB22404</v>
      </c>
      <c r="G183" s="9">
        <v>0</v>
      </c>
      <c r="H183" s="9">
        <f>VLOOKUP(F183,'[1]MGM Report'!$D:$E,2,FALSE)</f>
        <v>0</v>
      </c>
      <c r="I183" s="9" t="b">
        <f t="shared" si="34"/>
        <v>1</v>
      </c>
      <c r="J183" s="12">
        <v>0</v>
      </c>
      <c r="K183" s="12">
        <f>VLOOKUP(F183,'[1]MGM Report'!$D:$F,3,FALSE)</f>
        <v>0</v>
      </c>
      <c r="L183" s="12" t="b">
        <f t="shared" si="24"/>
        <v>1</v>
      </c>
      <c r="M183" s="13">
        <v>0</v>
      </c>
      <c r="N183" s="13">
        <f>VLOOKUP(F183,'[1]MGM Report'!$D:$G,4,FALSE)</f>
        <v>0</v>
      </c>
      <c r="O183" s="13" t="b">
        <f t="shared" si="35"/>
        <v>1</v>
      </c>
      <c r="P183" s="12">
        <v>0</v>
      </c>
      <c r="Q183" s="12">
        <f>VLOOKUP(F183,'[1]MGM Report'!$D:$M,5,FALSE)</f>
        <v>0</v>
      </c>
      <c r="R183" s="12" t="b">
        <f t="shared" si="25"/>
        <v>1</v>
      </c>
      <c r="S183" s="13">
        <v>0</v>
      </c>
      <c r="T183" s="13">
        <f>VLOOKUP(F183,'[1]MGM Report'!$D:$I,6,FALSE)</f>
        <v>0</v>
      </c>
      <c r="U183" s="13" t="b">
        <f t="shared" si="26"/>
        <v>1</v>
      </c>
      <c r="V183" s="12">
        <v>0</v>
      </c>
      <c r="W183" s="12">
        <f>VLOOKUP(F183,'[1]MGM Report'!$D:$J,7,FALSE)</f>
        <v>0</v>
      </c>
      <c r="X183" s="12" t="b">
        <f t="shared" si="27"/>
        <v>1</v>
      </c>
      <c r="Y183" s="13">
        <v>10725</v>
      </c>
      <c r="Z183" s="13">
        <f>VLOOKUP(F183,'[1]MGM Report'!$D:$K,8,FALSE)</f>
        <v>10725</v>
      </c>
      <c r="AA183" s="13" t="b">
        <f t="shared" si="28"/>
        <v>1</v>
      </c>
      <c r="AB183" s="12">
        <v>-10725</v>
      </c>
      <c r="AC183" s="12">
        <f>VLOOKUP(F183,'[1]MGM Report'!$D:$M,10,FALSE)</f>
        <v>10725</v>
      </c>
      <c r="AD183" s="12" t="b">
        <f t="shared" si="29"/>
        <v>0</v>
      </c>
      <c r="AE183" s="13">
        <v>0</v>
      </c>
      <c r="AF183" s="13">
        <f>VLOOKUP(F183,'[1]MGM Report'!$D:$N,11,FALSE)</f>
        <v>0</v>
      </c>
      <c r="AG183" s="13" t="b">
        <f t="shared" si="30"/>
        <v>1</v>
      </c>
      <c r="AH183" s="12">
        <v>0</v>
      </c>
      <c r="AI183" s="12">
        <f>VLOOKUP(F183,'[1]MGM Report'!$D:$S,12,FALSE)</f>
        <v>0</v>
      </c>
      <c r="AJ183" s="12" t="b">
        <f t="shared" si="31"/>
        <v>1</v>
      </c>
      <c r="AK183" s="13">
        <f>VLOOKUP(F183,[2]HAVASMGMReportKBCUpdatedResult!$F:$R,13,FALSE)</f>
        <v>0</v>
      </c>
      <c r="AL183" s="13">
        <f>VLOOKUP(F183,'[1]MGM Report'!$D:$S,14,FALSE)</f>
        <v>0</v>
      </c>
    </row>
    <row r="184" spans="1:38">
      <c r="A184" s="7">
        <v>45741</v>
      </c>
      <c r="B184" s="8" t="s">
        <v>27</v>
      </c>
      <c r="C184" s="8" t="s">
        <v>120</v>
      </c>
      <c r="D184" s="8" t="s">
        <v>47</v>
      </c>
      <c r="E184" s="8" t="s">
        <v>288</v>
      </c>
      <c r="F184" s="8" t="str">
        <f t="shared" si="33"/>
        <v>SB22400</v>
      </c>
      <c r="G184" s="9">
        <v>0</v>
      </c>
      <c r="H184" s="9">
        <f>VLOOKUP(F184,'[1]MGM Report'!$D:$E,2,FALSE)</f>
        <v>0</v>
      </c>
      <c r="I184" s="9" t="b">
        <f t="shared" si="34"/>
        <v>1</v>
      </c>
      <c r="J184" s="12">
        <v>0</v>
      </c>
      <c r="K184" s="12">
        <f>VLOOKUP(F184,'[1]MGM Report'!$D:$F,3,FALSE)</f>
        <v>0</v>
      </c>
      <c r="L184" s="12" t="b">
        <f t="shared" si="24"/>
        <v>1</v>
      </c>
      <c r="M184" s="13">
        <v>0</v>
      </c>
      <c r="N184" s="13">
        <f>VLOOKUP(F184,'[1]MGM Report'!$D:$G,4,FALSE)</f>
        <v>0</v>
      </c>
      <c r="O184" s="13" t="b">
        <f t="shared" si="35"/>
        <v>1</v>
      </c>
      <c r="P184" s="12">
        <v>0</v>
      </c>
      <c r="Q184" s="12">
        <f>VLOOKUP(F184,'[1]MGM Report'!$D:$M,5,FALSE)</f>
        <v>0</v>
      </c>
      <c r="R184" s="12" t="b">
        <f t="shared" si="25"/>
        <v>1</v>
      </c>
      <c r="S184" s="13">
        <v>0</v>
      </c>
      <c r="T184" s="13">
        <f>VLOOKUP(F184,'[1]MGM Report'!$D:$I,6,FALSE)</f>
        <v>0</v>
      </c>
      <c r="U184" s="13" t="b">
        <f t="shared" si="26"/>
        <v>1</v>
      </c>
      <c r="V184" s="12">
        <v>1399430</v>
      </c>
      <c r="W184" s="12">
        <f>VLOOKUP(F184,'[1]MGM Report'!$D:$J,7,FALSE)</f>
        <v>1399430</v>
      </c>
      <c r="X184" s="12" t="b">
        <f t="shared" si="27"/>
        <v>1</v>
      </c>
      <c r="Y184" s="13">
        <v>261201</v>
      </c>
      <c r="Z184" s="13">
        <f>VLOOKUP(F184,'[1]MGM Report'!$D:$K,8,FALSE)</f>
        <v>261201</v>
      </c>
      <c r="AA184" s="13" t="b">
        <f t="shared" si="28"/>
        <v>1</v>
      </c>
      <c r="AB184" s="12">
        <v>-250771</v>
      </c>
      <c r="AC184" s="12">
        <f>VLOOKUP(F184,'[1]MGM Report'!$D:$M,10,FALSE)</f>
        <v>250771</v>
      </c>
      <c r="AD184" s="12" t="b">
        <f t="shared" si="29"/>
        <v>0</v>
      </c>
      <c r="AE184" s="13">
        <v>0</v>
      </c>
      <c r="AF184" s="13">
        <f>VLOOKUP(F184,'[1]MGM Report'!$D:$N,11,FALSE)</f>
        <v>0</v>
      </c>
      <c r="AG184" s="13" t="b">
        <f t="shared" si="30"/>
        <v>1</v>
      </c>
      <c r="AH184" s="12">
        <v>10430</v>
      </c>
      <c r="AI184" s="12">
        <f>VLOOKUP(F184,'[1]MGM Report'!$D:$S,12,FALSE)</f>
        <v>10430</v>
      </c>
      <c r="AJ184" s="12" t="b">
        <f t="shared" si="31"/>
        <v>1</v>
      </c>
      <c r="AK184" s="13">
        <f>VLOOKUP(F184,[2]HAVASMGMReportKBCUpdatedResult!$F:$R,13,FALSE)</f>
        <v>-1399430</v>
      </c>
      <c r="AL184" s="13">
        <f>VLOOKUP(F184,'[1]MGM Report'!$D:$S,14,FALSE)</f>
        <v>1399430</v>
      </c>
    </row>
    <row r="185" spans="1:38">
      <c r="A185" s="7">
        <v>45741</v>
      </c>
      <c r="B185" s="8" t="s">
        <v>27</v>
      </c>
      <c r="C185" s="8" t="s">
        <v>120</v>
      </c>
      <c r="D185" s="8" t="s">
        <v>289</v>
      </c>
      <c r="E185" s="8" t="s">
        <v>290</v>
      </c>
      <c r="F185" s="8" t="str">
        <f t="shared" si="33"/>
        <v>SB22401</v>
      </c>
      <c r="G185" s="9">
        <v>0</v>
      </c>
      <c r="H185" s="9">
        <f>VLOOKUP(F185,'[1]MGM Report'!$D:$E,2,FALSE)</f>
        <v>0</v>
      </c>
      <c r="I185" s="9" t="b">
        <f t="shared" si="34"/>
        <v>1</v>
      </c>
      <c r="J185" s="12">
        <v>0</v>
      </c>
      <c r="K185" s="12">
        <f>VLOOKUP(F185,'[1]MGM Report'!$D:$F,3,FALSE)</f>
        <v>0</v>
      </c>
      <c r="L185" s="12" t="b">
        <f t="shared" si="24"/>
        <v>1</v>
      </c>
      <c r="M185" s="13">
        <v>0</v>
      </c>
      <c r="N185" s="13">
        <f>VLOOKUP(F185,'[1]MGM Report'!$D:$G,4,FALSE)</f>
        <v>0</v>
      </c>
      <c r="O185" s="13" t="b">
        <f t="shared" si="35"/>
        <v>1</v>
      </c>
      <c r="P185" s="12">
        <v>-138800</v>
      </c>
      <c r="Q185" s="12">
        <f>VLOOKUP(F185,'[1]MGM Report'!$D:$M,5,FALSE)</f>
        <v>138800</v>
      </c>
      <c r="R185" s="12" t="b">
        <f t="shared" si="25"/>
        <v>0</v>
      </c>
      <c r="S185" s="13">
        <v>-138800</v>
      </c>
      <c r="T185" s="13">
        <f>VLOOKUP(F185,'[1]MGM Report'!$D:$I,6,FALSE)</f>
        <v>138800</v>
      </c>
      <c r="U185" s="13" t="b">
        <f t="shared" si="26"/>
        <v>0</v>
      </c>
      <c r="V185" s="12">
        <v>0</v>
      </c>
      <c r="W185" s="12">
        <f>VLOOKUP(F185,'[1]MGM Report'!$D:$J,7,FALSE)</f>
        <v>0</v>
      </c>
      <c r="X185" s="12" t="b">
        <f t="shared" si="27"/>
        <v>1</v>
      </c>
      <c r="Y185" s="13">
        <v>0</v>
      </c>
      <c r="Z185" s="13">
        <f>VLOOKUP(F185,'[1]MGM Report'!$D:$K,8,FALSE)</f>
        <v>0</v>
      </c>
      <c r="AA185" s="13" t="b">
        <f t="shared" si="28"/>
        <v>1</v>
      </c>
      <c r="AB185" s="12">
        <v>0</v>
      </c>
      <c r="AC185" s="12">
        <f>VLOOKUP(F185,'[1]MGM Report'!$D:$M,10,FALSE)</f>
        <v>0</v>
      </c>
      <c r="AD185" s="12" t="b">
        <f t="shared" si="29"/>
        <v>1</v>
      </c>
      <c r="AE185" s="13">
        <v>0</v>
      </c>
      <c r="AF185" s="13">
        <f>VLOOKUP(F185,'[1]MGM Report'!$D:$N,11,FALSE)</f>
        <v>0</v>
      </c>
      <c r="AG185" s="13" t="b">
        <f t="shared" si="30"/>
        <v>1</v>
      </c>
      <c r="AH185" s="12">
        <v>0</v>
      </c>
      <c r="AI185" s="12">
        <f>VLOOKUP(F185,'[1]MGM Report'!$D:$S,12,FALSE)</f>
        <v>0</v>
      </c>
      <c r="AJ185" s="12" t="b">
        <f t="shared" si="31"/>
        <v>1</v>
      </c>
      <c r="AK185" s="13">
        <f>VLOOKUP(F185,[2]HAVASMGMReportKBCUpdatedResult!$F:$R,13,FALSE)</f>
        <v>0</v>
      </c>
      <c r="AL185" s="13">
        <f>VLOOKUP(F185,'[1]MGM Report'!$D:$S,14,FALSE)</f>
        <v>0</v>
      </c>
    </row>
    <row r="186" spans="1:38">
      <c r="A186" s="7">
        <v>45741</v>
      </c>
      <c r="B186" s="8" t="s">
        <v>27</v>
      </c>
      <c r="C186" s="8" t="s">
        <v>120</v>
      </c>
      <c r="D186" s="8" t="s">
        <v>291</v>
      </c>
      <c r="E186" s="8" t="s">
        <v>292</v>
      </c>
      <c r="F186" s="8" t="str">
        <f t="shared" si="33"/>
        <v>SB22399</v>
      </c>
      <c r="G186" s="9">
        <v>0</v>
      </c>
      <c r="H186" s="9">
        <f>VLOOKUP(F186,'[1]MGM Report'!$D:$E,2,FALSE)</f>
        <v>0</v>
      </c>
      <c r="I186" s="9" t="b">
        <f t="shared" si="34"/>
        <v>1</v>
      </c>
      <c r="J186" s="12">
        <v>0</v>
      </c>
      <c r="K186" s="12">
        <f>VLOOKUP(F186,'[1]MGM Report'!$D:$F,3,FALSE)</f>
        <v>0</v>
      </c>
      <c r="L186" s="12" t="b">
        <f t="shared" si="24"/>
        <v>1</v>
      </c>
      <c r="M186" s="13">
        <v>0</v>
      </c>
      <c r="N186" s="13">
        <f>VLOOKUP(F186,'[1]MGM Report'!$D:$G,4,FALSE)</f>
        <v>0</v>
      </c>
      <c r="O186" s="13" t="b">
        <f t="shared" si="35"/>
        <v>1</v>
      </c>
      <c r="P186" s="12">
        <v>0</v>
      </c>
      <c r="Q186" s="12">
        <f>VLOOKUP(F186,'[1]MGM Report'!$D:$M,5,FALSE)</f>
        <v>0</v>
      </c>
      <c r="R186" s="12" t="b">
        <f t="shared" si="25"/>
        <v>1</v>
      </c>
      <c r="S186" s="13">
        <v>0</v>
      </c>
      <c r="T186" s="13">
        <f>VLOOKUP(F186,'[1]MGM Report'!$D:$I,6,FALSE)</f>
        <v>0</v>
      </c>
      <c r="U186" s="13" t="b">
        <f t="shared" si="26"/>
        <v>1</v>
      </c>
      <c r="V186" s="12">
        <v>0</v>
      </c>
      <c r="W186" s="12">
        <f>VLOOKUP(F186,'[1]MGM Report'!$D:$J,7,FALSE)</f>
        <v>0</v>
      </c>
      <c r="X186" s="12" t="b">
        <f t="shared" si="27"/>
        <v>1</v>
      </c>
      <c r="Y186" s="13">
        <v>12350</v>
      </c>
      <c r="Z186" s="13">
        <f>VLOOKUP(F186,'[1]MGM Report'!$D:$K,8,FALSE)</f>
        <v>12350</v>
      </c>
      <c r="AA186" s="13" t="b">
        <f t="shared" si="28"/>
        <v>1</v>
      </c>
      <c r="AB186" s="12">
        <v>-12350</v>
      </c>
      <c r="AC186" s="12">
        <f>VLOOKUP(F186,'[1]MGM Report'!$D:$M,10,FALSE)</f>
        <v>12350</v>
      </c>
      <c r="AD186" s="12" t="b">
        <f t="shared" si="29"/>
        <v>0</v>
      </c>
      <c r="AE186" s="13">
        <v>0</v>
      </c>
      <c r="AF186" s="13">
        <f>VLOOKUP(F186,'[1]MGM Report'!$D:$N,11,FALSE)</f>
        <v>0</v>
      </c>
      <c r="AG186" s="13" t="b">
        <f t="shared" si="30"/>
        <v>1</v>
      </c>
      <c r="AH186" s="12">
        <v>0</v>
      </c>
      <c r="AI186" s="12">
        <f>VLOOKUP(F186,'[1]MGM Report'!$D:$S,12,FALSE)</f>
        <v>0</v>
      </c>
      <c r="AJ186" s="12" t="b">
        <f t="shared" si="31"/>
        <v>1</v>
      </c>
      <c r="AK186" s="13">
        <f>VLOOKUP(F186,[2]HAVASMGMReportKBCUpdatedResult!$F:$R,13,FALSE)</f>
        <v>0</v>
      </c>
      <c r="AL186" s="13">
        <f>VLOOKUP(F186,'[1]MGM Report'!$D:$S,14,FALSE)</f>
        <v>0</v>
      </c>
    </row>
    <row r="187" spans="1:38">
      <c r="A187" s="7">
        <v>45741</v>
      </c>
      <c r="B187" s="8" t="s">
        <v>31</v>
      </c>
      <c r="C187" s="8" t="s">
        <v>115</v>
      </c>
      <c r="D187" s="8" t="s">
        <v>143</v>
      </c>
      <c r="E187" s="8" t="s">
        <v>293</v>
      </c>
      <c r="F187" s="8" t="str">
        <f t="shared" si="33"/>
        <v>SB22397</v>
      </c>
      <c r="G187" s="9">
        <v>0</v>
      </c>
      <c r="H187" s="9">
        <f>VLOOKUP(F187,'[1]MGM Report'!$D:$E,2,FALSE)</f>
        <v>0</v>
      </c>
      <c r="I187" s="9" t="b">
        <f t="shared" si="34"/>
        <v>1</v>
      </c>
      <c r="J187" s="12">
        <v>0</v>
      </c>
      <c r="K187" s="12">
        <f>VLOOKUP(F187,'[1]MGM Report'!$D:$F,3,FALSE)</f>
        <v>0</v>
      </c>
      <c r="L187" s="12" t="b">
        <f t="shared" si="24"/>
        <v>1</v>
      </c>
      <c r="M187" s="13">
        <v>1263051.28</v>
      </c>
      <c r="N187" s="13">
        <f>VLOOKUP(F187,'[1]MGM Report'!$D:$G,4,FALSE)</f>
        <v>1263051.28</v>
      </c>
      <c r="O187" s="13" t="b">
        <f t="shared" si="35"/>
        <v>1</v>
      </c>
      <c r="P187" s="12">
        <v>0</v>
      </c>
      <c r="Q187" s="12">
        <f>VLOOKUP(F187,'[1]MGM Report'!$D:$M,5,FALSE)</f>
        <v>0</v>
      </c>
      <c r="R187" s="12" t="b">
        <f t="shared" si="25"/>
        <v>1</v>
      </c>
      <c r="S187" s="13">
        <v>1263051.28</v>
      </c>
      <c r="T187" s="13">
        <f>VLOOKUP(F187,'[1]MGM Report'!$D:$I,6,FALSE)</f>
        <v>1263051.28</v>
      </c>
      <c r="U187" s="13" t="b">
        <f t="shared" si="26"/>
        <v>1</v>
      </c>
      <c r="V187" s="12">
        <v>151500</v>
      </c>
      <c r="W187" s="12">
        <f>VLOOKUP(F187,'[1]MGM Report'!$D:$J,7,FALSE)</f>
        <v>151500</v>
      </c>
      <c r="X187" s="12" t="b">
        <f t="shared" si="27"/>
        <v>1</v>
      </c>
      <c r="Y187" s="13">
        <v>151500</v>
      </c>
      <c r="Z187" s="13">
        <f>VLOOKUP(F187,'[1]MGM Report'!$D:$K,8,FALSE)</f>
        <v>151500</v>
      </c>
      <c r="AA187" s="13" t="b">
        <f t="shared" si="28"/>
        <v>1</v>
      </c>
      <c r="AB187" s="12">
        <v>961551.28</v>
      </c>
      <c r="AC187" s="12">
        <f>VLOOKUP(F187,'[1]MGM Report'!$D:$M,10,FALSE)</f>
        <v>961551.28</v>
      </c>
      <c r="AD187" s="12" t="b">
        <f t="shared" si="29"/>
        <v>1</v>
      </c>
      <c r="AE187" s="13">
        <v>0</v>
      </c>
      <c r="AF187" s="13">
        <f>VLOOKUP(F187,'[1]MGM Report'!$D:$N,11,FALSE)</f>
        <v>0</v>
      </c>
      <c r="AG187" s="13" t="b">
        <f t="shared" si="30"/>
        <v>1</v>
      </c>
      <c r="AH187" s="12">
        <v>1113051.28</v>
      </c>
      <c r="AI187" s="12">
        <f>VLOOKUP(F187,'[1]MGM Report'!$D:$S,12,FALSE)</f>
        <v>1113051.28</v>
      </c>
      <c r="AJ187" s="12" t="b">
        <f t="shared" si="31"/>
        <v>1</v>
      </c>
      <c r="AK187" s="13">
        <f>VLOOKUP(F187,[2]HAVASMGMReportKBCUpdatedResult!$F:$R,13,FALSE)</f>
        <v>-151500</v>
      </c>
      <c r="AL187" s="13">
        <f>VLOOKUP(F187,'[1]MGM Report'!$D:$S,14,FALSE)</f>
        <v>151500</v>
      </c>
    </row>
    <row r="188" spans="1:38">
      <c r="A188" s="7">
        <v>45741</v>
      </c>
      <c r="B188" s="8" t="s">
        <v>38</v>
      </c>
      <c r="C188" s="8" t="s">
        <v>130</v>
      </c>
      <c r="D188" s="8" t="s">
        <v>156</v>
      </c>
      <c r="E188" s="8" t="s">
        <v>294</v>
      </c>
      <c r="F188" s="8" t="str">
        <f t="shared" si="33"/>
        <v>SB22396</v>
      </c>
      <c r="G188" s="9">
        <v>3900000</v>
      </c>
      <c r="H188" s="9">
        <f>VLOOKUP(F188,'[1]MGM Report'!$D:$E,2,FALSE)</f>
        <v>3900000</v>
      </c>
      <c r="I188" s="9" t="b">
        <f t="shared" si="34"/>
        <v>1</v>
      </c>
      <c r="J188" s="12">
        <v>0</v>
      </c>
      <c r="K188" s="12">
        <f>VLOOKUP(F188,'[1]MGM Report'!$D:$F,3,FALSE)</f>
        <v>0</v>
      </c>
      <c r="L188" s="12" t="b">
        <f t="shared" si="24"/>
        <v>1</v>
      </c>
      <c r="M188" s="13">
        <v>0</v>
      </c>
      <c r="N188" s="13">
        <f>VLOOKUP(F188,'[1]MGM Report'!$D:$G,4,FALSE)</f>
        <v>0</v>
      </c>
      <c r="O188" s="13" t="b">
        <f t="shared" si="35"/>
        <v>1</v>
      </c>
      <c r="P188" s="12">
        <v>0</v>
      </c>
      <c r="Q188" s="12">
        <f>VLOOKUP(F188,'[1]MGM Report'!$D:$M,5,FALSE)</f>
        <v>0</v>
      </c>
      <c r="R188" s="12" t="b">
        <f t="shared" si="25"/>
        <v>1</v>
      </c>
      <c r="S188" s="13">
        <v>0</v>
      </c>
      <c r="T188" s="13">
        <f>VLOOKUP(F188,'[1]MGM Report'!$D:$I,6,FALSE)</f>
        <v>0</v>
      </c>
      <c r="U188" s="13" t="b">
        <f t="shared" si="26"/>
        <v>1</v>
      </c>
      <c r="V188" s="12">
        <v>3521618</v>
      </c>
      <c r="W188" s="12">
        <f>VLOOKUP(F188,'[1]MGM Report'!$D:$J,7,FALSE)</f>
        <v>3521802</v>
      </c>
      <c r="X188" s="12" t="b">
        <f t="shared" si="27"/>
        <v>0</v>
      </c>
      <c r="Y188" s="13">
        <v>2721802</v>
      </c>
      <c r="Z188" s="13">
        <f>VLOOKUP(F188,'[1]MGM Report'!$D:$K,8,FALSE)</f>
        <v>2721802</v>
      </c>
      <c r="AA188" s="13" t="b">
        <f t="shared" si="28"/>
        <v>1</v>
      </c>
      <c r="AB188" s="12">
        <v>-2721802</v>
      </c>
      <c r="AC188" s="12">
        <f>VLOOKUP(F188,'[1]MGM Report'!$D:$M,10,FALSE)</f>
        <v>2721802</v>
      </c>
      <c r="AD188" s="12" t="b">
        <f t="shared" si="29"/>
        <v>0</v>
      </c>
      <c r="AE188" s="13">
        <v>0</v>
      </c>
      <c r="AF188" s="13">
        <f>VLOOKUP(F188,'[1]MGM Report'!$D:$N,11,FALSE)</f>
        <v>0</v>
      </c>
      <c r="AG188" s="13" t="b">
        <f t="shared" si="30"/>
        <v>1</v>
      </c>
      <c r="AH188" s="12">
        <v>0</v>
      </c>
      <c r="AI188" s="12">
        <f>VLOOKUP(F188,'[1]MGM Report'!$D:$S,12,FALSE)</f>
        <v>0</v>
      </c>
      <c r="AJ188" s="12" t="b">
        <f t="shared" si="31"/>
        <v>1</v>
      </c>
      <c r="AK188" s="13">
        <f>VLOOKUP(F188,[2]HAVASMGMReportKBCUpdatedResult!$F:$R,13,FALSE)</f>
        <v>378382</v>
      </c>
      <c r="AL188" s="13">
        <f>VLOOKUP(F188,'[1]MGM Report'!$D:$S,14,FALSE)</f>
        <v>378198</v>
      </c>
    </row>
    <row r="189" spans="1:38">
      <c r="A189" s="7">
        <v>45741</v>
      </c>
      <c r="B189" s="8" t="s">
        <v>27</v>
      </c>
      <c r="C189" s="8" t="s">
        <v>120</v>
      </c>
      <c r="D189" s="8" t="s">
        <v>64</v>
      </c>
      <c r="E189" s="8" t="s">
        <v>295</v>
      </c>
      <c r="F189" s="8" t="str">
        <f t="shared" si="33"/>
        <v>SB22395</v>
      </c>
      <c r="G189" s="9">
        <v>0</v>
      </c>
      <c r="H189" s="9">
        <f>VLOOKUP(F189,'[1]MGM Report'!$D:$E,2,FALSE)</f>
        <v>0</v>
      </c>
      <c r="I189" s="9" t="b">
        <f t="shared" si="34"/>
        <v>1</v>
      </c>
      <c r="J189" s="12">
        <v>0</v>
      </c>
      <c r="K189" s="12">
        <f>VLOOKUP(F189,'[1]MGM Report'!$D:$F,3,FALSE)</f>
        <v>0</v>
      </c>
      <c r="L189" s="12" t="b">
        <f t="shared" si="24"/>
        <v>1</v>
      </c>
      <c r="M189" s="13">
        <v>0</v>
      </c>
      <c r="N189" s="13">
        <f>VLOOKUP(F189,'[1]MGM Report'!$D:$G,4,FALSE)</f>
        <v>0</v>
      </c>
      <c r="O189" s="13" t="b">
        <f t="shared" si="35"/>
        <v>1</v>
      </c>
      <c r="P189" s="12">
        <v>0</v>
      </c>
      <c r="Q189" s="12">
        <f>VLOOKUP(F189,'[1]MGM Report'!$D:$M,5,FALSE)</f>
        <v>0</v>
      </c>
      <c r="R189" s="12" t="b">
        <f t="shared" si="25"/>
        <v>1</v>
      </c>
      <c r="S189" s="13">
        <v>0</v>
      </c>
      <c r="T189" s="13">
        <f>VLOOKUP(F189,'[1]MGM Report'!$D:$I,6,FALSE)</f>
        <v>0</v>
      </c>
      <c r="U189" s="13" t="b">
        <f t="shared" si="26"/>
        <v>1</v>
      </c>
      <c r="V189" s="12">
        <v>0</v>
      </c>
      <c r="W189" s="12">
        <f>VLOOKUP(F189,'[1]MGM Report'!$D:$J,7,FALSE)</f>
        <v>0</v>
      </c>
      <c r="X189" s="12" t="b">
        <f t="shared" si="27"/>
        <v>1</v>
      </c>
      <c r="Y189" s="13">
        <v>49700</v>
      </c>
      <c r="Z189" s="13">
        <f>VLOOKUP(F189,'[1]MGM Report'!$D:$K,8,FALSE)</f>
        <v>49700</v>
      </c>
      <c r="AA189" s="13" t="b">
        <f t="shared" si="28"/>
        <v>1</v>
      </c>
      <c r="AB189" s="12">
        <v>-49700</v>
      </c>
      <c r="AC189" s="12">
        <f>VLOOKUP(F189,'[1]MGM Report'!$D:$M,10,FALSE)</f>
        <v>49700</v>
      </c>
      <c r="AD189" s="12" t="b">
        <f t="shared" si="29"/>
        <v>0</v>
      </c>
      <c r="AE189" s="13">
        <v>0</v>
      </c>
      <c r="AF189" s="13">
        <f>VLOOKUP(F189,'[1]MGM Report'!$D:$N,11,FALSE)</f>
        <v>0</v>
      </c>
      <c r="AG189" s="13" t="b">
        <f t="shared" si="30"/>
        <v>1</v>
      </c>
      <c r="AH189" s="12">
        <v>0</v>
      </c>
      <c r="AI189" s="12">
        <f>VLOOKUP(F189,'[1]MGM Report'!$D:$S,12,FALSE)</f>
        <v>0</v>
      </c>
      <c r="AJ189" s="12" t="b">
        <f t="shared" si="31"/>
        <v>1</v>
      </c>
      <c r="AK189" s="13">
        <f>VLOOKUP(F189,[2]HAVASMGMReportKBCUpdatedResult!$F:$R,13,FALSE)</f>
        <v>0</v>
      </c>
      <c r="AL189" s="13">
        <f>VLOOKUP(F189,'[1]MGM Report'!$D:$S,14,FALSE)</f>
        <v>0</v>
      </c>
    </row>
    <row r="190" spans="1:38">
      <c r="A190" s="7">
        <v>45741</v>
      </c>
      <c r="B190" s="8" t="s">
        <v>27</v>
      </c>
      <c r="C190" s="8" t="s">
        <v>120</v>
      </c>
      <c r="D190" s="8" t="s">
        <v>205</v>
      </c>
      <c r="E190" s="8" t="s">
        <v>296</v>
      </c>
      <c r="F190" s="8" t="str">
        <f t="shared" si="33"/>
        <v>SB22392</v>
      </c>
      <c r="G190" s="9">
        <v>0</v>
      </c>
      <c r="H190" s="9">
        <f>VLOOKUP(F190,'[1]MGM Report'!$D:$E,2,FALSE)</f>
        <v>0</v>
      </c>
      <c r="I190" s="9" t="b">
        <f t="shared" si="34"/>
        <v>1</v>
      </c>
      <c r="J190" s="12">
        <v>0</v>
      </c>
      <c r="K190" s="12">
        <f>VLOOKUP(F190,'[1]MGM Report'!$D:$F,3,FALSE)</f>
        <v>0</v>
      </c>
      <c r="L190" s="12" t="b">
        <f t="shared" si="24"/>
        <v>1</v>
      </c>
      <c r="M190" s="13">
        <v>0</v>
      </c>
      <c r="N190" s="13">
        <f>VLOOKUP(F190,'[1]MGM Report'!$D:$G,4,FALSE)</f>
        <v>0</v>
      </c>
      <c r="O190" s="13" t="b">
        <f t="shared" si="35"/>
        <v>1</v>
      </c>
      <c r="P190" s="12">
        <v>0</v>
      </c>
      <c r="Q190" s="12">
        <f>VLOOKUP(F190,'[1]MGM Report'!$D:$M,5,FALSE)</f>
        <v>0</v>
      </c>
      <c r="R190" s="12" t="b">
        <f t="shared" si="25"/>
        <v>1</v>
      </c>
      <c r="S190" s="13">
        <v>0</v>
      </c>
      <c r="T190" s="13">
        <f>VLOOKUP(F190,'[1]MGM Report'!$D:$I,6,FALSE)</f>
        <v>0</v>
      </c>
      <c r="U190" s="13" t="b">
        <f t="shared" si="26"/>
        <v>1</v>
      </c>
      <c r="V190" s="12">
        <v>0</v>
      </c>
      <c r="W190" s="12">
        <f>VLOOKUP(F190,'[1]MGM Report'!$D:$J,7,FALSE)</f>
        <v>0</v>
      </c>
      <c r="X190" s="12" t="b">
        <f t="shared" si="27"/>
        <v>1</v>
      </c>
      <c r="Y190" s="13">
        <v>26000</v>
      </c>
      <c r="Z190" s="13">
        <f>VLOOKUP(F190,'[1]MGM Report'!$D:$K,8,FALSE)</f>
        <v>26000</v>
      </c>
      <c r="AA190" s="13" t="b">
        <f t="shared" si="28"/>
        <v>1</v>
      </c>
      <c r="AB190" s="12">
        <v>-26000</v>
      </c>
      <c r="AC190" s="12">
        <f>VLOOKUP(F190,'[1]MGM Report'!$D:$M,10,FALSE)</f>
        <v>26000</v>
      </c>
      <c r="AD190" s="12" t="b">
        <f t="shared" si="29"/>
        <v>0</v>
      </c>
      <c r="AE190" s="13">
        <v>0</v>
      </c>
      <c r="AF190" s="13">
        <f>VLOOKUP(F190,'[1]MGM Report'!$D:$N,11,FALSE)</f>
        <v>0</v>
      </c>
      <c r="AG190" s="13" t="b">
        <f t="shared" si="30"/>
        <v>1</v>
      </c>
      <c r="AH190" s="12">
        <v>0</v>
      </c>
      <c r="AI190" s="12">
        <f>VLOOKUP(F190,'[1]MGM Report'!$D:$S,12,FALSE)</f>
        <v>0</v>
      </c>
      <c r="AJ190" s="12" t="b">
        <f t="shared" si="31"/>
        <v>1</v>
      </c>
      <c r="AK190" s="13">
        <f>VLOOKUP(F190,[2]HAVASMGMReportKBCUpdatedResult!$F:$R,13,FALSE)</f>
        <v>0</v>
      </c>
      <c r="AL190" s="13">
        <f>VLOOKUP(F190,'[1]MGM Report'!$D:$S,14,FALSE)</f>
        <v>0</v>
      </c>
    </row>
    <row r="191" spans="1:38">
      <c r="A191" s="7">
        <v>45741</v>
      </c>
      <c r="B191" s="8" t="s">
        <v>27</v>
      </c>
      <c r="C191" s="8" t="s">
        <v>120</v>
      </c>
      <c r="D191" s="8" t="s">
        <v>71</v>
      </c>
      <c r="E191" s="8" t="s">
        <v>297</v>
      </c>
      <c r="F191" s="8" t="str">
        <f t="shared" si="33"/>
        <v>SB22394</v>
      </c>
      <c r="G191" s="9">
        <v>0</v>
      </c>
      <c r="H191" s="9">
        <f>VLOOKUP(F191,'[1]MGM Report'!$D:$E,2,FALSE)</f>
        <v>0</v>
      </c>
      <c r="I191" s="9" t="b">
        <f t="shared" si="34"/>
        <v>1</v>
      </c>
      <c r="J191" s="12">
        <v>0</v>
      </c>
      <c r="K191" s="12">
        <f>VLOOKUP(F191,'[1]MGM Report'!$D:$F,3,FALSE)</f>
        <v>0</v>
      </c>
      <c r="L191" s="12" t="b">
        <f t="shared" si="24"/>
        <v>1</v>
      </c>
      <c r="M191" s="13">
        <v>0</v>
      </c>
      <c r="N191" s="13">
        <f>VLOOKUP(F191,'[1]MGM Report'!$D:$G,4,FALSE)</f>
        <v>0</v>
      </c>
      <c r="O191" s="13" t="b">
        <f t="shared" si="35"/>
        <v>1</v>
      </c>
      <c r="P191" s="12">
        <v>0</v>
      </c>
      <c r="Q191" s="12">
        <f>VLOOKUP(F191,'[1]MGM Report'!$D:$M,5,FALSE)</f>
        <v>0</v>
      </c>
      <c r="R191" s="12" t="b">
        <f t="shared" si="25"/>
        <v>1</v>
      </c>
      <c r="S191" s="13">
        <v>0</v>
      </c>
      <c r="T191" s="13">
        <f>VLOOKUP(F191,'[1]MGM Report'!$D:$I,6,FALSE)</f>
        <v>0</v>
      </c>
      <c r="U191" s="13" t="b">
        <f t="shared" si="26"/>
        <v>1</v>
      </c>
      <c r="V191" s="12">
        <v>0</v>
      </c>
      <c r="W191" s="12">
        <f>VLOOKUP(F191,'[1]MGM Report'!$D:$J,7,FALSE)</f>
        <v>0</v>
      </c>
      <c r="X191" s="12" t="b">
        <f t="shared" si="27"/>
        <v>1</v>
      </c>
      <c r="Y191" s="13">
        <v>39500</v>
      </c>
      <c r="Z191" s="13">
        <f>VLOOKUP(F191,'[1]MGM Report'!$D:$K,8,FALSE)</f>
        <v>39500</v>
      </c>
      <c r="AA191" s="13" t="b">
        <f t="shared" si="28"/>
        <v>1</v>
      </c>
      <c r="AB191" s="12">
        <v>-39500</v>
      </c>
      <c r="AC191" s="12">
        <f>VLOOKUP(F191,'[1]MGM Report'!$D:$M,10,FALSE)</f>
        <v>39500</v>
      </c>
      <c r="AD191" s="12" t="b">
        <f t="shared" si="29"/>
        <v>0</v>
      </c>
      <c r="AE191" s="13">
        <v>0</v>
      </c>
      <c r="AF191" s="13">
        <f>VLOOKUP(F191,'[1]MGM Report'!$D:$N,11,FALSE)</f>
        <v>0</v>
      </c>
      <c r="AG191" s="13" t="b">
        <f t="shared" si="30"/>
        <v>1</v>
      </c>
      <c r="AH191" s="12">
        <v>0</v>
      </c>
      <c r="AI191" s="12">
        <f>VLOOKUP(F191,'[1]MGM Report'!$D:$S,12,FALSE)</f>
        <v>0</v>
      </c>
      <c r="AJ191" s="12" t="b">
        <f t="shared" si="31"/>
        <v>1</v>
      </c>
      <c r="AK191" s="13">
        <f>VLOOKUP(F191,[2]HAVASMGMReportKBCUpdatedResult!$F:$R,13,FALSE)</f>
        <v>0</v>
      </c>
      <c r="AL191" s="13">
        <f>VLOOKUP(F191,'[1]MGM Report'!$D:$S,14,FALSE)</f>
        <v>0</v>
      </c>
    </row>
    <row r="192" spans="1:38">
      <c r="A192" s="7">
        <v>45741</v>
      </c>
      <c r="B192" s="8" t="s">
        <v>27</v>
      </c>
      <c r="C192" s="8" t="s">
        <v>120</v>
      </c>
      <c r="D192" s="8" t="s">
        <v>71</v>
      </c>
      <c r="E192" s="8" t="s">
        <v>298</v>
      </c>
      <c r="F192" s="8" t="str">
        <f>_xlfn.TEXTBEFORE(E192," ")</f>
        <v>SB22391</v>
      </c>
      <c r="G192" s="9">
        <v>0</v>
      </c>
      <c r="H192" s="9">
        <f>VLOOKUP(F192,'[1]MGM Report'!$D:$E,2,FALSE)</f>
        <v>0</v>
      </c>
      <c r="I192" s="9" t="b">
        <f>G192=H192</f>
        <v>1</v>
      </c>
      <c r="J192" s="12">
        <v>0</v>
      </c>
      <c r="K192" s="12">
        <f>VLOOKUP(F192,'[1]MGM Report'!$D:$F,3,FALSE)</f>
        <v>0</v>
      </c>
      <c r="L192" s="12" t="b">
        <f t="shared" si="24"/>
        <v>1</v>
      </c>
      <c r="M192" s="13">
        <v>0</v>
      </c>
      <c r="N192" s="13">
        <f>VLOOKUP(F192,'[1]MGM Report'!$D:$G,4,FALSE)</f>
        <v>0</v>
      </c>
      <c r="O192" s="13" t="b">
        <f t="shared" si="35"/>
        <v>1</v>
      </c>
      <c r="P192" s="12">
        <v>0</v>
      </c>
      <c r="Q192" s="12">
        <f>VLOOKUP(F192,'[1]MGM Report'!$D:$M,5,FALSE)</f>
        <v>0</v>
      </c>
      <c r="R192" s="12" t="b">
        <f t="shared" si="25"/>
        <v>1</v>
      </c>
      <c r="S192" s="13">
        <v>0</v>
      </c>
      <c r="T192" s="13">
        <f>VLOOKUP(F192,'[1]MGM Report'!$D:$I,6,FALSE)</f>
        <v>0</v>
      </c>
      <c r="U192" s="13" t="b">
        <f t="shared" si="26"/>
        <v>1</v>
      </c>
      <c r="V192" s="12">
        <v>0</v>
      </c>
      <c r="W192" s="12">
        <f>VLOOKUP(F192,'[1]MGM Report'!$D:$J,7,FALSE)</f>
        <v>0</v>
      </c>
      <c r="X192" s="12" t="b">
        <f t="shared" si="27"/>
        <v>1</v>
      </c>
      <c r="Y192" s="13">
        <v>3500</v>
      </c>
      <c r="Z192" s="13">
        <f>VLOOKUP(F192,'[1]MGM Report'!$D:$K,8,FALSE)</f>
        <v>3500</v>
      </c>
      <c r="AA192" s="13" t="b">
        <f t="shared" si="28"/>
        <v>1</v>
      </c>
      <c r="AB192" s="12">
        <v>-3500</v>
      </c>
      <c r="AC192" s="12">
        <f>VLOOKUP(F192,'[1]MGM Report'!$D:$M,10,FALSE)</f>
        <v>3500</v>
      </c>
      <c r="AD192" s="12" t="b">
        <f t="shared" si="29"/>
        <v>0</v>
      </c>
      <c r="AE192" s="13">
        <v>0</v>
      </c>
      <c r="AF192" s="13">
        <f>VLOOKUP(F192,'[1]MGM Report'!$D:$N,11,FALSE)</f>
        <v>0</v>
      </c>
      <c r="AG192" s="13" t="b">
        <f t="shared" si="30"/>
        <v>1</v>
      </c>
      <c r="AH192" s="12">
        <v>0</v>
      </c>
      <c r="AI192" s="12">
        <f>VLOOKUP(F192,'[1]MGM Report'!$D:$S,12,FALSE)</f>
        <v>0</v>
      </c>
      <c r="AJ192" s="12" t="b">
        <f t="shared" si="31"/>
        <v>1</v>
      </c>
      <c r="AK192" s="13">
        <f>VLOOKUP(F192,[2]HAVASMGMReportKBCUpdatedResult!$F:$R,13,FALSE)</f>
        <v>0</v>
      </c>
      <c r="AL192" s="13">
        <f>VLOOKUP(F192,'[1]MGM Report'!$D:$S,14,FALSE)</f>
        <v>0</v>
      </c>
    </row>
    <row r="193" spans="1:38">
      <c r="A193" s="7">
        <v>45741</v>
      </c>
      <c r="B193" s="8" t="s">
        <v>27</v>
      </c>
      <c r="C193" s="8" t="s">
        <v>120</v>
      </c>
      <c r="D193" s="8" t="s">
        <v>64</v>
      </c>
      <c r="E193" s="8" t="s">
        <v>299</v>
      </c>
      <c r="F193" s="8" t="str">
        <f>_xlfn.TEXTBEFORE(E193," ")</f>
        <v>SB22387</v>
      </c>
      <c r="G193" s="9">
        <v>0</v>
      </c>
      <c r="H193" s="9">
        <f>VLOOKUP(F193,'[1]MGM Report'!$D:$E,2,FALSE)</f>
        <v>0</v>
      </c>
      <c r="I193" s="9" t="b">
        <f>G193=H193</f>
        <v>1</v>
      </c>
      <c r="J193" s="12">
        <v>0</v>
      </c>
      <c r="K193" s="12">
        <f>VLOOKUP(F193,'[1]MGM Report'!$D:$F,3,FALSE)</f>
        <v>0</v>
      </c>
      <c r="L193" s="12" t="b">
        <f t="shared" si="24"/>
        <v>1</v>
      </c>
      <c r="M193" s="13">
        <v>0</v>
      </c>
      <c r="N193" s="13">
        <f>VLOOKUP(F193,'[1]MGM Report'!$D:$G,4,FALSE)</f>
        <v>0</v>
      </c>
      <c r="O193" s="13" t="b">
        <f t="shared" si="35"/>
        <v>1</v>
      </c>
      <c r="P193" s="12">
        <v>0</v>
      </c>
      <c r="Q193" s="12">
        <f>VLOOKUP(F193,'[1]MGM Report'!$D:$M,5,FALSE)</f>
        <v>0</v>
      </c>
      <c r="R193" s="12" t="b">
        <f t="shared" si="25"/>
        <v>1</v>
      </c>
      <c r="S193" s="13">
        <v>0</v>
      </c>
      <c r="T193" s="13">
        <f>VLOOKUP(F193,'[1]MGM Report'!$D:$I,6,FALSE)</f>
        <v>0</v>
      </c>
      <c r="U193" s="13" t="b">
        <f t="shared" si="26"/>
        <v>1</v>
      </c>
      <c r="V193" s="12">
        <v>0</v>
      </c>
      <c r="W193" s="12">
        <f>VLOOKUP(F193,'[1]MGM Report'!$D:$J,7,FALSE)</f>
        <v>0</v>
      </c>
      <c r="X193" s="12" t="b">
        <f t="shared" si="27"/>
        <v>1</v>
      </c>
      <c r="Y193" s="13">
        <v>3500</v>
      </c>
      <c r="Z193" s="13">
        <f>VLOOKUP(F193,'[1]MGM Report'!$D:$K,8,FALSE)</f>
        <v>3500</v>
      </c>
      <c r="AA193" s="13" t="b">
        <f t="shared" si="28"/>
        <v>1</v>
      </c>
      <c r="AB193" s="12">
        <v>-3500</v>
      </c>
      <c r="AC193" s="12">
        <f>VLOOKUP(F193,'[1]MGM Report'!$D:$M,10,FALSE)</f>
        <v>3500</v>
      </c>
      <c r="AD193" s="12" t="b">
        <f t="shared" si="29"/>
        <v>0</v>
      </c>
      <c r="AE193" s="13">
        <v>0</v>
      </c>
      <c r="AF193" s="13">
        <f>VLOOKUP(F193,'[1]MGM Report'!$D:$N,11,FALSE)</f>
        <v>0</v>
      </c>
      <c r="AG193" s="13" t="b">
        <f t="shared" si="30"/>
        <v>1</v>
      </c>
      <c r="AH193" s="12">
        <v>0</v>
      </c>
      <c r="AI193" s="12">
        <f>VLOOKUP(F193,'[1]MGM Report'!$D:$S,12,FALSE)</f>
        <v>0</v>
      </c>
      <c r="AJ193" s="12" t="b">
        <f t="shared" si="31"/>
        <v>1</v>
      </c>
      <c r="AK193" s="13">
        <f>VLOOKUP(F193,[2]HAVASMGMReportKBCUpdatedResult!$F:$R,13,FALSE)</f>
        <v>0</v>
      </c>
      <c r="AL193" s="13">
        <f>VLOOKUP(F193,'[1]MGM Report'!$D:$S,14,FALSE)</f>
        <v>0</v>
      </c>
    </row>
    <row r="194" spans="1:38">
      <c r="A194" s="7">
        <v>45741</v>
      </c>
      <c r="B194" s="8" t="s">
        <v>38</v>
      </c>
      <c r="C194" s="8" t="s">
        <v>130</v>
      </c>
      <c r="D194" s="8" t="s">
        <v>41</v>
      </c>
      <c r="E194" s="8" t="s">
        <v>300</v>
      </c>
      <c r="F194" s="8" t="str">
        <f>_xlfn.TEXTBEFORE(E194," ")</f>
        <v>SB22381</v>
      </c>
      <c r="G194" s="9">
        <v>0</v>
      </c>
      <c r="H194" s="9">
        <f>VLOOKUP(F194,'[1]MGM Report'!$D:$E,2,FALSE)</f>
        <v>0</v>
      </c>
      <c r="I194" s="9" t="b">
        <f>G194=H194</f>
        <v>1</v>
      </c>
      <c r="J194" s="12">
        <v>0</v>
      </c>
      <c r="K194" s="12">
        <f>VLOOKUP(F194,'[1]MGM Report'!$D:$F,3,FALSE)</f>
        <v>0</v>
      </c>
      <c r="L194" s="12" t="b">
        <f t="shared" si="24"/>
        <v>1</v>
      </c>
      <c r="M194" s="13">
        <v>-6623</v>
      </c>
      <c r="N194" s="13">
        <f>VLOOKUP(F194,'[1]MGM Report'!$D:$G,4,FALSE)</f>
        <v>0</v>
      </c>
      <c r="O194" s="13" t="b">
        <f t="shared" si="35"/>
        <v>0</v>
      </c>
      <c r="P194" s="12">
        <v>0</v>
      </c>
      <c r="Q194" s="12">
        <f>VLOOKUP(F194,'[1]MGM Report'!$D:$M,5,FALSE)</f>
        <v>0</v>
      </c>
      <c r="R194" s="12" t="b">
        <f t="shared" si="25"/>
        <v>1</v>
      </c>
      <c r="S194" s="13">
        <v>-6623</v>
      </c>
      <c r="T194" s="13">
        <f>VLOOKUP(F194,'[1]MGM Report'!$D:$I,6,FALSE)</f>
        <v>0</v>
      </c>
      <c r="U194" s="13" t="b">
        <f t="shared" si="26"/>
        <v>0</v>
      </c>
      <c r="V194" s="12">
        <v>1153952.5</v>
      </c>
      <c r="W194" s="12">
        <f>VLOOKUP(F194,'[1]MGM Report'!$D:$J,7,FALSE)</f>
        <v>1163442.5</v>
      </c>
      <c r="X194" s="12" t="b">
        <f t="shared" si="27"/>
        <v>0</v>
      </c>
      <c r="Y194" s="13">
        <v>3154805.5</v>
      </c>
      <c r="Z194" s="13">
        <f>VLOOKUP(F194,'[1]MGM Report'!$D:$K,8,FALSE)</f>
        <v>3154805.5</v>
      </c>
      <c r="AA194" s="13" t="b">
        <f t="shared" si="28"/>
        <v>1</v>
      </c>
      <c r="AB194" s="12">
        <v>-3154806</v>
      </c>
      <c r="AC194" s="12">
        <f>VLOOKUP(F194,'[1]MGM Report'!$D:$M,10,FALSE)</f>
        <v>3154806</v>
      </c>
      <c r="AD194" s="12" t="b">
        <f t="shared" si="29"/>
        <v>0</v>
      </c>
      <c r="AE194" s="13">
        <v>0</v>
      </c>
      <c r="AF194" s="13">
        <f>VLOOKUP(F194,'[1]MGM Report'!$D:$N,11,FALSE)</f>
        <v>0</v>
      </c>
      <c r="AG194" s="13" t="b">
        <f t="shared" si="30"/>
        <v>1</v>
      </c>
      <c r="AH194" s="12">
        <v>-0.5</v>
      </c>
      <c r="AI194" s="12">
        <f>VLOOKUP(F194,'[1]MGM Report'!$D:$S,12,FALSE)</f>
        <v>0.5</v>
      </c>
      <c r="AJ194" s="12" t="b">
        <f t="shared" si="31"/>
        <v>0</v>
      </c>
      <c r="AK194" s="13">
        <f>VLOOKUP(F194,[2]HAVASMGMReportKBCUpdatedResult!$F:$R,13,FALSE)</f>
        <v>-1153952.5</v>
      </c>
      <c r="AL194" s="13">
        <f>VLOOKUP(F194,'[1]MGM Report'!$D:$S,14,FALSE)</f>
        <v>1163442.5</v>
      </c>
    </row>
    <row r="195" spans="1:38">
      <c r="A195" s="7">
        <v>45741</v>
      </c>
      <c r="B195" s="8" t="s">
        <v>27</v>
      </c>
      <c r="C195" s="8" t="s">
        <v>120</v>
      </c>
      <c r="D195" s="8" t="s">
        <v>81</v>
      </c>
      <c r="E195" s="8" t="s">
        <v>301</v>
      </c>
      <c r="F195" s="8" t="str">
        <f>_xlfn.TEXTBEFORE(E195," ")</f>
        <v>SB22376</v>
      </c>
      <c r="G195" s="9">
        <v>309507</v>
      </c>
      <c r="H195" s="9">
        <f>VLOOKUP(F195,'[1]MGM Report'!$D:$E,2,FALSE)</f>
        <v>309507</v>
      </c>
      <c r="I195" s="9" t="b">
        <f>G195=H195</f>
        <v>1</v>
      </c>
      <c r="J195" s="12">
        <v>309507</v>
      </c>
      <c r="K195" s="12">
        <f>VLOOKUP(F195,'[1]MGM Report'!$D:$F,3,FALSE)</f>
        <v>309507</v>
      </c>
      <c r="L195" s="12" t="b">
        <f t="shared" ref="L195:L238" si="36">J195=K195</f>
        <v>1</v>
      </c>
      <c r="M195" s="13">
        <v>-326914</v>
      </c>
      <c r="N195" s="13">
        <f>VLOOKUP(F195,'[1]MGM Report'!$D:$G,4,FALSE)</f>
        <v>326914</v>
      </c>
      <c r="O195" s="13" t="b">
        <f t="shared" si="35"/>
        <v>0</v>
      </c>
      <c r="P195" s="12">
        <v>0</v>
      </c>
      <c r="Q195" s="12">
        <f>VLOOKUP(F195,'[1]MGM Report'!$D:$M,5,FALSE)</f>
        <v>0</v>
      </c>
      <c r="R195" s="12" t="b">
        <f t="shared" ref="R195:R238" si="37">P195=Q195</f>
        <v>1</v>
      </c>
      <c r="S195" s="13">
        <v>-17407</v>
      </c>
      <c r="T195" s="13">
        <f>VLOOKUP(F195,'[1]MGM Report'!$D:$I,6,FALSE)</f>
        <v>17407</v>
      </c>
      <c r="U195" s="13" t="b">
        <f t="shared" ref="U195:U238" si="38">S195=T195</f>
        <v>0</v>
      </c>
      <c r="V195" s="12">
        <v>0</v>
      </c>
      <c r="W195" s="12">
        <f>VLOOKUP(F195,'[1]MGM Report'!$D:$J,7,FALSE)</f>
        <v>0</v>
      </c>
      <c r="X195" s="12" t="b">
        <f t="shared" ref="X195:X238" si="39">V195=W195</f>
        <v>1</v>
      </c>
      <c r="Y195" s="13">
        <v>0</v>
      </c>
      <c r="Z195" s="13">
        <f>VLOOKUP(F195,'[1]MGM Report'!$D:$K,8,FALSE)</f>
        <v>0</v>
      </c>
      <c r="AA195" s="13" t="b">
        <f t="shared" ref="AA195:AA238" si="40">Y195=Z195</f>
        <v>1</v>
      </c>
      <c r="AB195" s="12">
        <v>0</v>
      </c>
      <c r="AC195" s="12">
        <f>VLOOKUP(F195,'[1]MGM Report'!$D:$M,10,FALSE)</f>
        <v>0</v>
      </c>
      <c r="AD195" s="12" t="b">
        <f t="shared" ref="AD195:AD238" si="41">AB195=AC195</f>
        <v>1</v>
      </c>
      <c r="AE195" s="13">
        <v>0</v>
      </c>
      <c r="AF195" s="13">
        <f>VLOOKUP(F195,'[1]MGM Report'!$D:$N,11,FALSE)</f>
        <v>0</v>
      </c>
      <c r="AG195" s="13" t="b">
        <f t="shared" ref="AG195:AG238" si="42">AE195=AF195</f>
        <v>1</v>
      </c>
      <c r="AH195" s="12">
        <v>0</v>
      </c>
      <c r="AI195" s="12">
        <f>VLOOKUP(F195,'[1]MGM Report'!$D:$S,12,FALSE)</f>
        <v>0</v>
      </c>
      <c r="AJ195" s="12" t="b">
        <f t="shared" ref="AJ195:AJ238" si="43">AH195=AI195</f>
        <v>1</v>
      </c>
      <c r="AK195" s="13">
        <f>VLOOKUP(F195,[2]HAVASMGMReportKBCUpdatedResult!$F:$R,13,FALSE)</f>
        <v>309507</v>
      </c>
      <c r="AL195" s="13">
        <f>VLOOKUP(F195,'[1]MGM Report'!$D:$S,14,FALSE)</f>
        <v>309507</v>
      </c>
    </row>
    <row r="196" spans="1:38">
      <c r="A196" s="7">
        <v>45741</v>
      </c>
      <c r="B196" s="8" t="s">
        <v>31</v>
      </c>
      <c r="C196" s="8" t="s">
        <v>115</v>
      </c>
      <c r="D196" s="8" t="s">
        <v>143</v>
      </c>
      <c r="E196" s="8" t="s">
        <v>302</v>
      </c>
      <c r="F196" s="8" t="str">
        <f>_xlfn.TEXTBEFORE(E196," ")</f>
        <v>SB22374</v>
      </c>
      <c r="G196" s="9">
        <v>522500</v>
      </c>
      <c r="H196" s="9">
        <f>VLOOKUP(F196,'[1]MGM Report'!$D:$E,2,FALSE)</f>
        <v>522500</v>
      </c>
      <c r="I196" s="9" t="b">
        <f>G196=H196</f>
        <v>1</v>
      </c>
      <c r="J196" s="12">
        <v>522500</v>
      </c>
      <c r="K196" s="12">
        <f>VLOOKUP(F196,'[1]MGM Report'!$D:$F,3,FALSE)</f>
        <v>522500</v>
      </c>
      <c r="L196" s="12" t="b">
        <f t="shared" si="36"/>
        <v>1</v>
      </c>
      <c r="M196" s="13">
        <v>0</v>
      </c>
      <c r="N196" s="13">
        <f>VLOOKUP(F196,'[1]MGM Report'!$D:$G,4,FALSE)</f>
        <v>0</v>
      </c>
      <c r="O196" s="13" t="b">
        <f t="shared" si="35"/>
        <v>1</v>
      </c>
      <c r="P196" s="12">
        <v>0</v>
      </c>
      <c r="Q196" s="12">
        <f>VLOOKUP(F196,'[1]MGM Report'!$D:$M,5,FALSE)</f>
        <v>0</v>
      </c>
      <c r="R196" s="12" t="b">
        <f t="shared" si="37"/>
        <v>1</v>
      </c>
      <c r="S196" s="13">
        <v>522500</v>
      </c>
      <c r="T196" s="13">
        <f>VLOOKUP(F196,'[1]MGM Report'!$D:$I,6,FALSE)</f>
        <v>522500</v>
      </c>
      <c r="U196" s="13" t="b">
        <f t="shared" si="38"/>
        <v>1</v>
      </c>
      <c r="V196" s="12">
        <v>59205</v>
      </c>
      <c r="W196" s="12">
        <f>VLOOKUP(F196,'[1]MGM Report'!$D:$J,7,FALSE)</f>
        <v>68559</v>
      </c>
      <c r="X196" s="12" t="b">
        <f t="shared" si="39"/>
        <v>0</v>
      </c>
      <c r="Y196" s="13">
        <v>68559</v>
      </c>
      <c r="Z196" s="13">
        <f>VLOOKUP(F196,'[1]MGM Report'!$D:$K,8,FALSE)</f>
        <v>68559</v>
      </c>
      <c r="AA196" s="13" t="b">
        <f t="shared" si="40"/>
        <v>1</v>
      </c>
      <c r="AB196" s="12">
        <v>131441</v>
      </c>
      <c r="AC196" s="12">
        <f>VLOOKUP(F196,'[1]MGM Report'!$D:$M,10,FALSE)</f>
        <v>131441</v>
      </c>
      <c r="AD196" s="12" t="b">
        <f t="shared" si="41"/>
        <v>1</v>
      </c>
      <c r="AE196" s="13">
        <v>0</v>
      </c>
      <c r="AF196" s="13">
        <f>VLOOKUP(F196,'[1]MGM Report'!$D:$N,11,FALSE)</f>
        <v>0</v>
      </c>
      <c r="AG196" s="13" t="b">
        <f t="shared" si="42"/>
        <v>1</v>
      </c>
      <c r="AH196" s="12">
        <v>200000</v>
      </c>
      <c r="AI196" s="12">
        <f>VLOOKUP(F196,'[1]MGM Report'!$D:$S,12,FALSE)</f>
        <v>200000</v>
      </c>
      <c r="AJ196" s="12" t="b">
        <f t="shared" si="43"/>
        <v>1</v>
      </c>
      <c r="AK196" s="13">
        <f>VLOOKUP(F196,[2]HAVASMGMReportKBCUpdatedResult!$F:$R,13,FALSE)</f>
        <v>463295</v>
      </c>
      <c r="AL196" s="13">
        <f>VLOOKUP(F196,'[1]MGM Report'!$D:$S,14,FALSE)</f>
        <v>453941</v>
      </c>
    </row>
    <row r="197" spans="1:38">
      <c r="A197" s="7">
        <v>45741</v>
      </c>
      <c r="B197" s="8" t="s">
        <v>27</v>
      </c>
      <c r="C197" s="8" t="s">
        <v>120</v>
      </c>
      <c r="D197" s="8" t="s">
        <v>71</v>
      </c>
      <c r="E197" s="8" t="s">
        <v>303</v>
      </c>
      <c r="F197" s="8" t="str">
        <f>_xlfn.TEXTBEFORE(E197," ")</f>
        <v>SB22375</v>
      </c>
      <c r="G197" s="9">
        <v>0</v>
      </c>
      <c r="H197" s="9">
        <f>VLOOKUP(F197,'[1]MGM Report'!$D:$E,2,FALSE)</f>
        <v>0</v>
      </c>
      <c r="I197" s="9" t="b">
        <f>G197=H197</f>
        <v>1</v>
      </c>
      <c r="J197" s="12">
        <v>292464.5</v>
      </c>
      <c r="K197" s="12">
        <f>VLOOKUP(F197,'[1]MGM Report'!$D:$F,3,FALSE)</f>
        <v>292464.5</v>
      </c>
      <c r="L197" s="12" t="b">
        <f t="shared" si="36"/>
        <v>1</v>
      </c>
      <c r="M197" s="13">
        <v>-292462</v>
      </c>
      <c r="N197" s="13">
        <f>VLOOKUP(F197,'[1]MGM Report'!$D:$G,4,FALSE)</f>
        <v>292462</v>
      </c>
      <c r="O197" s="13" t="b">
        <f t="shared" si="35"/>
        <v>0</v>
      </c>
      <c r="P197" s="12">
        <v>0</v>
      </c>
      <c r="Q197" s="12">
        <f>VLOOKUP(F197,'[1]MGM Report'!$D:$M,5,FALSE)</f>
        <v>0</v>
      </c>
      <c r="R197" s="12" t="b">
        <f t="shared" si="37"/>
        <v>1</v>
      </c>
      <c r="S197" s="13">
        <v>2.5</v>
      </c>
      <c r="T197" s="13">
        <f>VLOOKUP(F197,'[1]MGM Report'!$D:$I,6,FALSE)</f>
        <v>2.5</v>
      </c>
      <c r="U197" s="13" t="b">
        <f t="shared" si="38"/>
        <v>1</v>
      </c>
      <c r="V197" s="12">
        <v>0</v>
      </c>
      <c r="W197" s="12">
        <f>VLOOKUP(F197,'[1]MGM Report'!$D:$J,7,FALSE)</f>
        <v>0</v>
      </c>
      <c r="X197" s="12" t="b">
        <f t="shared" si="39"/>
        <v>1</v>
      </c>
      <c r="Y197" s="13">
        <v>0</v>
      </c>
      <c r="Z197" s="13">
        <f>VLOOKUP(F197,'[1]MGM Report'!$D:$K,8,FALSE)</f>
        <v>0</v>
      </c>
      <c r="AA197" s="13" t="b">
        <f t="shared" si="40"/>
        <v>1</v>
      </c>
      <c r="AB197" s="12">
        <v>0</v>
      </c>
      <c r="AC197" s="12">
        <f>VLOOKUP(F197,'[1]MGM Report'!$D:$M,10,FALSE)</f>
        <v>0</v>
      </c>
      <c r="AD197" s="12" t="b">
        <f t="shared" si="41"/>
        <v>1</v>
      </c>
      <c r="AE197" s="13">
        <v>0</v>
      </c>
      <c r="AF197" s="13">
        <f>VLOOKUP(F197,'[1]MGM Report'!$D:$N,11,FALSE)</f>
        <v>0</v>
      </c>
      <c r="AG197" s="13" t="b">
        <f t="shared" si="42"/>
        <v>1</v>
      </c>
      <c r="AH197" s="12">
        <v>0</v>
      </c>
      <c r="AI197" s="12">
        <f>VLOOKUP(F197,'[1]MGM Report'!$D:$S,12,FALSE)</f>
        <v>0</v>
      </c>
      <c r="AJ197" s="12" t="b">
        <f t="shared" si="43"/>
        <v>1</v>
      </c>
      <c r="AK197" s="13">
        <f>VLOOKUP(F197,[2]HAVASMGMReportKBCUpdatedResult!$F:$R,13,FALSE)</f>
        <v>0</v>
      </c>
      <c r="AL197" s="13">
        <f>VLOOKUP(F197,'[1]MGM Report'!$D:$S,14,FALSE)</f>
        <v>0</v>
      </c>
    </row>
    <row r="198" spans="1:38">
      <c r="A198" s="7">
        <v>45741</v>
      </c>
      <c r="B198" s="8" t="s">
        <v>59</v>
      </c>
      <c r="C198" s="8" t="s">
        <v>115</v>
      </c>
      <c r="D198" s="8" t="s">
        <v>76</v>
      </c>
      <c r="E198" s="8" t="s">
        <v>304</v>
      </c>
      <c r="F198" s="8" t="str">
        <f t="shared" ref="F198:F220" si="44">_xlfn.TEXTBEFORE(E198," ")</f>
        <v>SB22366</v>
      </c>
      <c r="G198" s="9">
        <v>0</v>
      </c>
      <c r="H198" s="9">
        <f>VLOOKUP(F198,'[1]MGM Report'!$D:$E,2,FALSE)</f>
        <v>0</v>
      </c>
      <c r="I198" s="9" t="b">
        <f t="shared" ref="I198:I220" si="45">G198=H198</f>
        <v>1</v>
      </c>
      <c r="J198" s="12">
        <v>308665</v>
      </c>
      <c r="K198" s="12">
        <f>VLOOKUP(F198,'[1]MGM Report'!$D:$F,3,FALSE)</f>
        <v>308665</v>
      </c>
      <c r="L198" s="12" t="b">
        <f t="shared" si="36"/>
        <v>1</v>
      </c>
      <c r="M198" s="13">
        <v>-308665</v>
      </c>
      <c r="N198" s="13">
        <f>VLOOKUP(F198,'[1]MGM Report'!$D:$G,4,FALSE)</f>
        <v>308665</v>
      </c>
      <c r="O198" s="13" t="b">
        <f t="shared" si="35"/>
        <v>0</v>
      </c>
      <c r="P198" s="12">
        <v>0</v>
      </c>
      <c r="Q198" s="12">
        <f>VLOOKUP(F198,'[1]MGM Report'!$D:$M,5,FALSE)</f>
        <v>0</v>
      </c>
      <c r="R198" s="12" t="b">
        <f t="shared" si="37"/>
        <v>1</v>
      </c>
      <c r="S198" s="13">
        <v>0</v>
      </c>
      <c r="T198" s="13">
        <f>VLOOKUP(F198,'[1]MGM Report'!$D:$I,6,FALSE)</f>
        <v>0</v>
      </c>
      <c r="U198" s="13" t="b">
        <f t="shared" si="38"/>
        <v>1</v>
      </c>
      <c r="V198" s="12">
        <v>0</v>
      </c>
      <c r="W198" s="12">
        <f>VLOOKUP(F198,'[1]MGM Report'!$D:$J,7,FALSE)</f>
        <v>0</v>
      </c>
      <c r="X198" s="12" t="b">
        <f t="shared" si="39"/>
        <v>1</v>
      </c>
      <c r="Y198" s="13">
        <v>0</v>
      </c>
      <c r="Z198" s="13">
        <f>VLOOKUP(F198,'[1]MGM Report'!$D:$K,8,FALSE)</f>
        <v>0</v>
      </c>
      <c r="AA198" s="13" t="b">
        <f t="shared" si="40"/>
        <v>1</v>
      </c>
      <c r="AB198" s="12">
        <v>0</v>
      </c>
      <c r="AC198" s="12">
        <f>VLOOKUP(F198,'[1]MGM Report'!$D:$M,10,FALSE)</f>
        <v>0</v>
      </c>
      <c r="AD198" s="12" t="b">
        <f t="shared" si="41"/>
        <v>1</v>
      </c>
      <c r="AE198" s="13">
        <v>0</v>
      </c>
      <c r="AF198" s="13">
        <f>VLOOKUP(F198,'[1]MGM Report'!$D:$N,11,FALSE)</f>
        <v>0</v>
      </c>
      <c r="AG198" s="13" t="b">
        <f t="shared" si="42"/>
        <v>1</v>
      </c>
      <c r="AH198" s="12">
        <v>0</v>
      </c>
      <c r="AI198" s="12">
        <f>VLOOKUP(F198,'[1]MGM Report'!$D:$S,12,FALSE)</f>
        <v>0</v>
      </c>
      <c r="AJ198" s="12" t="b">
        <f t="shared" si="43"/>
        <v>1</v>
      </c>
      <c r="AK198" s="13">
        <f>VLOOKUP(F198,[2]HAVASMGMReportKBCUpdatedResult!$F:$R,13,FALSE)</f>
        <v>0</v>
      </c>
      <c r="AL198" s="13">
        <f>VLOOKUP(F198,'[1]MGM Report'!$D:$S,14,FALSE)</f>
        <v>0</v>
      </c>
    </row>
    <row r="199" spans="1:38">
      <c r="A199" s="7">
        <v>45741</v>
      </c>
      <c r="B199" s="8" t="s">
        <v>31</v>
      </c>
      <c r="C199" s="8" t="s">
        <v>115</v>
      </c>
      <c r="D199" s="8" t="s">
        <v>255</v>
      </c>
      <c r="E199" s="8" t="s">
        <v>305</v>
      </c>
      <c r="F199" s="8" t="str">
        <f t="shared" si="44"/>
        <v>SB22363</v>
      </c>
      <c r="G199" s="9">
        <v>0</v>
      </c>
      <c r="H199" s="9">
        <f>VLOOKUP(F199,'[1]MGM Report'!$D:$E,2,FALSE)</f>
        <v>0</v>
      </c>
      <c r="I199" s="9" t="b">
        <f t="shared" si="45"/>
        <v>1</v>
      </c>
      <c r="J199" s="12">
        <v>0</v>
      </c>
      <c r="K199" s="12">
        <f>VLOOKUP(F199,'[1]MGM Report'!$D:$F,3,FALSE)</f>
        <v>1792010</v>
      </c>
      <c r="L199" s="12" t="b">
        <f t="shared" si="36"/>
        <v>0</v>
      </c>
      <c r="M199" s="13">
        <v>-1809610</v>
      </c>
      <c r="N199" s="13">
        <f>VLOOKUP(F199,'[1]MGM Report'!$D:$G,4,FALSE)</f>
        <v>1809610</v>
      </c>
      <c r="O199" s="13" t="b">
        <f t="shared" si="35"/>
        <v>0</v>
      </c>
      <c r="P199" s="12">
        <v>0</v>
      </c>
      <c r="Q199" s="12">
        <f>VLOOKUP(F199,'[1]MGM Report'!$D:$M,5,FALSE)</f>
        <v>0</v>
      </c>
      <c r="R199" s="12" t="b">
        <f t="shared" si="37"/>
        <v>1</v>
      </c>
      <c r="S199" s="13">
        <v>-1809610</v>
      </c>
      <c r="T199" s="13">
        <f>VLOOKUP(F199,'[1]MGM Report'!$D:$I,6,FALSE)</f>
        <v>17600</v>
      </c>
      <c r="U199" s="13" t="b">
        <f t="shared" si="38"/>
        <v>0</v>
      </c>
      <c r="V199" s="12">
        <v>0</v>
      </c>
      <c r="W199" s="12">
        <f>VLOOKUP(F199,'[1]MGM Report'!$D:$J,7,FALSE)</f>
        <v>0</v>
      </c>
      <c r="X199" s="12" t="b">
        <f t="shared" si="39"/>
        <v>1</v>
      </c>
      <c r="Y199" s="13">
        <v>28800</v>
      </c>
      <c r="Z199" s="13">
        <f>VLOOKUP(F199,'[1]MGM Report'!$D:$K,8,FALSE)</f>
        <v>28800</v>
      </c>
      <c r="AA199" s="13" t="b">
        <f t="shared" si="40"/>
        <v>1</v>
      </c>
      <c r="AB199" s="12">
        <v>-28800</v>
      </c>
      <c r="AC199" s="12">
        <f>VLOOKUP(F199,'[1]MGM Report'!$D:$M,10,FALSE)</f>
        <v>28800</v>
      </c>
      <c r="AD199" s="12" t="b">
        <f t="shared" si="41"/>
        <v>0</v>
      </c>
      <c r="AE199" s="13">
        <v>0</v>
      </c>
      <c r="AF199" s="13">
        <f>VLOOKUP(F199,'[1]MGM Report'!$D:$N,11,FALSE)</f>
        <v>0</v>
      </c>
      <c r="AG199" s="13" t="b">
        <f t="shared" si="42"/>
        <v>1</v>
      </c>
      <c r="AH199" s="12">
        <v>0</v>
      </c>
      <c r="AI199" s="12">
        <f>VLOOKUP(F199,'[1]MGM Report'!$D:$S,12,FALSE)</f>
        <v>0</v>
      </c>
      <c r="AJ199" s="12" t="b">
        <f t="shared" si="43"/>
        <v>1</v>
      </c>
      <c r="AK199" s="13">
        <f>VLOOKUP(F199,[2]HAVASMGMReportKBCUpdatedResult!$F:$R,13,FALSE)</f>
        <v>0</v>
      </c>
      <c r="AL199" s="13">
        <f>VLOOKUP(F199,'[1]MGM Report'!$D:$S,14,FALSE)</f>
        <v>0</v>
      </c>
    </row>
    <row r="200" spans="1:38">
      <c r="A200" s="7">
        <v>45741</v>
      </c>
      <c r="B200" s="8" t="s">
        <v>59</v>
      </c>
      <c r="C200" s="8" t="s">
        <v>115</v>
      </c>
      <c r="D200" s="8" t="s">
        <v>175</v>
      </c>
      <c r="E200" s="8" t="s">
        <v>306</v>
      </c>
      <c r="F200" s="8" t="str">
        <f t="shared" si="44"/>
        <v>SB22356</v>
      </c>
      <c r="G200" s="9">
        <v>0</v>
      </c>
      <c r="H200" s="9">
        <f>VLOOKUP(F200,'[1]MGM Report'!$D:$E,2,FALSE)</f>
        <v>0</v>
      </c>
      <c r="I200" s="9" t="b">
        <f t="shared" si="45"/>
        <v>1</v>
      </c>
      <c r="J200" s="12">
        <v>0</v>
      </c>
      <c r="K200" s="12">
        <f>VLOOKUP(F200,'[1]MGM Report'!$D:$F,3,FALSE)</f>
        <v>0</v>
      </c>
      <c r="L200" s="12" t="b">
        <f t="shared" si="36"/>
        <v>1</v>
      </c>
      <c r="M200" s="13">
        <v>0</v>
      </c>
      <c r="N200" s="13">
        <f>VLOOKUP(F200,'[1]MGM Report'!$D:$G,4,FALSE)</f>
        <v>0</v>
      </c>
      <c r="O200" s="13" t="b">
        <f t="shared" si="35"/>
        <v>1</v>
      </c>
      <c r="P200" s="12">
        <v>0</v>
      </c>
      <c r="Q200" s="12">
        <f>VLOOKUP(F200,'[1]MGM Report'!$D:$M,5,FALSE)</f>
        <v>0</v>
      </c>
      <c r="R200" s="12" t="b">
        <f t="shared" si="37"/>
        <v>1</v>
      </c>
      <c r="S200" s="13">
        <v>0</v>
      </c>
      <c r="T200" s="13">
        <f>VLOOKUP(F200,'[1]MGM Report'!$D:$I,6,FALSE)</f>
        <v>0</v>
      </c>
      <c r="U200" s="13" t="b">
        <f t="shared" si="38"/>
        <v>1</v>
      </c>
      <c r="V200" s="12">
        <v>0</v>
      </c>
      <c r="W200" s="12">
        <f>VLOOKUP(F200,'[1]MGM Report'!$D:$J,7,FALSE)</f>
        <v>0</v>
      </c>
      <c r="X200" s="12" t="b">
        <f t="shared" si="39"/>
        <v>1</v>
      </c>
      <c r="Y200" s="13">
        <v>81200</v>
      </c>
      <c r="Z200" s="13">
        <f>VLOOKUP(F200,'[1]MGM Report'!$D:$K,8,FALSE)</f>
        <v>81200</v>
      </c>
      <c r="AA200" s="13" t="b">
        <f t="shared" si="40"/>
        <v>1</v>
      </c>
      <c r="AB200" s="12">
        <v>-81200</v>
      </c>
      <c r="AC200" s="12">
        <f>VLOOKUP(F200,'[1]MGM Report'!$D:$M,10,FALSE)</f>
        <v>81200</v>
      </c>
      <c r="AD200" s="12" t="b">
        <f t="shared" si="41"/>
        <v>0</v>
      </c>
      <c r="AE200" s="13">
        <v>0</v>
      </c>
      <c r="AF200" s="13">
        <f>VLOOKUP(F200,'[1]MGM Report'!$D:$N,11,FALSE)</f>
        <v>0</v>
      </c>
      <c r="AG200" s="13" t="b">
        <f t="shared" si="42"/>
        <v>1</v>
      </c>
      <c r="AH200" s="12">
        <v>0</v>
      </c>
      <c r="AI200" s="12">
        <f>VLOOKUP(F200,'[1]MGM Report'!$D:$S,12,FALSE)</f>
        <v>0</v>
      </c>
      <c r="AJ200" s="12" t="b">
        <f t="shared" si="43"/>
        <v>1</v>
      </c>
      <c r="AK200" s="13">
        <f>VLOOKUP(F200,[2]HAVASMGMReportKBCUpdatedResult!$F:$R,13,FALSE)</f>
        <v>0</v>
      </c>
      <c r="AL200" s="13">
        <f>VLOOKUP(F200,'[1]MGM Report'!$D:$S,14,FALSE)</f>
        <v>0</v>
      </c>
    </row>
    <row r="201" spans="1:38">
      <c r="A201" s="7">
        <v>45741</v>
      </c>
      <c r="B201" s="8" t="s">
        <v>27</v>
      </c>
      <c r="C201" s="8" t="s">
        <v>120</v>
      </c>
      <c r="D201" s="8" t="s">
        <v>64</v>
      </c>
      <c r="E201" s="8" t="s">
        <v>307</v>
      </c>
      <c r="F201" s="8" t="str">
        <f t="shared" si="44"/>
        <v>SB22354</v>
      </c>
      <c r="G201" s="9">
        <v>0</v>
      </c>
      <c r="H201" s="9">
        <f>VLOOKUP(F201,'[1]MGM Report'!$D:$E,2,FALSE)</f>
        <v>0</v>
      </c>
      <c r="I201" s="9" t="b">
        <f t="shared" si="45"/>
        <v>1</v>
      </c>
      <c r="J201" s="12">
        <v>0</v>
      </c>
      <c r="K201" s="12">
        <f>VLOOKUP(F201,'[1]MGM Report'!$D:$F,3,FALSE)</f>
        <v>0</v>
      </c>
      <c r="L201" s="12" t="b">
        <f t="shared" si="36"/>
        <v>1</v>
      </c>
      <c r="M201" s="13">
        <v>0</v>
      </c>
      <c r="N201" s="13">
        <f>VLOOKUP(F201,'[1]MGM Report'!$D:$G,4,FALSE)</f>
        <v>0</v>
      </c>
      <c r="O201" s="13" t="b">
        <f t="shared" si="35"/>
        <v>1</v>
      </c>
      <c r="P201" s="12">
        <v>0</v>
      </c>
      <c r="Q201" s="12">
        <f>VLOOKUP(F201,'[1]MGM Report'!$D:$M,5,FALSE)</f>
        <v>0</v>
      </c>
      <c r="R201" s="12" t="b">
        <f t="shared" si="37"/>
        <v>1</v>
      </c>
      <c r="S201" s="13">
        <v>0</v>
      </c>
      <c r="T201" s="13">
        <f>VLOOKUP(F201,'[1]MGM Report'!$D:$I,6,FALSE)</f>
        <v>0</v>
      </c>
      <c r="U201" s="13" t="b">
        <f t="shared" si="38"/>
        <v>1</v>
      </c>
      <c r="V201" s="12">
        <v>0</v>
      </c>
      <c r="W201" s="12">
        <f>VLOOKUP(F201,'[1]MGM Report'!$D:$J,7,FALSE)</f>
        <v>0</v>
      </c>
      <c r="X201" s="12" t="b">
        <f t="shared" si="39"/>
        <v>1</v>
      </c>
      <c r="Y201" s="13">
        <v>32000</v>
      </c>
      <c r="Z201" s="13">
        <f>VLOOKUP(F201,'[1]MGM Report'!$D:$K,8,FALSE)</f>
        <v>32000</v>
      </c>
      <c r="AA201" s="13" t="b">
        <f t="shared" si="40"/>
        <v>1</v>
      </c>
      <c r="AB201" s="12">
        <v>-32000</v>
      </c>
      <c r="AC201" s="12">
        <f>VLOOKUP(F201,'[1]MGM Report'!$D:$M,10,FALSE)</f>
        <v>32000</v>
      </c>
      <c r="AD201" s="12" t="b">
        <f t="shared" si="41"/>
        <v>0</v>
      </c>
      <c r="AE201" s="13">
        <v>0</v>
      </c>
      <c r="AF201" s="13">
        <f>VLOOKUP(F201,'[1]MGM Report'!$D:$N,11,FALSE)</f>
        <v>0</v>
      </c>
      <c r="AG201" s="13" t="b">
        <f t="shared" si="42"/>
        <v>1</v>
      </c>
      <c r="AH201" s="12">
        <v>0</v>
      </c>
      <c r="AI201" s="12">
        <f>VLOOKUP(F201,'[1]MGM Report'!$D:$S,12,FALSE)</f>
        <v>0</v>
      </c>
      <c r="AJ201" s="12" t="b">
        <f t="shared" si="43"/>
        <v>1</v>
      </c>
      <c r="AK201" s="13">
        <f>VLOOKUP(F201,[2]HAVASMGMReportKBCUpdatedResult!$F:$R,13,FALSE)</f>
        <v>0</v>
      </c>
      <c r="AL201" s="13">
        <f>VLOOKUP(F201,'[1]MGM Report'!$D:$S,14,FALSE)</f>
        <v>0</v>
      </c>
    </row>
    <row r="202" spans="1:38">
      <c r="A202" s="7">
        <v>45741</v>
      </c>
      <c r="B202" s="8" t="s">
        <v>27</v>
      </c>
      <c r="C202" s="8" t="s">
        <v>120</v>
      </c>
      <c r="D202" s="8" t="s">
        <v>308</v>
      </c>
      <c r="E202" s="8" t="s">
        <v>309</v>
      </c>
      <c r="F202" s="8" t="str">
        <f t="shared" si="44"/>
        <v>SB22347</v>
      </c>
      <c r="G202" s="9">
        <v>0</v>
      </c>
      <c r="H202" s="9">
        <f>VLOOKUP(F202,'[1]MGM Report'!$D:$E,2,FALSE)</f>
        <v>0</v>
      </c>
      <c r="I202" s="9" t="b">
        <f t="shared" si="45"/>
        <v>1</v>
      </c>
      <c r="J202" s="12">
        <v>0</v>
      </c>
      <c r="K202" s="12">
        <f>VLOOKUP(F202,'[1]MGM Report'!$D:$F,3,FALSE)</f>
        <v>0</v>
      </c>
      <c r="L202" s="12" t="b">
        <f t="shared" si="36"/>
        <v>1</v>
      </c>
      <c r="M202" s="13">
        <v>0</v>
      </c>
      <c r="N202" s="13">
        <f>VLOOKUP(F202,'[1]MGM Report'!$D:$G,4,FALSE)</f>
        <v>0</v>
      </c>
      <c r="O202" s="13" t="b">
        <f t="shared" si="35"/>
        <v>1</v>
      </c>
      <c r="P202" s="12">
        <v>0</v>
      </c>
      <c r="Q202" s="12">
        <f>VLOOKUP(F202,'[1]MGM Report'!$D:$M,5,FALSE)</f>
        <v>0</v>
      </c>
      <c r="R202" s="12" t="b">
        <f t="shared" si="37"/>
        <v>1</v>
      </c>
      <c r="S202" s="13">
        <v>0</v>
      </c>
      <c r="T202" s="13">
        <f>VLOOKUP(F202,'[1]MGM Report'!$D:$I,6,FALSE)</f>
        <v>0</v>
      </c>
      <c r="U202" s="13" t="b">
        <f t="shared" si="38"/>
        <v>1</v>
      </c>
      <c r="V202" s="12">
        <v>0</v>
      </c>
      <c r="W202" s="12">
        <f>VLOOKUP(F202,'[1]MGM Report'!$D:$J,7,FALSE)</f>
        <v>0</v>
      </c>
      <c r="X202" s="12" t="b">
        <f t="shared" si="39"/>
        <v>1</v>
      </c>
      <c r="Y202" s="13">
        <v>83600</v>
      </c>
      <c r="Z202" s="13">
        <f>VLOOKUP(F202,'[1]MGM Report'!$D:$K,8,FALSE)</f>
        <v>83600</v>
      </c>
      <c r="AA202" s="13" t="b">
        <f t="shared" si="40"/>
        <v>1</v>
      </c>
      <c r="AB202" s="12">
        <v>-83600</v>
      </c>
      <c r="AC202" s="12">
        <f>VLOOKUP(F202,'[1]MGM Report'!$D:$M,10,FALSE)</f>
        <v>83600</v>
      </c>
      <c r="AD202" s="12" t="b">
        <f t="shared" si="41"/>
        <v>0</v>
      </c>
      <c r="AE202" s="13">
        <v>0</v>
      </c>
      <c r="AF202" s="13">
        <f>VLOOKUP(F202,'[1]MGM Report'!$D:$N,11,FALSE)</f>
        <v>0</v>
      </c>
      <c r="AG202" s="13" t="b">
        <f t="shared" si="42"/>
        <v>1</v>
      </c>
      <c r="AH202" s="12">
        <v>0</v>
      </c>
      <c r="AI202" s="12">
        <f>VLOOKUP(F202,'[1]MGM Report'!$D:$S,12,FALSE)</f>
        <v>0</v>
      </c>
      <c r="AJ202" s="12" t="b">
        <f t="shared" si="43"/>
        <v>1</v>
      </c>
      <c r="AK202" s="13">
        <f>VLOOKUP(F202,[2]HAVASMGMReportKBCUpdatedResult!$F:$R,13,FALSE)</f>
        <v>0</v>
      </c>
      <c r="AL202" s="13">
        <f>VLOOKUP(F202,'[1]MGM Report'!$D:$S,14,FALSE)</f>
        <v>0</v>
      </c>
    </row>
    <row r="203" spans="1:38">
      <c r="A203" s="7">
        <v>45741</v>
      </c>
      <c r="B203" s="8" t="s">
        <v>38</v>
      </c>
      <c r="C203" s="8" t="s">
        <v>130</v>
      </c>
      <c r="D203" s="8" t="s">
        <v>224</v>
      </c>
      <c r="E203" s="8" t="s">
        <v>310</v>
      </c>
      <c r="F203" s="8" t="str">
        <f t="shared" si="44"/>
        <v>SB22344</v>
      </c>
      <c r="G203" s="9">
        <v>0</v>
      </c>
      <c r="H203" s="9">
        <f>VLOOKUP(F203,'[1]MGM Report'!$D:$E,2,FALSE)</f>
        <v>0</v>
      </c>
      <c r="I203" s="9" t="b">
        <f t="shared" si="45"/>
        <v>1</v>
      </c>
      <c r="J203" s="12">
        <v>12321475</v>
      </c>
      <c r="K203" s="12">
        <f>VLOOKUP(F203,'[1]MGM Report'!$D:$F,3,FALSE)</f>
        <v>12321475</v>
      </c>
      <c r="L203" s="12" t="b">
        <f t="shared" si="36"/>
        <v>1</v>
      </c>
      <c r="M203" s="13">
        <v>6346</v>
      </c>
      <c r="N203" s="13">
        <f>VLOOKUP(F203,'[1]MGM Report'!$D:$G,4,FALSE)</f>
        <v>0</v>
      </c>
      <c r="O203" s="13" t="b">
        <f t="shared" ref="O203:O234" si="46">M203=N203</f>
        <v>0</v>
      </c>
      <c r="P203" s="12">
        <v>0</v>
      </c>
      <c r="Q203" s="12">
        <f>VLOOKUP(F203,'[1]MGM Report'!$D:$M,5,FALSE)</f>
        <v>0</v>
      </c>
      <c r="R203" s="12" t="b">
        <f t="shared" si="37"/>
        <v>1</v>
      </c>
      <c r="S203" s="13">
        <v>12327821</v>
      </c>
      <c r="T203" s="13">
        <f>VLOOKUP(F203,'[1]MGM Report'!$D:$I,6,FALSE)</f>
        <v>12321475</v>
      </c>
      <c r="U203" s="13" t="b">
        <f t="shared" si="38"/>
        <v>0</v>
      </c>
      <c r="V203" s="12">
        <v>1441584</v>
      </c>
      <c r="W203" s="12">
        <f>VLOOKUP(F203,'[1]MGM Report'!$D:$J,7,FALSE)</f>
        <v>1573290</v>
      </c>
      <c r="X203" s="12" t="b">
        <f t="shared" si="39"/>
        <v>0</v>
      </c>
      <c r="Y203" s="13">
        <v>4949540</v>
      </c>
      <c r="Z203" s="13">
        <f>VLOOKUP(F203,'[1]MGM Report'!$D:$K,8,FALSE)</f>
        <v>4949540</v>
      </c>
      <c r="AA203" s="13" t="b">
        <f t="shared" si="40"/>
        <v>1</v>
      </c>
      <c r="AB203" s="12">
        <v>4987863</v>
      </c>
      <c r="AC203" s="12">
        <f>VLOOKUP(F203,'[1]MGM Report'!$D:$M,10,FALSE)</f>
        <v>4987863</v>
      </c>
      <c r="AD203" s="12" t="b">
        <f t="shared" si="41"/>
        <v>1</v>
      </c>
      <c r="AE203" s="13">
        <v>-37403</v>
      </c>
      <c r="AF203" s="13">
        <f>VLOOKUP(F203,'[1]MGM Report'!$D:$N,11,FALSE)</f>
        <v>37403</v>
      </c>
      <c r="AG203" s="13" t="b">
        <f t="shared" si="42"/>
        <v>0</v>
      </c>
      <c r="AH203" s="12">
        <v>9900000</v>
      </c>
      <c r="AI203" s="12">
        <f>VLOOKUP(F203,'[1]MGM Report'!$D:$S,12,FALSE)</f>
        <v>9900000</v>
      </c>
      <c r="AJ203" s="12" t="b">
        <f t="shared" si="43"/>
        <v>1</v>
      </c>
      <c r="AK203" s="13">
        <f>VLOOKUP(F203,[2]HAVASMGMReportKBCUpdatedResult!$F:$R,13,FALSE)</f>
        <v>-1441584</v>
      </c>
      <c r="AL203" s="13">
        <f>VLOOKUP(F203,'[1]MGM Report'!$D:$S,14,FALSE)</f>
        <v>1573290</v>
      </c>
    </row>
    <row r="204" spans="1:38">
      <c r="A204" s="7">
        <v>45741</v>
      </c>
      <c r="B204" s="8" t="s">
        <v>38</v>
      </c>
      <c r="C204" s="8" t="s">
        <v>130</v>
      </c>
      <c r="D204" s="8" t="s">
        <v>51</v>
      </c>
      <c r="E204" s="8" t="s">
        <v>311</v>
      </c>
      <c r="F204" s="8" t="str">
        <f t="shared" si="44"/>
        <v>SB22343</v>
      </c>
      <c r="G204" s="9">
        <v>0</v>
      </c>
      <c r="H204" s="9">
        <f>VLOOKUP(F204,'[1]MGM Report'!$D:$E,2,FALSE)</f>
        <v>0</v>
      </c>
      <c r="I204" s="9" t="b">
        <f t="shared" si="45"/>
        <v>1</v>
      </c>
      <c r="J204" s="12">
        <v>0</v>
      </c>
      <c r="K204" s="12">
        <f>VLOOKUP(F204,'[1]MGM Report'!$D:$F,3,FALSE)</f>
        <v>0</v>
      </c>
      <c r="L204" s="12" t="b">
        <f t="shared" si="36"/>
        <v>1</v>
      </c>
      <c r="M204" s="13">
        <v>0</v>
      </c>
      <c r="N204" s="13">
        <f>VLOOKUP(F204,'[1]MGM Report'!$D:$G,4,FALSE)</f>
        <v>0</v>
      </c>
      <c r="O204" s="13" t="b">
        <f t="shared" si="46"/>
        <v>1</v>
      </c>
      <c r="P204" s="12">
        <v>0</v>
      </c>
      <c r="Q204" s="12">
        <f>VLOOKUP(F204,'[1]MGM Report'!$D:$M,5,FALSE)</f>
        <v>0</v>
      </c>
      <c r="R204" s="12" t="b">
        <f t="shared" si="37"/>
        <v>1</v>
      </c>
      <c r="S204" s="13">
        <v>0</v>
      </c>
      <c r="T204" s="13">
        <f>VLOOKUP(F204,'[1]MGM Report'!$D:$I,6,FALSE)</f>
        <v>0</v>
      </c>
      <c r="U204" s="13" t="b">
        <f t="shared" si="38"/>
        <v>1</v>
      </c>
      <c r="V204" s="12">
        <v>0</v>
      </c>
      <c r="W204" s="12">
        <f>VLOOKUP(F204,'[1]MGM Report'!$D:$J,7,FALSE)</f>
        <v>0</v>
      </c>
      <c r="X204" s="12" t="b">
        <f t="shared" si="39"/>
        <v>1</v>
      </c>
      <c r="Y204" s="13">
        <v>3075000</v>
      </c>
      <c r="Z204" s="13">
        <f>VLOOKUP(F204,'[1]MGM Report'!$D:$K,8,FALSE)</f>
        <v>3075000</v>
      </c>
      <c r="AA204" s="13" t="b">
        <f t="shared" si="40"/>
        <v>1</v>
      </c>
      <c r="AB204" s="12">
        <v>-3075000</v>
      </c>
      <c r="AC204" s="12">
        <f>VLOOKUP(F204,'[1]MGM Report'!$D:$M,10,FALSE)</f>
        <v>3075000</v>
      </c>
      <c r="AD204" s="12" t="b">
        <f t="shared" si="41"/>
        <v>0</v>
      </c>
      <c r="AE204" s="13">
        <v>0</v>
      </c>
      <c r="AF204" s="13">
        <f>VLOOKUP(F204,'[1]MGM Report'!$D:$N,11,FALSE)</f>
        <v>0</v>
      </c>
      <c r="AG204" s="13" t="b">
        <f t="shared" si="42"/>
        <v>1</v>
      </c>
      <c r="AH204" s="12">
        <v>0</v>
      </c>
      <c r="AI204" s="12">
        <f>VLOOKUP(F204,'[1]MGM Report'!$D:$S,12,FALSE)</f>
        <v>0</v>
      </c>
      <c r="AJ204" s="12" t="b">
        <f t="shared" si="43"/>
        <v>1</v>
      </c>
      <c r="AK204" s="13">
        <f>VLOOKUP(F204,[2]HAVASMGMReportKBCUpdatedResult!$F:$R,13,FALSE)</f>
        <v>0</v>
      </c>
      <c r="AL204" s="13">
        <f>VLOOKUP(F204,'[1]MGM Report'!$D:$S,14,FALSE)</f>
        <v>0</v>
      </c>
    </row>
    <row r="205" spans="1:38">
      <c r="A205" s="7">
        <v>45741</v>
      </c>
      <c r="B205" s="8" t="s">
        <v>31</v>
      </c>
      <c r="C205" s="8" t="s">
        <v>115</v>
      </c>
      <c r="D205" s="8" t="s">
        <v>149</v>
      </c>
      <c r="E205" s="8" t="s">
        <v>312</v>
      </c>
      <c r="F205" s="8" t="str">
        <f t="shared" si="44"/>
        <v>SB22338</v>
      </c>
      <c r="G205" s="9">
        <v>2000000</v>
      </c>
      <c r="H205" s="9">
        <f>VLOOKUP(F205,'[1]MGM Report'!$D:$E,2,FALSE)</f>
        <v>2000000</v>
      </c>
      <c r="I205" s="9" t="b">
        <f t="shared" si="45"/>
        <v>1</v>
      </c>
      <c r="J205" s="12">
        <v>0</v>
      </c>
      <c r="K205" s="12">
        <f>VLOOKUP(F205,'[1]MGM Report'!$D:$F,3,FALSE)</f>
        <v>0</v>
      </c>
      <c r="L205" s="12" t="b">
        <f t="shared" si="36"/>
        <v>1</v>
      </c>
      <c r="M205" s="13">
        <v>2000000</v>
      </c>
      <c r="N205" s="13">
        <f>VLOOKUP(F205,'[1]MGM Report'!$D:$G,4,FALSE)</f>
        <v>2000000</v>
      </c>
      <c r="O205" s="13" t="b">
        <f t="shared" si="46"/>
        <v>1</v>
      </c>
      <c r="P205" s="12">
        <v>0</v>
      </c>
      <c r="Q205" s="12">
        <f>VLOOKUP(F205,'[1]MGM Report'!$D:$M,5,FALSE)</f>
        <v>0</v>
      </c>
      <c r="R205" s="12" t="b">
        <f t="shared" si="37"/>
        <v>1</v>
      </c>
      <c r="S205" s="13">
        <v>2000000</v>
      </c>
      <c r="T205" s="13">
        <f>VLOOKUP(F205,'[1]MGM Report'!$D:$I,6,FALSE)</f>
        <v>2000000</v>
      </c>
      <c r="U205" s="13" t="b">
        <f t="shared" si="38"/>
        <v>1</v>
      </c>
      <c r="V205" s="12">
        <v>837893.5</v>
      </c>
      <c r="W205" s="12">
        <f>VLOOKUP(F205,'[1]MGM Report'!$D:$J,7,FALSE)</f>
        <v>837893</v>
      </c>
      <c r="X205" s="12" t="b">
        <f t="shared" si="39"/>
        <v>0</v>
      </c>
      <c r="Y205" s="13">
        <v>205612</v>
      </c>
      <c r="Z205" s="13">
        <f>VLOOKUP(F205,'[1]MGM Report'!$D:$K,8,FALSE)</f>
        <v>205612</v>
      </c>
      <c r="AA205" s="13" t="b">
        <f t="shared" si="40"/>
        <v>1</v>
      </c>
      <c r="AB205" s="12">
        <v>1068006</v>
      </c>
      <c r="AC205" s="12">
        <f>VLOOKUP(F205,'[1]MGM Report'!$D:$M,10,FALSE)</f>
        <v>1068006</v>
      </c>
      <c r="AD205" s="12" t="b">
        <f t="shared" si="41"/>
        <v>1</v>
      </c>
      <c r="AE205" s="13">
        <v>0</v>
      </c>
      <c r="AF205" s="13">
        <f>VLOOKUP(F205,'[1]MGM Report'!$D:$N,11,FALSE)</f>
        <v>0</v>
      </c>
      <c r="AG205" s="13" t="b">
        <f t="shared" si="42"/>
        <v>1</v>
      </c>
      <c r="AH205" s="12">
        <v>1273618</v>
      </c>
      <c r="AI205" s="12">
        <f>VLOOKUP(F205,'[1]MGM Report'!$D:$S,12,FALSE)</f>
        <v>1273618</v>
      </c>
      <c r="AJ205" s="12" t="b">
        <f t="shared" si="43"/>
        <v>1</v>
      </c>
      <c r="AK205" s="13">
        <f>VLOOKUP(F205,[2]HAVASMGMReportKBCUpdatedResult!$F:$R,13,FALSE)</f>
        <v>1162106.5</v>
      </c>
      <c r="AL205" s="13">
        <f>VLOOKUP(F205,'[1]MGM Report'!$D:$S,14,FALSE)</f>
        <v>1162107</v>
      </c>
    </row>
    <row r="206" spans="1:38">
      <c r="A206" s="7">
        <v>45741</v>
      </c>
      <c r="B206" s="8" t="s">
        <v>27</v>
      </c>
      <c r="C206" s="8" t="s">
        <v>120</v>
      </c>
      <c r="D206" s="8" t="s">
        <v>313</v>
      </c>
      <c r="E206" s="8" t="s">
        <v>314</v>
      </c>
      <c r="F206" s="8" t="str">
        <f t="shared" si="44"/>
        <v>SB22332</v>
      </c>
      <c r="G206" s="9">
        <v>349503</v>
      </c>
      <c r="H206" s="9">
        <f>VLOOKUP(F206,'[1]MGM Report'!$D:$E,2,FALSE)</f>
        <v>349503</v>
      </c>
      <c r="I206" s="9" t="b">
        <f t="shared" si="45"/>
        <v>1</v>
      </c>
      <c r="J206" s="12">
        <v>349503</v>
      </c>
      <c r="K206" s="12">
        <f>VLOOKUP(F206,'[1]MGM Report'!$D:$F,3,FALSE)</f>
        <v>349503</v>
      </c>
      <c r="L206" s="12" t="b">
        <f t="shared" si="36"/>
        <v>1</v>
      </c>
      <c r="M206" s="13">
        <v>0</v>
      </c>
      <c r="N206" s="13">
        <f>VLOOKUP(F206,'[1]MGM Report'!$D:$G,4,FALSE)</f>
        <v>0</v>
      </c>
      <c r="O206" s="13" t="b">
        <f t="shared" si="46"/>
        <v>1</v>
      </c>
      <c r="P206" s="12">
        <v>0</v>
      </c>
      <c r="Q206" s="12">
        <f>VLOOKUP(F206,'[1]MGM Report'!$D:$M,5,FALSE)</f>
        <v>0</v>
      </c>
      <c r="R206" s="12" t="b">
        <f t="shared" si="37"/>
        <v>1</v>
      </c>
      <c r="S206" s="13">
        <v>349503</v>
      </c>
      <c r="T206" s="13">
        <f>VLOOKUP(F206,'[1]MGM Report'!$D:$I,6,FALSE)</f>
        <v>349503</v>
      </c>
      <c r="U206" s="13" t="b">
        <f t="shared" si="38"/>
        <v>1</v>
      </c>
      <c r="V206" s="12">
        <v>58146.67</v>
      </c>
      <c r="W206" s="12">
        <f>VLOOKUP(F206,'[1]MGM Report'!$D:$J,7,FALSE)</f>
        <v>58146.67</v>
      </c>
      <c r="X206" s="12" t="b">
        <f t="shared" si="39"/>
        <v>1</v>
      </c>
      <c r="Y206" s="13">
        <v>58146.67</v>
      </c>
      <c r="Z206" s="13">
        <f>VLOOKUP(F206,'[1]MGM Report'!$D:$K,8,FALSE)</f>
        <v>58146.67</v>
      </c>
      <c r="AA206" s="13" t="b">
        <f t="shared" si="40"/>
        <v>1</v>
      </c>
      <c r="AB206" s="12">
        <v>0</v>
      </c>
      <c r="AC206" s="12">
        <f>VLOOKUP(F206,'[1]MGM Report'!$D:$M,10,FALSE)</f>
        <v>0</v>
      </c>
      <c r="AD206" s="12" t="b">
        <f t="shared" si="41"/>
        <v>1</v>
      </c>
      <c r="AE206" s="13">
        <v>-89000</v>
      </c>
      <c r="AF206" s="13">
        <f>VLOOKUP(F206,'[1]MGM Report'!$D:$N,11,FALSE)</f>
        <v>89000</v>
      </c>
      <c r="AG206" s="13" t="b">
        <f t="shared" si="42"/>
        <v>0</v>
      </c>
      <c r="AH206" s="12">
        <v>-30853.33</v>
      </c>
      <c r="AI206" s="12">
        <f>VLOOKUP(F206,'[1]MGM Report'!$D:$S,12,FALSE)</f>
        <v>30853.33</v>
      </c>
      <c r="AJ206" s="12" t="b">
        <f t="shared" si="43"/>
        <v>0</v>
      </c>
      <c r="AK206" s="13">
        <f>VLOOKUP(F206,[2]HAVASMGMReportKBCUpdatedResult!$F:$R,13,FALSE)</f>
        <v>291356.33</v>
      </c>
      <c r="AL206" s="13">
        <f>VLOOKUP(F206,'[1]MGM Report'!$D:$S,14,FALSE)</f>
        <v>291356.33</v>
      </c>
    </row>
    <row r="207" spans="1:38">
      <c r="A207" s="7">
        <v>45741</v>
      </c>
      <c r="B207" s="8" t="s">
        <v>27</v>
      </c>
      <c r="C207" s="8" t="s">
        <v>120</v>
      </c>
      <c r="D207" s="8" t="s">
        <v>71</v>
      </c>
      <c r="E207" s="8" t="s">
        <v>315</v>
      </c>
      <c r="F207" s="8" t="str">
        <f t="shared" si="44"/>
        <v>SB22327</v>
      </c>
      <c r="G207" s="9">
        <v>0</v>
      </c>
      <c r="H207" s="9">
        <f>VLOOKUP(F207,'[1]MGM Report'!$D:$E,2,FALSE)</f>
        <v>0</v>
      </c>
      <c r="I207" s="9" t="b">
        <f t="shared" si="45"/>
        <v>1</v>
      </c>
      <c r="J207" s="12">
        <v>0</v>
      </c>
      <c r="K207" s="12">
        <f>VLOOKUP(F207,'[1]MGM Report'!$D:$F,3,FALSE)</f>
        <v>0</v>
      </c>
      <c r="L207" s="12" t="b">
        <f t="shared" si="36"/>
        <v>1</v>
      </c>
      <c r="M207" s="13">
        <v>0</v>
      </c>
      <c r="N207" s="13">
        <f>VLOOKUP(F207,'[1]MGM Report'!$D:$G,4,FALSE)</f>
        <v>0</v>
      </c>
      <c r="O207" s="13" t="b">
        <f t="shared" si="46"/>
        <v>1</v>
      </c>
      <c r="P207" s="12">
        <v>0</v>
      </c>
      <c r="Q207" s="12">
        <f>VLOOKUP(F207,'[1]MGM Report'!$D:$M,5,FALSE)</f>
        <v>0</v>
      </c>
      <c r="R207" s="12" t="b">
        <f t="shared" si="37"/>
        <v>1</v>
      </c>
      <c r="S207" s="13">
        <v>0</v>
      </c>
      <c r="T207" s="13">
        <f>VLOOKUP(F207,'[1]MGM Report'!$D:$I,6,FALSE)</f>
        <v>0</v>
      </c>
      <c r="U207" s="13" t="b">
        <f t="shared" si="38"/>
        <v>1</v>
      </c>
      <c r="V207" s="12">
        <v>0</v>
      </c>
      <c r="W207" s="12">
        <f>VLOOKUP(F207,'[1]MGM Report'!$D:$J,7,FALSE)</f>
        <v>0</v>
      </c>
      <c r="X207" s="12" t="b">
        <f t="shared" si="39"/>
        <v>1</v>
      </c>
      <c r="Y207" s="13">
        <v>461394</v>
      </c>
      <c r="Z207" s="13">
        <f>VLOOKUP(F207,'[1]MGM Report'!$D:$K,8,FALSE)</f>
        <v>461394</v>
      </c>
      <c r="AA207" s="13" t="b">
        <f t="shared" si="40"/>
        <v>1</v>
      </c>
      <c r="AB207" s="12">
        <v>-461394</v>
      </c>
      <c r="AC207" s="12">
        <f>VLOOKUP(F207,'[1]MGM Report'!$D:$M,10,FALSE)</f>
        <v>461394</v>
      </c>
      <c r="AD207" s="12" t="b">
        <f t="shared" si="41"/>
        <v>0</v>
      </c>
      <c r="AE207" s="13">
        <v>0</v>
      </c>
      <c r="AF207" s="13">
        <f>VLOOKUP(F207,'[1]MGM Report'!$D:$N,11,FALSE)</f>
        <v>0</v>
      </c>
      <c r="AG207" s="13" t="b">
        <f t="shared" si="42"/>
        <v>1</v>
      </c>
      <c r="AH207" s="12">
        <v>0</v>
      </c>
      <c r="AI207" s="12">
        <f>VLOOKUP(F207,'[1]MGM Report'!$D:$S,12,FALSE)</f>
        <v>0</v>
      </c>
      <c r="AJ207" s="12" t="b">
        <f t="shared" si="43"/>
        <v>1</v>
      </c>
      <c r="AK207" s="13">
        <f>VLOOKUP(F207,[2]HAVASMGMReportKBCUpdatedResult!$F:$R,13,FALSE)</f>
        <v>0</v>
      </c>
      <c r="AL207" s="13">
        <f>VLOOKUP(F207,'[1]MGM Report'!$D:$S,14,FALSE)</f>
        <v>0</v>
      </c>
    </row>
    <row r="208" spans="1:38">
      <c r="A208" s="7">
        <v>45741</v>
      </c>
      <c r="B208" s="8" t="s">
        <v>38</v>
      </c>
      <c r="C208" s="8" t="s">
        <v>130</v>
      </c>
      <c r="D208" s="8" t="s">
        <v>316</v>
      </c>
      <c r="E208" s="8" t="s">
        <v>317</v>
      </c>
      <c r="F208" s="8" t="str">
        <f t="shared" si="44"/>
        <v>SB22329</v>
      </c>
      <c r="G208" s="9">
        <v>0</v>
      </c>
      <c r="H208" s="9">
        <f>VLOOKUP(F208,'[1]MGM Report'!$D:$E,2,FALSE)</f>
        <v>0</v>
      </c>
      <c r="I208" s="9" t="b">
        <f t="shared" si="45"/>
        <v>1</v>
      </c>
      <c r="J208" s="12">
        <v>0</v>
      </c>
      <c r="K208" s="12">
        <f>VLOOKUP(F208,'[1]MGM Report'!$D:$F,3,FALSE)</f>
        <v>0</v>
      </c>
      <c r="L208" s="12" t="b">
        <f t="shared" si="36"/>
        <v>1</v>
      </c>
      <c r="M208" s="13">
        <v>0</v>
      </c>
      <c r="N208" s="13">
        <f>VLOOKUP(F208,'[1]MGM Report'!$D:$G,4,FALSE)</f>
        <v>0</v>
      </c>
      <c r="O208" s="13" t="b">
        <f t="shared" si="46"/>
        <v>1</v>
      </c>
      <c r="P208" s="12">
        <v>0</v>
      </c>
      <c r="Q208" s="12">
        <f>VLOOKUP(F208,'[1]MGM Report'!$D:$M,5,FALSE)</f>
        <v>0</v>
      </c>
      <c r="R208" s="12" t="b">
        <f t="shared" si="37"/>
        <v>1</v>
      </c>
      <c r="S208" s="13">
        <v>0</v>
      </c>
      <c r="T208" s="13">
        <f>VLOOKUP(F208,'[1]MGM Report'!$D:$I,6,FALSE)</f>
        <v>0</v>
      </c>
      <c r="U208" s="13" t="b">
        <f t="shared" si="38"/>
        <v>1</v>
      </c>
      <c r="V208" s="12">
        <v>0</v>
      </c>
      <c r="W208" s="12">
        <f>VLOOKUP(F208,'[1]MGM Report'!$D:$J,7,FALSE)</f>
        <v>0</v>
      </c>
      <c r="X208" s="12" t="b">
        <f t="shared" si="39"/>
        <v>1</v>
      </c>
      <c r="Y208" s="13">
        <v>541000</v>
      </c>
      <c r="Z208" s="13">
        <f>VLOOKUP(F208,'[1]MGM Report'!$D:$K,8,FALSE)</f>
        <v>541000</v>
      </c>
      <c r="AA208" s="13" t="b">
        <f t="shared" si="40"/>
        <v>1</v>
      </c>
      <c r="AB208" s="12">
        <v>-541000</v>
      </c>
      <c r="AC208" s="12">
        <f>VLOOKUP(F208,'[1]MGM Report'!$D:$M,10,FALSE)</f>
        <v>541000</v>
      </c>
      <c r="AD208" s="12" t="b">
        <f t="shared" si="41"/>
        <v>0</v>
      </c>
      <c r="AE208" s="13">
        <v>0</v>
      </c>
      <c r="AF208" s="13">
        <f>VLOOKUP(F208,'[1]MGM Report'!$D:$N,11,FALSE)</f>
        <v>0</v>
      </c>
      <c r="AG208" s="13" t="b">
        <f t="shared" si="42"/>
        <v>1</v>
      </c>
      <c r="AH208" s="12">
        <v>0</v>
      </c>
      <c r="AI208" s="12">
        <f>VLOOKUP(F208,'[1]MGM Report'!$D:$S,12,FALSE)</f>
        <v>0</v>
      </c>
      <c r="AJ208" s="12" t="b">
        <f t="shared" si="43"/>
        <v>1</v>
      </c>
      <c r="AK208" s="13">
        <f>VLOOKUP(F208,[2]HAVASMGMReportKBCUpdatedResult!$F:$R,13,FALSE)</f>
        <v>0</v>
      </c>
      <c r="AL208" s="13">
        <f>VLOOKUP(F208,'[1]MGM Report'!$D:$S,14,FALSE)</f>
        <v>0</v>
      </c>
    </row>
    <row r="209" spans="1:38">
      <c r="A209" s="7">
        <v>45741</v>
      </c>
      <c r="B209" s="8" t="s">
        <v>27</v>
      </c>
      <c r="C209" s="8" t="s">
        <v>120</v>
      </c>
      <c r="D209" s="8" t="s">
        <v>47</v>
      </c>
      <c r="E209" s="8" t="s">
        <v>318</v>
      </c>
      <c r="F209" s="8" t="str">
        <f t="shared" si="44"/>
        <v>SB22323</v>
      </c>
      <c r="G209" s="9">
        <v>738000</v>
      </c>
      <c r="H209" s="9">
        <f>VLOOKUP(F209,'[1]MGM Report'!$D:$E,2,FALSE)</f>
        <v>738000</v>
      </c>
      <c r="I209" s="9" t="b">
        <f t="shared" si="45"/>
        <v>1</v>
      </c>
      <c r="J209" s="12">
        <v>738000</v>
      </c>
      <c r="K209" s="12">
        <f>VLOOKUP(F209,'[1]MGM Report'!$D:$F,3,FALSE)</f>
        <v>738000</v>
      </c>
      <c r="L209" s="12" t="b">
        <f t="shared" si="36"/>
        <v>1</v>
      </c>
      <c r="M209" s="13">
        <v>0</v>
      </c>
      <c r="N209" s="13">
        <f>VLOOKUP(F209,'[1]MGM Report'!$D:$G,4,FALSE)</f>
        <v>0</v>
      </c>
      <c r="O209" s="13" t="b">
        <f t="shared" si="46"/>
        <v>1</v>
      </c>
      <c r="P209" s="12">
        <v>0</v>
      </c>
      <c r="Q209" s="12">
        <f>VLOOKUP(F209,'[1]MGM Report'!$D:$M,5,FALSE)</f>
        <v>0</v>
      </c>
      <c r="R209" s="12" t="b">
        <f t="shared" si="37"/>
        <v>1</v>
      </c>
      <c r="S209" s="13">
        <v>738000</v>
      </c>
      <c r="T209" s="13">
        <f>VLOOKUP(F209,'[1]MGM Report'!$D:$I,6,FALSE)</f>
        <v>738000</v>
      </c>
      <c r="U209" s="13" t="b">
        <f t="shared" si="38"/>
        <v>1</v>
      </c>
      <c r="V209" s="12">
        <v>0</v>
      </c>
      <c r="W209" s="12">
        <f>VLOOKUP(F209,'[1]MGM Report'!$D:$J,7,FALSE)</f>
        <v>0</v>
      </c>
      <c r="X209" s="12" t="b">
        <f t="shared" si="39"/>
        <v>1</v>
      </c>
      <c r="Y209" s="13">
        <v>0</v>
      </c>
      <c r="Z209" s="13">
        <f>VLOOKUP(F209,'[1]MGM Report'!$D:$K,8,FALSE)</f>
        <v>0</v>
      </c>
      <c r="AA209" s="13" t="b">
        <f t="shared" si="40"/>
        <v>1</v>
      </c>
      <c r="AB209" s="12">
        <v>575640</v>
      </c>
      <c r="AC209" s="12">
        <f>VLOOKUP(F209,'[1]MGM Report'!$D:$M,10,FALSE)</f>
        <v>575640</v>
      </c>
      <c r="AD209" s="12" t="b">
        <f t="shared" si="41"/>
        <v>1</v>
      </c>
      <c r="AE209" s="13">
        <v>0</v>
      </c>
      <c r="AF209" s="13">
        <f>VLOOKUP(F209,'[1]MGM Report'!$D:$N,11,FALSE)</f>
        <v>0</v>
      </c>
      <c r="AG209" s="13" t="b">
        <f t="shared" si="42"/>
        <v>1</v>
      </c>
      <c r="AH209" s="12">
        <v>575640</v>
      </c>
      <c r="AI209" s="12">
        <f>VLOOKUP(F209,'[1]MGM Report'!$D:$S,12,FALSE)</f>
        <v>575640</v>
      </c>
      <c r="AJ209" s="12" t="b">
        <f t="shared" si="43"/>
        <v>1</v>
      </c>
      <c r="AK209" s="13">
        <f>VLOOKUP(F209,[2]HAVASMGMReportKBCUpdatedResult!$F:$R,13,FALSE)</f>
        <v>738000</v>
      </c>
      <c r="AL209" s="13">
        <f>VLOOKUP(F209,'[1]MGM Report'!$D:$S,14,FALSE)</f>
        <v>738000</v>
      </c>
    </row>
    <row r="210" spans="1:38">
      <c r="A210" s="7">
        <v>45741</v>
      </c>
      <c r="B210" s="8" t="s">
        <v>27</v>
      </c>
      <c r="C210" s="8" t="s">
        <v>120</v>
      </c>
      <c r="D210" s="8" t="s">
        <v>47</v>
      </c>
      <c r="E210" s="8" t="s">
        <v>319</v>
      </c>
      <c r="F210" s="8" t="str">
        <f t="shared" si="44"/>
        <v>SB22326</v>
      </c>
      <c r="G210" s="9">
        <v>0</v>
      </c>
      <c r="H210" s="9">
        <f>VLOOKUP(F210,'[1]MGM Report'!$D:$E,2,FALSE)</f>
        <v>0</v>
      </c>
      <c r="I210" s="9" t="b">
        <f t="shared" si="45"/>
        <v>1</v>
      </c>
      <c r="J210" s="12">
        <v>0</v>
      </c>
      <c r="K210" s="12">
        <f>VLOOKUP(F210,'[1]MGM Report'!$D:$F,3,FALSE)</f>
        <v>0</v>
      </c>
      <c r="L210" s="12" t="b">
        <f t="shared" si="36"/>
        <v>1</v>
      </c>
      <c r="M210" s="13">
        <v>0</v>
      </c>
      <c r="N210" s="13">
        <f>VLOOKUP(F210,'[1]MGM Report'!$D:$G,4,FALSE)</f>
        <v>0</v>
      </c>
      <c r="O210" s="13" t="b">
        <f t="shared" si="46"/>
        <v>1</v>
      </c>
      <c r="P210" s="12">
        <v>0</v>
      </c>
      <c r="Q210" s="12">
        <f>VLOOKUP(F210,'[1]MGM Report'!$D:$M,5,FALSE)</f>
        <v>0</v>
      </c>
      <c r="R210" s="12" t="b">
        <f t="shared" si="37"/>
        <v>1</v>
      </c>
      <c r="S210" s="13">
        <v>0</v>
      </c>
      <c r="T210" s="13">
        <f>VLOOKUP(F210,'[1]MGM Report'!$D:$I,6,FALSE)</f>
        <v>0</v>
      </c>
      <c r="U210" s="13" t="b">
        <f t="shared" si="38"/>
        <v>1</v>
      </c>
      <c r="V210" s="12">
        <v>0</v>
      </c>
      <c r="W210" s="12">
        <f>VLOOKUP(F210,'[1]MGM Report'!$D:$J,7,FALSE)</f>
        <v>0</v>
      </c>
      <c r="X210" s="12" t="b">
        <f t="shared" si="39"/>
        <v>1</v>
      </c>
      <c r="Y210" s="13">
        <v>191318</v>
      </c>
      <c r="Z210" s="13">
        <f>VLOOKUP(F210,'[1]MGM Report'!$D:$K,8,FALSE)</f>
        <v>191318</v>
      </c>
      <c r="AA210" s="13" t="b">
        <f t="shared" si="40"/>
        <v>1</v>
      </c>
      <c r="AB210" s="12">
        <v>-191318</v>
      </c>
      <c r="AC210" s="12">
        <f>VLOOKUP(F210,'[1]MGM Report'!$D:$M,10,FALSE)</f>
        <v>193885.79</v>
      </c>
      <c r="AD210" s="12" t="b">
        <f t="shared" si="41"/>
        <v>0</v>
      </c>
      <c r="AE210" s="13">
        <v>0</v>
      </c>
      <c r="AF210" s="13">
        <f>VLOOKUP(F210,'[1]MGM Report'!$D:$N,11,FALSE)</f>
        <v>0</v>
      </c>
      <c r="AG210" s="13" t="b">
        <f t="shared" si="42"/>
        <v>1</v>
      </c>
      <c r="AH210" s="12">
        <v>0</v>
      </c>
      <c r="AI210" s="12">
        <f>VLOOKUP(F210,'[1]MGM Report'!$D:$S,12,FALSE)</f>
        <v>2567.79</v>
      </c>
      <c r="AJ210" s="12" t="b">
        <f t="shared" si="43"/>
        <v>0</v>
      </c>
      <c r="AK210" s="13">
        <f>VLOOKUP(F210,[2]HAVASMGMReportKBCUpdatedResult!$F:$R,13,FALSE)</f>
        <v>0</v>
      </c>
      <c r="AL210" s="13">
        <f>VLOOKUP(F210,'[1]MGM Report'!$D:$S,14,FALSE)</f>
        <v>0</v>
      </c>
    </row>
    <row r="211" spans="1:38">
      <c r="A211" s="7">
        <v>45741</v>
      </c>
      <c r="B211" s="8" t="s">
        <v>27</v>
      </c>
      <c r="C211" s="8" t="s">
        <v>120</v>
      </c>
      <c r="D211" s="8" t="s">
        <v>64</v>
      </c>
      <c r="E211" s="8" t="s">
        <v>320</v>
      </c>
      <c r="F211" s="8" t="str">
        <f t="shared" si="44"/>
        <v>SB22324</v>
      </c>
      <c r="G211" s="9">
        <v>0</v>
      </c>
      <c r="H211" s="9">
        <f>VLOOKUP(F211,'[1]MGM Report'!$D:$E,2,FALSE)</f>
        <v>0</v>
      </c>
      <c r="I211" s="9" t="b">
        <f t="shared" si="45"/>
        <v>1</v>
      </c>
      <c r="J211" s="12">
        <v>1440862</v>
      </c>
      <c r="K211" s="12">
        <f>VLOOKUP(F211,'[1]MGM Report'!$D:$F,3,FALSE)</f>
        <v>1440862</v>
      </c>
      <c r="L211" s="12" t="b">
        <f t="shared" si="36"/>
        <v>1</v>
      </c>
      <c r="M211" s="13">
        <v>-1301935</v>
      </c>
      <c r="N211" s="13">
        <f>VLOOKUP(F211,'[1]MGM Report'!$D:$G,4,FALSE)</f>
        <v>1301935</v>
      </c>
      <c r="O211" s="13" t="b">
        <f t="shared" si="46"/>
        <v>0</v>
      </c>
      <c r="P211" s="12">
        <v>0</v>
      </c>
      <c r="Q211" s="12">
        <f>VLOOKUP(F211,'[1]MGM Report'!$D:$M,5,FALSE)</f>
        <v>0</v>
      </c>
      <c r="R211" s="12" t="b">
        <f t="shared" si="37"/>
        <v>1</v>
      </c>
      <c r="S211" s="13">
        <v>138927</v>
      </c>
      <c r="T211" s="13">
        <f>VLOOKUP(F211,'[1]MGM Report'!$D:$I,6,FALSE)</f>
        <v>138927</v>
      </c>
      <c r="U211" s="13" t="b">
        <f t="shared" si="38"/>
        <v>1</v>
      </c>
      <c r="V211" s="12">
        <v>0</v>
      </c>
      <c r="W211" s="12">
        <f>VLOOKUP(F211,'[1]MGM Report'!$D:$J,7,FALSE)</f>
        <v>0</v>
      </c>
      <c r="X211" s="12" t="b">
        <f t="shared" si="39"/>
        <v>1</v>
      </c>
      <c r="Y211" s="13">
        <v>0</v>
      </c>
      <c r="Z211" s="13">
        <f>VLOOKUP(F211,'[1]MGM Report'!$D:$K,8,FALSE)</f>
        <v>0</v>
      </c>
      <c r="AA211" s="13" t="b">
        <f t="shared" si="40"/>
        <v>1</v>
      </c>
      <c r="AB211" s="12">
        <v>0</v>
      </c>
      <c r="AC211" s="12">
        <f>VLOOKUP(F211,'[1]MGM Report'!$D:$M,10,FALSE)</f>
        <v>0</v>
      </c>
      <c r="AD211" s="12" t="b">
        <f t="shared" si="41"/>
        <v>1</v>
      </c>
      <c r="AE211" s="13">
        <v>0</v>
      </c>
      <c r="AF211" s="13">
        <f>VLOOKUP(F211,'[1]MGM Report'!$D:$N,11,FALSE)</f>
        <v>0</v>
      </c>
      <c r="AG211" s="13" t="b">
        <f t="shared" si="42"/>
        <v>1</v>
      </c>
      <c r="AH211" s="12">
        <v>0</v>
      </c>
      <c r="AI211" s="12">
        <f>VLOOKUP(F211,'[1]MGM Report'!$D:$S,12,FALSE)</f>
        <v>0</v>
      </c>
      <c r="AJ211" s="12" t="b">
        <f t="shared" si="43"/>
        <v>1</v>
      </c>
      <c r="AK211" s="13">
        <f>VLOOKUP(F211,[2]HAVASMGMReportKBCUpdatedResult!$F:$R,13,FALSE)</f>
        <v>0</v>
      </c>
      <c r="AL211" s="13">
        <f>VLOOKUP(F211,'[1]MGM Report'!$D:$S,14,FALSE)</f>
        <v>0</v>
      </c>
    </row>
    <row r="212" spans="1:38">
      <c r="A212" s="7">
        <v>45741</v>
      </c>
      <c r="B212" s="8" t="s">
        <v>38</v>
      </c>
      <c r="C212" s="8" t="s">
        <v>130</v>
      </c>
      <c r="D212" s="8" t="s">
        <v>156</v>
      </c>
      <c r="E212" s="8" t="s">
        <v>321</v>
      </c>
      <c r="F212" s="8" t="str">
        <f t="shared" si="44"/>
        <v>SB22320</v>
      </c>
      <c r="G212" s="9">
        <v>0</v>
      </c>
      <c r="H212" s="9">
        <f>VLOOKUP(F212,'[1]MGM Report'!$D:$E,2,FALSE)</f>
        <v>0</v>
      </c>
      <c r="I212" s="9" t="b">
        <f t="shared" si="45"/>
        <v>1</v>
      </c>
      <c r="J212" s="12">
        <v>0</v>
      </c>
      <c r="K212" s="12">
        <f>VLOOKUP(F212,'[1]MGM Report'!$D:$F,3,FALSE)</f>
        <v>10700000</v>
      </c>
      <c r="L212" s="12" t="b">
        <f t="shared" si="36"/>
        <v>0</v>
      </c>
      <c r="M212" s="13">
        <v>0</v>
      </c>
      <c r="N212" s="13">
        <f>VLOOKUP(F212,'[1]MGM Report'!$D:$G,4,FALSE)</f>
        <v>0</v>
      </c>
      <c r="O212" s="13" t="b">
        <f t="shared" si="46"/>
        <v>1</v>
      </c>
      <c r="P212" s="12">
        <v>0</v>
      </c>
      <c r="Q212" s="12">
        <f>VLOOKUP(F212,'[1]MGM Report'!$D:$M,5,FALSE)</f>
        <v>0</v>
      </c>
      <c r="R212" s="12" t="b">
        <f t="shared" si="37"/>
        <v>1</v>
      </c>
      <c r="S212" s="13">
        <v>0</v>
      </c>
      <c r="T212" s="13">
        <f>VLOOKUP(F212,'[1]MGM Report'!$D:$I,6,FALSE)</f>
        <v>10700000</v>
      </c>
      <c r="U212" s="13" t="b">
        <f t="shared" si="38"/>
        <v>0</v>
      </c>
      <c r="V212" s="12">
        <v>3873219</v>
      </c>
      <c r="W212" s="12">
        <f>VLOOKUP(F212,'[1]MGM Report'!$D:$J,7,FALSE)</f>
        <v>4425233</v>
      </c>
      <c r="X212" s="12" t="b">
        <f t="shared" si="39"/>
        <v>0</v>
      </c>
      <c r="Y212" s="13">
        <v>4364828</v>
      </c>
      <c r="Z212" s="13">
        <f>VLOOKUP(F212,'[1]MGM Report'!$D:$K,8,FALSE)</f>
        <v>4853328</v>
      </c>
      <c r="AA212" s="13" t="b">
        <f t="shared" si="40"/>
        <v>0</v>
      </c>
      <c r="AB212" s="12">
        <v>3846672</v>
      </c>
      <c r="AC212" s="12">
        <f>VLOOKUP(F212,'[1]MGM Report'!$D:$M,10,FALSE)</f>
        <v>3846672</v>
      </c>
      <c r="AD212" s="12" t="b">
        <f t="shared" si="41"/>
        <v>1</v>
      </c>
      <c r="AE212" s="13">
        <v>0</v>
      </c>
      <c r="AF212" s="13">
        <f>VLOOKUP(F212,'[1]MGM Report'!$D:$N,11,FALSE)</f>
        <v>0</v>
      </c>
      <c r="AG212" s="13" t="b">
        <f t="shared" si="42"/>
        <v>1</v>
      </c>
      <c r="AH212" s="12">
        <v>8211500</v>
      </c>
      <c r="AI212" s="12">
        <f>VLOOKUP(F212,'[1]MGM Report'!$D:$S,12,FALSE)</f>
        <v>8700000</v>
      </c>
      <c r="AJ212" s="12" t="b">
        <f t="shared" si="43"/>
        <v>0</v>
      </c>
      <c r="AK212" s="13">
        <f>VLOOKUP(F212,[2]HAVASMGMReportKBCUpdatedResult!$F:$R,13,FALSE)</f>
        <v>-3873219</v>
      </c>
      <c r="AL212" s="13">
        <f>VLOOKUP(F212,'[1]MGM Report'!$D:$S,14,FALSE)</f>
        <v>4425233</v>
      </c>
    </row>
    <row r="213" spans="1:38">
      <c r="A213" s="7">
        <v>45741</v>
      </c>
      <c r="B213" s="8" t="s">
        <v>27</v>
      </c>
      <c r="C213" s="8" t="s">
        <v>120</v>
      </c>
      <c r="D213" s="8" t="s">
        <v>104</v>
      </c>
      <c r="E213" s="8" t="s">
        <v>322</v>
      </c>
      <c r="F213" s="8" t="str">
        <f t="shared" si="44"/>
        <v>SB22321</v>
      </c>
      <c r="G213" s="9">
        <v>0</v>
      </c>
      <c r="H213" s="9">
        <f>VLOOKUP(F213,'[1]MGM Report'!$D:$E,2,FALSE)</f>
        <v>0</v>
      </c>
      <c r="I213" s="9" t="b">
        <f t="shared" si="45"/>
        <v>1</v>
      </c>
      <c r="J213" s="12">
        <v>516000</v>
      </c>
      <c r="K213" s="12">
        <f>VLOOKUP(F213,'[1]MGM Report'!$D:$F,3,FALSE)</f>
        <v>516000</v>
      </c>
      <c r="L213" s="12" t="b">
        <f t="shared" si="36"/>
        <v>1</v>
      </c>
      <c r="M213" s="13">
        <v>0</v>
      </c>
      <c r="N213" s="13">
        <f>VLOOKUP(F213,'[1]MGM Report'!$D:$G,4,FALSE)</f>
        <v>0</v>
      </c>
      <c r="O213" s="13" t="b">
        <f t="shared" si="46"/>
        <v>1</v>
      </c>
      <c r="P213" s="12">
        <v>0</v>
      </c>
      <c r="Q213" s="12">
        <f>VLOOKUP(F213,'[1]MGM Report'!$D:$M,5,FALSE)</f>
        <v>0</v>
      </c>
      <c r="R213" s="12" t="b">
        <f t="shared" si="37"/>
        <v>1</v>
      </c>
      <c r="S213" s="13">
        <v>516000</v>
      </c>
      <c r="T213" s="13">
        <f>VLOOKUP(F213,'[1]MGM Report'!$D:$I,6,FALSE)</f>
        <v>516000</v>
      </c>
      <c r="U213" s="13" t="b">
        <f t="shared" si="38"/>
        <v>1</v>
      </c>
      <c r="V213" s="12">
        <v>0</v>
      </c>
      <c r="W213" s="12">
        <f>VLOOKUP(F213,'[1]MGM Report'!$D:$J,7,FALSE)</f>
        <v>0</v>
      </c>
      <c r="X213" s="12" t="b">
        <f t="shared" si="39"/>
        <v>1</v>
      </c>
      <c r="Y213" s="13">
        <v>0</v>
      </c>
      <c r="Z213" s="13">
        <f>VLOOKUP(F213,'[1]MGM Report'!$D:$K,8,FALSE)</f>
        <v>0</v>
      </c>
      <c r="AA213" s="13" t="b">
        <f t="shared" si="40"/>
        <v>1</v>
      </c>
      <c r="AB213" s="12">
        <v>500000</v>
      </c>
      <c r="AC213" s="12">
        <f>VLOOKUP(F213,'[1]MGM Report'!$D:$M,10,FALSE)</f>
        <v>500000</v>
      </c>
      <c r="AD213" s="12" t="b">
        <f t="shared" si="41"/>
        <v>1</v>
      </c>
      <c r="AE213" s="13">
        <v>0</v>
      </c>
      <c r="AF213" s="13">
        <f>VLOOKUP(F213,'[1]MGM Report'!$D:$N,11,FALSE)</f>
        <v>0</v>
      </c>
      <c r="AG213" s="13" t="b">
        <f t="shared" si="42"/>
        <v>1</v>
      </c>
      <c r="AH213" s="12">
        <v>500000</v>
      </c>
      <c r="AI213" s="12">
        <f>VLOOKUP(F213,'[1]MGM Report'!$D:$S,12,FALSE)</f>
        <v>500000</v>
      </c>
      <c r="AJ213" s="12" t="b">
        <f t="shared" si="43"/>
        <v>1</v>
      </c>
      <c r="AK213" s="13">
        <f>VLOOKUP(F213,[2]HAVASMGMReportKBCUpdatedResult!$F:$R,13,FALSE)</f>
        <v>0</v>
      </c>
      <c r="AL213" s="13">
        <f>VLOOKUP(F213,'[1]MGM Report'!$D:$S,14,FALSE)</f>
        <v>0</v>
      </c>
    </row>
    <row r="214" spans="1:38">
      <c r="A214" s="7">
        <v>45741</v>
      </c>
      <c r="B214" s="8" t="s">
        <v>38</v>
      </c>
      <c r="C214" s="8" t="s">
        <v>130</v>
      </c>
      <c r="D214" s="8" t="s">
        <v>156</v>
      </c>
      <c r="E214" s="8" t="s">
        <v>323</v>
      </c>
      <c r="F214" s="8" t="str">
        <f t="shared" si="44"/>
        <v>SB22318</v>
      </c>
      <c r="G214" s="9">
        <v>0</v>
      </c>
      <c r="H214" s="9">
        <f>VLOOKUP(F214,'[1]MGM Report'!$D:$E,2,FALSE)</f>
        <v>0</v>
      </c>
      <c r="I214" s="9" t="b">
        <f t="shared" si="45"/>
        <v>1</v>
      </c>
      <c r="J214" s="12">
        <v>0</v>
      </c>
      <c r="K214" s="12">
        <f>VLOOKUP(F214,'[1]MGM Report'!$D:$F,3,FALSE)</f>
        <v>0</v>
      </c>
      <c r="L214" s="12" t="b">
        <f t="shared" si="36"/>
        <v>1</v>
      </c>
      <c r="M214" s="13">
        <v>0</v>
      </c>
      <c r="N214" s="13">
        <f>VLOOKUP(F214,'[1]MGM Report'!$D:$G,4,FALSE)</f>
        <v>0</v>
      </c>
      <c r="O214" s="13" t="b">
        <f t="shared" si="46"/>
        <v>1</v>
      </c>
      <c r="P214" s="12">
        <v>0</v>
      </c>
      <c r="Q214" s="12">
        <f>VLOOKUP(F214,'[1]MGM Report'!$D:$M,5,FALSE)</f>
        <v>0</v>
      </c>
      <c r="R214" s="12" t="b">
        <f t="shared" si="37"/>
        <v>1</v>
      </c>
      <c r="S214" s="13">
        <v>0</v>
      </c>
      <c r="T214" s="13">
        <f>VLOOKUP(F214,'[1]MGM Report'!$D:$I,6,FALSE)</f>
        <v>0</v>
      </c>
      <c r="U214" s="13" t="b">
        <f t="shared" si="38"/>
        <v>1</v>
      </c>
      <c r="V214" s="12">
        <v>0</v>
      </c>
      <c r="W214" s="12">
        <f>VLOOKUP(F214,'[1]MGM Report'!$D:$J,7,FALSE)</f>
        <v>0</v>
      </c>
      <c r="X214" s="12" t="b">
        <f t="shared" si="39"/>
        <v>1</v>
      </c>
      <c r="Y214" s="13">
        <v>319500</v>
      </c>
      <c r="Z214" s="13">
        <f>VLOOKUP(F214,'[1]MGM Report'!$D:$K,8,FALSE)</f>
        <v>329500</v>
      </c>
      <c r="AA214" s="13" t="b">
        <f t="shared" si="40"/>
        <v>0</v>
      </c>
      <c r="AB214" s="12">
        <v>-329500</v>
      </c>
      <c r="AC214" s="12">
        <f>VLOOKUP(F214,'[1]MGM Report'!$D:$M,10,FALSE)</f>
        <v>329500</v>
      </c>
      <c r="AD214" s="12" t="b">
        <f t="shared" si="41"/>
        <v>0</v>
      </c>
      <c r="AE214" s="13">
        <v>0</v>
      </c>
      <c r="AF214" s="13">
        <f>VLOOKUP(F214,'[1]MGM Report'!$D:$N,11,FALSE)</f>
        <v>0</v>
      </c>
      <c r="AG214" s="13" t="b">
        <f t="shared" si="42"/>
        <v>1</v>
      </c>
      <c r="AH214" s="12">
        <v>-10000</v>
      </c>
      <c r="AI214" s="12">
        <f>VLOOKUP(F214,'[1]MGM Report'!$D:$S,12,FALSE)</f>
        <v>0</v>
      </c>
      <c r="AJ214" s="12" t="b">
        <f t="shared" si="43"/>
        <v>0</v>
      </c>
      <c r="AK214" s="13">
        <f>VLOOKUP(F214,[2]HAVASMGMReportKBCUpdatedResult!$F:$R,13,FALSE)</f>
        <v>0</v>
      </c>
      <c r="AL214" s="13">
        <f>VLOOKUP(F214,'[1]MGM Report'!$D:$S,14,FALSE)</f>
        <v>0</v>
      </c>
    </row>
    <row r="215" spans="1:38">
      <c r="A215" s="7">
        <v>45741</v>
      </c>
      <c r="B215" s="8" t="s">
        <v>38</v>
      </c>
      <c r="C215" s="8" t="s">
        <v>130</v>
      </c>
      <c r="D215" s="8" t="s">
        <v>156</v>
      </c>
      <c r="E215" s="8" t="s">
        <v>324</v>
      </c>
      <c r="F215" s="8" t="str">
        <f t="shared" si="44"/>
        <v>SB22319</v>
      </c>
      <c r="G215" s="9">
        <v>0</v>
      </c>
      <c r="H215" s="9">
        <f>VLOOKUP(F215,'[1]MGM Report'!$D:$E,2,FALSE)</f>
        <v>0</v>
      </c>
      <c r="I215" s="9" t="b">
        <f t="shared" si="45"/>
        <v>1</v>
      </c>
      <c r="J215" s="12">
        <v>0</v>
      </c>
      <c r="K215" s="12">
        <f>VLOOKUP(F215,'[1]MGM Report'!$D:$F,3,FALSE)</f>
        <v>0</v>
      </c>
      <c r="L215" s="12" t="b">
        <f t="shared" si="36"/>
        <v>1</v>
      </c>
      <c r="M215" s="13">
        <v>190438.5</v>
      </c>
      <c r="N215" s="13">
        <f>VLOOKUP(F215,'[1]MGM Report'!$D:$G,4,FALSE)</f>
        <v>0</v>
      </c>
      <c r="O215" s="13" t="b">
        <f t="shared" si="46"/>
        <v>0</v>
      </c>
      <c r="P215" s="12">
        <v>0</v>
      </c>
      <c r="Q215" s="12">
        <f>VLOOKUP(F215,'[1]MGM Report'!$D:$M,5,FALSE)</f>
        <v>0</v>
      </c>
      <c r="R215" s="12" t="b">
        <f t="shared" si="37"/>
        <v>1</v>
      </c>
      <c r="S215" s="13">
        <v>190438.5</v>
      </c>
      <c r="T215" s="13">
        <f>VLOOKUP(F215,'[1]MGM Report'!$D:$I,6,FALSE)</f>
        <v>0</v>
      </c>
      <c r="U215" s="13" t="b">
        <f t="shared" si="38"/>
        <v>0</v>
      </c>
      <c r="V215" s="12">
        <v>77239.69</v>
      </c>
      <c r="W215" s="12">
        <f>VLOOKUP(F215,'[1]MGM Report'!$D:$J,7,FALSE)</f>
        <v>77239.69</v>
      </c>
      <c r="X215" s="12" t="b">
        <f t="shared" si="39"/>
        <v>1</v>
      </c>
      <c r="Y215" s="13">
        <v>1930784.69</v>
      </c>
      <c r="Z215" s="13">
        <f>VLOOKUP(F215,'[1]MGM Report'!$D:$K,8,FALSE)</f>
        <v>1930784.69</v>
      </c>
      <c r="AA215" s="13" t="b">
        <f t="shared" si="40"/>
        <v>1</v>
      </c>
      <c r="AB215" s="12">
        <v>-1930784.5</v>
      </c>
      <c r="AC215" s="12">
        <f>VLOOKUP(F215,'[1]MGM Report'!$D:$M,10,FALSE)</f>
        <v>1930784.5</v>
      </c>
      <c r="AD215" s="12" t="b">
        <f t="shared" si="41"/>
        <v>0</v>
      </c>
      <c r="AE215" s="13">
        <v>0</v>
      </c>
      <c r="AF215" s="13">
        <f>VLOOKUP(F215,'[1]MGM Report'!$D:$N,11,FALSE)</f>
        <v>0</v>
      </c>
      <c r="AG215" s="13" t="b">
        <f t="shared" si="42"/>
        <v>1</v>
      </c>
      <c r="AH215" s="12">
        <v>0.19</v>
      </c>
      <c r="AI215" s="12">
        <f>VLOOKUP(F215,'[1]MGM Report'!$D:$S,12,FALSE)</f>
        <v>0.19</v>
      </c>
      <c r="AJ215" s="12" t="b">
        <f t="shared" si="43"/>
        <v>1</v>
      </c>
      <c r="AK215" s="13">
        <f>VLOOKUP(F215,[2]HAVASMGMReportKBCUpdatedResult!$F:$R,13,FALSE)</f>
        <v>-77239.69</v>
      </c>
      <c r="AL215" s="13">
        <f>VLOOKUP(F215,'[1]MGM Report'!$D:$S,14,FALSE)</f>
        <v>77239.69</v>
      </c>
    </row>
    <row r="216" spans="1:38">
      <c r="A216" s="7">
        <v>45741</v>
      </c>
      <c r="B216" s="8" t="s">
        <v>27</v>
      </c>
      <c r="C216" s="8" t="s">
        <v>120</v>
      </c>
      <c r="D216" s="8" t="s">
        <v>325</v>
      </c>
      <c r="E216" s="8" t="s">
        <v>326</v>
      </c>
      <c r="F216" s="8" t="str">
        <f t="shared" si="44"/>
        <v>SB22317</v>
      </c>
      <c r="G216" s="9">
        <v>0</v>
      </c>
      <c r="H216" s="9">
        <f>VLOOKUP(F216,'[1]MGM Report'!$D:$E,2,FALSE)</f>
        <v>0</v>
      </c>
      <c r="I216" s="9" t="b">
        <f t="shared" si="45"/>
        <v>1</v>
      </c>
      <c r="J216" s="12">
        <v>0</v>
      </c>
      <c r="K216" s="12">
        <f>VLOOKUP(F216,'[1]MGM Report'!$D:$F,3,FALSE)</f>
        <v>0</v>
      </c>
      <c r="L216" s="12" t="b">
        <f t="shared" si="36"/>
        <v>1</v>
      </c>
      <c r="M216" s="13">
        <v>0</v>
      </c>
      <c r="N216" s="13">
        <f>VLOOKUP(F216,'[1]MGM Report'!$D:$G,4,FALSE)</f>
        <v>0</v>
      </c>
      <c r="O216" s="13" t="b">
        <f t="shared" si="46"/>
        <v>1</v>
      </c>
      <c r="P216" s="12">
        <v>0</v>
      </c>
      <c r="Q216" s="12">
        <f>VLOOKUP(F216,'[1]MGM Report'!$D:$M,5,FALSE)</f>
        <v>0</v>
      </c>
      <c r="R216" s="12" t="b">
        <f t="shared" si="37"/>
        <v>1</v>
      </c>
      <c r="S216" s="13">
        <v>0</v>
      </c>
      <c r="T216" s="13">
        <f>VLOOKUP(F216,'[1]MGM Report'!$D:$I,6,FALSE)</f>
        <v>0</v>
      </c>
      <c r="U216" s="13" t="b">
        <f t="shared" si="38"/>
        <v>1</v>
      </c>
      <c r="V216" s="12">
        <v>42750</v>
      </c>
      <c r="W216" s="12">
        <f>VLOOKUP(F216,'[1]MGM Report'!$D:$J,7,FALSE)</f>
        <v>42750</v>
      </c>
      <c r="X216" s="12" t="b">
        <f t="shared" si="39"/>
        <v>1</v>
      </c>
      <c r="Y216" s="13">
        <v>46313</v>
      </c>
      <c r="Z216" s="13">
        <f>VLOOKUP(F216,'[1]MGM Report'!$D:$K,8,FALSE)</f>
        <v>46313</v>
      </c>
      <c r="AA216" s="13" t="b">
        <f t="shared" si="40"/>
        <v>1</v>
      </c>
      <c r="AB216" s="12">
        <v>-46313</v>
      </c>
      <c r="AC216" s="12">
        <f>VLOOKUP(F216,'[1]MGM Report'!$D:$M,10,FALSE)</f>
        <v>46313</v>
      </c>
      <c r="AD216" s="12" t="b">
        <f t="shared" si="41"/>
        <v>0</v>
      </c>
      <c r="AE216" s="13">
        <v>0</v>
      </c>
      <c r="AF216" s="13">
        <f>VLOOKUP(F216,'[1]MGM Report'!$D:$N,11,FALSE)</f>
        <v>0</v>
      </c>
      <c r="AG216" s="13" t="b">
        <f t="shared" si="42"/>
        <v>1</v>
      </c>
      <c r="AH216" s="12">
        <v>0</v>
      </c>
      <c r="AI216" s="12">
        <f>VLOOKUP(F216,'[1]MGM Report'!$D:$S,12,FALSE)</f>
        <v>0</v>
      </c>
      <c r="AJ216" s="12" t="b">
        <f t="shared" si="43"/>
        <v>1</v>
      </c>
      <c r="AK216" s="13">
        <f>VLOOKUP(F216,[2]HAVASMGMReportKBCUpdatedResult!$F:$R,13,FALSE)</f>
        <v>-42750</v>
      </c>
      <c r="AL216" s="13">
        <f>VLOOKUP(F216,'[1]MGM Report'!$D:$S,14,FALSE)</f>
        <v>42750</v>
      </c>
    </row>
    <row r="217" spans="1:38">
      <c r="A217" s="7">
        <v>45741</v>
      </c>
      <c r="B217" s="8" t="s">
        <v>38</v>
      </c>
      <c r="C217" s="8" t="s">
        <v>130</v>
      </c>
      <c r="D217" s="8" t="s">
        <v>327</v>
      </c>
      <c r="E217" s="8" t="s">
        <v>328</v>
      </c>
      <c r="F217" s="8" t="str">
        <f t="shared" si="44"/>
        <v>SB22316</v>
      </c>
      <c r="G217" s="9">
        <v>0</v>
      </c>
      <c r="H217" s="9">
        <f>VLOOKUP(F217,'[1]MGM Report'!$D:$E,2,FALSE)</f>
        <v>0</v>
      </c>
      <c r="I217" s="9" t="b">
        <f t="shared" si="45"/>
        <v>1</v>
      </c>
      <c r="J217" s="12">
        <v>0</v>
      </c>
      <c r="K217" s="12">
        <f>VLOOKUP(F217,'[1]MGM Report'!$D:$F,3,FALSE)</f>
        <v>0</v>
      </c>
      <c r="L217" s="12" t="b">
        <f t="shared" si="36"/>
        <v>1</v>
      </c>
      <c r="M217" s="13">
        <v>0</v>
      </c>
      <c r="N217" s="13">
        <f>VLOOKUP(F217,'[1]MGM Report'!$D:$G,4,FALSE)</f>
        <v>0</v>
      </c>
      <c r="O217" s="13" t="b">
        <f t="shared" si="46"/>
        <v>1</v>
      </c>
      <c r="P217" s="12">
        <v>0</v>
      </c>
      <c r="Q217" s="12">
        <f>VLOOKUP(F217,'[1]MGM Report'!$D:$M,5,FALSE)</f>
        <v>0</v>
      </c>
      <c r="R217" s="12" t="b">
        <f t="shared" si="37"/>
        <v>1</v>
      </c>
      <c r="S217" s="13">
        <v>0</v>
      </c>
      <c r="T217" s="13">
        <f>VLOOKUP(F217,'[1]MGM Report'!$D:$I,6,FALSE)</f>
        <v>0</v>
      </c>
      <c r="U217" s="13" t="b">
        <f t="shared" si="38"/>
        <v>1</v>
      </c>
      <c r="V217" s="12">
        <v>0</v>
      </c>
      <c r="W217" s="12">
        <f>VLOOKUP(F217,'[1]MGM Report'!$D:$J,7,FALSE)</f>
        <v>0</v>
      </c>
      <c r="X217" s="12" t="b">
        <f t="shared" si="39"/>
        <v>1</v>
      </c>
      <c r="Y217" s="13">
        <v>1553200</v>
      </c>
      <c r="Z217" s="13">
        <f>VLOOKUP(F217,'[1]MGM Report'!$D:$K,8,FALSE)</f>
        <v>1553200</v>
      </c>
      <c r="AA217" s="13" t="b">
        <f t="shared" si="40"/>
        <v>1</v>
      </c>
      <c r="AB217" s="12">
        <v>-1553200</v>
      </c>
      <c r="AC217" s="12">
        <f>VLOOKUP(F217,'[1]MGM Report'!$D:$M,10,FALSE)</f>
        <v>1553200</v>
      </c>
      <c r="AD217" s="12" t="b">
        <f t="shared" si="41"/>
        <v>0</v>
      </c>
      <c r="AE217" s="13">
        <v>0</v>
      </c>
      <c r="AF217" s="13">
        <f>VLOOKUP(F217,'[1]MGM Report'!$D:$N,11,FALSE)</f>
        <v>0</v>
      </c>
      <c r="AG217" s="13" t="b">
        <f t="shared" si="42"/>
        <v>1</v>
      </c>
      <c r="AH217" s="12">
        <v>0</v>
      </c>
      <c r="AI217" s="12">
        <f>VLOOKUP(F217,'[1]MGM Report'!$D:$S,12,FALSE)</f>
        <v>0</v>
      </c>
      <c r="AJ217" s="12" t="b">
        <f t="shared" si="43"/>
        <v>1</v>
      </c>
      <c r="AK217" s="13">
        <f>VLOOKUP(F217,[2]HAVASMGMReportKBCUpdatedResult!$F:$R,13,FALSE)</f>
        <v>0</v>
      </c>
      <c r="AL217" s="13">
        <f>VLOOKUP(F217,'[1]MGM Report'!$D:$S,14,FALSE)</f>
        <v>0</v>
      </c>
    </row>
    <row r="218" spans="1:38">
      <c r="A218" s="7">
        <v>45741</v>
      </c>
      <c r="B218" s="8" t="s">
        <v>31</v>
      </c>
      <c r="C218" s="8" t="s">
        <v>115</v>
      </c>
      <c r="D218" s="8" t="s">
        <v>329</v>
      </c>
      <c r="E218" s="8" t="s">
        <v>330</v>
      </c>
      <c r="F218" s="8" t="str">
        <f t="shared" si="44"/>
        <v>SB22311</v>
      </c>
      <c r="G218" s="9">
        <v>0</v>
      </c>
      <c r="H218" s="9">
        <f>VLOOKUP(F218,'[1]MGM Report'!$D:$E,2,FALSE)</f>
        <v>0</v>
      </c>
      <c r="I218" s="9" t="b">
        <f t="shared" si="45"/>
        <v>1</v>
      </c>
      <c r="J218" s="12">
        <v>0</v>
      </c>
      <c r="K218" s="12">
        <f>VLOOKUP(F218,'[1]MGM Report'!$D:$F,3,FALSE)</f>
        <v>0</v>
      </c>
      <c r="L218" s="12" t="b">
        <f t="shared" si="36"/>
        <v>1</v>
      </c>
      <c r="M218" s="13">
        <v>0</v>
      </c>
      <c r="N218" s="13">
        <f>VLOOKUP(F218,'[1]MGM Report'!$D:$G,4,FALSE)</f>
        <v>0</v>
      </c>
      <c r="O218" s="13" t="b">
        <f t="shared" si="46"/>
        <v>1</v>
      </c>
      <c r="P218" s="12">
        <v>0</v>
      </c>
      <c r="Q218" s="12">
        <f>VLOOKUP(F218,'[1]MGM Report'!$D:$M,5,FALSE)</f>
        <v>0</v>
      </c>
      <c r="R218" s="12" t="b">
        <f t="shared" si="37"/>
        <v>1</v>
      </c>
      <c r="S218" s="13">
        <v>0</v>
      </c>
      <c r="T218" s="13">
        <f>VLOOKUP(F218,'[1]MGM Report'!$D:$I,6,FALSE)</f>
        <v>0</v>
      </c>
      <c r="U218" s="13" t="b">
        <f t="shared" si="38"/>
        <v>1</v>
      </c>
      <c r="V218" s="12">
        <v>0</v>
      </c>
      <c r="W218" s="12">
        <f>VLOOKUP(F218,'[1]MGM Report'!$D:$J,7,FALSE)</f>
        <v>0</v>
      </c>
      <c r="X218" s="12" t="b">
        <f t="shared" si="39"/>
        <v>1</v>
      </c>
      <c r="Y218" s="13">
        <v>4000</v>
      </c>
      <c r="Z218" s="13">
        <f>VLOOKUP(F218,'[1]MGM Report'!$D:$K,8,FALSE)</f>
        <v>4000</v>
      </c>
      <c r="AA218" s="13" t="b">
        <f t="shared" si="40"/>
        <v>1</v>
      </c>
      <c r="AB218" s="12">
        <v>-4000</v>
      </c>
      <c r="AC218" s="12">
        <f>VLOOKUP(F218,'[1]MGM Report'!$D:$M,10,FALSE)</f>
        <v>4000</v>
      </c>
      <c r="AD218" s="12" t="b">
        <f t="shared" si="41"/>
        <v>0</v>
      </c>
      <c r="AE218" s="13">
        <v>0</v>
      </c>
      <c r="AF218" s="13">
        <f>VLOOKUP(F218,'[1]MGM Report'!$D:$N,11,FALSE)</f>
        <v>0</v>
      </c>
      <c r="AG218" s="13" t="b">
        <f t="shared" si="42"/>
        <v>1</v>
      </c>
      <c r="AH218" s="12">
        <v>0</v>
      </c>
      <c r="AI218" s="12">
        <f>VLOOKUP(F218,'[1]MGM Report'!$D:$S,12,FALSE)</f>
        <v>0</v>
      </c>
      <c r="AJ218" s="12" t="b">
        <f t="shared" si="43"/>
        <v>1</v>
      </c>
      <c r="AK218" s="13">
        <f>VLOOKUP(F218,[2]HAVASMGMReportKBCUpdatedResult!$F:$R,13,FALSE)</f>
        <v>0</v>
      </c>
      <c r="AL218" s="13">
        <f>VLOOKUP(F218,'[1]MGM Report'!$D:$S,14,FALSE)</f>
        <v>0</v>
      </c>
    </row>
    <row r="219" spans="1:38">
      <c r="A219" s="7">
        <v>45741</v>
      </c>
      <c r="B219" s="8" t="s">
        <v>38</v>
      </c>
      <c r="C219" s="8" t="s">
        <v>130</v>
      </c>
      <c r="D219" s="8" t="s">
        <v>156</v>
      </c>
      <c r="E219" s="8" t="s">
        <v>331</v>
      </c>
      <c r="F219" s="8" t="str">
        <f t="shared" si="44"/>
        <v>SB22306</v>
      </c>
      <c r="G219" s="9">
        <v>0</v>
      </c>
      <c r="H219" s="9">
        <f>VLOOKUP(F219,'[1]MGM Report'!$D:$E,2,FALSE)</f>
        <v>0</v>
      </c>
      <c r="I219" s="9" t="b">
        <f t="shared" si="45"/>
        <v>1</v>
      </c>
      <c r="J219" s="12">
        <v>0</v>
      </c>
      <c r="K219" s="12">
        <f>VLOOKUP(F219,'[1]MGM Report'!$D:$F,3,FALSE)</f>
        <v>0</v>
      </c>
      <c r="L219" s="12" t="b">
        <f t="shared" si="36"/>
        <v>1</v>
      </c>
      <c r="M219" s="13">
        <v>0</v>
      </c>
      <c r="N219" s="13">
        <f>VLOOKUP(F219,'[1]MGM Report'!$D:$G,4,FALSE)</f>
        <v>0</v>
      </c>
      <c r="O219" s="13" t="b">
        <f t="shared" si="46"/>
        <v>1</v>
      </c>
      <c r="P219" s="12">
        <v>0</v>
      </c>
      <c r="Q219" s="12">
        <f>VLOOKUP(F219,'[1]MGM Report'!$D:$M,5,FALSE)</f>
        <v>0</v>
      </c>
      <c r="R219" s="12" t="b">
        <f t="shared" si="37"/>
        <v>1</v>
      </c>
      <c r="S219" s="13">
        <v>0</v>
      </c>
      <c r="T219" s="13">
        <f>VLOOKUP(F219,'[1]MGM Report'!$D:$I,6,FALSE)</f>
        <v>0</v>
      </c>
      <c r="U219" s="13" t="b">
        <f t="shared" si="38"/>
        <v>1</v>
      </c>
      <c r="V219" s="12">
        <v>223282.35</v>
      </c>
      <c r="W219" s="12">
        <f>VLOOKUP(F219,'[1]MGM Report'!$D:$J,7,FALSE)</f>
        <v>228043.35</v>
      </c>
      <c r="X219" s="12" t="b">
        <f t="shared" si="39"/>
        <v>0</v>
      </c>
      <c r="Y219" s="13">
        <v>1860395.71</v>
      </c>
      <c r="Z219" s="13">
        <f>VLOOKUP(F219,'[1]MGM Report'!$D:$K,8,FALSE)</f>
        <v>1799035.11</v>
      </c>
      <c r="AA219" s="13" t="b">
        <f t="shared" si="40"/>
        <v>0</v>
      </c>
      <c r="AB219" s="12">
        <v>-1728084.76</v>
      </c>
      <c r="AC219" s="12">
        <f>VLOOKUP(F219,'[1]MGM Report'!$D:$M,10,FALSE)</f>
        <v>1799034.76</v>
      </c>
      <c r="AD219" s="12" t="b">
        <f t="shared" si="41"/>
        <v>0</v>
      </c>
      <c r="AE219" s="13">
        <v>0</v>
      </c>
      <c r="AF219" s="13">
        <f>VLOOKUP(F219,'[1]MGM Report'!$D:$N,11,FALSE)</f>
        <v>0</v>
      </c>
      <c r="AG219" s="13" t="b">
        <f t="shared" si="42"/>
        <v>1</v>
      </c>
      <c r="AH219" s="12">
        <v>132310.95</v>
      </c>
      <c r="AI219" s="12">
        <f>VLOOKUP(F219,'[1]MGM Report'!$D:$S,12,FALSE)</f>
        <v>0.35</v>
      </c>
      <c r="AJ219" s="12" t="b">
        <f t="shared" si="43"/>
        <v>0</v>
      </c>
      <c r="AK219" s="13">
        <f>VLOOKUP(F219,[2]HAVASMGMReportKBCUpdatedResult!$F:$R,13,FALSE)</f>
        <v>-223282.35</v>
      </c>
      <c r="AL219" s="13">
        <f>VLOOKUP(F219,'[1]MGM Report'!$D:$S,14,FALSE)</f>
        <v>228043.35</v>
      </c>
    </row>
    <row r="220" spans="1:38">
      <c r="A220" s="7">
        <v>45741</v>
      </c>
      <c r="B220" s="8" t="s">
        <v>38</v>
      </c>
      <c r="C220" s="8" t="s">
        <v>130</v>
      </c>
      <c r="D220" s="8" t="s">
        <v>156</v>
      </c>
      <c r="E220" s="8" t="s">
        <v>332</v>
      </c>
      <c r="F220" s="8" t="str">
        <f t="shared" si="44"/>
        <v>SB22305</v>
      </c>
      <c r="G220" s="9">
        <v>0</v>
      </c>
      <c r="H220" s="9">
        <f>VLOOKUP(F220,'[1]MGM Report'!$D:$E,2,FALSE)</f>
        <v>0</v>
      </c>
      <c r="I220" s="9" t="b">
        <f t="shared" si="45"/>
        <v>1</v>
      </c>
      <c r="J220" s="12">
        <v>19482480</v>
      </c>
      <c r="K220" s="12">
        <f>VLOOKUP(F220,'[1]MGM Report'!$D:$F,3,FALSE)</f>
        <v>23332480</v>
      </c>
      <c r="L220" s="12" t="b">
        <f t="shared" si="36"/>
        <v>0</v>
      </c>
      <c r="M220" s="13">
        <v>1650000</v>
      </c>
      <c r="N220" s="13">
        <f>VLOOKUP(F220,'[1]MGM Report'!$D:$G,4,FALSE)</f>
        <v>1650000</v>
      </c>
      <c r="O220" s="13" t="b">
        <f t="shared" si="46"/>
        <v>1</v>
      </c>
      <c r="P220" s="12">
        <v>0</v>
      </c>
      <c r="Q220" s="12">
        <f>VLOOKUP(F220,'[1]MGM Report'!$D:$M,5,FALSE)</f>
        <v>0</v>
      </c>
      <c r="R220" s="12" t="b">
        <f t="shared" si="37"/>
        <v>1</v>
      </c>
      <c r="S220" s="13">
        <v>21132480</v>
      </c>
      <c r="T220" s="13">
        <f>VLOOKUP(F220,'[1]MGM Report'!$D:$I,6,FALSE)</f>
        <v>24982480</v>
      </c>
      <c r="U220" s="13" t="b">
        <f t="shared" si="38"/>
        <v>0</v>
      </c>
      <c r="V220" s="12">
        <v>9528706.46</v>
      </c>
      <c r="W220" s="12">
        <f>VLOOKUP(F220,'[1]MGM Report'!$D:$J,7,FALSE)</f>
        <v>9728235.71</v>
      </c>
      <c r="X220" s="12" t="b">
        <f t="shared" si="39"/>
        <v>0</v>
      </c>
      <c r="Y220" s="13">
        <v>14011335.51</v>
      </c>
      <c r="Z220" s="13">
        <f>VLOOKUP(F220,'[1]MGM Report'!$D:$K,8,FALSE)</f>
        <v>14050951.51</v>
      </c>
      <c r="AA220" s="13" t="b">
        <f t="shared" si="40"/>
        <v>0</v>
      </c>
      <c r="AB220" s="12">
        <v>3761666.49</v>
      </c>
      <c r="AC220" s="12">
        <f>VLOOKUP(F220,'[1]MGM Report'!$D:$M,10,FALSE)</f>
        <v>3761666.49</v>
      </c>
      <c r="AD220" s="12" t="b">
        <f t="shared" si="41"/>
        <v>1</v>
      </c>
      <c r="AE220" s="13">
        <v>-12618</v>
      </c>
      <c r="AF220" s="13">
        <f>VLOOKUP(F220,'[1]MGM Report'!$D:$N,11,FALSE)</f>
        <v>12618</v>
      </c>
      <c r="AG220" s="13" t="b">
        <f t="shared" si="42"/>
        <v>0</v>
      </c>
      <c r="AH220" s="12">
        <v>17760384</v>
      </c>
      <c r="AI220" s="12">
        <f>VLOOKUP(F220,'[1]MGM Report'!$D:$S,12,FALSE)</f>
        <v>17800000</v>
      </c>
      <c r="AJ220" s="12" t="b">
        <f t="shared" si="43"/>
        <v>0</v>
      </c>
      <c r="AK220" s="13">
        <f>VLOOKUP(F220,[2]HAVASMGMReportKBCUpdatedResult!$F:$R,13,FALSE)</f>
        <v>-9528706.46</v>
      </c>
      <c r="AL220" s="13">
        <f>VLOOKUP(F220,'[1]MGM Report'!$D:$S,14,FALSE)</f>
        <v>9728235.71</v>
      </c>
    </row>
    <row r="221" spans="1:38">
      <c r="A221" s="7">
        <v>45741</v>
      </c>
      <c r="B221" s="8" t="s">
        <v>31</v>
      </c>
      <c r="C221" s="8" t="s">
        <v>115</v>
      </c>
      <c r="D221" s="8" t="s">
        <v>333</v>
      </c>
      <c r="E221" s="8" t="s">
        <v>334</v>
      </c>
      <c r="F221" s="8" t="str">
        <f>_xlfn.TEXTBEFORE(E221," ")</f>
        <v>SB22282</v>
      </c>
      <c r="G221" s="9">
        <v>0</v>
      </c>
      <c r="H221" s="9">
        <f>VLOOKUP(F221,'[1]MGM Report'!$D:$E,2,FALSE)</f>
        <v>0</v>
      </c>
      <c r="I221" s="9" t="b">
        <f>G221=H221</f>
        <v>1</v>
      </c>
      <c r="J221" s="12">
        <v>0</v>
      </c>
      <c r="K221" s="12">
        <f>VLOOKUP(F221,'[1]MGM Report'!$D:$F,3,FALSE)</f>
        <v>0</v>
      </c>
      <c r="L221" s="12" t="b">
        <f t="shared" si="36"/>
        <v>1</v>
      </c>
      <c r="M221" s="13">
        <v>0</v>
      </c>
      <c r="N221" s="13">
        <f>VLOOKUP(F221,'[1]MGM Report'!$D:$G,4,FALSE)</f>
        <v>0</v>
      </c>
      <c r="O221" s="13" t="b">
        <f t="shared" si="46"/>
        <v>1</v>
      </c>
      <c r="P221" s="12">
        <v>0</v>
      </c>
      <c r="Q221" s="12">
        <f>VLOOKUP(F221,'[1]MGM Report'!$D:$M,5,FALSE)</f>
        <v>0</v>
      </c>
      <c r="R221" s="12" t="b">
        <f t="shared" si="37"/>
        <v>1</v>
      </c>
      <c r="S221" s="13">
        <v>0</v>
      </c>
      <c r="T221" s="13">
        <f>VLOOKUP(F221,'[1]MGM Report'!$D:$I,6,FALSE)</f>
        <v>0</v>
      </c>
      <c r="U221" s="13" t="b">
        <f t="shared" si="38"/>
        <v>1</v>
      </c>
      <c r="V221" s="12">
        <v>0</v>
      </c>
      <c r="W221" s="12">
        <f>VLOOKUP(F221,'[1]MGM Report'!$D:$J,7,FALSE)</f>
        <v>0</v>
      </c>
      <c r="X221" s="12" t="b">
        <f t="shared" si="39"/>
        <v>1</v>
      </c>
      <c r="Y221" s="13">
        <v>133500</v>
      </c>
      <c r="Z221" s="13">
        <f>VLOOKUP(F221,'[1]MGM Report'!$D:$K,8,FALSE)</f>
        <v>133500</v>
      </c>
      <c r="AA221" s="13" t="b">
        <f t="shared" si="40"/>
        <v>1</v>
      </c>
      <c r="AB221" s="12">
        <v>-133500</v>
      </c>
      <c r="AC221" s="12">
        <f>VLOOKUP(F221,'[1]MGM Report'!$D:$M,10,FALSE)</f>
        <v>133500</v>
      </c>
      <c r="AD221" s="12" t="b">
        <f t="shared" si="41"/>
        <v>0</v>
      </c>
      <c r="AE221" s="13">
        <v>0</v>
      </c>
      <c r="AF221" s="13">
        <f>VLOOKUP(F221,'[1]MGM Report'!$D:$N,11,FALSE)</f>
        <v>0</v>
      </c>
      <c r="AG221" s="13" t="b">
        <f t="shared" si="42"/>
        <v>1</v>
      </c>
      <c r="AH221" s="12">
        <v>0</v>
      </c>
      <c r="AI221" s="12">
        <f>VLOOKUP(F221,'[1]MGM Report'!$D:$S,12,FALSE)</f>
        <v>0</v>
      </c>
      <c r="AJ221" s="12" t="b">
        <f t="shared" si="43"/>
        <v>1</v>
      </c>
      <c r="AK221" s="13">
        <f>VLOOKUP(F221,[2]HAVASMGMReportKBCUpdatedResult!$F:$R,13,FALSE)</f>
        <v>0</v>
      </c>
      <c r="AL221" s="13">
        <f>VLOOKUP(F221,'[1]MGM Report'!$D:$S,14,FALSE)</f>
        <v>0</v>
      </c>
    </row>
    <row r="222" spans="1:38">
      <c r="A222" s="7">
        <v>45741</v>
      </c>
      <c r="B222" s="8" t="s">
        <v>59</v>
      </c>
      <c r="C222" s="8" t="s">
        <v>115</v>
      </c>
      <c r="D222" s="8" t="s">
        <v>60</v>
      </c>
      <c r="E222" s="8" t="s">
        <v>335</v>
      </c>
      <c r="F222" s="8" t="str">
        <f>_xlfn.TEXTBEFORE(E222," ")</f>
        <v>SB22280</v>
      </c>
      <c r="G222" s="9">
        <v>0</v>
      </c>
      <c r="H222" s="9">
        <f>VLOOKUP(F222,'[1]MGM Report'!$D:$E,2,FALSE)</f>
        <v>0</v>
      </c>
      <c r="I222" s="9" t="b">
        <f>G222=H222</f>
        <v>1</v>
      </c>
      <c r="J222" s="12">
        <v>0</v>
      </c>
      <c r="K222" s="12">
        <f>VLOOKUP(F222,'[1]MGM Report'!$D:$F,3,FALSE)</f>
        <v>0</v>
      </c>
      <c r="L222" s="12" t="b">
        <f t="shared" si="36"/>
        <v>1</v>
      </c>
      <c r="M222" s="13">
        <v>0</v>
      </c>
      <c r="N222" s="13">
        <f>VLOOKUP(F222,'[1]MGM Report'!$D:$G,4,FALSE)</f>
        <v>0</v>
      </c>
      <c r="O222" s="13" t="b">
        <f t="shared" si="46"/>
        <v>1</v>
      </c>
      <c r="P222" s="12">
        <v>0</v>
      </c>
      <c r="Q222" s="12">
        <f>VLOOKUP(F222,'[1]MGM Report'!$D:$M,5,FALSE)</f>
        <v>0</v>
      </c>
      <c r="R222" s="12" t="b">
        <f t="shared" si="37"/>
        <v>1</v>
      </c>
      <c r="S222" s="13">
        <v>0</v>
      </c>
      <c r="T222" s="13">
        <f>VLOOKUP(F222,'[1]MGM Report'!$D:$I,6,FALSE)</f>
        <v>0</v>
      </c>
      <c r="U222" s="13" t="b">
        <f t="shared" si="38"/>
        <v>1</v>
      </c>
      <c r="V222" s="12">
        <v>0</v>
      </c>
      <c r="W222" s="12">
        <f>VLOOKUP(F222,'[1]MGM Report'!$D:$J,7,FALSE)</f>
        <v>0</v>
      </c>
      <c r="X222" s="12" t="b">
        <f t="shared" si="39"/>
        <v>1</v>
      </c>
      <c r="Y222" s="13">
        <v>11500</v>
      </c>
      <c r="Z222" s="13">
        <f>VLOOKUP(F222,'[1]MGM Report'!$D:$K,8,FALSE)</f>
        <v>11500</v>
      </c>
      <c r="AA222" s="13" t="b">
        <f t="shared" si="40"/>
        <v>1</v>
      </c>
      <c r="AB222" s="12">
        <v>-11500</v>
      </c>
      <c r="AC222" s="12">
        <f>VLOOKUP(F222,'[1]MGM Report'!$D:$M,10,FALSE)</f>
        <v>11500</v>
      </c>
      <c r="AD222" s="12" t="b">
        <f t="shared" si="41"/>
        <v>0</v>
      </c>
      <c r="AE222" s="13">
        <v>0</v>
      </c>
      <c r="AF222" s="13">
        <f>VLOOKUP(F222,'[1]MGM Report'!$D:$N,11,FALSE)</f>
        <v>0</v>
      </c>
      <c r="AG222" s="13" t="b">
        <f t="shared" si="42"/>
        <v>1</v>
      </c>
      <c r="AH222" s="12">
        <v>0</v>
      </c>
      <c r="AI222" s="12">
        <f>VLOOKUP(F222,'[1]MGM Report'!$D:$S,12,FALSE)</f>
        <v>0</v>
      </c>
      <c r="AJ222" s="12" t="b">
        <f t="shared" si="43"/>
        <v>1</v>
      </c>
      <c r="AK222" s="13">
        <f>VLOOKUP(F222,[2]HAVASMGMReportKBCUpdatedResult!$F:$R,13,FALSE)</f>
        <v>0</v>
      </c>
      <c r="AL222" s="13">
        <f>VLOOKUP(F222,'[1]MGM Report'!$D:$S,14,FALSE)</f>
        <v>0</v>
      </c>
    </row>
    <row r="223" spans="1:38">
      <c r="A223" s="7">
        <v>45741</v>
      </c>
      <c r="B223" s="8" t="s">
        <v>38</v>
      </c>
      <c r="C223" s="8" t="s">
        <v>130</v>
      </c>
      <c r="D223" s="8" t="s">
        <v>336</v>
      </c>
      <c r="E223" s="8" t="s">
        <v>337</v>
      </c>
      <c r="F223" s="8" t="str">
        <f>_xlfn.TEXTBEFORE(E223," ")</f>
        <v>SB22278</v>
      </c>
      <c r="G223" s="9">
        <v>2917310</v>
      </c>
      <c r="H223" s="9">
        <f>VLOOKUP(F223,'[1]MGM Report'!$D:$E,2,FALSE)</f>
        <v>2917310</v>
      </c>
      <c r="I223" s="9" t="b">
        <f>G223=H223</f>
        <v>1</v>
      </c>
      <c r="J223" s="12">
        <v>2917310</v>
      </c>
      <c r="K223" s="12">
        <f>VLOOKUP(F223,'[1]MGM Report'!$D:$F,3,FALSE)</f>
        <v>2917310</v>
      </c>
      <c r="L223" s="12" t="b">
        <f t="shared" si="36"/>
        <v>1</v>
      </c>
      <c r="M223" s="13">
        <v>-2917310</v>
      </c>
      <c r="N223" s="13">
        <f>VLOOKUP(F223,'[1]MGM Report'!$D:$G,4,FALSE)</f>
        <v>2917310</v>
      </c>
      <c r="O223" s="13" t="b">
        <f t="shared" si="46"/>
        <v>0</v>
      </c>
      <c r="P223" s="12">
        <v>0</v>
      </c>
      <c r="Q223" s="12">
        <f>VLOOKUP(F223,'[1]MGM Report'!$D:$M,5,FALSE)</f>
        <v>0</v>
      </c>
      <c r="R223" s="12" t="b">
        <f t="shared" si="37"/>
        <v>1</v>
      </c>
      <c r="S223" s="13">
        <v>0</v>
      </c>
      <c r="T223" s="13">
        <f>VLOOKUP(F223,'[1]MGM Report'!$D:$I,6,FALSE)</f>
        <v>0</v>
      </c>
      <c r="U223" s="13" t="b">
        <f t="shared" si="38"/>
        <v>1</v>
      </c>
      <c r="V223" s="12">
        <v>0</v>
      </c>
      <c r="W223" s="12">
        <f>VLOOKUP(F223,'[1]MGM Report'!$D:$J,7,FALSE)</f>
        <v>0</v>
      </c>
      <c r="X223" s="12" t="b">
        <f t="shared" si="39"/>
        <v>1</v>
      </c>
      <c r="Y223" s="13">
        <v>191040</v>
      </c>
      <c r="Z223" s="13">
        <f>VLOOKUP(F223,'[1]MGM Report'!$D:$K,8,FALSE)</f>
        <v>191040</v>
      </c>
      <c r="AA223" s="13" t="b">
        <f t="shared" si="40"/>
        <v>1</v>
      </c>
      <c r="AB223" s="12">
        <v>-191040</v>
      </c>
      <c r="AC223" s="12">
        <f>VLOOKUP(F223,'[1]MGM Report'!$D:$M,10,FALSE)</f>
        <v>191040</v>
      </c>
      <c r="AD223" s="12" t="b">
        <f t="shared" si="41"/>
        <v>0</v>
      </c>
      <c r="AE223" s="13">
        <v>0</v>
      </c>
      <c r="AF223" s="13">
        <f>VLOOKUP(F223,'[1]MGM Report'!$D:$N,11,FALSE)</f>
        <v>0</v>
      </c>
      <c r="AG223" s="13" t="b">
        <f t="shared" si="42"/>
        <v>1</v>
      </c>
      <c r="AH223" s="12">
        <v>0</v>
      </c>
      <c r="AI223" s="12">
        <f>VLOOKUP(F223,'[1]MGM Report'!$D:$S,12,FALSE)</f>
        <v>0</v>
      </c>
      <c r="AJ223" s="12" t="b">
        <f t="shared" si="43"/>
        <v>1</v>
      </c>
      <c r="AK223" s="13">
        <f>VLOOKUP(F223,[2]HAVASMGMReportKBCUpdatedResult!$F:$R,13,FALSE)</f>
        <v>2917310</v>
      </c>
      <c r="AL223" s="13">
        <f>VLOOKUP(F223,'[1]MGM Report'!$D:$S,14,FALSE)</f>
        <v>2917310</v>
      </c>
    </row>
    <row r="224" spans="1:38">
      <c r="A224" s="7">
        <v>45741</v>
      </c>
      <c r="B224" s="8" t="s">
        <v>38</v>
      </c>
      <c r="C224" s="8" t="s">
        <v>130</v>
      </c>
      <c r="D224" s="8" t="s">
        <v>338</v>
      </c>
      <c r="E224" s="8" t="s">
        <v>339</v>
      </c>
      <c r="F224" s="8" t="str">
        <f>_xlfn.TEXTBEFORE(E224," ")</f>
        <v>SB22272</v>
      </c>
      <c r="G224" s="9">
        <v>484950</v>
      </c>
      <c r="H224" s="9">
        <f>VLOOKUP(F224,'[1]MGM Report'!$D:$E,2,FALSE)</f>
        <v>484950</v>
      </c>
      <c r="I224" s="9" t="b">
        <f>G224=H224</f>
        <v>1</v>
      </c>
      <c r="J224" s="12">
        <v>484950</v>
      </c>
      <c r="K224" s="12">
        <f>VLOOKUP(F224,'[1]MGM Report'!$D:$F,3,FALSE)</f>
        <v>484950</v>
      </c>
      <c r="L224" s="12" t="b">
        <f t="shared" si="36"/>
        <v>1</v>
      </c>
      <c r="M224" s="13">
        <v>-480693</v>
      </c>
      <c r="N224" s="13">
        <f>VLOOKUP(F224,'[1]MGM Report'!$D:$G,4,FALSE)</f>
        <v>480693</v>
      </c>
      <c r="O224" s="13" t="b">
        <f t="shared" si="46"/>
        <v>0</v>
      </c>
      <c r="P224" s="12">
        <v>0</v>
      </c>
      <c r="Q224" s="12">
        <f>VLOOKUP(F224,'[1]MGM Report'!$D:$M,5,FALSE)</f>
        <v>0</v>
      </c>
      <c r="R224" s="12" t="b">
        <f t="shared" si="37"/>
        <v>1</v>
      </c>
      <c r="S224" s="13">
        <v>4257</v>
      </c>
      <c r="T224" s="13">
        <f>VLOOKUP(F224,'[1]MGM Report'!$D:$I,6,FALSE)</f>
        <v>4257</v>
      </c>
      <c r="U224" s="13" t="b">
        <f t="shared" si="38"/>
        <v>1</v>
      </c>
      <c r="V224" s="12">
        <v>0</v>
      </c>
      <c r="W224" s="12">
        <f>VLOOKUP(F224,'[1]MGM Report'!$D:$J,7,FALSE)</f>
        <v>0</v>
      </c>
      <c r="X224" s="12" t="b">
        <f t="shared" si="39"/>
        <v>1</v>
      </c>
      <c r="Y224" s="13">
        <v>0</v>
      </c>
      <c r="Z224" s="13">
        <f>VLOOKUP(F224,'[1]MGM Report'!$D:$K,8,FALSE)</f>
        <v>0</v>
      </c>
      <c r="AA224" s="13" t="b">
        <f t="shared" si="40"/>
        <v>1</v>
      </c>
      <c r="AB224" s="12">
        <v>0</v>
      </c>
      <c r="AC224" s="12">
        <f>VLOOKUP(F224,'[1]MGM Report'!$D:$M,10,FALSE)</f>
        <v>0</v>
      </c>
      <c r="AD224" s="12" t="b">
        <f t="shared" si="41"/>
        <v>1</v>
      </c>
      <c r="AE224" s="13">
        <v>0</v>
      </c>
      <c r="AF224" s="13">
        <f>VLOOKUP(F224,'[1]MGM Report'!$D:$N,11,FALSE)</f>
        <v>0</v>
      </c>
      <c r="AG224" s="13" t="b">
        <f t="shared" si="42"/>
        <v>1</v>
      </c>
      <c r="AH224" s="12">
        <v>0</v>
      </c>
      <c r="AI224" s="12">
        <f>VLOOKUP(F224,'[1]MGM Report'!$D:$S,12,FALSE)</f>
        <v>0</v>
      </c>
      <c r="AJ224" s="12" t="b">
        <f t="shared" si="43"/>
        <v>1</v>
      </c>
      <c r="AK224" s="13">
        <f>VLOOKUP(F224,[2]HAVASMGMReportKBCUpdatedResult!$F:$R,13,FALSE)</f>
        <v>484950</v>
      </c>
      <c r="AL224" s="13">
        <f>VLOOKUP(F224,'[1]MGM Report'!$D:$S,14,FALSE)</f>
        <v>484950</v>
      </c>
    </row>
    <row r="225" spans="1:38">
      <c r="A225" s="7">
        <v>45741</v>
      </c>
      <c r="B225" s="8" t="s">
        <v>27</v>
      </c>
      <c r="C225" s="8" t="s">
        <v>120</v>
      </c>
      <c r="D225" s="8" t="s">
        <v>104</v>
      </c>
      <c r="E225" s="8" t="s">
        <v>340</v>
      </c>
      <c r="F225" s="8" t="str">
        <f>_xlfn.TEXTBEFORE(E225," ")</f>
        <v>SB22268</v>
      </c>
      <c r="G225" s="9">
        <v>0</v>
      </c>
      <c r="H225" s="9">
        <f>VLOOKUP(F225,'[1]MGM Report'!$D:$E,2,FALSE)</f>
        <v>0</v>
      </c>
      <c r="I225" s="9" t="b">
        <f>G225=H225</f>
        <v>1</v>
      </c>
      <c r="J225" s="12">
        <v>0</v>
      </c>
      <c r="K225" s="12">
        <f>VLOOKUP(F225,'[1]MGM Report'!$D:$F,3,FALSE)</f>
        <v>0</v>
      </c>
      <c r="L225" s="12" t="b">
        <f t="shared" si="36"/>
        <v>1</v>
      </c>
      <c r="M225" s="13">
        <v>0</v>
      </c>
      <c r="N225" s="13">
        <f>VLOOKUP(F225,'[1]MGM Report'!$D:$G,4,FALSE)</f>
        <v>0</v>
      </c>
      <c r="O225" s="13" t="b">
        <f t="shared" si="46"/>
        <v>1</v>
      </c>
      <c r="P225" s="12">
        <v>0</v>
      </c>
      <c r="Q225" s="12">
        <f>VLOOKUP(F225,'[1]MGM Report'!$D:$M,5,FALSE)</f>
        <v>0</v>
      </c>
      <c r="R225" s="12" t="b">
        <f t="shared" si="37"/>
        <v>1</v>
      </c>
      <c r="S225" s="13">
        <v>0</v>
      </c>
      <c r="T225" s="13">
        <f>VLOOKUP(F225,'[1]MGM Report'!$D:$I,6,FALSE)</f>
        <v>0</v>
      </c>
      <c r="U225" s="13" t="b">
        <f t="shared" si="38"/>
        <v>1</v>
      </c>
      <c r="V225" s="12">
        <v>195431</v>
      </c>
      <c r="W225" s="12">
        <f>VLOOKUP(F225,'[1]MGM Report'!$D:$J,7,FALSE)</f>
        <v>195431.2</v>
      </c>
      <c r="X225" s="12" t="b">
        <f t="shared" si="39"/>
        <v>0</v>
      </c>
      <c r="Y225" s="13">
        <v>128360</v>
      </c>
      <c r="Z225" s="13">
        <f>VLOOKUP(F225,'[1]MGM Report'!$D:$K,8,FALSE)</f>
        <v>128360</v>
      </c>
      <c r="AA225" s="13" t="b">
        <f t="shared" si="40"/>
        <v>1</v>
      </c>
      <c r="AB225" s="12">
        <v>-128360</v>
      </c>
      <c r="AC225" s="12">
        <f>VLOOKUP(F225,'[1]MGM Report'!$D:$M,10,FALSE)</f>
        <v>128360</v>
      </c>
      <c r="AD225" s="12" t="b">
        <f t="shared" si="41"/>
        <v>0</v>
      </c>
      <c r="AE225" s="13">
        <v>0</v>
      </c>
      <c r="AF225" s="13">
        <f>VLOOKUP(F225,'[1]MGM Report'!$D:$N,11,FALSE)</f>
        <v>0</v>
      </c>
      <c r="AG225" s="13" t="b">
        <f t="shared" si="42"/>
        <v>1</v>
      </c>
      <c r="AH225" s="12">
        <v>0</v>
      </c>
      <c r="AI225" s="12">
        <f>VLOOKUP(F225,'[1]MGM Report'!$D:$S,12,FALSE)</f>
        <v>0</v>
      </c>
      <c r="AJ225" s="12" t="b">
        <f t="shared" si="43"/>
        <v>1</v>
      </c>
      <c r="AK225" s="13">
        <f>VLOOKUP(F225,[2]HAVASMGMReportKBCUpdatedResult!$F:$R,13,FALSE)</f>
        <v>-195431</v>
      </c>
      <c r="AL225" s="13">
        <f>VLOOKUP(F225,'[1]MGM Report'!$D:$S,14,FALSE)</f>
        <v>195431.2</v>
      </c>
    </row>
    <row r="226" spans="1:38">
      <c r="A226" s="7">
        <v>45741</v>
      </c>
      <c r="B226" s="8" t="s">
        <v>38</v>
      </c>
      <c r="C226" s="8" t="s">
        <v>130</v>
      </c>
      <c r="D226" s="8" t="s">
        <v>49</v>
      </c>
      <c r="E226" s="8" t="s">
        <v>341</v>
      </c>
      <c r="F226" s="8" t="str">
        <f>_xlfn.TEXTBEFORE(E226," ")</f>
        <v>SB22263</v>
      </c>
      <c r="G226" s="9">
        <v>0</v>
      </c>
      <c r="H226" s="9">
        <f>VLOOKUP(F226,'[1]MGM Report'!$D:$E,2,FALSE)</f>
        <v>0</v>
      </c>
      <c r="I226" s="9" t="b">
        <f>G226=H226</f>
        <v>1</v>
      </c>
      <c r="J226" s="12">
        <v>0</v>
      </c>
      <c r="K226" s="12">
        <f>VLOOKUP(F226,'[1]MGM Report'!$D:$F,3,FALSE)</f>
        <v>0</v>
      </c>
      <c r="L226" s="12" t="b">
        <f t="shared" si="36"/>
        <v>1</v>
      </c>
      <c r="M226" s="13">
        <v>6890903</v>
      </c>
      <c r="N226" s="13">
        <f>VLOOKUP(F226,'[1]MGM Report'!$D:$G,4,FALSE)</f>
        <v>6890903</v>
      </c>
      <c r="O226" s="13" t="b">
        <f t="shared" si="46"/>
        <v>1</v>
      </c>
      <c r="P226" s="12">
        <v>0</v>
      </c>
      <c r="Q226" s="12">
        <f>VLOOKUP(F226,'[1]MGM Report'!$D:$M,5,FALSE)</f>
        <v>0</v>
      </c>
      <c r="R226" s="12" t="b">
        <f t="shared" si="37"/>
        <v>1</v>
      </c>
      <c r="S226" s="13">
        <v>6890903</v>
      </c>
      <c r="T226" s="13">
        <f>VLOOKUP(F226,'[1]MGM Report'!$D:$I,6,FALSE)</f>
        <v>6890903</v>
      </c>
      <c r="U226" s="13" t="b">
        <f t="shared" si="38"/>
        <v>1</v>
      </c>
      <c r="V226" s="12">
        <v>7358823.6</v>
      </c>
      <c r="W226" s="12">
        <f>VLOOKUP(F226,'[1]MGM Report'!$D:$J,7,FALSE)</f>
        <v>7489269.6</v>
      </c>
      <c r="X226" s="12" t="b">
        <f t="shared" si="39"/>
        <v>0</v>
      </c>
      <c r="Y226" s="13">
        <v>3651490.6</v>
      </c>
      <c r="Z226" s="13">
        <f>VLOOKUP(F226,'[1]MGM Report'!$D:$K,8,FALSE)</f>
        <v>3695140.6</v>
      </c>
      <c r="AA226" s="13" t="b">
        <f t="shared" si="40"/>
        <v>0</v>
      </c>
      <c r="AB226" s="12">
        <v>2077155.4</v>
      </c>
      <c r="AC226" s="12">
        <f>VLOOKUP(F226,'[1]MGM Report'!$D:$M,10,FALSE)</f>
        <v>2077155.4</v>
      </c>
      <c r="AD226" s="12" t="b">
        <f t="shared" si="41"/>
        <v>1</v>
      </c>
      <c r="AE226" s="13">
        <v>0</v>
      </c>
      <c r="AF226" s="13">
        <f>VLOOKUP(F226,'[1]MGM Report'!$D:$N,11,FALSE)</f>
        <v>0</v>
      </c>
      <c r="AG226" s="13" t="b">
        <f t="shared" si="42"/>
        <v>1</v>
      </c>
      <c r="AH226" s="12">
        <v>5728646</v>
      </c>
      <c r="AI226" s="12">
        <f>VLOOKUP(F226,'[1]MGM Report'!$D:$S,12,FALSE)</f>
        <v>5772296</v>
      </c>
      <c r="AJ226" s="12" t="b">
        <f t="shared" si="43"/>
        <v>0</v>
      </c>
      <c r="AK226" s="13">
        <f>VLOOKUP(F226,[2]HAVASMGMReportKBCUpdatedResult!$F:$R,13,FALSE)</f>
        <v>-7358823.6</v>
      </c>
      <c r="AL226" s="13">
        <f>VLOOKUP(F226,'[1]MGM Report'!$D:$S,14,FALSE)</f>
        <v>7489269.6</v>
      </c>
    </row>
    <row r="227" spans="1:38">
      <c r="A227" s="7">
        <v>45741</v>
      </c>
      <c r="B227" s="8" t="s">
        <v>38</v>
      </c>
      <c r="C227" s="8" t="s">
        <v>130</v>
      </c>
      <c r="D227" s="8" t="s">
        <v>39</v>
      </c>
      <c r="E227" s="8" t="s">
        <v>342</v>
      </c>
      <c r="F227" s="8" t="str">
        <f>_xlfn.TEXTBEFORE(E227," ")</f>
        <v>SB22254</v>
      </c>
      <c r="G227" s="9">
        <v>0</v>
      </c>
      <c r="H227" s="9">
        <f>VLOOKUP(F227,'[1]MGM Report'!$D:$E,2,FALSE)</f>
        <v>0</v>
      </c>
      <c r="I227" s="9" t="b">
        <f>G227=H227</f>
        <v>1</v>
      </c>
      <c r="J227" s="12">
        <v>0</v>
      </c>
      <c r="K227" s="12">
        <f>VLOOKUP(F227,'[1]MGM Report'!$D:$F,3,FALSE)</f>
        <v>0</v>
      </c>
      <c r="L227" s="12" t="b">
        <f t="shared" si="36"/>
        <v>1</v>
      </c>
      <c r="M227" s="13">
        <v>0</v>
      </c>
      <c r="N227" s="13">
        <f>VLOOKUP(F227,'[1]MGM Report'!$D:$G,4,FALSE)</f>
        <v>0</v>
      </c>
      <c r="O227" s="13" t="b">
        <f t="shared" si="46"/>
        <v>1</v>
      </c>
      <c r="P227" s="12">
        <v>0</v>
      </c>
      <c r="Q227" s="12">
        <f>VLOOKUP(F227,'[1]MGM Report'!$D:$M,5,FALSE)</f>
        <v>0</v>
      </c>
      <c r="R227" s="12" t="b">
        <f t="shared" si="37"/>
        <v>1</v>
      </c>
      <c r="S227" s="13">
        <v>0</v>
      </c>
      <c r="T227" s="13">
        <f>VLOOKUP(F227,'[1]MGM Report'!$D:$I,6,FALSE)</f>
        <v>0</v>
      </c>
      <c r="U227" s="13" t="b">
        <f t="shared" si="38"/>
        <v>1</v>
      </c>
      <c r="V227" s="12">
        <v>0</v>
      </c>
      <c r="W227" s="12">
        <f>VLOOKUP(F227,'[1]MGM Report'!$D:$J,7,FALSE)</f>
        <v>0</v>
      </c>
      <c r="X227" s="12" t="b">
        <f t="shared" si="39"/>
        <v>1</v>
      </c>
      <c r="Y227" s="13">
        <v>30000</v>
      </c>
      <c r="Z227" s="13">
        <f>VLOOKUP(F227,'[1]MGM Report'!$D:$K,8,FALSE)</f>
        <v>30000</v>
      </c>
      <c r="AA227" s="13" t="b">
        <f t="shared" si="40"/>
        <v>1</v>
      </c>
      <c r="AB227" s="12">
        <v>-30000</v>
      </c>
      <c r="AC227" s="12">
        <f>VLOOKUP(F227,'[1]MGM Report'!$D:$M,10,FALSE)</f>
        <v>30000</v>
      </c>
      <c r="AD227" s="12" t="b">
        <f t="shared" si="41"/>
        <v>0</v>
      </c>
      <c r="AE227" s="13">
        <v>0</v>
      </c>
      <c r="AF227" s="13">
        <f>VLOOKUP(F227,'[1]MGM Report'!$D:$N,11,FALSE)</f>
        <v>0</v>
      </c>
      <c r="AG227" s="13" t="b">
        <f t="shared" si="42"/>
        <v>1</v>
      </c>
      <c r="AH227" s="12">
        <v>0</v>
      </c>
      <c r="AI227" s="12">
        <f>VLOOKUP(F227,'[1]MGM Report'!$D:$S,12,FALSE)</f>
        <v>0</v>
      </c>
      <c r="AJ227" s="12" t="b">
        <f t="shared" si="43"/>
        <v>1</v>
      </c>
      <c r="AK227" s="13">
        <f>VLOOKUP(F227,[2]HAVASMGMReportKBCUpdatedResult!$F:$R,13,FALSE)</f>
        <v>0</v>
      </c>
      <c r="AL227" s="13">
        <f>VLOOKUP(F227,'[1]MGM Report'!$D:$S,14,FALSE)</f>
        <v>0</v>
      </c>
    </row>
    <row r="228" spans="1:38">
      <c r="A228" s="7">
        <v>45741</v>
      </c>
      <c r="B228" s="8" t="s">
        <v>27</v>
      </c>
      <c r="C228" s="8" t="s">
        <v>120</v>
      </c>
      <c r="D228" s="8" t="s">
        <v>104</v>
      </c>
      <c r="E228" s="8" t="s">
        <v>343</v>
      </c>
      <c r="F228" s="8" t="str">
        <f>_xlfn.TEXTBEFORE(E228," ")</f>
        <v>SB22223</v>
      </c>
      <c r="G228" s="9">
        <v>0</v>
      </c>
      <c r="H228" s="9">
        <f>VLOOKUP(F228,'[1]MGM Report'!$D:$E,2,FALSE)</f>
        <v>0</v>
      </c>
      <c r="I228" s="9" t="b">
        <f>G228=H228</f>
        <v>1</v>
      </c>
      <c r="J228" s="12">
        <v>0</v>
      </c>
      <c r="K228" s="12">
        <f>VLOOKUP(F228,'[1]MGM Report'!$D:$F,3,FALSE)</f>
        <v>0</v>
      </c>
      <c r="L228" s="12" t="b">
        <f t="shared" si="36"/>
        <v>1</v>
      </c>
      <c r="M228" s="13">
        <v>0</v>
      </c>
      <c r="N228" s="13">
        <f>VLOOKUP(F228,'[1]MGM Report'!$D:$G,4,FALSE)</f>
        <v>0</v>
      </c>
      <c r="O228" s="13" t="b">
        <f t="shared" si="46"/>
        <v>1</v>
      </c>
      <c r="P228" s="12">
        <v>0</v>
      </c>
      <c r="Q228" s="12">
        <f>VLOOKUP(F228,'[1]MGM Report'!$D:$M,5,FALSE)</f>
        <v>0</v>
      </c>
      <c r="R228" s="12" t="b">
        <f t="shared" si="37"/>
        <v>1</v>
      </c>
      <c r="S228" s="13">
        <v>0</v>
      </c>
      <c r="T228" s="13">
        <f>VLOOKUP(F228,'[1]MGM Report'!$D:$I,6,FALSE)</f>
        <v>0</v>
      </c>
      <c r="U228" s="13" t="b">
        <f t="shared" si="38"/>
        <v>1</v>
      </c>
      <c r="V228" s="12">
        <v>0</v>
      </c>
      <c r="W228" s="12">
        <f>VLOOKUP(F228,'[1]MGM Report'!$D:$J,7,FALSE)</f>
        <v>0</v>
      </c>
      <c r="X228" s="12" t="b">
        <f t="shared" si="39"/>
        <v>1</v>
      </c>
      <c r="Y228" s="13">
        <v>142488</v>
      </c>
      <c r="Z228" s="13">
        <f>VLOOKUP(F228,'[1]MGM Report'!$D:$K,8,FALSE)</f>
        <v>142488</v>
      </c>
      <c r="AA228" s="13" t="b">
        <f t="shared" si="40"/>
        <v>1</v>
      </c>
      <c r="AB228" s="12">
        <v>-142488</v>
      </c>
      <c r="AC228" s="12">
        <f>VLOOKUP(F228,'[1]MGM Report'!$D:$M,10,FALSE)</f>
        <v>142488</v>
      </c>
      <c r="AD228" s="12" t="b">
        <f t="shared" si="41"/>
        <v>0</v>
      </c>
      <c r="AE228" s="13">
        <v>0</v>
      </c>
      <c r="AF228" s="13">
        <f>VLOOKUP(F228,'[1]MGM Report'!$D:$N,11,FALSE)</f>
        <v>0</v>
      </c>
      <c r="AG228" s="13" t="b">
        <f t="shared" si="42"/>
        <v>1</v>
      </c>
      <c r="AH228" s="12">
        <v>0</v>
      </c>
      <c r="AI228" s="12">
        <f>VLOOKUP(F228,'[1]MGM Report'!$D:$S,12,FALSE)</f>
        <v>0</v>
      </c>
      <c r="AJ228" s="12" t="b">
        <f t="shared" si="43"/>
        <v>1</v>
      </c>
      <c r="AK228" s="13">
        <f>VLOOKUP(F228,[2]HAVASMGMReportKBCUpdatedResult!$F:$R,13,FALSE)</f>
        <v>0</v>
      </c>
      <c r="AL228" s="13">
        <f>VLOOKUP(F228,'[1]MGM Report'!$D:$S,14,FALSE)</f>
        <v>0</v>
      </c>
    </row>
    <row r="229" spans="1:38">
      <c r="A229" s="7">
        <v>45741</v>
      </c>
      <c r="B229" s="8" t="s">
        <v>38</v>
      </c>
      <c r="C229" s="8" t="s">
        <v>130</v>
      </c>
      <c r="D229" s="8" t="s">
        <v>99</v>
      </c>
      <c r="E229" s="8" t="s">
        <v>344</v>
      </c>
      <c r="F229" s="8" t="str">
        <f>_xlfn.TEXTBEFORE(E229," ")</f>
        <v>SB22204</v>
      </c>
      <c r="G229" s="9">
        <v>0</v>
      </c>
      <c r="H229" s="9">
        <f>VLOOKUP(F229,'[1]MGM Report'!$D:$E,2,FALSE)</f>
        <v>0</v>
      </c>
      <c r="I229" s="9" t="b">
        <f>G229=H229</f>
        <v>1</v>
      </c>
      <c r="J229" s="12">
        <v>0</v>
      </c>
      <c r="K229" s="12">
        <f>VLOOKUP(F229,'[1]MGM Report'!$D:$F,3,FALSE)</f>
        <v>0</v>
      </c>
      <c r="L229" s="12" t="b">
        <f t="shared" si="36"/>
        <v>1</v>
      </c>
      <c r="M229" s="13">
        <v>0</v>
      </c>
      <c r="N229" s="13">
        <f>VLOOKUP(F229,'[1]MGM Report'!$D:$G,4,FALSE)</f>
        <v>0</v>
      </c>
      <c r="O229" s="13" t="b">
        <f t="shared" si="46"/>
        <v>1</v>
      </c>
      <c r="P229" s="12">
        <v>-54004</v>
      </c>
      <c r="Q229" s="12">
        <f>VLOOKUP(F229,'[1]MGM Report'!$D:$M,5,FALSE)</f>
        <v>54004</v>
      </c>
      <c r="R229" s="12" t="b">
        <f t="shared" si="37"/>
        <v>0</v>
      </c>
      <c r="S229" s="13">
        <v>-54004</v>
      </c>
      <c r="T229" s="13">
        <f>VLOOKUP(F229,'[1]MGM Report'!$D:$I,6,FALSE)</f>
        <v>54004</v>
      </c>
      <c r="U229" s="13" t="b">
        <f t="shared" si="38"/>
        <v>0</v>
      </c>
      <c r="V229" s="12">
        <v>0</v>
      </c>
      <c r="W229" s="12">
        <f>VLOOKUP(F229,'[1]MGM Report'!$D:$J,7,FALSE)</f>
        <v>0</v>
      </c>
      <c r="X229" s="12" t="b">
        <f t="shared" si="39"/>
        <v>1</v>
      </c>
      <c r="Y229" s="13">
        <v>0</v>
      </c>
      <c r="Z229" s="13">
        <f>VLOOKUP(F229,'[1]MGM Report'!$D:$K,8,FALSE)</f>
        <v>0</v>
      </c>
      <c r="AA229" s="13" t="b">
        <f t="shared" si="40"/>
        <v>1</v>
      </c>
      <c r="AB229" s="12">
        <v>0</v>
      </c>
      <c r="AC229" s="12">
        <f>VLOOKUP(F229,'[1]MGM Report'!$D:$M,10,FALSE)</f>
        <v>0</v>
      </c>
      <c r="AD229" s="12" t="b">
        <f t="shared" si="41"/>
        <v>1</v>
      </c>
      <c r="AE229" s="13">
        <v>0</v>
      </c>
      <c r="AF229" s="13">
        <f>VLOOKUP(F229,'[1]MGM Report'!$D:$N,11,FALSE)</f>
        <v>0</v>
      </c>
      <c r="AG229" s="13" t="b">
        <f t="shared" si="42"/>
        <v>1</v>
      </c>
      <c r="AH229" s="12">
        <v>0</v>
      </c>
      <c r="AI229" s="12">
        <f>VLOOKUP(F229,'[1]MGM Report'!$D:$S,12,FALSE)</f>
        <v>0</v>
      </c>
      <c r="AJ229" s="12" t="b">
        <f t="shared" si="43"/>
        <v>1</v>
      </c>
      <c r="AK229" s="13">
        <f>VLOOKUP(F229,[2]HAVASMGMReportKBCUpdatedResult!$F:$R,13,FALSE)</f>
        <v>0</v>
      </c>
      <c r="AL229" s="13">
        <f>VLOOKUP(F229,'[1]MGM Report'!$D:$S,14,FALSE)</f>
        <v>0</v>
      </c>
    </row>
    <row r="230" spans="1:38">
      <c r="A230" s="7">
        <v>45741</v>
      </c>
      <c r="B230" s="8" t="s">
        <v>31</v>
      </c>
      <c r="C230" s="8" t="s">
        <v>115</v>
      </c>
      <c r="D230" s="8" t="s">
        <v>45</v>
      </c>
      <c r="E230" s="8" t="s">
        <v>345</v>
      </c>
      <c r="F230" s="8" t="str">
        <f>_xlfn.TEXTBEFORE(E230," ")</f>
        <v>SB22205</v>
      </c>
      <c r="G230" s="9">
        <v>0</v>
      </c>
      <c r="H230" s="9">
        <f>VLOOKUP(F230,'[1]MGM Report'!$D:$E,2,FALSE)</f>
        <v>0</v>
      </c>
      <c r="I230" s="9" t="b">
        <f>G230=H230</f>
        <v>1</v>
      </c>
      <c r="J230" s="12">
        <v>0</v>
      </c>
      <c r="K230" s="12">
        <f>VLOOKUP(F230,'[1]MGM Report'!$D:$F,3,FALSE)</f>
        <v>0</v>
      </c>
      <c r="L230" s="12" t="b">
        <f t="shared" si="36"/>
        <v>1</v>
      </c>
      <c r="M230" s="13">
        <v>0</v>
      </c>
      <c r="N230" s="13">
        <f>VLOOKUP(F230,'[1]MGM Report'!$D:$G,4,FALSE)</f>
        <v>0</v>
      </c>
      <c r="O230" s="13" t="b">
        <f t="shared" si="46"/>
        <v>1</v>
      </c>
      <c r="P230" s="12">
        <v>0</v>
      </c>
      <c r="Q230" s="12">
        <f>VLOOKUP(F230,'[1]MGM Report'!$D:$M,5,FALSE)</f>
        <v>0</v>
      </c>
      <c r="R230" s="12" t="b">
        <f t="shared" si="37"/>
        <v>1</v>
      </c>
      <c r="S230" s="13">
        <v>0</v>
      </c>
      <c r="T230" s="13">
        <f>VLOOKUP(F230,'[1]MGM Report'!$D:$I,6,FALSE)</f>
        <v>0</v>
      </c>
      <c r="U230" s="13" t="b">
        <f t="shared" si="38"/>
        <v>1</v>
      </c>
      <c r="V230" s="12">
        <v>0</v>
      </c>
      <c r="W230" s="12">
        <f>VLOOKUP(F230,'[1]MGM Report'!$D:$J,7,FALSE)</f>
        <v>0</v>
      </c>
      <c r="X230" s="12" t="b">
        <f t="shared" si="39"/>
        <v>1</v>
      </c>
      <c r="Y230" s="13">
        <v>0</v>
      </c>
      <c r="Z230" s="13">
        <f>VLOOKUP(F230,'[1]MGM Report'!$D:$K,8,FALSE)</f>
        <v>37050</v>
      </c>
      <c r="AA230" s="13" t="b">
        <f t="shared" si="40"/>
        <v>0</v>
      </c>
      <c r="AB230" s="12">
        <v>-37050</v>
      </c>
      <c r="AC230" s="12">
        <f>VLOOKUP(F230,'[1]MGM Report'!$D:$M,10,FALSE)</f>
        <v>37050</v>
      </c>
      <c r="AD230" s="12" t="b">
        <f t="shared" si="41"/>
        <v>0</v>
      </c>
      <c r="AE230" s="13">
        <v>0</v>
      </c>
      <c r="AF230" s="13">
        <f>VLOOKUP(F230,'[1]MGM Report'!$D:$N,11,FALSE)</f>
        <v>0</v>
      </c>
      <c r="AG230" s="13" t="b">
        <f t="shared" si="42"/>
        <v>1</v>
      </c>
      <c r="AH230" s="12">
        <v>-37050</v>
      </c>
      <c r="AI230" s="12">
        <f>VLOOKUP(F230,'[1]MGM Report'!$D:$S,12,FALSE)</f>
        <v>0</v>
      </c>
      <c r="AJ230" s="12" t="b">
        <f t="shared" si="43"/>
        <v>0</v>
      </c>
      <c r="AK230" s="13">
        <f>VLOOKUP(F230,[2]HAVASMGMReportKBCUpdatedResult!$F:$R,13,FALSE)</f>
        <v>0</v>
      </c>
      <c r="AL230" s="13">
        <f>VLOOKUP(F230,'[1]MGM Report'!$D:$S,14,FALSE)</f>
        <v>0</v>
      </c>
    </row>
    <row r="231" spans="1:38">
      <c r="A231" s="7">
        <v>45741</v>
      </c>
      <c r="B231" s="8" t="s">
        <v>31</v>
      </c>
      <c r="C231" s="8" t="s">
        <v>115</v>
      </c>
      <c r="D231" s="8" t="s">
        <v>255</v>
      </c>
      <c r="E231" s="8" t="s">
        <v>346</v>
      </c>
      <c r="F231" s="8" t="str">
        <f>_xlfn.TEXTBEFORE(E231," ")</f>
        <v>SB22190</v>
      </c>
      <c r="G231" s="9">
        <v>0</v>
      </c>
      <c r="H231" s="9">
        <f>VLOOKUP(F231,'[1]MGM Report'!$D:$E,2,FALSE)</f>
        <v>660000</v>
      </c>
      <c r="I231" s="9" t="b">
        <f>G231=H231</f>
        <v>0</v>
      </c>
      <c r="J231" s="12">
        <v>0</v>
      </c>
      <c r="K231" s="12">
        <f>VLOOKUP(F231,'[1]MGM Report'!$D:$F,3,FALSE)</f>
        <v>660000</v>
      </c>
      <c r="L231" s="12" t="b">
        <f t="shared" si="36"/>
        <v>0</v>
      </c>
      <c r="M231" s="13">
        <v>-660000</v>
      </c>
      <c r="N231" s="13">
        <f>VLOOKUP(F231,'[1]MGM Report'!$D:$G,4,FALSE)</f>
        <v>660000</v>
      </c>
      <c r="O231" s="13" t="b">
        <f t="shared" si="46"/>
        <v>0</v>
      </c>
      <c r="P231" s="12">
        <v>0</v>
      </c>
      <c r="Q231" s="12">
        <f>VLOOKUP(F231,'[1]MGM Report'!$D:$M,5,FALSE)</f>
        <v>0</v>
      </c>
      <c r="R231" s="12" t="b">
        <f t="shared" si="37"/>
        <v>1</v>
      </c>
      <c r="S231" s="13">
        <v>-660000</v>
      </c>
      <c r="T231" s="13">
        <f>VLOOKUP(F231,'[1]MGM Report'!$D:$I,6,FALSE)</f>
        <v>0</v>
      </c>
      <c r="U231" s="13" t="b">
        <f t="shared" si="38"/>
        <v>0</v>
      </c>
      <c r="V231" s="12">
        <v>0</v>
      </c>
      <c r="W231" s="12">
        <f>VLOOKUP(F231,'[1]MGM Report'!$D:$J,7,FALSE)</f>
        <v>0</v>
      </c>
      <c r="X231" s="12" t="b">
        <f t="shared" si="39"/>
        <v>1</v>
      </c>
      <c r="Y231" s="13">
        <v>0</v>
      </c>
      <c r="Z231" s="13">
        <f>VLOOKUP(F231,'[1]MGM Report'!$D:$K,8,FALSE)</f>
        <v>0</v>
      </c>
      <c r="AA231" s="13" t="b">
        <f t="shared" si="40"/>
        <v>1</v>
      </c>
      <c r="AB231" s="12">
        <v>0</v>
      </c>
      <c r="AC231" s="12">
        <f>VLOOKUP(F231,'[1]MGM Report'!$D:$M,10,FALSE)</f>
        <v>0</v>
      </c>
      <c r="AD231" s="12" t="b">
        <f t="shared" si="41"/>
        <v>1</v>
      </c>
      <c r="AE231" s="13">
        <v>0</v>
      </c>
      <c r="AF231" s="13">
        <f>VLOOKUP(F231,'[1]MGM Report'!$D:$N,11,FALSE)</f>
        <v>0</v>
      </c>
      <c r="AG231" s="13" t="b">
        <f t="shared" si="42"/>
        <v>1</v>
      </c>
      <c r="AH231" s="12">
        <v>0</v>
      </c>
      <c r="AI231" s="12">
        <f>VLOOKUP(F231,'[1]MGM Report'!$D:$S,12,FALSE)</f>
        <v>0</v>
      </c>
      <c r="AJ231" s="12" t="b">
        <f t="shared" si="43"/>
        <v>1</v>
      </c>
      <c r="AK231" s="13">
        <f>VLOOKUP(F231,[2]HAVASMGMReportKBCUpdatedResult!$F:$R,13,FALSE)</f>
        <v>0</v>
      </c>
      <c r="AL231" s="13">
        <f>VLOOKUP(F231,'[1]MGM Report'!$D:$S,14,FALSE)</f>
        <v>660000</v>
      </c>
    </row>
    <row r="232" spans="1:38">
      <c r="A232" s="7">
        <v>45741</v>
      </c>
      <c r="B232" s="8" t="s">
        <v>38</v>
      </c>
      <c r="C232" s="8" t="s">
        <v>130</v>
      </c>
      <c r="D232" s="8" t="s">
        <v>347</v>
      </c>
      <c r="E232" s="8" t="s">
        <v>348</v>
      </c>
      <c r="F232" s="8" t="str">
        <f>_xlfn.TEXTBEFORE(E232," ")</f>
        <v>SB22158</v>
      </c>
      <c r="G232" s="9">
        <v>0</v>
      </c>
      <c r="H232" s="9">
        <f>VLOOKUP(F232,'[1]MGM Report'!$D:$E,2,FALSE)</f>
        <v>0</v>
      </c>
      <c r="I232" s="9" t="b">
        <f>G232=H232</f>
        <v>1</v>
      </c>
      <c r="J232" s="12">
        <v>0</v>
      </c>
      <c r="K232" s="12">
        <f>VLOOKUP(F232,'[1]MGM Report'!$D:$F,3,FALSE)</f>
        <v>0</v>
      </c>
      <c r="L232" s="12" t="b">
        <f t="shared" si="36"/>
        <v>1</v>
      </c>
      <c r="M232" s="13">
        <v>0</v>
      </c>
      <c r="N232" s="13">
        <f>VLOOKUP(F232,'[1]MGM Report'!$D:$G,4,FALSE)</f>
        <v>0</v>
      </c>
      <c r="O232" s="13" t="b">
        <f t="shared" si="46"/>
        <v>1</v>
      </c>
      <c r="P232" s="12">
        <v>0</v>
      </c>
      <c r="Q232" s="12">
        <f>VLOOKUP(F232,'[1]MGM Report'!$D:$M,5,FALSE)</f>
        <v>0</v>
      </c>
      <c r="R232" s="12" t="b">
        <f t="shared" si="37"/>
        <v>1</v>
      </c>
      <c r="S232" s="13">
        <v>0</v>
      </c>
      <c r="T232" s="13">
        <f>VLOOKUP(F232,'[1]MGM Report'!$D:$I,6,FALSE)</f>
        <v>0</v>
      </c>
      <c r="U232" s="13" t="b">
        <f t="shared" si="38"/>
        <v>1</v>
      </c>
      <c r="V232" s="12">
        <v>0</v>
      </c>
      <c r="W232" s="12">
        <f>VLOOKUP(F232,'[1]MGM Report'!$D:$J,7,FALSE)</f>
        <v>0</v>
      </c>
      <c r="X232" s="12" t="b">
        <f t="shared" si="39"/>
        <v>1</v>
      </c>
      <c r="Y232" s="13">
        <v>692150</v>
      </c>
      <c r="Z232" s="13">
        <f>VLOOKUP(F232,'[1]MGM Report'!$D:$K,8,FALSE)</f>
        <v>692150</v>
      </c>
      <c r="AA232" s="13" t="b">
        <f t="shared" si="40"/>
        <v>1</v>
      </c>
      <c r="AB232" s="12">
        <v>-181650</v>
      </c>
      <c r="AC232" s="12">
        <f>VLOOKUP(F232,'[1]MGM Report'!$D:$M,10,FALSE)</f>
        <v>692150</v>
      </c>
      <c r="AD232" s="12" t="b">
        <f t="shared" si="41"/>
        <v>0</v>
      </c>
      <c r="AE232" s="13">
        <v>0</v>
      </c>
      <c r="AF232" s="13">
        <f>VLOOKUP(F232,'[1]MGM Report'!$D:$N,11,FALSE)</f>
        <v>0</v>
      </c>
      <c r="AG232" s="13" t="b">
        <f t="shared" si="42"/>
        <v>1</v>
      </c>
      <c r="AH232" s="12">
        <v>510500</v>
      </c>
      <c r="AI232" s="12">
        <f>VLOOKUP(F232,'[1]MGM Report'!$D:$S,12,FALSE)</f>
        <v>0</v>
      </c>
      <c r="AJ232" s="12" t="b">
        <f t="shared" si="43"/>
        <v>0</v>
      </c>
      <c r="AK232" s="13">
        <f>VLOOKUP(F232,[2]HAVASMGMReportKBCUpdatedResult!$F:$R,13,FALSE)</f>
        <v>0</v>
      </c>
      <c r="AL232" s="13">
        <f>VLOOKUP(F232,'[1]MGM Report'!$D:$S,14,FALSE)</f>
        <v>0</v>
      </c>
    </row>
    <row r="233" spans="1:38">
      <c r="A233" s="7">
        <v>45741</v>
      </c>
      <c r="B233" s="8" t="s">
        <v>38</v>
      </c>
      <c r="C233" s="8" t="s">
        <v>130</v>
      </c>
      <c r="D233" s="8" t="s">
        <v>107</v>
      </c>
      <c r="E233" s="8" t="s">
        <v>349</v>
      </c>
      <c r="F233" s="8" t="str">
        <f>_xlfn.TEXTBEFORE(E233," ")</f>
        <v>SB22159</v>
      </c>
      <c r="G233" s="9">
        <v>9178650</v>
      </c>
      <c r="H233" s="9">
        <f>VLOOKUP(F233,'[1]MGM Report'!$D:$E,2,FALSE)</f>
        <v>9178650</v>
      </c>
      <c r="I233" s="9" t="b">
        <f>G233=H233</f>
        <v>1</v>
      </c>
      <c r="J233" s="12">
        <v>9178650</v>
      </c>
      <c r="K233" s="12">
        <f>VLOOKUP(F233,'[1]MGM Report'!$D:$F,3,FALSE)</f>
        <v>9178650</v>
      </c>
      <c r="L233" s="12" t="b">
        <f t="shared" si="36"/>
        <v>1</v>
      </c>
      <c r="M233" s="13">
        <v>-11025023</v>
      </c>
      <c r="N233" s="13">
        <f>VLOOKUP(F233,'[1]MGM Report'!$D:$G,4,FALSE)</f>
        <v>11025023</v>
      </c>
      <c r="O233" s="13" t="b">
        <f t="shared" si="46"/>
        <v>0</v>
      </c>
      <c r="P233" s="12">
        <v>0</v>
      </c>
      <c r="Q233" s="12">
        <f>VLOOKUP(F233,'[1]MGM Report'!$D:$M,5,FALSE)</f>
        <v>0</v>
      </c>
      <c r="R233" s="12" t="b">
        <f t="shared" si="37"/>
        <v>1</v>
      </c>
      <c r="S233" s="13">
        <v>-1846373</v>
      </c>
      <c r="T233" s="13">
        <f>VLOOKUP(F233,'[1]MGM Report'!$D:$I,6,FALSE)</f>
        <v>1846373</v>
      </c>
      <c r="U233" s="13" t="b">
        <f t="shared" si="38"/>
        <v>0</v>
      </c>
      <c r="V233" s="12">
        <v>0</v>
      </c>
      <c r="W233" s="12">
        <f>VLOOKUP(F233,'[1]MGM Report'!$D:$J,7,FALSE)</f>
        <v>0</v>
      </c>
      <c r="X233" s="12" t="b">
        <f t="shared" si="39"/>
        <v>1</v>
      </c>
      <c r="Y233" s="13">
        <v>0</v>
      </c>
      <c r="Z233" s="13">
        <f>VLOOKUP(F233,'[1]MGM Report'!$D:$K,8,FALSE)</f>
        <v>0</v>
      </c>
      <c r="AA233" s="13" t="b">
        <f t="shared" si="40"/>
        <v>1</v>
      </c>
      <c r="AB233" s="12">
        <v>0</v>
      </c>
      <c r="AC233" s="12">
        <f>VLOOKUP(F233,'[1]MGM Report'!$D:$M,10,FALSE)</f>
        <v>0</v>
      </c>
      <c r="AD233" s="12" t="b">
        <f t="shared" si="41"/>
        <v>1</v>
      </c>
      <c r="AE233" s="13">
        <v>0</v>
      </c>
      <c r="AF233" s="13">
        <f>VLOOKUP(F233,'[1]MGM Report'!$D:$N,11,FALSE)</f>
        <v>0</v>
      </c>
      <c r="AG233" s="13" t="b">
        <f t="shared" si="42"/>
        <v>1</v>
      </c>
      <c r="AH233" s="12">
        <v>0</v>
      </c>
      <c r="AI233" s="12">
        <f>VLOOKUP(F233,'[1]MGM Report'!$D:$S,12,FALSE)</f>
        <v>0</v>
      </c>
      <c r="AJ233" s="12" t="b">
        <f t="shared" si="43"/>
        <v>1</v>
      </c>
      <c r="AK233" s="13">
        <f>VLOOKUP(F233,[2]HAVASMGMReportKBCUpdatedResult!$F:$R,13,FALSE)</f>
        <v>9178650</v>
      </c>
      <c r="AL233" s="13">
        <f>VLOOKUP(F233,'[1]MGM Report'!$D:$S,14,FALSE)</f>
        <v>9178650</v>
      </c>
    </row>
    <row r="234" spans="1:38">
      <c r="A234" s="7">
        <v>45741</v>
      </c>
      <c r="B234" s="8" t="s">
        <v>27</v>
      </c>
      <c r="C234" s="8" t="s">
        <v>120</v>
      </c>
      <c r="D234" s="8" t="s">
        <v>214</v>
      </c>
      <c r="E234" s="8" t="s">
        <v>350</v>
      </c>
      <c r="F234" s="8" t="str">
        <f>_xlfn.TEXTBEFORE(E234," ")</f>
        <v>SB22124</v>
      </c>
      <c r="G234" s="9">
        <v>0</v>
      </c>
      <c r="H234" s="9">
        <f>VLOOKUP(F234,'[1]MGM Report'!$D:$E,2,FALSE)</f>
        <v>0</v>
      </c>
      <c r="I234" s="9" t="b">
        <f>G234=H234</f>
        <v>1</v>
      </c>
      <c r="J234" s="12">
        <v>0</v>
      </c>
      <c r="K234" s="12">
        <f>VLOOKUP(F234,'[1]MGM Report'!$D:$F,3,FALSE)</f>
        <v>0</v>
      </c>
      <c r="L234" s="12" t="b">
        <f t="shared" si="36"/>
        <v>1</v>
      </c>
      <c r="M234" s="13">
        <v>0</v>
      </c>
      <c r="N234" s="13">
        <f>VLOOKUP(F234,'[1]MGM Report'!$D:$G,4,FALSE)</f>
        <v>0</v>
      </c>
      <c r="O234" s="13" t="b">
        <f t="shared" si="46"/>
        <v>1</v>
      </c>
      <c r="P234" s="12">
        <v>0</v>
      </c>
      <c r="Q234" s="12">
        <f>VLOOKUP(F234,'[1]MGM Report'!$D:$M,5,FALSE)</f>
        <v>0</v>
      </c>
      <c r="R234" s="12" t="b">
        <f t="shared" si="37"/>
        <v>1</v>
      </c>
      <c r="S234" s="13">
        <v>0</v>
      </c>
      <c r="T234" s="13">
        <f>VLOOKUP(F234,'[1]MGM Report'!$D:$I,6,FALSE)</f>
        <v>0</v>
      </c>
      <c r="U234" s="13" t="b">
        <f t="shared" si="38"/>
        <v>1</v>
      </c>
      <c r="V234" s="12">
        <v>0</v>
      </c>
      <c r="W234" s="12">
        <f>VLOOKUP(F234,'[1]MGM Report'!$D:$J,7,FALSE)</f>
        <v>0</v>
      </c>
      <c r="X234" s="12" t="b">
        <f t="shared" si="39"/>
        <v>1</v>
      </c>
      <c r="Y234" s="13">
        <v>1545455</v>
      </c>
      <c r="Z234" s="13">
        <f>VLOOKUP(F234,'[1]MGM Report'!$D:$K,8,FALSE)</f>
        <v>1545455</v>
      </c>
      <c r="AA234" s="13" t="b">
        <f t="shared" si="40"/>
        <v>1</v>
      </c>
      <c r="AB234" s="12">
        <v>-1545455</v>
      </c>
      <c r="AC234" s="12">
        <f>VLOOKUP(F234,'[1]MGM Report'!$D:$M,10,FALSE)</f>
        <v>1545455</v>
      </c>
      <c r="AD234" s="12" t="b">
        <f t="shared" si="41"/>
        <v>0</v>
      </c>
      <c r="AE234" s="13">
        <v>0</v>
      </c>
      <c r="AF234" s="13">
        <f>VLOOKUP(F234,'[1]MGM Report'!$D:$N,11,FALSE)</f>
        <v>0</v>
      </c>
      <c r="AG234" s="13" t="b">
        <f t="shared" si="42"/>
        <v>1</v>
      </c>
      <c r="AH234" s="12">
        <v>0</v>
      </c>
      <c r="AI234" s="12">
        <f>VLOOKUP(F234,'[1]MGM Report'!$D:$S,12,FALSE)</f>
        <v>0</v>
      </c>
      <c r="AJ234" s="12" t="b">
        <f t="shared" si="43"/>
        <v>1</v>
      </c>
      <c r="AK234" s="13">
        <f>VLOOKUP(F234,[2]HAVASMGMReportKBCUpdatedResult!$F:$R,13,FALSE)</f>
        <v>0</v>
      </c>
      <c r="AL234" s="13">
        <f>VLOOKUP(F234,'[1]MGM Report'!$D:$S,14,FALSE)</f>
        <v>0</v>
      </c>
    </row>
    <row r="235" spans="1:38">
      <c r="A235" s="7">
        <v>45741</v>
      </c>
      <c r="B235" s="8" t="s">
        <v>38</v>
      </c>
      <c r="C235" s="8" t="s">
        <v>130</v>
      </c>
      <c r="D235" s="8" t="s">
        <v>351</v>
      </c>
      <c r="E235" s="8" t="s">
        <v>352</v>
      </c>
      <c r="F235" s="8" t="str">
        <f>_xlfn.TEXTBEFORE(E235," ")</f>
        <v>SB22115</v>
      </c>
      <c r="G235" s="9">
        <v>0</v>
      </c>
      <c r="H235" s="9">
        <f>VLOOKUP(F235,'[1]MGM Report'!$D:$E,2,FALSE)</f>
        <v>0</v>
      </c>
      <c r="I235" s="9" t="b">
        <f>G235=H235</f>
        <v>1</v>
      </c>
      <c r="J235" s="12">
        <v>0</v>
      </c>
      <c r="K235" s="12">
        <f>VLOOKUP(F235,'[1]MGM Report'!$D:$F,3,FALSE)</f>
        <v>0</v>
      </c>
      <c r="L235" s="12" t="b">
        <f t="shared" si="36"/>
        <v>1</v>
      </c>
      <c r="M235" s="13">
        <v>0</v>
      </c>
      <c r="N235" s="13">
        <f>VLOOKUP(F235,'[1]MGM Report'!$D:$G,4,FALSE)</f>
        <v>0</v>
      </c>
      <c r="O235" s="13" t="b">
        <f>M235=N235</f>
        <v>1</v>
      </c>
      <c r="P235" s="12">
        <v>0</v>
      </c>
      <c r="Q235" s="12">
        <f>VLOOKUP(F235,'[1]MGM Report'!$D:$M,5,FALSE)</f>
        <v>0</v>
      </c>
      <c r="R235" s="12" t="b">
        <f t="shared" si="37"/>
        <v>1</v>
      </c>
      <c r="S235" s="13">
        <v>0</v>
      </c>
      <c r="T235" s="13">
        <f>VLOOKUP(F235,'[1]MGM Report'!$D:$I,6,FALSE)</f>
        <v>0</v>
      </c>
      <c r="U235" s="13" t="b">
        <f t="shared" si="38"/>
        <v>1</v>
      </c>
      <c r="V235" s="12">
        <v>198000</v>
      </c>
      <c r="W235" s="12">
        <f>VLOOKUP(F235,'[1]MGM Report'!$D:$J,7,FALSE)</f>
        <v>198000</v>
      </c>
      <c r="X235" s="12" t="b">
        <f t="shared" si="39"/>
        <v>1</v>
      </c>
      <c r="Y235" s="13">
        <v>45000</v>
      </c>
      <c r="Z235" s="13">
        <f>VLOOKUP(F235,'[1]MGM Report'!$D:$K,8,FALSE)</f>
        <v>45000</v>
      </c>
      <c r="AA235" s="13" t="b">
        <f t="shared" si="40"/>
        <v>1</v>
      </c>
      <c r="AB235" s="12">
        <v>-45000</v>
      </c>
      <c r="AC235" s="12">
        <f>VLOOKUP(F235,'[1]MGM Report'!$D:$M,10,FALSE)</f>
        <v>45000</v>
      </c>
      <c r="AD235" s="12" t="b">
        <f t="shared" si="41"/>
        <v>0</v>
      </c>
      <c r="AE235" s="13">
        <v>0</v>
      </c>
      <c r="AF235" s="13">
        <f>VLOOKUP(F235,'[1]MGM Report'!$D:$N,11,FALSE)</f>
        <v>0</v>
      </c>
      <c r="AG235" s="13" t="b">
        <f t="shared" si="42"/>
        <v>1</v>
      </c>
      <c r="AH235" s="12">
        <v>0</v>
      </c>
      <c r="AI235" s="12">
        <f>VLOOKUP(F235,'[1]MGM Report'!$D:$S,12,FALSE)</f>
        <v>0</v>
      </c>
      <c r="AJ235" s="12" t="b">
        <f t="shared" si="43"/>
        <v>1</v>
      </c>
      <c r="AK235" s="13">
        <f>VLOOKUP(F235,[2]HAVASMGMReportKBCUpdatedResult!$F:$R,13,FALSE)</f>
        <v>-198000</v>
      </c>
      <c r="AL235" s="13">
        <f>VLOOKUP(F235,'[1]MGM Report'!$D:$S,14,FALSE)</f>
        <v>198000</v>
      </c>
    </row>
    <row r="236" spans="1:38">
      <c r="A236" s="7">
        <v>45741</v>
      </c>
      <c r="B236" s="8" t="s">
        <v>31</v>
      </c>
      <c r="C236" s="8" t="s">
        <v>115</v>
      </c>
      <c r="D236" s="8" t="s">
        <v>149</v>
      </c>
      <c r="E236" s="8" t="s">
        <v>353</v>
      </c>
      <c r="F236" s="8" t="str">
        <f>_xlfn.TEXTBEFORE(E236," ")</f>
        <v>SB22083</v>
      </c>
      <c r="G236" s="9">
        <v>0</v>
      </c>
      <c r="H236" s="9">
        <f>VLOOKUP(F236,'[1]MGM Report'!$D:$E,2,FALSE)</f>
        <v>0</v>
      </c>
      <c r="I236" s="9" t="b">
        <f>G236=H236</f>
        <v>1</v>
      </c>
      <c r="J236" s="12">
        <v>0</v>
      </c>
      <c r="K236" s="12">
        <f>VLOOKUP(F236,'[1]MGM Report'!$D:$F,3,FALSE)</f>
        <v>0</v>
      </c>
      <c r="L236" s="12" t="b">
        <f t="shared" si="36"/>
        <v>1</v>
      </c>
      <c r="M236" s="13">
        <v>0</v>
      </c>
      <c r="N236" s="13">
        <f>VLOOKUP(F236,'[1]MGM Report'!$D:$G,4,FALSE)</f>
        <v>0</v>
      </c>
      <c r="O236" s="13" t="b">
        <f>M236=N236</f>
        <v>1</v>
      </c>
      <c r="P236" s="12">
        <v>0</v>
      </c>
      <c r="Q236" s="12">
        <f>VLOOKUP(F236,'[1]MGM Report'!$D:$M,5,FALSE)</f>
        <v>0</v>
      </c>
      <c r="R236" s="12" t="b">
        <f t="shared" si="37"/>
        <v>1</v>
      </c>
      <c r="S236" s="13">
        <v>0</v>
      </c>
      <c r="T236" s="13">
        <f>VLOOKUP(F236,'[1]MGM Report'!$D:$I,6,FALSE)</f>
        <v>0</v>
      </c>
      <c r="U236" s="13" t="b">
        <f t="shared" si="38"/>
        <v>1</v>
      </c>
      <c r="V236" s="12">
        <v>0</v>
      </c>
      <c r="W236" s="12">
        <f>VLOOKUP(F236,'[1]MGM Report'!$D:$J,7,FALSE)</f>
        <v>0</v>
      </c>
      <c r="X236" s="12" t="b">
        <f t="shared" si="39"/>
        <v>1</v>
      </c>
      <c r="Y236" s="13">
        <v>70000</v>
      </c>
      <c r="Z236" s="13">
        <f>VLOOKUP(F236,'[1]MGM Report'!$D:$K,8,FALSE)</f>
        <v>70000</v>
      </c>
      <c r="AA236" s="13" t="b">
        <f t="shared" si="40"/>
        <v>1</v>
      </c>
      <c r="AB236" s="12">
        <v>-70000</v>
      </c>
      <c r="AC236" s="12">
        <f>VLOOKUP(F236,'[1]MGM Report'!$D:$M,10,FALSE)</f>
        <v>70000</v>
      </c>
      <c r="AD236" s="12" t="b">
        <f t="shared" si="41"/>
        <v>0</v>
      </c>
      <c r="AE236" s="13">
        <v>0</v>
      </c>
      <c r="AF236" s="13">
        <f>VLOOKUP(F236,'[1]MGM Report'!$D:$N,11,FALSE)</f>
        <v>0</v>
      </c>
      <c r="AG236" s="13" t="b">
        <f t="shared" si="42"/>
        <v>1</v>
      </c>
      <c r="AH236" s="12">
        <v>0</v>
      </c>
      <c r="AI236" s="12">
        <f>VLOOKUP(F236,'[1]MGM Report'!$D:$S,12,FALSE)</f>
        <v>0</v>
      </c>
      <c r="AJ236" s="12" t="b">
        <f t="shared" si="43"/>
        <v>1</v>
      </c>
      <c r="AK236" s="13">
        <f>VLOOKUP(F236,[2]HAVASMGMReportKBCUpdatedResult!$F:$R,13,FALSE)</f>
        <v>0</v>
      </c>
      <c r="AL236" s="13">
        <f>VLOOKUP(F236,'[1]MGM Report'!$D:$S,14,FALSE)</f>
        <v>0</v>
      </c>
    </row>
    <row r="237" spans="1:38">
      <c r="A237" s="7">
        <v>45741</v>
      </c>
      <c r="B237" s="8" t="s">
        <v>31</v>
      </c>
      <c r="C237" s="8" t="s">
        <v>115</v>
      </c>
      <c r="D237" s="8" t="s">
        <v>248</v>
      </c>
      <c r="E237" s="8" t="s">
        <v>354</v>
      </c>
      <c r="F237" s="8" t="str">
        <f>_xlfn.TEXTBEFORE(E237," ")</f>
        <v>SB21947</v>
      </c>
      <c r="G237" s="9">
        <v>0</v>
      </c>
      <c r="H237" s="9">
        <f>VLOOKUP(F237,'[1]MGM Report'!$D:$E,2,FALSE)</f>
        <v>0</v>
      </c>
      <c r="I237" s="9" t="b">
        <f>G237=H237</f>
        <v>1</v>
      </c>
      <c r="J237" s="12">
        <v>0</v>
      </c>
      <c r="K237" s="12">
        <f>VLOOKUP(F237,'[1]MGM Report'!$D:$F,3,FALSE)</f>
        <v>0</v>
      </c>
      <c r="L237" s="12" t="b">
        <f t="shared" si="36"/>
        <v>1</v>
      </c>
      <c r="M237" s="13">
        <v>0</v>
      </c>
      <c r="N237" s="13">
        <f>VLOOKUP(F237,'[1]MGM Report'!$D:$G,4,FALSE)</f>
        <v>0</v>
      </c>
      <c r="O237" s="13" t="b">
        <f>M237=N237</f>
        <v>1</v>
      </c>
      <c r="P237" s="12">
        <v>0</v>
      </c>
      <c r="Q237" s="12">
        <f>VLOOKUP(F237,'[1]MGM Report'!$D:$M,5,FALSE)</f>
        <v>0</v>
      </c>
      <c r="R237" s="12" t="b">
        <f t="shared" si="37"/>
        <v>1</v>
      </c>
      <c r="S237" s="13">
        <v>0</v>
      </c>
      <c r="T237" s="13">
        <f>VLOOKUP(F237,'[1]MGM Report'!$D:$I,6,FALSE)</f>
        <v>0</v>
      </c>
      <c r="U237" s="13" t="b">
        <f t="shared" si="38"/>
        <v>1</v>
      </c>
      <c r="V237" s="12">
        <v>0</v>
      </c>
      <c r="W237" s="12">
        <f>VLOOKUP(F237,'[1]MGM Report'!$D:$J,7,FALSE)</f>
        <v>0</v>
      </c>
      <c r="X237" s="12" t="b">
        <f t="shared" si="39"/>
        <v>1</v>
      </c>
      <c r="Y237" s="13">
        <v>0</v>
      </c>
      <c r="Z237" s="13">
        <f>VLOOKUP(F237,'[1]MGM Report'!$D:$K,8,FALSE)</f>
        <v>0</v>
      </c>
      <c r="AA237" s="13" t="b">
        <f t="shared" si="40"/>
        <v>1</v>
      </c>
      <c r="AB237" s="12">
        <v>-4350</v>
      </c>
      <c r="AC237" s="12">
        <f>VLOOKUP(F237,'[1]MGM Report'!$D:$M,10,FALSE)</f>
        <v>4350</v>
      </c>
      <c r="AD237" s="12" t="b">
        <f t="shared" si="41"/>
        <v>0</v>
      </c>
      <c r="AE237" s="13">
        <v>0</v>
      </c>
      <c r="AF237" s="13">
        <f>VLOOKUP(F237,'[1]MGM Report'!$D:$N,11,FALSE)</f>
        <v>0</v>
      </c>
      <c r="AG237" s="13" t="b">
        <f t="shared" si="42"/>
        <v>1</v>
      </c>
      <c r="AH237" s="12">
        <v>-4350</v>
      </c>
      <c r="AI237" s="12">
        <f>VLOOKUP(F237,'[1]MGM Report'!$D:$S,12,FALSE)</f>
        <v>4350</v>
      </c>
      <c r="AJ237" s="12" t="b">
        <f t="shared" si="43"/>
        <v>0</v>
      </c>
      <c r="AK237" s="13">
        <f>VLOOKUP(F237,[2]HAVASMGMReportKBCUpdatedResult!$F:$R,13,FALSE)</f>
        <v>0</v>
      </c>
      <c r="AL237" s="13">
        <f>VLOOKUP(F237,'[1]MGM Report'!$D:$S,14,FALSE)</f>
        <v>0</v>
      </c>
    </row>
    <row r="238" spans="1:38">
      <c r="A238" s="7">
        <v>45741</v>
      </c>
      <c r="B238" s="8" t="s">
        <v>27</v>
      </c>
      <c r="C238" s="8" t="s">
        <v>120</v>
      </c>
      <c r="D238" s="8" t="s">
        <v>234</v>
      </c>
      <c r="E238" s="8" t="s">
        <v>355</v>
      </c>
      <c r="F238" s="8" t="str">
        <f>_xlfn.TEXTBEFORE(E238," ")</f>
        <v>SB21859</v>
      </c>
      <c r="G238" s="9">
        <v>0</v>
      </c>
      <c r="H238" s="9">
        <f>VLOOKUP(F238,'[1]MGM Report'!$D:$E,2,FALSE)</f>
        <v>0</v>
      </c>
      <c r="I238" s="9" t="b">
        <f>G238=H238</f>
        <v>1</v>
      </c>
      <c r="J238" s="12">
        <v>0</v>
      </c>
      <c r="K238" s="12">
        <f>VLOOKUP(F238,'[1]MGM Report'!$D:$F,3,FALSE)</f>
        <v>0</v>
      </c>
      <c r="L238" s="12" t="b">
        <f t="shared" si="36"/>
        <v>1</v>
      </c>
      <c r="M238" s="13">
        <v>0</v>
      </c>
      <c r="N238" s="13">
        <f>VLOOKUP(F238,'[1]MGM Report'!$D:$G,4,FALSE)</f>
        <v>0</v>
      </c>
      <c r="O238" s="13" t="b">
        <f>M238=N238</f>
        <v>1</v>
      </c>
      <c r="P238" s="12">
        <v>0</v>
      </c>
      <c r="Q238" s="12">
        <f>VLOOKUP(F238,'[1]MGM Report'!$D:$M,5,FALSE)</f>
        <v>0</v>
      </c>
      <c r="R238" s="12" t="b">
        <f t="shared" si="37"/>
        <v>1</v>
      </c>
      <c r="S238" s="13">
        <v>0</v>
      </c>
      <c r="T238" s="13">
        <f>VLOOKUP(F238,'[1]MGM Report'!$D:$I,6,FALSE)</f>
        <v>0</v>
      </c>
      <c r="U238" s="13" t="b">
        <f t="shared" si="38"/>
        <v>1</v>
      </c>
      <c r="V238" s="12">
        <v>0</v>
      </c>
      <c r="W238" s="12">
        <f>VLOOKUP(F238,'[1]MGM Report'!$D:$J,7,FALSE)</f>
        <v>0</v>
      </c>
      <c r="X238" s="12" t="b">
        <f t="shared" si="39"/>
        <v>1</v>
      </c>
      <c r="Y238" s="13">
        <v>0</v>
      </c>
      <c r="Z238" s="13">
        <f>VLOOKUP(F238,'[1]MGM Report'!$D:$K,8,FALSE)</f>
        <v>0</v>
      </c>
      <c r="AA238" s="13" t="b">
        <f t="shared" si="40"/>
        <v>1</v>
      </c>
      <c r="AB238" s="12">
        <v>-15793.06</v>
      </c>
      <c r="AC238" s="12">
        <f>VLOOKUP(F238,'[1]MGM Report'!$D:$M,10,FALSE)</f>
        <v>15793.06</v>
      </c>
      <c r="AD238" s="12" t="b">
        <f t="shared" si="41"/>
        <v>0</v>
      </c>
      <c r="AE238" s="13">
        <v>0</v>
      </c>
      <c r="AF238" s="13">
        <f>VLOOKUP(F238,'[1]MGM Report'!$D:$N,11,FALSE)</f>
        <v>0</v>
      </c>
      <c r="AG238" s="13" t="b">
        <f t="shared" si="42"/>
        <v>1</v>
      </c>
      <c r="AH238" s="12">
        <v>-15793.06</v>
      </c>
      <c r="AI238" s="12">
        <f>VLOOKUP(F238,'[1]MGM Report'!$D:$S,12,FALSE)</f>
        <v>15793.06</v>
      </c>
      <c r="AJ238" s="12" t="b">
        <f t="shared" si="43"/>
        <v>0</v>
      </c>
      <c r="AK238" s="13">
        <f>VLOOKUP(F238,[2]HAVASMGMReportKBCUpdatedResult!$F:$R,13,FALSE)</f>
        <v>0</v>
      </c>
      <c r="AL238" s="13">
        <f>VLOOKUP(F238,'[1]MGM Report'!$D:$S,14,FALSE)</f>
        <v>0</v>
      </c>
    </row>
    <row r="239" spans="1:38">
      <c r="A239" s="14"/>
      <c r="B239" s="14"/>
      <c r="C239" s="14"/>
      <c r="D239" s="14"/>
      <c r="E239" s="14"/>
      <c r="F239" s="14"/>
      <c r="G239" s="15"/>
      <c r="H239" s="15"/>
      <c r="I239" s="15"/>
      <c r="J239" s="16"/>
      <c r="K239" s="16"/>
      <c r="L239" s="16"/>
      <c r="M239" s="17"/>
      <c r="N239" s="18"/>
      <c r="O239" s="18"/>
      <c r="P239" s="16"/>
      <c r="Q239" s="16"/>
      <c r="R239" s="16"/>
      <c r="S239" s="18"/>
      <c r="T239" s="18"/>
      <c r="U239" s="18"/>
      <c r="V239" s="16"/>
      <c r="W239" s="16"/>
      <c r="X239" s="16"/>
      <c r="Y239" s="18"/>
      <c r="Z239" s="18"/>
      <c r="AA239" s="18"/>
      <c r="AB239" s="16"/>
      <c r="AC239" s="16"/>
      <c r="AD239" s="16"/>
      <c r="AE239" s="18"/>
      <c r="AF239" s="18"/>
      <c r="AG239" s="18"/>
      <c r="AH239" s="16"/>
      <c r="AI239" s="16"/>
      <c r="AJ239" s="16"/>
      <c r="AK239" s="18"/>
      <c r="AL239" s="18"/>
    </row>
  </sheetData>
  <autoFilter xmlns:etc="http://www.wps.cn/officeDocument/2017/etCustomData" ref="A1:AN23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M238"/>
  <sheetViews>
    <sheetView workbookViewId="0">
      <selection activeCell="A1" sqref="$A1:$XFD1048576"/>
    </sheetView>
  </sheetViews>
  <sheetFormatPr defaultColWidth="8.88888888888889" defaultRowHeight="10"/>
  <cols>
    <col min="1" max="1" width="20" customWidth="1"/>
    <col min="2" max="2" width="13.4444444444444" customWidth="1"/>
    <col min="3" max="3" width="27.1111111111111" customWidth="1"/>
    <col min="4" max="4" width="66.6666666666667" customWidth="1"/>
    <col min="5" max="5" width="70.3333333333333" customWidth="1"/>
    <col min="6" max="6" width="9.33333333333333" customWidth="1"/>
    <col min="7" max="7" width="12.1111111111111" customWidth="1"/>
    <col min="8" max="8" width="13.6666666666667" customWidth="1"/>
    <col min="9" max="9" width="18.4444444444444" customWidth="1"/>
    <col min="10" max="10" width="12.1111111111111" customWidth="1"/>
    <col min="11" max="11" width="13.5555555555556" customWidth="1"/>
    <col min="12" max="12" width="16.2222222222222" customWidth="1"/>
    <col min="13" max="13" width="14.3333333333333" customWidth="1"/>
    <col min="14" max="14" width="13.2222222222222" customWidth="1"/>
    <col min="15" max="15" width="17.5555555555556" customWidth="1"/>
    <col min="16" max="16" width="12.1111111111111" customWidth="1"/>
    <col min="17" max="17" width="10.8888888888889" customWidth="1"/>
    <col min="18" max="18" width="15.3333333333333" customWidth="1"/>
    <col min="19" max="19" width="12.1111111111111" customWidth="1"/>
    <col min="20" max="20" width="13.7777777777778" customWidth="1"/>
    <col min="21" max="21" width="17.5555555555556" customWidth="1"/>
    <col min="22" max="22" width="12.1111111111111" customWidth="1"/>
    <col min="23" max="23" width="13.6666666666667" customWidth="1"/>
    <col min="24" max="24" width="17.1111111111111" customWidth="1"/>
    <col min="25" max="25" width="13.2222222222222" customWidth="1"/>
    <col min="26" max="26" width="13.5555555555556" customWidth="1"/>
    <col min="27" max="27" width="17.8888888888889" customWidth="1"/>
    <col min="28" max="29" width="13.2222222222222" customWidth="1"/>
    <col min="30" max="30" width="16.7777777777778" customWidth="1"/>
    <col min="31" max="31" width="10.2222222222222" customWidth="1"/>
    <col min="32" max="32" width="8.88888888888889" customWidth="1"/>
    <col min="33" max="33" width="12.7777777777778" customWidth="1"/>
    <col min="34" max="34" width="13.2222222222222" customWidth="1"/>
    <col min="35" max="35" width="17.5555555555556" customWidth="1"/>
    <col min="36" max="36" width="16.4444444444444" customWidth="1"/>
    <col min="37" max="37" width="14.5555555555556" customWidth="1"/>
    <col min="38" max="38" width="13.2222222222222" customWidth="1"/>
    <col min="39" max="39" width="18.8888888888889" customWidth="1"/>
  </cols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  <c r="J1" t="s">
        <v>9</v>
      </c>
      <c r="K1" t="s">
        <v>10</v>
      </c>
      <c r="L1"/>
      <c r="M1" t="s">
        <v>11</v>
      </c>
      <c r="N1" t="s">
        <v>12</v>
      </c>
      <c r="P1" t="s">
        <v>13</v>
      </c>
      <c r="Q1" t="s">
        <v>14</v>
      </c>
      <c r="S1" t="s">
        <v>15</v>
      </c>
      <c r="T1" t="s">
        <v>16</v>
      </c>
      <c r="V1" t="s">
        <v>17</v>
      </c>
      <c r="W1" t="s">
        <v>18</v>
      </c>
      <c r="Y1" t="s">
        <v>19</v>
      </c>
      <c r="Z1" t="s">
        <v>20</v>
      </c>
      <c r="AB1" t="s">
        <v>21</v>
      </c>
      <c r="AC1" t="s">
        <v>12</v>
      </c>
      <c r="AE1" t="s">
        <v>22</v>
      </c>
      <c r="AF1" t="s">
        <v>23</v>
      </c>
      <c r="AH1" t="s">
        <v>24</v>
      </c>
      <c r="AI1" t="s">
        <v>25</v>
      </c>
      <c r="AK1" t="s">
        <v>26</v>
      </c>
    </row>
    <row r="2" spans="1:39">
      <c r="A2">
        <v>45780</v>
      </c>
      <c r="B2" t="s">
        <v>27</v>
      </c>
      <c r="C2" t="s">
        <v>356</v>
      </c>
      <c r="D2" t="s">
        <v>29</v>
      </c>
      <c r="E2" t="s">
        <v>357</v>
      </c>
      <c r="F2" t="s">
        <v>358</v>
      </c>
      <c r="G2">
        <v>198375</v>
      </c>
      <c r="H2">
        <v>198375</v>
      </c>
      <c r="I2" t="b">
        <f>G2=H2</f>
        <v>1</v>
      </c>
      <c r="J2">
        <v>198375</v>
      </c>
      <c r="K2">
        <v>198375</v>
      </c>
      <c r="L2" t="b">
        <f>J2=K2</f>
        <v>1</v>
      </c>
      <c r="M2">
        <v>0</v>
      </c>
      <c r="N2">
        <v>0</v>
      </c>
      <c r="O2" t="b">
        <f>N2=M2</f>
        <v>1</v>
      </c>
      <c r="P2">
        <v>0</v>
      </c>
      <c r="Q2">
        <v>0</v>
      </c>
      <c r="R2" t="b">
        <f>P2=Q2</f>
        <v>1</v>
      </c>
      <c r="S2">
        <v>198375</v>
      </c>
      <c r="T2">
        <v>198375</v>
      </c>
      <c r="U2" t="b">
        <f>S2=T2</f>
        <v>1</v>
      </c>
      <c r="V2">
        <v>141550</v>
      </c>
      <c r="W2">
        <v>141550</v>
      </c>
      <c r="X2" t="b">
        <f>V2=W2</f>
        <v>1</v>
      </c>
      <c r="Y2">
        <v>141550</v>
      </c>
      <c r="Z2">
        <v>141550</v>
      </c>
      <c r="AA2" t="b">
        <f>Y2=Z2</f>
        <v>1</v>
      </c>
      <c r="AB2">
        <v>13450</v>
      </c>
      <c r="AC2">
        <v>13450</v>
      </c>
      <c r="AD2" t="b">
        <f>AB2=AC2</f>
        <v>1</v>
      </c>
      <c r="AE2">
        <v>0</v>
      </c>
      <c r="AF2">
        <v>0</v>
      </c>
      <c r="AG2" t="b">
        <f>AE2=AF2</f>
        <v>1</v>
      </c>
      <c r="AH2">
        <v>155000</v>
      </c>
      <c r="AI2">
        <v>155000</v>
      </c>
      <c r="AJ2" t="b">
        <f>AH2=AI2</f>
        <v>1</v>
      </c>
      <c r="AK2">
        <v>56825</v>
      </c>
      <c r="AL2">
        <v>56825</v>
      </c>
      <c r="AM2" t="b">
        <f>AK2=AL2</f>
        <v>1</v>
      </c>
    </row>
    <row r="3" hidden="1" spans="1:39">
      <c r="A3">
        <v>45780</v>
      </c>
      <c r="B3" t="s">
        <v>31</v>
      </c>
      <c r="C3" t="s">
        <v>356</v>
      </c>
      <c r="D3" t="s">
        <v>32</v>
      </c>
      <c r="E3" t="s">
        <v>33</v>
      </c>
      <c r="F3" t="s">
        <v>359</v>
      </c>
      <c r="G3">
        <v>381205</v>
      </c>
      <c r="H3">
        <v>381205</v>
      </c>
      <c r="I3" t="b">
        <f t="shared" ref="I3:I18" si="0">G3=H3</f>
        <v>1</v>
      </c>
      <c r="J3">
        <v>381205</v>
      </c>
      <c r="K3">
        <v>381205</v>
      </c>
      <c r="L3" t="b">
        <f t="shared" ref="L3:L66" si="1">J3=K3</f>
        <v>1</v>
      </c>
      <c r="M3">
        <v>0</v>
      </c>
      <c r="N3">
        <v>0</v>
      </c>
      <c r="O3" t="b">
        <f t="shared" ref="O3:O66" si="2">N3=M3</f>
        <v>1</v>
      </c>
      <c r="P3">
        <v>0</v>
      </c>
      <c r="Q3">
        <v>0</v>
      </c>
      <c r="R3" t="b">
        <f t="shared" ref="R3:R66" si="3">P3=Q3</f>
        <v>1</v>
      </c>
      <c r="S3">
        <v>381205</v>
      </c>
      <c r="T3">
        <v>381205</v>
      </c>
      <c r="U3" t="b">
        <f t="shared" ref="U3:U23" si="4">S3=T3</f>
        <v>1</v>
      </c>
      <c r="V3">
        <v>218856</v>
      </c>
      <c r="W3">
        <v>221945</v>
      </c>
      <c r="X3" t="b">
        <f t="shared" ref="X3:X66" si="5">V3=W3</f>
        <v>0</v>
      </c>
      <c r="Y3">
        <v>205945</v>
      </c>
      <c r="Z3">
        <v>205945</v>
      </c>
      <c r="AA3" t="b">
        <f t="shared" ref="AA3:AA66" si="6">Y3=Z3</f>
        <v>1</v>
      </c>
      <c r="AB3">
        <v>16000</v>
      </c>
      <c r="AC3">
        <v>16000</v>
      </c>
      <c r="AD3" t="b">
        <f t="shared" ref="AD3:AD66" si="7">AB3=AC3</f>
        <v>1</v>
      </c>
      <c r="AE3">
        <v>0</v>
      </c>
      <c r="AF3">
        <v>0</v>
      </c>
      <c r="AG3" t="b">
        <f t="shared" ref="AG3:AG66" si="8">AE3=AF3</f>
        <v>1</v>
      </c>
      <c r="AH3">
        <v>221945</v>
      </c>
      <c r="AI3">
        <v>221945</v>
      </c>
      <c r="AJ3" t="b">
        <f t="shared" ref="AJ3:AJ66" si="9">AH3=AI3</f>
        <v>1</v>
      </c>
      <c r="AK3">
        <v>162349</v>
      </c>
      <c r="AL3">
        <v>159260</v>
      </c>
      <c r="AM3" t="b">
        <f t="shared" ref="AM3:AM66" si="10">AK3=AL3</f>
        <v>0</v>
      </c>
    </row>
    <row r="4" spans="1:39">
      <c r="A4">
        <v>45780</v>
      </c>
      <c r="B4" t="s">
        <v>31</v>
      </c>
      <c r="C4" t="s">
        <v>356</v>
      </c>
      <c r="D4" t="s">
        <v>360</v>
      </c>
      <c r="E4" t="s">
        <v>35</v>
      </c>
      <c r="F4" t="s">
        <v>361</v>
      </c>
      <c r="G4">
        <v>0</v>
      </c>
      <c r="H4">
        <v>0</v>
      </c>
      <c r="I4" t="b">
        <f t="shared" si="0"/>
        <v>1</v>
      </c>
      <c r="J4">
        <v>0</v>
      </c>
      <c r="K4">
        <v>0</v>
      </c>
      <c r="L4" t="b">
        <f t="shared" si="1"/>
        <v>1</v>
      </c>
      <c r="M4">
        <v>97440</v>
      </c>
      <c r="N4">
        <v>97440</v>
      </c>
      <c r="O4" t="b">
        <f t="shared" si="2"/>
        <v>1</v>
      </c>
      <c r="P4">
        <v>0</v>
      </c>
      <c r="Q4">
        <v>0</v>
      </c>
      <c r="R4" t="b">
        <f t="shared" si="3"/>
        <v>1</v>
      </c>
      <c r="S4">
        <v>97440</v>
      </c>
      <c r="T4">
        <v>97440</v>
      </c>
      <c r="U4" t="b">
        <f t="shared" si="4"/>
        <v>1</v>
      </c>
      <c r="V4">
        <v>0</v>
      </c>
      <c r="W4">
        <v>0</v>
      </c>
      <c r="X4" t="b">
        <f t="shared" si="5"/>
        <v>1</v>
      </c>
      <c r="Y4">
        <v>0</v>
      </c>
      <c r="Z4">
        <v>0</v>
      </c>
      <c r="AA4" t="b">
        <f t="shared" si="6"/>
        <v>1</v>
      </c>
      <c r="AB4">
        <v>65000</v>
      </c>
      <c r="AC4">
        <v>65000</v>
      </c>
      <c r="AD4" t="b">
        <f t="shared" si="7"/>
        <v>1</v>
      </c>
      <c r="AE4">
        <v>0</v>
      </c>
      <c r="AF4">
        <v>0</v>
      </c>
      <c r="AG4" t="b">
        <f t="shared" si="8"/>
        <v>1</v>
      </c>
      <c r="AH4">
        <v>65000</v>
      </c>
      <c r="AI4">
        <v>65000</v>
      </c>
      <c r="AJ4" t="b">
        <f t="shared" si="9"/>
        <v>1</v>
      </c>
      <c r="AK4">
        <v>0</v>
      </c>
      <c r="AL4">
        <v>0</v>
      </c>
      <c r="AM4" t="b">
        <f t="shared" si="10"/>
        <v>1</v>
      </c>
    </row>
    <row r="5" hidden="1" spans="1:39">
      <c r="A5">
        <v>45780</v>
      </c>
      <c r="B5" t="s">
        <v>27</v>
      </c>
      <c r="C5" t="s">
        <v>356</v>
      </c>
      <c r="D5" t="s">
        <v>362</v>
      </c>
      <c r="E5" t="s">
        <v>37</v>
      </c>
      <c r="F5" t="s">
        <v>363</v>
      </c>
      <c r="G5">
        <v>0</v>
      </c>
      <c r="H5">
        <v>0</v>
      </c>
      <c r="I5" t="b">
        <f t="shared" si="0"/>
        <v>1</v>
      </c>
      <c r="J5">
        <v>0</v>
      </c>
      <c r="K5">
        <v>0</v>
      </c>
      <c r="L5" t="b">
        <f t="shared" si="1"/>
        <v>1</v>
      </c>
      <c r="M5">
        <v>0</v>
      </c>
      <c r="N5">
        <v>0</v>
      </c>
      <c r="O5" t="b">
        <f t="shared" si="2"/>
        <v>1</v>
      </c>
      <c r="P5">
        <v>0</v>
      </c>
      <c r="Q5">
        <v>0</v>
      </c>
      <c r="R5" t="b">
        <f t="shared" si="3"/>
        <v>1</v>
      </c>
      <c r="S5">
        <v>0</v>
      </c>
      <c r="T5">
        <v>0</v>
      </c>
      <c r="U5" t="b">
        <f t="shared" si="4"/>
        <v>1</v>
      </c>
      <c r="V5">
        <v>0</v>
      </c>
      <c r="W5">
        <v>0</v>
      </c>
      <c r="X5" t="b">
        <f t="shared" si="5"/>
        <v>1</v>
      </c>
      <c r="Y5">
        <v>8869</v>
      </c>
      <c r="Z5">
        <v>19848.91</v>
      </c>
      <c r="AA5" t="b">
        <f t="shared" si="6"/>
        <v>0</v>
      </c>
      <c r="AB5">
        <v>19848.91</v>
      </c>
      <c r="AC5">
        <v>19848.91</v>
      </c>
      <c r="AD5" t="b">
        <f t="shared" si="7"/>
        <v>1</v>
      </c>
      <c r="AE5">
        <v>0</v>
      </c>
      <c r="AF5">
        <v>0</v>
      </c>
      <c r="AG5" t="b">
        <f t="shared" si="8"/>
        <v>1</v>
      </c>
      <c r="AH5">
        <v>10979.91</v>
      </c>
      <c r="AI5">
        <v>0</v>
      </c>
      <c r="AJ5" t="b">
        <f t="shared" si="9"/>
        <v>0</v>
      </c>
      <c r="AK5">
        <v>0</v>
      </c>
      <c r="AL5">
        <v>0</v>
      </c>
      <c r="AM5" t="b">
        <f t="shared" si="10"/>
        <v>1</v>
      </c>
    </row>
    <row r="6" hidden="1" spans="1:39">
      <c r="A6">
        <v>45780</v>
      </c>
      <c r="B6" t="s">
        <v>38</v>
      </c>
      <c r="C6" t="s">
        <v>356</v>
      </c>
      <c r="D6" t="s">
        <v>39</v>
      </c>
      <c r="E6" t="s">
        <v>40</v>
      </c>
      <c r="F6" t="s">
        <v>364</v>
      </c>
      <c r="G6">
        <v>1947000</v>
      </c>
      <c r="H6">
        <v>1947000</v>
      </c>
      <c r="I6" t="b">
        <f t="shared" si="0"/>
        <v>1</v>
      </c>
      <c r="J6">
        <v>0</v>
      </c>
      <c r="K6">
        <v>0</v>
      </c>
      <c r="L6" t="b">
        <f t="shared" si="1"/>
        <v>1</v>
      </c>
      <c r="M6">
        <v>0</v>
      </c>
      <c r="N6">
        <v>0</v>
      </c>
      <c r="O6" t="b">
        <f t="shared" si="2"/>
        <v>1</v>
      </c>
      <c r="P6">
        <v>0</v>
      </c>
      <c r="Q6">
        <v>0</v>
      </c>
      <c r="R6" t="b">
        <f t="shared" si="3"/>
        <v>1</v>
      </c>
      <c r="S6">
        <v>0</v>
      </c>
      <c r="T6">
        <v>0</v>
      </c>
      <c r="U6" t="b">
        <f t="shared" si="4"/>
        <v>1</v>
      </c>
      <c r="V6">
        <v>603426</v>
      </c>
      <c r="W6">
        <v>0</v>
      </c>
      <c r="X6" t="b">
        <f t="shared" si="5"/>
        <v>0</v>
      </c>
      <c r="Y6">
        <v>0</v>
      </c>
      <c r="Z6">
        <v>0</v>
      </c>
      <c r="AA6" t="b">
        <f t="shared" si="6"/>
        <v>1</v>
      </c>
      <c r="AB6">
        <v>0</v>
      </c>
      <c r="AC6">
        <v>0</v>
      </c>
      <c r="AD6" t="b">
        <f t="shared" si="7"/>
        <v>1</v>
      </c>
      <c r="AE6">
        <v>0</v>
      </c>
      <c r="AF6">
        <v>0</v>
      </c>
      <c r="AG6" t="b">
        <f t="shared" si="8"/>
        <v>1</v>
      </c>
      <c r="AH6">
        <v>0</v>
      </c>
      <c r="AI6">
        <v>0</v>
      </c>
      <c r="AJ6" t="b">
        <f t="shared" si="9"/>
        <v>1</v>
      </c>
      <c r="AK6">
        <v>1343574</v>
      </c>
      <c r="AL6">
        <v>1947000</v>
      </c>
      <c r="AM6" t="b">
        <f t="shared" si="10"/>
        <v>0</v>
      </c>
    </row>
    <row r="7" hidden="1" spans="1:39">
      <c r="A7">
        <v>45780</v>
      </c>
      <c r="B7" t="s">
        <v>38</v>
      </c>
      <c r="C7" t="s">
        <v>356</v>
      </c>
      <c r="D7" t="s">
        <v>41</v>
      </c>
      <c r="E7" t="s">
        <v>42</v>
      </c>
      <c r="F7" t="s">
        <v>365</v>
      </c>
      <c r="G7">
        <v>4000000</v>
      </c>
      <c r="H7">
        <v>12525656</v>
      </c>
      <c r="I7" t="b">
        <f t="shared" si="0"/>
        <v>0</v>
      </c>
      <c r="J7">
        <v>0</v>
      </c>
      <c r="K7">
        <v>0</v>
      </c>
      <c r="L7" t="b">
        <f t="shared" si="1"/>
        <v>1</v>
      </c>
      <c r="M7">
        <v>0</v>
      </c>
      <c r="N7">
        <v>0</v>
      </c>
      <c r="O7" t="b">
        <f t="shared" si="2"/>
        <v>1</v>
      </c>
      <c r="P7">
        <v>0</v>
      </c>
      <c r="Q7">
        <v>0</v>
      </c>
      <c r="R7" t="b">
        <f t="shared" si="3"/>
        <v>1</v>
      </c>
      <c r="S7">
        <v>0</v>
      </c>
      <c r="T7">
        <v>0</v>
      </c>
      <c r="U7" t="b">
        <f t="shared" si="4"/>
        <v>1</v>
      </c>
      <c r="V7">
        <v>0</v>
      </c>
      <c r="W7">
        <v>0</v>
      </c>
      <c r="X7" t="b">
        <f t="shared" si="5"/>
        <v>1</v>
      </c>
      <c r="Y7">
        <v>0</v>
      </c>
      <c r="Z7">
        <v>0</v>
      </c>
      <c r="AA7" t="b">
        <f t="shared" si="6"/>
        <v>1</v>
      </c>
      <c r="AB7">
        <v>0</v>
      </c>
      <c r="AC7">
        <v>0</v>
      </c>
      <c r="AD7" t="b">
        <f t="shared" si="7"/>
        <v>1</v>
      </c>
      <c r="AE7">
        <v>0</v>
      </c>
      <c r="AF7">
        <v>0</v>
      </c>
      <c r="AG7" t="b">
        <f t="shared" si="8"/>
        <v>1</v>
      </c>
      <c r="AH7">
        <v>0</v>
      </c>
      <c r="AI7">
        <v>0</v>
      </c>
      <c r="AJ7" t="b">
        <f t="shared" si="9"/>
        <v>1</v>
      </c>
      <c r="AK7">
        <v>4000000</v>
      </c>
      <c r="AL7">
        <v>12525656</v>
      </c>
      <c r="AM7" t="b">
        <f t="shared" si="10"/>
        <v>0</v>
      </c>
    </row>
    <row r="8" hidden="1" spans="1:39">
      <c r="A8">
        <v>45780</v>
      </c>
      <c r="B8" t="s">
        <v>38</v>
      </c>
      <c r="C8" t="s">
        <v>356</v>
      </c>
      <c r="D8" t="s">
        <v>43</v>
      </c>
      <c r="E8" t="s">
        <v>44</v>
      </c>
      <c r="F8" t="s">
        <v>366</v>
      </c>
      <c r="G8">
        <v>0</v>
      </c>
      <c r="H8">
        <v>3031200</v>
      </c>
      <c r="I8" t="b">
        <f t="shared" si="0"/>
        <v>0</v>
      </c>
      <c r="J8">
        <v>0</v>
      </c>
      <c r="K8">
        <v>0</v>
      </c>
      <c r="L8" t="b">
        <f t="shared" si="1"/>
        <v>1</v>
      </c>
      <c r="M8">
        <v>0</v>
      </c>
      <c r="N8">
        <v>0</v>
      </c>
      <c r="O8" t="b">
        <f t="shared" si="2"/>
        <v>1</v>
      </c>
      <c r="P8">
        <v>0</v>
      </c>
      <c r="Q8">
        <v>0</v>
      </c>
      <c r="R8" t="b">
        <f t="shared" si="3"/>
        <v>1</v>
      </c>
      <c r="S8">
        <v>0</v>
      </c>
      <c r="T8">
        <v>0</v>
      </c>
      <c r="U8" t="b">
        <f t="shared" si="4"/>
        <v>1</v>
      </c>
      <c r="V8">
        <v>1166400</v>
      </c>
      <c r="W8">
        <v>1166400</v>
      </c>
      <c r="X8" t="b">
        <f t="shared" si="5"/>
        <v>1</v>
      </c>
      <c r="Y8">
        <v>0</v>
      </c>
      <c r="Z8">
        <v>0</v>
      </c>
      <c r="AA8" t="b">
        <f t="shared" si="6"/>
        <v>1</v>
      </c>
      <c r="AB8">
        <v>0</v>
      </c>
      <c r="AC8">
        <v>0</v>
      </c>
      <c r="AD8" t="b">
        <f t="shared" si="7"/>
        <v>1</v>
      </c>
      <c r="AE8">
        <v>0</v>
      </c>
      <c r="AF8">
        <v>0</v>
      </c>
      <c r="AG8" t="b">
        <f t="shared" si="8"/>
        <v>1</v>
      </c>
      <c r="AH8">
        <v>0</v>
      </c>
      <c r="AI8">
        <v>0</v>
      </c>
      <c r="AJ8" t="b">
        <f t="shared" si="9"/>
        <v>1</v>
      </c>
      <c r="AK8">
        <v>1166400</v>
      </c>
      <c r="AL8">
        <v>1864800</v>
      </c>
      <c r="AM8" t="b">
        <f t="shared" si="10"/>
        <v>0</v>
      </c>
    </row>
    <row r="9" spans="1:39">
      <c r="A9">
        <v>45780</v>
      </c>
      <c r="B9" t="s">
        <v>31</v>
      </c>
      <c r="C9" t="s">
        <v>356</v>
      </c>
      <c r="D9" t="s">
        <v>45</v>
      </c>
      <c r="E9" t="s">
        <v>46</v>
      </c>
      <c r="F9" t="s">
        <v>367</v>
      </c>
      <c r="G9">
        <v>178178</v>
      </c>
      <c r="H9">
        <v>178178</v>
      </c>
      <c r="I9" t="b">
        <f t="shared" si="0"/>
        <v>1</v>
      </c>
      <c r="J9">
        <v>0</v>
      </c>
      <c r="K9">
        <v>0</v>
      </c>
      <c r="L9" t="b">
        <f t="shared" si="1"/>
        <v>1</v>
      </c>
      <c r="M9">
        <v>178178</v>
      </c>
      <c r="N9">
        <v>178178</v>
      </c>
      <c r="O9" t="b">
        <f t="shared" si="2"/>
        <v>1</v>
      </c>
      <c r="P9">
        <v>0</v>
      </c>
      <c r="Q9">
        <v>0</v>
      </c>
      <c r="R9" t="b">
        <f t="shared" si="3"/>
        <v>1</v>
      </c>
      <c r="S9">
        <v>178178</v>
      </c>
      <c r="T9">
        <v>178178</v>
      </c>
      <c r="U9" t="b">
        <f t="shared" si="4"/>
        <v>1</v>
      </c>
      <c r="V9">
        <v>0</v>
      </c>
      <c r="W9">
        <v>0</v>
      </c>
      <c r="X9" t="b">
        <f t="shared" si="5"/>
        <v>1</v>
      </c>
      <c r="Y9">
        <v>0</v>
      </c>
      <c r="Z9">
        <v>0</v>
      </c>
      <c r="AA9" t="b">
        <f t="shared" si="6"/>
        <v>1</v>
      </c>
      <c r="AB9">
        <v>140000</v>
      </c>
      <c r="AC9">
        <v>140000</v>
      </c>
      <c r="AD9" t="b">
        <f t="shared" si="7"/>
        <v>1</v>
      </c>
      <c r="AE9">
        <v>0</v>
      </c>
      <c r="AF9">
        <v>0</v>
      </c>
      <c r="AG9" t="b">
        <f t="shared" si="8"/>
        <v>1</v>
      </c>
      <c r="AH9">
        <v>140000</v>
      </c>
      <c r="AI9">
        <v>140000</v>
      </c>
      <c r="AJ9" t="b">
        <f t="shared" si="9"/>
        <v>1</v>
      </c>
      <c r="AK9">
        <v>178178</v>
      </c>
      <c r="AL9">
        <v>178178</v>
      </c>
      <c r="AM9" t="b">
        <f t="shared" si="10"/>
        <v>1</v>
      </c>
    </row>
    <row r="10" spans="1:39">
      <c r="A10">
        <v>45780</v>
      </c>
      <c r="B10" t="s">
        <v>27</v>
      </c>
      <c r="C10" t="s">
        <v>356</v>
      </c>
      <c r="D10" t="s">
        <v>47</v>
      </c>
      <c r="E10" t="s">
        <v>48</v>
      </c>
      <c r="F10" t="s">
        <v>368</v>
      </c>
      <c r="G10">
        <v>453325</v>
      </c>
      <c r="H10">
        <v>453325</v>
      </c>
      <c r="I10" t="b">
        <f t="shared" si="0"/>
        <v>1</v>
      </c>
      <c r="J10">
        <v>0</v>
      </c>
      <c r="K10">
        <v>0</v>
      </c>
      <c r="L10" t="b">
        <f t="shared" si="1"/>
        <v>1</v>
      </c>
      <c r="M10">
        <v>0</v>
      </c>
      <c r="N10">
        <v>0</v>
      </c>
      <c r="O10" t="b">
        <f t="shared" si="2"/>
        <v>1</v>
      </c>
      <c r="P10">
        <v>0</v>
      </c>
      <c r="Q10">
        <v>0</v>
      </c>
      <c r="R10" t="b">
        <f t="shared" si="3"/>
        <v>1</v>
      </c>
      <c r="S10">
        <v>0</v>
      </c>
      <c r="T10">
        <v>0</v>
      </c>
      <c r="U10" t="b">
        <f t="shared" si="4"/>
        <v>1</v>
      </c>
      <c r="V10">
        <v>0</v>
      </c>
      <c r="W10">
        <v>0</v>
      </c>
      <c r="X10" t="b">
        <f t="shared" si="5"/>
        <v>1</v>
      </c>
      <c r="Y10">
        <v>0</v>
      </c>
      <c r="Z10">
        <v>0</v>
      </c>
      <c r="AA10" t="b">
        <f t="shared" si="6"/>
        <v>1</v>
      </c>
      <c r="AB10">
        <v>0</v>
      </c>
      <c r="AC10">
        <v>0</v>
      </c>
      <c r="AD10" t="b">
        <f t="shared" si="7"/>
        <v>1</v>
      </c>
      <c r="AE10">
        <v>0</v>
      </c>
      <c r="AF10">
        <v>0</v>
      </c>
      <c r="AG10" t="b">
        <f t="shared" si="8"/>
        <v>1</v>
      </c>
      <c r="AH10">
        <v>0</v>
      </c>
      <c r="AI10">
        <v>0</v>
      </c>
      <c r="AJ10" t="b">
        <f t="shared" si="9"/>
        <v>1</v>
      </c>
      <c r="AK10">
        <v>453325</v>
      </c>
      <c r="AL10">
        <v>453325</v>
      </c>
      <c r="AM10" t="b">
        <f t="shared" si="10"/>
        <v>1</v>
      </c>
    </row>
    <row r="11" hidden="1" spans="1:39">
      <c r="A11">
        <v>45780</v>
      </c>
      <c r="B11" t="s">
        <v>38</v>
      </c>
      <c r="C11" t="s">
        <v>356</v>
      </c>
      <c r="D11" t="s">
        <v>49</v>
      </c>
      <c r="E11" t="s">
        <v>50</v>
      </c>
      <c r="F11" t="s">
        <v>369</v>
      </c>
      <c r="G11">
        <v>8200005</v>
      </c>
      <c r="H11">
        <v>8200005</v>
      </c>
      <c r="I11" t="b">
        <f t="shared" si="0"/>
        <v>1</v>
      </c>
      <c r="J11">
        <v>0</v>
      </c>
      <c r="K11">
        <v>0</v>
      </c>
      <c r="L11" t="b">
        <f t="shared" si="1"/>
        <v>1</v>
      </c>
      <c r="M11">
        <v>0</v>
      </c>
      <c r="N11">
        <v>0</v>
      </c>
      <c r="O11" t="b">
        <f t="shared" si="2"/>
        <v>1</v>
      </c>
      <c r="P11">
        <v>0</v>
      </c>
      <c r="Q11">
        <v>0</v>
      </c>
      <c r="R11" t="b">
        <f t="shared" si="3"/>
        <v>1</v>
      </c>
      <c r="S11">
        <v>0</v>
      </c>
      <c r="T11">
        <v>0</v>
      </c>
      <c r="U11" t="b">
        <f t="shared" si="4"/>
        <v>1</v>
      </c>
      <c r="V11">
        <v>0</v>
      </c>
      <c r="W11">
        <v>75000</v>
      </c>
      <c r="X11" t="b">
        <f t="shared" si="5"/>
        <v>0</v>
      </c>
      <c r="Y11">
        <v>0</v>
      </c>
      <c r="Z11">
        <v>0</v>
      </c>
      <c r="AA11" t="b">
        <f t="shared" si="6"/>
        <v>1</v>
      </c>
      <c r="AB11">
        <v>0</v>
      </c>
      <c r="AC11">
        <v>0</v>
      </c>
      <c r="AD11" t="b">
        <f t="shared" si="7"/>
        <v>1</v>
      </c>
      <c r="AE11">
        <v>0</v>
      </c>
      <c r="AF11">
        <v>0</v>
      </c>
      <c r="AG11" t="b">
        <f t="shared" si="8"/>
        <v>1</v>
      </c>
      <c r="AH11">
        <v>0</v>
      </c>
      <c r="AI11">
        <v>0</v>
      </c>
      <c r="AJ11" t="b">
        <f t="shared" si="9"/>
        <v>1</v>
      </c>
      <c r="AK11">
        <v>8200005</v>
      </c>
      <c r="AL11">
        <v>8125005</v>
      </c>
      <c r="AM11" t="b">
        <f t="shared" si="10"/>
        <v>0</v>
      </c>
    </row>
    <row r="12" spans="1:39">
      <c r="A12">
        <v>45780</v>
      </c>
      <c r="B12" t="s">
        <v>38</v>
      </c>
      <c r="C12" t="s">
        <v>356</v>
      </c>
      <c r="D12" t="s">
        <v>51</v>
      </c>
      <c r="E12" t="s">
        <v>52</v>
      </c>
      <c r="F12" t="s">
        <v>370</v>
      </c>
      <c r="G12">
        <v>717723</v>
      </c>
      <c r="H12">
        <v>717723</v>
      </c>
      <c r="I12" t="b">
        <f t="shared" si="0"/>
        <v>1</v>
      </c>
      <c r="J12">
        <v>0</v>
      </c>
      <c r="K12">
        <v>0</v>
      </c>
      <c r="L12" t="b">
        <f t="shared" si="1"/>
        <v>1</v>
      </c>
      <c r="M12">
        <v>725537</v>
      </c>
      <c r="N12">
        <v>725537</v>
      </c>
      <c r="O12" t="b">
        <f t="shared" si="2"/>
        <v>1</v>
      </c>
      <c r="P12">
        <v>0</v>
      </c>
      <c r="Q12">
        <v>0</v>
      </c>
      <c r="R12" t="b">
        <f t="shared" si="3"/>
        <v>1</v>
      </c>
      <c r="S12">
        <v>725537</v>
      </c>
      <c r="T12">
        <v>725537</v>
      </c>
      <c r="U12" t="b">
        <f t="shared" si="4"/>
        <v>1</v>
      </c>
      <c r="V12">
        <v>249250</v>
      </c>
      <c r="W12">
        <v>249250</v>
      </c>
      <c r="X12" t="b">
        <f t="shared" si="5"/>
        <v>1</v>
      </c>
      <c r="Y12">
        <v>0</v>
      </c>
      <c r="Z12">
        <v>0</v>
      </c>
      <c r="AA12" t="b">
        <f t="shared" si="6"/>
        <v>1</v>
      </c>
      <c r="AB12">
        <v>575537</v>
      </c>
      <c r="AC12">
        <v>575537</v>
      </c>
      <c r="AD12" t="b">
        <f t="shared" si="7"/>
        <v>1</v>
      </c>
      <c r="AE12">
        <v>0</v>
      </c>
      <c r="AF12">
        <v>0</v>
      </c>
      <c r="AG12" t="b">
        <f t="shared" si="8"/>
        <v>1</v>
      </c>
      <c r="AH12">
        <v>575537</v>
      </c>
      <c r="AI12">
        <v>575537</v>
      </c>
      <c r="AJ12" t="b">
        <f t="shared" si="9"/>
        <v>1</v>
      </c>
      <c r="AK12">
        <v>468473</v>
      </c>
      <c r="AL12">
        <v>468473</v>
      </c>
      <c r="AM12" t="b">
        <f t="shared" si="10"/>
        <v>1</v>
      </c>
    </row>
    <row r="13" hidden="1" spans="1:39">
      <c r="A13">
        <v>45780</v>
      </c>
      <c r="B13" t="s">
        <v>27</v>
      </c>
      <c r="C13" t="s">
        <v>356</v>
      </c>
      <c r="D13" t="s">
        <v>47</v>
      </c>
      <c r="E13" t="s">
        <v>371</v>
      </c>
      <c r="F13" t="s">
        <v>372</v>
      </c>
      <c r="G13">
        <v>822946.97</v>
      </c>
      <c r="H13">
        <v>823500</v>
      </c>
      <c r="I13" t="b">
        <f t="shared" si="0"/>
        <v>0</v>
      </c>
      <c r="J13">
        <v>0</v>
      </c>
      <c r="K13">
        <v>0</v>
      </c>
      <c r="L13" t="b">
        <f t="shared" si="1"/>
        <v>1</v>
      </c>
      <c r="M13">
        <v>0</v>
      </c>
      <c r="N13">
        <v>0</v>
      </c>
      <c r="O13" t="b">
        <f t="shared" si="2"/>
        <v>1</v>
      </c>
      <c r="P13">
        <v>0</v>
      </c>
      <c r="Q13">
        <v>0</v>
      </c>
      <c r="R13" t="b">
        <f t="shared" si="3"/>
        <v>1</v>
      </c>
      <c r="S13">
        <v>0</v>
      </c>
      <c r="T13">
        <v>0</v>
      </c>
      <c r="U13" t="b">
        <f t="shared" si="4"/>
        <v>1</v>
      </c>
      <c r="V13">
        <v>0</v>
      </c>
      <c r="W13">
        <v>0</v>
      </c>
      <c r="X13" t="b">
        <f t="shared" si="5"/>
        <v>1</v>
      </c>
      <c r="Y13">
        <v>0</v>
      </c>
      <c r="Z13">
        <v>0</v>
      </c>
      <c r="AA13" t="b">
        <f t="shared" si="6"/>
        <v>1</v>
      </c>
      <c r="AB13">
        <v>0</v>
      </c>
      <c r="AC13">
        <v>0</v>
      </c>
      <c r="AD13" t="b">
        <f t="shared" si="7"/>
        <v>1</v>
      </c>
      <c r="AE13">
        <v>0</v>
      </c>
      <c r="AF13">
        <v>0</v>
      </c>
      <c r="AG13" t="b">
        <f t="shared" si="8"/>
        <v>1</v>
      </c>
      <c r="AH13">
        <v>0</v>
      </c>
      <c r="AI13">
        <v>0</v>
      </c>
      <c r="AJ13" t="b">
        <f t="shared" si="9"/>
        <v>1</v>
      </c>
      <c r="AK13">
        <v>822946.97</v>
      </c>
      <c r="AL13">
        <v>823500</v>
      </c>
      <c r="AM13" t="b">
        <f t="shared" si="10"/>
        <v>0</v>
      </c>
    </row>
    <row r="14" spans="1:39">
      <c r="A14">
        <v>45780</v>
      </c>
      <c r="B14" t="s">
        <v>31</v>
      </c>
      <c r="C14" t="s">
        <v>356</v>
      </c>
      <c r="D14" t="s">
        <v>45</v>
      </c>
      <c r="E14" t="s">
        <v>54</v>
      </c>
      <c r="F14" t="s">
        <v>373</v>
      </c>
      <c r="G14">
        <v>0</v>
      </c>
      <c r="H14">
        <v>0</v>
      </c>
      <c r="I14" t="b">
        <f t="shared" si="0"/>
        <v>1</v>
      </c>
      <c r="J14">
        <v>0</v>
      </c>
      <c r="K14">
        <v>0</v>
      </c>
      <c r="L14" t="b">
        <f t="shared" si="1"/>
        <v>1</v>
      </c>
      <c r="M14">
        <v>209293</v>
      </c>
      <c r="N14">
        <v>209293</v>
      </c>
      <c r="O14" t="b">
        <f t="shared" si="2"/>
        <v>1</v>
      </c>
      <c r="P14">
        <v>0</v>
      </c>
      <c r="Q14">
        <v>0</v>
      </c>
      <c r="R14" t="b">
        <f t="shared" si="3"/>
        <v>1</v>
      </c>
      <c r="S14">
        <v>209293</v>
      </c>
      <c r="T14">
        <v>209293</v>
      </c>
      <c r="U14" t="b">
        <f t="shared" si="4"/>
        <v>1</v>
      </c>
      <c r="V14">
        <v>0</v>
      </c>
      <c r="W14">
        <v>0</v>
      </c>
      <c r="X14" t="b">
        <f t="shared" si="5"/>
        <v>1</v>
      </c>
      <c r="Y14">
        <v>0</v>
      </c>
      <c r="Z14">
        <v>0</v>
      </c>
      <c r="AA14" t="b">
        <f t="shared" si="6"/>
        <v>1</v>
      </c>
      <c r="AB14">
        <v>150000</v>
      </c>
      <c r="AC14">
        <v>150000</v>
      </c>
      <c r="AD14" t="b">
        <f t="shared" si="7"/>
        <v>1</v>
      </c>
      <c r="AE14">
        <v>0</v>
      </c>
      <c r="AF14">
        <v>0</v>
      </c>
      <c r="AG14" t="b">
        <f t="shared" si="8"/>
        <v>1</v>
      </c>
      <c r="AH14">
        <v>150000</v>
      </c>
      <c r="AI14">
        <v>150000</v>
      </c>
      <c r="AJ14" t="b">
        <f t="shared" si="9"/>
        <v>1</v>
      </c>
      <c r="AK14">
        <v>0</v>
      </c>
      <c r="AL14">
        <v>0</v>
      </c>
      <c r="AM14" t="b">
        <f t="shared" si="10"/>
        <v>1</v>
      </c>
    </row>
    <row r="15" spans="1:39">
      <c r="A15">
        <v>45780</v>
      </c>
      <c r="B15" t="s">
        <v>31</v>
      </c>
      <c r="C15" t="s">
        <v>356</v>
      </c>
      <c r="D15" t="s">
        <v>45</v>
      </c>
      <c r="E15" t="s">
        <v>55</v>
      </c>
      <c r="F15" t="s">
        <v>374</v>
      </c>
      <c r="G15">
        <v>0</v>
      </c>
      <c r="H15">
        <v>0</v>
      </c>
      <c r="I15" t="b">
        <f t="shared" si="0"/>
        <v>1</v>
      </c>
      <c r="J15">
        <v>0</v>
      </c>
      <c r="K15">
        <v>0</v>
      </c>
      <c r="L15" t="b">
        <f t="shared" si="1"/>
        <v>1</v>
      </c>
      <c r="M15">
        <v>10010</v>
      </c>
      <c r="N15">
        <v>10010</v>
      </c>
      <c r="O15" t="b">
        <f t="shared" si="2"/>
        <v>1</v>
      </c>
      <c r="P15">
        <v>0</v>
      </c>
      <c r="Q15">
        <v>0</v>
      </c>
      <c r="R15" t="b">
        <f t="shared" si="3"/>
        <v>1</v>
      </c>
      <c r="S15">
        <v>10010</v>
      </c>
      <c r="T15">
        <v>10010</v>
      </c>
      <c r="U15" t="b">
        <f t="shared" si="4"/>
        <v>1</v>
      </c>
      <c r="V15">
        <v>0</v>
      </c>
      <c r="W15">
        <v>0</v>
      </c>
      <c r="X15" t="b">
        <f t="shared" si="5"/>
        <v>1</v>
      </c>
      <c r="Y15">
        <v>0</v>
      </c>
      <c r="Z15">
        <v>0</v>
      </c>
      <c r="AA15" t="b">
        <f t="shared" si="6"/>
        <v>1</v>
      </c>
      <c r="AB15">
        <v>7500</v>
      </c>
      <c r="AC15">
        <v>7500</v>
      </c>
      <c r="AD15" t="b">
        <f t="shared" si="7"/>
        <v>1</v>
      </c>
      <c r="AE15">
        <v>0</v>
      </c>
      <c r="AF15">
        <v>0</v>
      </c>
      <c r="AG15" t="b">
        <f t="shared" si="8"/>
        <v>1</v>
      </c>
      <c r="AH15">
        <v>7500</v>
      </c>
      <c r="AI15">
        <v>7500</v>
      </c>
      <c r="AJ15" t="b">
        <f t="shared" si="9"/>
        <v>1</v>
      </c>
      <c r="AK15">
        <v>0</v>
      </c>
      <c r="AL15">
        <v>0</v>
      </c>
      <c r="AM15" t="b">
        <f t="shared" si="10"/>
        <v>1</v>
      </c>
    </row>
    <row r="16" hidden="1" spans="1:39">
      <c r="A16">
        <v>45780</v>
      </c>
      <c r="B16" t="s">
        <v>31</v>
      </c>
      <c r="C16" t="s">
        <v>356</v>
      </c>
      <c r="D16" t="s">
        <v>56</v>
      </c>
      <c r="E16" t="s">
        <v>57</v>
      </c>
      <c r="F16" t="s">
        <v>375</v>
      </c>
      <c r="G16">
        <v>1478362</v>
      </c>
      <c r="H16">
        <v>1478362.5</v>
      </c>
      <c r="I16" t="b">
        <f t="shared" si="0"/>
        <v>0</v>
      </c>
      <c r="J16">
        <v>0</v>
      </c>
      <c r="K16">
        <v>0</v>
      </c>
      <c r="L16" t="b">
        <f t="shared" si="1"/>
        <v>1</v>
      </c>
      <c r="M16">
        <v>0</v>
      </c>
      <c r="N16">
        <v>0</v>
      </c>
      <c r="O16" t="b">
        <f t="shared" si="2"/>
        <v>1</v>
      </c>
      <c r="P16">
        <v>0</v>
      </c>
      <c r="Q16">
        <v>0</v>
      </c>
      <c r="R16" t="b">
        <f t="shared" si="3"/>
        <v>1</v>
      </c>
      <c r="S16">
        <v>0</v>
      </c>
      <c r="T16">
        <v>0</v>
      </c>
      <c r="U16" t="b">
        <f t="shared" si="4"/>
        <v>1</v>
      </c>
      <c r="V16">
        <v>0</v>
      </c>
      <c r="W16">
        <v>0</v>
      </c>
      <c r="X16" t="b">
        <f t="shared" si="5"/>
        <v>1</v>
      </c>
      <c r="Y16">
        <v>0</v>
      </c>
      <c r="Z16">
        <v>0</v>
      </c>
      <c r="AA16" t="b">
        <f t="shared" si="6"/>
        <v>1</v>
      </c>
      <c r="AB16">
        <v>0</v>
      </c>
      <c r="AC16">
        <v>0</v>
      </c>
      <c r="AD16" t="b">
        <f t="shared" si="7"/>
        <v>1</v>
      </c>
      <c r="AE16">
        <v>0</v>
      </c>
      <c r="AF16">
        <v>0</v>
      </c>
      <c r="AG16" t="b">
        <f t="shared" si="8"/>
        <v>1</v>
      </c>
      <c r="AH16">
        <v>0</v>
      </c>
      <c r="AI16">
        <v>0</v>
      </c>
      <c r="AJ16" t="b">
        <f t="shared" si="9"/>
        <v>1</v>
      </c>
      <c r="AK16">
        <v>1478362</v>
      </c>
      <c r="AL16">
        <v>1478362.5</v>
      </c>
      <c r="AM16" t="b">
        <f t="shared" si="10"/>
        <v>0</v>
      </c>
    </row>
    <row r="17" spans="1:39">
      <c r="A17">
        <v>45780</v>
      </c>
      <c r="B17" t="s">
        <v>31</v>
      </c>
      <c r="C17" t="s">
        <v>356</v>
      </c>
      <c r="D17" t="s">
        <v>45</v>
      </c>
      <c r="E17" t="s">
        <v>58</v>
      </c>
      <c r="F17" t="s">
        <v>376</v>
      </c>
      <c r="G17">
        <v>437059.04</v>
      </c>
      <c r="H17">
        <v>437059.04</v>
      </c>
      <c r="I17" t="b">
        <f t="shared" si="0"/>
        <v>1</v>
      </c>
      <c r="J17">
        <v>0</v>
      </c>
      <c r="K17">
        <v>0</v>
      </c>
      <c r="L17" t="b">
        <f t="shared" si="1"/>
        <v>1</v>
      </c>
      <c r="M17">
        <v>437059</v>
      </c>
      <c r="N17">
        <v>437059</v>
      </c>
      <c r="O17" t="b">
        <f t="shared" si="2"/>
        <v>1</v>
      </c>
      <c r="P17">
        <v>0</v>
      </c>
      <c r="Q17">
        <v>0</v>
      </c>
      <c r="R17" t="b">
        <f t="shared" si="3"/>
        <v>1</v>
      </c>
      <c r="S17">
        <v>437059</v>
      </c>
      <c r="T17">
        <v>437059</v>
      </c>
      <c r="U17" t="b">
        <f t="shared" si="4"/>
        <v>1</v>
      </c>
      <c r="V17">
        <v>0</v>
      </c>
      <c r="W17">
        <v>0</v>
      </c>
      <c r="X17" t="b">
        <f t="shared" si="5"/>
        <v>1</v>
      </c>
      <c r="Y17">
        <v>0</v>
      </c>
      <c r="Z17">
        <v>0</v>
      </c>
      <c r="AA17" t="b">
        <f t="shared" si="6"/>
        <v>1</v>
      </c>
      <c r="AB17">
        <v>310000</v>
      </c>
      <c r="AC17">
        <v>310000</v>
      </c>
      <c r="AD17" t="b">
        <f t="shared" si="7"/>
        <v>1</v>
      </c>
      <c r="AE17">
        <v>0</v>
      </c>
      <c r="AF17">
        <v>0</v>
      </c>
      <c r="AG17" t="b">
        <f t="shared" si="8"/>
        <v>1</v>
      </c>
      <c r="AH17">
        <v>310000</v>
      </c>
      <c r="AI17">
        <v>310000</v>
      </c>
      <c r="AJ17" t="b">
        <f t="shared" si="9"/>
        <v>1</v>
      </c>
      <c r="AK17">
        <v>437059.04</v>
      </c>
      <c r="AL17">
        <v>437059.04</v>
      </c>
      <c r="AM17" t="b">
        <f t="shared" si="10"/>
        <v>1</v>
      </c>
    </row>
    <row r="18" spans="1:39">
      <c r="A18">
        <v>45780</v>
      </c>
      <c r="B18" t="s">
        <v>59</v>
      </c>
      <c r="C18" t="s">
        <v>356</v>
      </c>
      <c r="D18" t="s">
        <v>60</v>
      </c>
      <c r="E18" t="s">
        <v>61</v>
      </c>
      <c r="F18" t="s">
        <v>377</v>
      </c>
      <c r="G18">
        <v>100100</v>
      </c>
      <c r="H18">
        <v>100100</v>
      </c>
      <c r="I18" t="b">
        <f t="shared" si="0"/>
        <v>1</v>
      </c>
      <c r="J18">
        <v>0</v>
      </c>
      <c r="K18">
        <v>0</v>
      </c>
      <c r="L18" t="b">
        <f t="shared" si="1"/>
        <v>1</v>
      </c>
      <c r="M18">
        <v>100100</v>
      </c>
      <c r="N18">
        <v>100100</v>
      </c>
      <c r="O18" t="b">
        <f t="shared" si="2"/>
        <v>1</v>
      </c>
      <c r="P18">
        <v>0</v>
      </c>
      <c r="Q18">
        <v>0</v>
      </c>
      <c r="R18" t="b">
        <f t="shared" si="3"/>
        <v>1</v>
      </c>
      <c r="S18">
        <v>100100</v>
      </c>
      <c r="T18">
        <v>100100</v>
      </c>
      <c r="U18" t="b">
        <f t="shared" si="4"/>
        <v>1</v>
      </c>
      <c r="V18">
        <v>85000</v>
      </c>
      <c r="W18">
        <v>85000</v>
      </c>
      <c r="X18" t="b">
        <f t="shared" si="5"/>
        <v>1</v>
      </c>
      <c r="Y18">
        <v>0</v>
      </c>
      <c r="Z18">
        <v>0</v>
      </c>
      <c r="AA18" t="b">
        <f t="shared" si="6"/>
        <v>1</v>
      </c>
      <c r="AB18">
        <v>85000</v>
      </c>
      <c r="AC18">
        <v>85000</v>
      </c>
      <c r="AD18" t="b">
        <f t="shared" si="7"/>
        <v>1</v>
      </c>
      <c r="AE18">
        <v>0</v>
      </c>
      <c r="AF18">
        <v>0</v>
      </c>
      <c r="AG18" t="b">
        <f t="shared" si="8"/>
        <v>1</v>
      </c>
      <c r="AH18">
        <v>85000</v>
      </c>
      <c r="AI18">
        <v>85000</v>
      </c>
      <c r="AJ18" t="b">
        <f t="shared" si="9"/>
        <v>1</v>
      </c>
      <c r="AK18">
        <v>15100</v>
      </c>
      <c r="AL18">
        <v>15100</v>
      </c>
      <c r="AM18" t="b">
        <f t="shared" si="10"/>
        <v>1</v>
      </c>
    </row>
    <row r="19" hidden="1" spans="1:39">
      <c r="A19">
        <v>45780</v>
      </c>
      <c r="B19" t="s">
        <v>38</v>
      </c>
      <c r="C19" t="s">
        <v>356</v>
      </c>
      <c r="D19" t="s">
        <v>62</v>
      </c>
      <c r="E19" t="s">
        <v>63</v>
      </c>
      <c r="F19" t="s">
        <v>378</v>
      </c>
      <c r="G19">
        <v>861169</v>
      </c>
      <c r="H19">
        <v>861169</v>
      </c>
      <c r="I19" t="b">
        <f t="shared" ref="I19:I82" si="11">G19=H19</f>
        <v>1</v>
      </c>
      <c r="J19">
        <v>0</v>
      </c>
      <c r="K19">
        <v>0</v>
      </c>
      <c r="L19" t="b">
        <f t="shared" si="1"/>
        <v>1</v>
      </c>
      <c r="M19">
        <v>862426</v>
      </c>
      <c r="N19">
        <v>862426</v>
      </c>
      <c r="O19" t="b">
        <f t="shared" si="2"/>
        <v>1</v>
      </c>
      <c r="P19">
        <v>0</v>
      </c>
      <c r="Q19">
        <v>0</v>
      </c>
      <c r="R19" t="b">
        <f t="shared" si="3"/>
        <v>1</v>
      </c>
      <c r="S19">
        <v>862426</v>
      </c>
      <c r="T19">
        <v>862426</v>
      </c>
      <c r="U19" t="b">
        <f t="shared" si="4"/>
        <v>1</v>
      </c>
      <c r="V19">
        <v>228825</v>
      </c>
      <c r="W19">
        <v>228825</v>
      </c>
      <c r="X19" t="b">
        <f t="shared" si="5"/>
        <v>1</v>
      </c>
      <c r="Y19">
        <v>0</v>
      </c>
      <c r="Z19">
        <v>45000</v>
      </c>
      <c r="AA19" t="b">
        <f t="shared" si="6"/>
        <v>0</v>
      </c>
      <c r="AB19">
        <v>555000</v>
      </c>
      <c r="AC19">
        <v>555000</v>
      </c>
      <c r="AD19" t="b">
        <f t="shared" si="7"/>
        <v>1</v>
      </c>
      <c r="AE19">
        <v>0</v>
      </c>
      <c r="AF19">
        <v>0</v>
      </c>
      <c r="AG19" t="b">
        <f t="shared" si="8"/>
        <v>1</v>
      </c>
      <c r="AH19">
        <v>555000</v>
      </c>
      <c r="AI19">
        <v>600000</v>
      </c>
      <c r="AJ19" t="b">
        <f t="shared" si="9"/>
        <v>0</v>
      </c>
      <c r="AK19">
        <v>632344</v>
      </c>
      <c r="AL19">
        <v>632344</v>
      </c>
      <c r="AM19" t="b">
        <f t="shared" si="10"/>
        <v>1</v>
      </c>
    </row>
    <row r="20" hidden="1" spans="1:39">
      <c r="A20">
        <v>45780</v>
      </c>
      <c r="B20" t="s">
        <v>27</v>
      </c>
      <c r="C20" t="s">
        <v>356</v>
      </c>
      <c r="D20" t="s">
        <v>64</v>
      </c>
      <c r="E20" t="s">
        <v>65</v>
      </c>
      <c r="F20" t="s">
        <v>379</v>
      </c>
      <c r="G20">
        <v>2816205</v>
      </c>
      <c r="H20" t="s">
        <v>380</v>
      </c>
      <c r="I20" t="b">
        <f t="shared" si="11"/>
        <v>0</v>
      </c>
      <c r="J20">
        <v>2816205</v>
      </c>
      <c r="K20">
        <v>2816205</v>
      </c>
      <c r="L20" t="b">
        <f t="shared" si="1"/>
        <v>1</v>
      </c>
      <c r="M20">
        <v>1483795</v>
      </c>
      <c r="N20">
        <v>1483795</v>
      </c>
      <c r="O20" t="b">
        <f t="shared" si="2"/>
        <v>1</v>
      </c>
      <c r="P20">
        <v>0</v>
      </c>
      <c r="Q20">
        <v>0</v>
      </c>
      <c r="R20" t="b">
        <f t="shared" si="3"/>
        <v>1</v>
      </c>
      <c r="S20">
        <v>4300000</v>
      </c>
      <c r="T20">
        <v>4300000</v>
      </c>
      <c r="U20" t="b">
        <f t="shared" si="4"/>
        <v>1</v>
      </c>
      <c r="V20">
        <v>1570920</v>
      </c>
      <c r="W20">
        <v>1578905</v>
      </c>
      <c r="X20" t="b">
        <f t="shared" si="5"/>
        <v>0</v>
      </c>
      <c r="Y20">
        <v>7985</v>
      </c>
      <c r="Z20">
        <v>7985</v>
      </c>
      <c r="AA20" t="b">
        <f t="shared" si="6"/>
        <v>1</v>
      </c>
      <c r="AB20">
        <v>2642015</v>
      </c>
      <c r="AC20">
        <v>2642015</v>
      </c>
      <c r="AD20" t="b">
        <f t="shared" si="7"/>
        <v>1</v>
      </c>
      <c r="AE20">
        <v>0</v>
      </c>
      <c r="AF20">
        <v>0</v>
      </c>
      <c r="AG20" t="b">
        <f t="shared" si="8"/>
        <v>1</v>
      </c>
      <c r="AH20">
        <v>2650000</v>
      </c>
      <c r="AI20">
        <v>2650000</v>
      </c>
      <c r="AJ20" t="b">
        <f t="shared" si="9"/>
        <v>1</v>
      </c>
      <c r="AK20">
        <v>1245285</v>
      </c>
      <c r="AL20">
        <v>1237300</v>
      </c>
      <c r="AM20" t="b">
        <f t="shared" si="10"/>
        <v>0</v>
      </c>
    </row>
    <row r="21" spans="1:39">
      <c r="A21">
        <v>45780</v>
      </c>
      <c r="B21" t="s">
        <v>31</v>
      </c>
      <c r="C21" t="s">
        <v>356</v>
      </c>
      <c r="D21" t="s">
        <v>66</v>
      </c>
      <c r="E21" t="s">
        <v>67</v>
      </c>
      <c r="F21" t="s">
        <v>381</v>
      </c>
      <c r="G21">
        <v>0</v>
      </c>
      <c r="H21">
        <v>0</v>
      </c>
      <c r="I21" t="b">
        <f t="shared" si="11"/>
        <v>1</v>
      </c>
      <c r="J21">
        <v>0</v>
      </c>
      <c r="K21">
        <v>0</v>
      </c>
      <c r="L21" t="b">
        <f t="shared" si="1"/>
        <v>1</v>
      </c>
      <c r="M21">
        <v>1784284</v>
      </c>
      <c r="N21">
        <v>1784284</v>
      </c>
      <c r="O21" t="b">
        <f t="shared" si="2"/>
        <v>1</v>
      </c>
      <c r="P21">
        <v>0</v>
      </c>
      <c r="Q21">
        <v>0</v>
      </c>
      <c r="R21" t="b">
        <f t="shared" si="3"/>
        <v>1</v>
      </c>
      <c r="S21">
        <v>1784284</v>
      </c>
      <c r="T21">
        <v>1784284</v>
      </c>
      <c r="U21" t="b">
        <f t="shared" si="4"/>
        <v>1</v>
      </c>
      <c r="V21">
        <v>0</v>
      </c>
      <c r="W21">
        <v>0</v>
      </c>
      <c r="X21" t="b">
        <f t="shared" si="5"/>
        <v>1</v>
      </c>
      <c r="Y21">
        <v>0</v>
      </c>
      <c r="Z21">
        <v>0</v>
      </c>
      <c r="AA21" t="b">
        <f t="shared" si="6"/>
        <v>1</v>
      </c>
      <c r="AB21">
        <v>1418704</v>
      </c>
      <c r="AC21">
        <v>1418704</v>
      </c>
      <c r="AD21" t="b">
        <f t="shared" si="7"/>
        <v>1</v>
      </c>
      <c r="AE21">
        <v>0</v>
      </c>
      <c r="AF21">
        <v>0</v>
      </c>
      <c r="AG21" t="b">
        <f t="shared" si="8"/>
        <v>1</v>
      </c>
      <c r="AH21">
        <v>1418704</v>
      </c>
      <c r="AI21">
        <v>1418704</v>
      </c>
      <c r="AJ21" t="b">
        <f t="shared" si="9"/>
        <v>1</v>
      </c>
      <c r="AK21">
        <v>0</v>
      </c>
      <c r="AL21">
        <v>0</v>
      </c>
      <c r="AM21" t="b">
        <f t="shared" si="10"/>
        <v>1</v>
      </c>
    </row>
    <row r="22" spans="1:39">
      <c r="A22">
        <v>45780</v>
      </c>
      <c r="B22" t="s">
        <v>38</v>
      </c>
      <c r="C22" t="s">
        <v>356</v>
      </c>
      <c r="D22" t="s">
        <v>49</v>
      </c>
      <c r="E22" t="s">
        <v>382</v>
      </c>
      <c r="F22" t="s">
        <v>383</v>
      </c>
      <c r="G22">
        <v>10901297</v>
      </c>
      <c r="H22">
        <v>10901297</v>
      </c>
      <c r="I22" t="b">
        <f t="shared" si="11"/>
        <v>1</v>
      </c>
      <c r="J22">
        <v>0</v>
      </c>
      <c r="K22">
        <v>0</v>
      </c>
      <c r="L22" t="b">
        <f t="shared" si="1"/>
        <v>1</v>
      </c>
      <c r="M22">
        <v>0</v>
      </c>
      <c r="N22">
        <v>0</v>
      </c>
      <c r="O22" t="b">
        <f t="shared" si="2"/>
        <v>1</v>
      </c>
      <c r="P22">
        <v>0</v>
      </c>
      <c r="Q22">
        <v>0</v>
      </c>
      <c r="R22" t="b">
        <f t="shared" si="3"/>
        <v>1</v>
      </c>
      <c r="S22">
        <v>0</v>
      </c>
      <c r="T22">
        <v>0</v>
      </c>
      <c r="U22" t="b">
        <f t="shared" si="4"/>
        <v>1</v>
      </c>
      <c r="V22">
        <v>1133800</v>
      </c>
      <c r="W22">
        <v>1133800</v>
      </c>
      <c r="X22" t="b">
        <f t="shared" si="5"/>
        <v>1</v>
      </c>
      <c r="Y22">
        <v>0</v>
      </c>
      <c r="Z22">
        <v>0</v>
      </c>
      <c r="AA22" t="b">
        <f t="shared" si="6"/>
        <v>1</v>
      </c>
      <c r="AB22">
        <v>0</v>
      </c>
      <c r="AC22">
        <v>0</v>
      </c>
      <c r="AD22" t="b">
        <f t="shared" si="7"/>
        <v>1</v>
      </c>
      <c r="AE22">
        <v>0</v>
      </c>
      <c r="AF22">
        <v>0</v>
      </c>
      <c r="AG22" t="b">
        <f t="shared" si="8"/>
        <v>1</v>
      </c>
      <c r="AH22">
        <v>0</v>
      </c>
      <c r="AI22">
        <v>0</v>
      </c>
      <c r="AJ22" t="b">
        <f t="shared" si="9"/>
        <v>1</v>
      </c>
      <c r="AK22">
        <v>9767497</v>
      </c>
      <c r="AL22">
        <v>9767497</v>
      </c>
      <c r="AM22" t="b">
        <f t="shared" si="10"/>
        <v>1</v>
      </c>
    </row>
    <row r="23" hidden="1" spans="1:39">
      <c r="A23">
        <v>45780</v>
      </c>
      <c r="B23" t="s">
        <v>31</v>
      </c>
      <c r="C23" t="s">
        <v>356</v>
      </c>
      <c r="D23" t="s">
        <v>69</v>
      </c>
      <c r="E23" t="s">
        <v>70</v>
      </c>
      <c r="F23" t="s">
        <v>384</v>
      </c>
      <c r="G23">
        <v>0</v>
      </c>
      <c r="H23">
        <v>440000</v>
      </c>
      <c r="I23" t="b">
        <f t="shared" si="11"/>
        <v>0</v>
      </c>
      <c r="J23">
        <v>0</v>
      </c>
      <c r="K23">
        <v>0</v>
      </c>
      <c r="L23" t="b">
        <f t="shared" si="1"/>
        <v>1</v>
      </c>
      <c r="M23">
        <v>440000</v>
      </c>
      <c r="N23">
        <v>440000</v>
      </c>
      <c r="O23" t="b">
        <f t="shared" si="2"/>
        <v>1</v>
      </c>
      <c r="P23">
        <v>0</v>
      </c>
      <c r="Q23">
        <v>0</v>
      </c>
      <c r="R23" t="b">
        <f t="shared" si="3"/>
        <v>1</v>
      </c>
      <c r="S23">
        <v>440000</v>
      </c>
      <c r="T23">
        <v>440000</v>
      </c>
      <c r="U23" t="b">
        <f t="shared" si="4"/>
        <v>1</v>
      </c>
      <c r="V23">
        <v>400000</v>
      </c>
      <c r="W23">
        <v>400000</v>
      </c>
      <c r="X23" t="b">
        <f t="shared" si="5"/>
        <v>1</v>
      </c>
      <c r="Y23">
        <v>400000</v>
      </c>
      <c r="Z23">
        <v>400000</v>
      </c>
      <c r="AA23" t="b">
        <f t="shared" si="6"/>
        <v>1</v>
      </c>
      <c r="AB23">
        <v>0</v>
      </c>
      <c r="AC23">
        <v>0</v>
      </c>
      <c r="AD23" t="b">
        <f t="shared" si="7"/>
        <v>1</v>
      </c>
      <c r="AE23">
        <v>0</v>
      </c>
      <c r="AF23">
        <v>0</v>
      </c>
      <c r="AG23" t="b">
        <f t="shared" si="8"/>
        <v>1</v>
      </c>
      <c r="AH23">
        <v>400000</v>
      </c>
      <c r="AI23">
        <v>400000</v>
      </c>
      <c r="AJ23" t="b">
        <f t="shared" si="9"/>
        <v>1</v>
      </c>
      <c r="AK23">
        <v>400000</v>
      </c>
      <c r="AL23">
        <v>40000</v>
      </c>
      <c r="AM23" t="b">
        <f t="shared" si="10"/>
        <v>0</v>
      </c>
    </row>
    <row r="24" hidden="1" spans="1:39">
      <c r="A24">
        <v>45780</v>
      </c>
      <c r="B24" t="s">
        <v>27</v>
      </c>
      <c r="C24" t="s">
        <v>356</v>
      </c>
      <c r="D24" t="s">
        <v>71</v>
      </c>
      <c r="E24" t="s">
        <v>72</v>
      </c>
      <c r="F24" t="s">
        <v>385</v>
      </c>
      <c r="G24">
        <v>0</v>
      </c>
      <c r="H24">
        <v>100000</v>
      </c>
      <c r="I24" t="b">
        <f t="shared" si="11"/>
        <v>0</v>
      </c>
      <c r="J24">
        <v>0</v>
      </c>
      <c r="K24">
        <v>0</v>
      </c>
      <c r="L24" t="b">
        <f t="shared" si="1"/>
        <v>1</v>
      </c>
      <c r="M24">
        <v>115000</v>
      </c>
      <c r="N24">
        <v>115000</v>
      </c>
      <c r="O24" t="b">
        <f t="shared" si="2"/>
        <v>1</v>
      </c>
      <c r="P24">
        <v>0</v>
      </c>
      <c r="Q24">
        <v>0</v>
      </c>
      <c r="R24" t="b">
        <f t="shared" si="3"/>
        <v>1</v>
      </c>
      <c r="S24">
        <v>115000</v>
      </c>
      <c r="T24">
        <v>115000</v>
      </c>
      <c r="U24" t="b">
        <f t="shared" ref="U24:U87" si="12">S24=T24</f>
        <v>1</v>
      </c>
      <c r="V24">
        <v>0</v>
      </c>
      <c r="W24">
        <v>0</v>
      </c>
      <c r="X24" t="b">
        <f t="shared" si="5"/>
        <v>1</v>
      </c>
      <c r="Y24">
        <v>0</v>
      </c>
      <c r="Z24">
        <v>0</v>
      </c>
      <c r="AA24" t="b">
        <f t="shared" si="6"/>
        <v>1</v>
      </c>
      <c r="AB24">
        <v>89700</v>
      </c>
      <c r="AC24">
        <v>89700</v>
      </c>
      <c r="AD24" t="b">
        <f t="shared" si="7"/>
        <v>1</v>
      </c>
      <c r="AE24">
        <v>0</v>
      </c>
      <c r="AF24">
        <v>0</v>
      </c>
      <c r="AG24" t="b">
        <f t="shared" si="8"/>
        <v>1</v>
      </c>
      <c r="AH24">
        <v>89700</v>
      </c>
      <c r="AI24">
        <v>89700</v>
      </c>
      <c r="AJ24" t="b">
        <f t="shared" si="9"/>
        <v>1</v>
      </c>
      <c r="AK24">
        <v>0</v>
      </c>
      <c r="AL24">
        <v>100000</v>
      </c>
      <c r="AM24" t="b">
        <f t="shared" si="10"/>
        <v>0</v>
      </c>
    </row>
    <row r="25" spans="1:39">
      <c r="A25">
        <v>45780</v>
      </c>
      <c r="B25" t="s">
        <v>31</v>
      </c>
      <c r="C25" t="s">
        <v>356</v>
      </c>
      <c r="D25" t="s">
        <v>45</v>
      </c>
      <c r="E25" t="s">
        <v>73</v>
      </c>
      <c r="F25" t="s">
        <v>386</v>
      </c>
      <c r="G25">
        <v>80014</v>
      </c>
      <c r="H25">
        <v>80014</v>
      </c>
      <c r="I25" t="b">
        <f t="shared" si="11"/>
        <v>1</v>
      </c>
      <c r="J25">
        <v>0</v>
      </c>
      <c r="K25">
        <v>0</v>
      </c>
      <c r="L25" t="b">
        <f t="shared" si="1"/>
        <v>1</v>
      </c>
      <c r="M25">
        <v>80014</v>
      </c>
      <c r="N25">
        <v>80014</v>
      </c>
      <c r="O25" t="b">
        <f t="shared" si="2"/>
        <v>1</v>
      </c>
      <c r="P25">
        <v>0</v>
      </c>
      <c r="Q25">
        <v>0</v>
      </c>
      <c r="R25" t="b">
        <f t="shared" si="3"/>
        <v>1</v>
      </c>
      <c r="S25">
        <v>80014</v>
      </c>
      <c r="T25">
        <v>80014</v>
      </c>
      <c r="U25" t="b">
        <f t="shared" si="12"/>
        <v>1</v>
      </c>
      <c r="V25">
        <v>0</v>
      </c>
      <c r="W25">
        <v>0</v>
      </c>
      <c r="X25" t="b">
        <f t="shared" si="5"/>
        <v>1</v>
      </c>
      <c r="Y25">
        <v>0</v>
      </c>
      <c r="Z25">
        <v>0</v>
      </c>
      <c r="AA25" t="b">
        <f t="shared" si="6"/>
        <v>1</v>
      </c>
      <c r="AB25">
        <v>55014</v>
      </c>
      <c r="AC25">
        <v>55014</v>
      </c>
      <c r="AD25" t="b">
        <f t="shared" si="7"/>
        <v>1</v>
      </c>
      <c r="AE25">
        <v>0</v>
      </c>
      <c r="AF25">
        <v>0</v>
      </c>
      <c r="AG25" t="b">
        <f t="shared" si="8"/>
        <v>1</v>
      </c>
      <c r="AH25">
        <v>55014</v>
      </c>
      <c r="AI25">
        <v>55014</v>
      </c>
      <c r="AJ25" t="b">
        <f t="shared" si="9"/>
        <v>1</v>
      </c>
      <c r="AK25">
        <v>80014</v>
      </c>
      <c r="AL25">
        <v>80014</v>
      </c>
      <c r="AM25" t="b">
        <f t="shared" si="10"/>
        <v>1</v>
      </c>
    </row>
    <row r="26" spans="1:39">
      <c r="A26">
        <v>45780</v>
      </c>
      <c r="B26" t="s">
        <v>27</v>
      </c>
      <c r="C26" t="s">
        <v>356</v>
      </c>
      <c r="D26" t="s">
        <v>47</v>
      </c>
      <c r="E26" t="s">
        <v>74</v>
      </c>
      <c r="F26" t="s">
        <v>387</v>
      </c>
      <c r="G26">
        <v>0</v>
      </c>
      <c r="H26">
        <v>0</v>
      </c>
      <c r="I26" t="b">
        <f t="shared" si="11"/>
        <v>1</v>
      </c>
      <c r="J26">
        <v>0</v>
      </c>
      <c r="K26">
        <v>0</v>
      </c>
      <c r="L26" t="b">
        <f t="shared" si="1"/>
        <v>1</v>
      </c>
      <c r="M26">
        <v>46575</v>
      </c>
      <c r="N26">
        <v>46575</v>
      </c>
      <c r="O26" t="b">
        <f t="shared" si="2"/>
        <v>1</v>
      </c>
      <c r="P26">
        <v>0</v>
      </c>
      <c r="Q26">
        <v>0</v>
      </c>
      <c r="R26" t="b">
        <f t="shared" si="3"/>
        <v>1</v>
      </c>
      <c r="S26">
        <v>46575</v>
      </c>
      <c r="T26">
        <v>46575</v>
      </c>
      <c r="U26" t="b">
        <f t="shared" si="12"/>
        <v>1</v>
      </c>
      <c r="V26">
        <v>0</v>
      </c>
      <c r="W26">
        <v>0</v>
      </c>
      <c r="X26" t="b">
        <f t="shared" si="5"/>
        <v>1</v>
      </c>
      <c r="Y26">
        <v>0</v>
      </c>
      <c r="Z26">
        <v>0</v>
      </c>
      <c r="AA26" t="b">
        <f t="shared" si="6"/>
        <v>1</v>
      </c>
      <c r="AB26">
        <v>36329</v>
      </c>
      <c r="AC26">
        <v>36329</v>
      </c>
      <c r="AD26" t="b">
        <f t="shared" si="7"/>
        <v>1</v>
      </c>
      <c r="AE26">
        <v>0</v>
      </c>
      <c r="AF26">
        <v>0</v>
      </c>
      <c r="AG26" t="b">
        <f t="shared" si="8"/>
        <v>1</v>
      </c>
      <c r="AH26">
        <v>36329</v>
      </c>
      <c r="AI26">
        <v>36329</v>
      </c>
      <c r="AJ26" t="b">
        <f t="shared" si="9"/>
        <v>1</v>
      </c>
      <c r="AK26">
        <v>0</v>
      </c>
      <c r="AL26">
        <v>0</v>
      </c>
      <c r="AM26" t="b">
        <f t="shared" si="10"/>
        <v>1</v>
      </c>
    </row>
    <row r="27" spans="1:39">
      <c r="A27">
        <v>45780</v>
      </c>
      <c r="B27" t="s">
        <v>31</v>
      </c>
      <c r="C27" t="s">
        <v>356</v>
      </c>
      <c r="D27" t="s">
        <v>66</v>
      </c>
      <c r="E27" t="s">
        <v>75</v>
      </c>
      <c r="F27" t="s">
        <v>388</v>
      </c>
      <c r="G27">
        <v>0</v>
      </c>
      <c r="H27">
        <v>0</v>
      </c>
      <c r="I27" t="b">
        <f t="shared" si="11"/>
        <v>1</v>
      </c>
      <c r="J27">
        <v>0</v>
      </c>
      <c r="K27">
        <v>0</v>
      </c>
      <c r="L27" t="b">
        <f t="shared" si="1"/>
        <v>1</v>
      </c>
      <c r="M27">
        <v>535700</v>
      </c>
      <c r="N27">
        <v>535700</v>
      </c>
      <c r="O27" t="b">
        <f t="shared" si="2"/>
        <v>1</v>
      </c>
      <c r="P27">
        <v>0</v>
      </c>
      <c r="Q27">
        <v>0</v>
      </c>
      <c r="R27" t="b">
        <f t="shared" si="3"/>
        <v>1</v>
      </c>
      <c r="S27">
        <v>535700</v>
      </c>
      <c r="T27">
        <v>535700</v>
      </c>
      <c r="U27" t="b">
        <f t="shared" si="12"/>
        <v>1</v>
      </c>
      <c r="V27">
        <v>0</v>
      </c>
      <c r="W27">
        <v>0</v>
      </c>
      <c r="X27" t="b">
        <f t="shared" si="5"/>
        <v>1</v>
      </c>
      <c r="Y27">
        <v>0</v>
      </c>
      <c r="Z27">
        <v>0</v>
      </c>
      <c r="AA27" t="b">
        <f t="shared" si="6"/>
        <v>1</v>
      </c>
      <c r="AB27">
        <v>425700</v>
      </c>
      <c r="AC27">
        <v>425700</v>
      </c>
      <c r="AD27" t="b">
        <f t="shared" si="7"/>
        <v>1</v>
      </c>
      <c r="AE27">
        <v>0</v>
      </c>
      <c r="AF27">
        <v>0</v>
      </c>
      <c r="AG27" t="b">
        <f t="shared" si="8"/>
        <v>1</v>
      </c>
      <c r="AH27">
        <v>425700</v>
      </c>
      <c r="AI27">
        <v>425700</v>
      </c>
      <c r="AJ27" t="b">
        <f t="shared" si="9"/>
        <v>1</v>
      </c>
      <c r="AK27">
        <v>0</v>
      </c>
      <c r="AL27">
        <v>0</v>
      </c>
      <c r="AM27" t="b">
        <f t="shared" si="10"/>
        <v>1</v>
      </c>
    </row>
    <row r="28" hidden="1" spans="1:39">
      <c r="A28">
        <v>45780</v>
      </c>
      <c r="B28" t="s">
        <v>59</v>
      </c>
      <c r="C28" t="s">
        <v>356</v>
      </c>
      <c r="D28" t="s">
        <v>76</v>
      </c>
      <c r="E28" t="s">
        <v>77</v>
      </c>
      <c r="F28" t="s">
        <v>389</v>
      </c>
      <c r="G28">
        <v>359765</v>
      </c>
      <c r="H28">
        <v>359765</v>
      </c>
      <c r="I28" t="b">
        <f t="shared" si="11"/>
        <v>1</v>
      </c>
      <c r="J28">
        <v>0</v>
      </c>
      <c r="K28">
        <v>0</v>
      </c>
      <c r="L28" t="b">
        <f t="shared" si="1"/>
        <v>1</v>
      </c>
      <c r="M28">
        <v>349765</v>
      </c>
      <c r="N28">
        <v>349765</v>
      </c>
      <c r="O28" t="b">
        <f t="shared" si="2"/>
        <v>1</v>
      </c>
      <c r="P28">
        <v>0</v>
      </c>
      <c r="Q28">
        <v>0</v>
      </c>
      <c r="R28" t="b">
        <f t="shared" si="3"/>
        <v>1</v>
      </c>
      <c r="S28">
        <v>349765</v>
      </c>
      <c r="T28">
        <v>349765</v>
      </c>
      <c r="U28" t="b">
        <f t="shared" si="12"/>
        <v>1</v>
      </c>
      <c r="V28">
        <v>265000</v>
      </c>
      <c r="W28">
        <v>266143</v>
      </c>
      <c r="X28" t="b">
        <f t="shared" si="5"/>
        <v>0</v>
      </c>
      <c r="Y28">
        <v>81190</v>
      </c>
      <c r="Z28">
        <v>81190</v>
      </c>
      <c r="AA28" t="b">
        <f t="shared" si="6"/>
        <v>1</v>
      </c>
      <c r="AB28">
        <v>191630</v>
      </c>
      <c r="AC28">
        <v>191630</v>
      </c>
      <c r="AD28" t="b">
        <f t="shared" si="7"/>
        <v>1</v>
      </c>
      <c r="AE28">
        <v>0</v>
      </c>
      <c r="AF28">
        <v>0</v>
      </c>
      <c r="AG28" t="b">
        <f t="shared" si="8"/>
        <v>1</v>
      </c>
      <c r="AH28">
        <v>272820</v>
      </c>
      <c r="AI28">
        <v>272820</v>
      </c>
      <c r="AJ28" t="b">
        <f t="shared" si="9"/>
        <v>1</v>
      </c>
      <c r="AK28">
        <v>94765</v>
      </c>
      <c r="AL28">
        <v>93622</v>
      </c>
      <c r="AM28" t="b">
        <f t="shared" si="10"/>
        <v>0</v>
      </c>
    </row>
    <row r="29" spans="1:39">
      <c r="A29">
        <v>45780</v>
      </c>
      <c r="B29" t="s">
        <v>59</v>
      </c>
      <c r="C29" t="s">
        <v>356</v>
      </c>
      <c r="D29" t="s">
        <v>60</v>
      </c>
      <c r="E29" t="s">
        <v>390</v>
      </c>
      <c r="F29" t="s">
        <v>391</v>
      </c>
      <c r="G29">
        <v>25300</v>
      </c>
      <c r="H29">
        <v>25300</v>
      </c>
      <c r="I29" t="b">
        <f t="shared" si="11"/>
        <v>1</v>
      </c>
      <c r="J29">
        <v>25300</v>
      </c>
      <c r="K29">
        <v>25300</v>
      </c>
      <c r="L29" t="b">
        <f t="shared" si="1"/>
        <v>1</v>
      </c>
      <c r="M29">
        <v>0</v>
      </c>
      <c r="N29">
        <v>0</v>
      </c>
      <c r="O29" t="b">
        <f t="shared" si="2"/>
        <v>1</v>
      </c>
      <c r="P29">
        <v>0</v>
      </c>
      <c r="Q29">
        <v>0</v>
      </c>
      <c r="R29" t="b">
        <f t="shared" si="3"/>
        <v>1</v>
      </c>
      <c r="S29">
        <v>25300</v>
      </c>
      <c r="T29">
        <v>25300</v>
      </c>
      <c r="U29" t="b">
        <f t="shared" si="12"/>
        <v>1</v>
      </c>
      <c r="V29">
        <v>18000</v>
      </c>
      <c r="W29">
        <v>18000</v>
      </c>
      <c r="X29" t="b">
        <f t="shared" si="5"/>
        <v>1</v>
      </c>
      <c r="Y29">
        <v>18000</v>
      </c>
      <c r="Z29">
        <v>18000</v>
      </c>
      <c r="AA29" t="b">
        <f t="shared" si="6"/>
        <v>1</v>
      </c>
      <c r="AB29">
        <v>1734</v>
      </c>
      <c r="AC29">
        <v>1734</v>
      </c>
      <c r="AD29" t="b">
        <f t="shared" si="7"/>
        <v>1</v>
      </c>
      <c r="AE29">
        <v>0</v>
      </c>
      <c r="AF29">
        <v>0</v>
      </c>
      <c r="AG29" t="b">
        <f t="shared" si="8"/>
        <v>1</v>
      </c>
      <c r="AH29">
        <v>19734</v>
      </c>
      <c r="AI29">
        <v>19734</v>
      </c>
      <c r="AJ29" t="b">
        <f t="shared" si="9"/>
        <v>1</v>
      </c>
      <c r="AK29">
        <v>7300</v>
      </c>
      <c r="AL29">
        <v>7300</v>
      </c>
      <c r="AM29" t="b">
        <f t="shared" si="10"/>
        <v>1</v>
      </c>
    </row>
    <row r="30" hidden="1" spans="1:39">
      <c r="A30">
        <v>45780</v>
      </c>
      <c r="B30" t="s">
        <v>27</v>
      </c>
      <c r="C30" t="s">
        <v>356</v>
      </c>
      <c r="D30" t="s">
        <v>47</v>
      </c>
      <c r="E30" t="s">
        <v>392</v>
      </c>
      <c r="F30" t="s">
        <v>393</v>
      </c>
      <c r="G30">
        <v>870929</v>
      </c>
      <c r="H30">
        <v>870929.47</v>
      </c>
      <c r="I30" t="b">
        <f t="shared" si="11"/>
        <v>0</v>
      </c>
      <c r="J30">
        <v>0</v>
      </c>
      <c r="K30">
        <v>0</v>
      </c>
      <c r="L30" t="b">
        <f t="shared" si="1"/>
        <v>1</v>
      </c>
      <c r="M30">
        <v>0</v>
      </c>
      <c r="N30">
        <v>0</v>
      </c>
      <c r="O30" t="b">
        <f t="shared" si="2"/>
        <v>1</v>
      </c>
      <c r="P30">
        <v>0</v>
      </c>
      <c r="Q30">
        <v>0</v>
      </c>
      <c r="R30" t="b">
        <f t="shared" si="3"/>
        <v>1</v>
      </c>
      <c r="S30">
        <v>0</v>
      </c>
      <c r="T30">
        <v>0</v>
      </c>
      <c r="U30" t="b">
        <f t="shared" si="12"/>
        <v>1</v>
      </c>
      <c r="V30">
        <v>0</v>
      </c>
      <c r="W30">
        <v>0</v>
      </c>
      <c r="X30" t="b">
        <f t="shared" si="5"/>
        <v>1</v>
      </c>
      <c r="Y30">
        <v>0</v>
      </c>
      <c r="Z30">
        <v>0</v>
      </c>
      <c r="AA30" t="b">
        <f t="shared" si="6"/>
        <v>1</v>
      </c>
      <c r="AB30">
        <v>0</v>
      </c>
      <c r="AC30">
        <v>0</v>
      </c>
      <c r="AD30" t="b">
        <f t="shared" si="7"/>
        <v>1</v>
      </c>
      <c r="AE30">
        <v>0</v>
      </c>
      <c r="AF30">
        <v>0</v>
      </c>
      <c r="AG30" t="b">
        <f t="shared" si="8"/>
        <v>1</v>
      </c>
      <c r="AH30">
        <v>0</v>
      </c>
      <c r="AI30">
        <v>0</v>
      </c>
      <c r="AJ30" t="b">
        <f t="shared" si="9"/>
        <v>1</v>
      </c>
      <c r="AK30">
        <v>870929</v>
      </c>
      <c r="AL30">
        <v>870929.47</v>
      </c>
      <c r="AM30" t="b">
        <f t="shared" si="10"/>
        <v>0</v>
      </c>
    </row>
    <row r="31" spans="1:39">
      <c r="A31">
        <v>45780</v>
      </c>
      <c r="B31" t="s">
        <v>31</v>
      </c>
      <c r="C31" t="s">
        <v>356</v>
      </c>
      <c r="D31" t="s">
        <v>45</v>
      </c>
      <c r="E31" t="s">
        <v>80</v>
      </c>
      <c r="F31" t="s">
        <v>394</v>
      </c>
      <c r="G31">
        <v>0</v>
      </c>
      <c r="H31">
        <v>0</v>
      </c>
      <c r="I31" t="b">
        <f t="shared" si="11"/>
        <v>1</v>
      </c>
      <c r="J31">
        <v>0</v>
      </c>
      <c r="K31">
        <v>0</v>
      </c>
      <c r="L31" t="b">
        <f t="shared" si="1"/>
        <v>1</v>
      </c>
      <c r="M31">
        <v>179520</v>
      </c>
      <c r="N31">
        <v>179520</v>
      </c>
      <c r="O31" t="b">
        <f t="shared" si="2"/>
        <v>1</v>
      </c>
      <c r="P31">
        <v>0</v>
      </c>
      <c r="Q31">
        <v>0</v>
      </c>
      <c r="R31" t="b">
        <f t="shared" si="3"/>
        <v>1</v>
      </c>
      <c r="S31">
        <v>179520</v>
      </c>
      <c r="T31">
        <v>179520</v>
      </c>
      <c r="U31" t="b">
        <f t="shared" si="12"/>
        <v>1</v>
      </c>
      <c r="V31">
        <v>0</v>
      </c>
      <c r="W31">
        <v>0</v>
      </c>
      <c r="X31" t="b">
        <f t="shared" si="5"/>
        <v>1</v>
      </c>
      <c r="Y31">
        <v>0</v>
      </c>
      <c r="Z31">
        <v>0</v>
      </c>
      <c r="AA31" t="b">
        <f t="shared" si="6"/>
        <v>1</v>
      </c>
      <c r="AB31">
        <v>120000</v>
      </c>
      <c r="AC31">
        <v>120000</v>
      </c>
      <c r="AD31" t="b">
        <f t="shared" si="7"/>
        <v>1</v>
      </c>
      <c r="AE31">
        <v>0</v>
      </c>
      <c r="AF31">
        <v>0</v>
      </c>
      <c r="AG31" t="b">
        <f t="shared" si="8"/>
        <v>1</v>
      </c>
      <c r="AH31">
        <v>120000</v>
      </c>
      <c r="AI31">
        <v>120000</v>
      </c>
      <c r="AJ31" t="b">
        <f t="shared" si="9"/>
        <v>1</v>
      </c>
      <c r="AK31">
        <v>0</v>
      </c>
      <c r="AL31">
        <v>0</v>
      </c>
      <c r="AM31" t="b">
        <f t="shared" si="10"/>
        <v>1</v>
      </c>
    </row>
    <row r="32" hidden="1" spans="1:39">
      <c r="A32">
        <v>45780</v>
      </c>
      <c r="B32" t="s">
        <v>27</v>
      </c>
      <c r="C32" t="s">
        <v>356</v>
      </c>
      <c r="D32" t="s">
        <v>81</v>
      </c>
      <c r="E32" t="s">
        <v>82</v>
      </c>
      <c r="F32" t="s">
        <v>395</v>
      </c>
      <c r="G32">
        <v>1106160</v>
      </c>
      <c r="H32">
        <v>1106160</v>
      </c>
      <c r="I32" t="b">
        <f t="shared" si="11"/>
        <v>1</v>
      </c>
      <c r="J32">
        <v>553080</v>
      </c>
      <c r="K32">
        <v>553080</v>
      </c>
      <c r="L32" t="b">
        <f t="shared" si="1"/>
        <v>1</v>
      </c>
      <c r="M32">
        <v>0</v>
      </c>
      <c r="N32">
        <v>0</v>
      </c>
      <c r="O32" t="b">
        <f t="shared" si="2"/>
        <v>1</v>
      </c>
      <c r="P32">
        <v>0</v>
      </c>
      <c r="Q32">
        <v>0</v>
      </c>
      <c r="R32" t="b">
        <f t="shared" si="3"/>
        <v>1</v>
      </c>
      <c r="S32">
        <v>553080</v>
      </c>
      <c r="T32">
        <v>553080</v>
      </c>
      <c r="U32" t="b">
        <f t="shared" si="12"/>
        <v>1</v>
      </c>
      <c r="V32">
        <v>124750</v>
      </c>
      <c r="W32">
        <v>136979</v>
      </c>
      <c r="X32" t="b">
        <f t="shared" si="5"/>
        <v>0</v>
      </c>
      <c r="Y32">
        <v>125979</v>
      </c>
      <c r="Z32">
        <v>125979</v>
      </c>
      <c r="AA32" t="b">
        <f t="shared" si="6"/>
        <v>1</v>
      </c>
      <c r="AB32">
        <v>305423</v>
      </c>
      <c r="AC32">
        <v>305423</v>
      </c>
      <c r="AD32" t="b">
        <f t="shared" si="7"/>
        <v>1</v>
      </c>
      <c r="AE32">
        <v>0</v>
      </c>
      <c r="AF32">
        <v>0</v>
      </c>
      <c r="AG32" t="b">
        <f t="shared" si="8"/>
        <v>1</v>
      </c>
      <c r="AH32">
        <v>431402</v>
      </c>
      <c r="AI32">
        <v>431402</v>
      </c>
      <c r="AJ32" t="b">
        <f t="shared" si="9"/>
        <v>1</v>
      </c>
      <c r="AK32">
        <v>981410</v>
      </c>
      <c r="AL32">
        <v>969181</v>
      </c>
      <c r="AM32" t="b">
        <f t="shared" si="10"/>
        <v>0</v>
      </c>
    </row>
    <row r="33" spans="1:39">
      <c r="A33">
        <v>45780</v>
      </c>
      <c r="B33" t="s">
        <v>27</v>
      </c>
      <c r="C33" t="s">
        <v>356</v>
      </c>
      <c r="D33" t="s">
        <v>47</v>
      </c>
      <c r="E33" t="s">
        <v>83</v>
      </c>
      <c r="F33" t="s">
        <v>396</v>
      </c>
      <c r="G33">
        <v>822404</v>
      </c>
      <c r="H33">
        <v>822404</v>
      </c>
      <c r="I33" t="b">
        <f t="shared" si="11"/>
        <v>1</v>
      </c>
      <c r="J33">
        <v>0</v>
      </c>
      <c r="K33">
        <v>0</v>
      </c>
      <c r="L33" t="b">
        <f t="shared" si="1"/>
        <v>1</v>
      </c>
      <c r="M33">
        <v>0</v>
      </c>
      <c r="N33">
        <v>0</v>
      </c>
      <c r="O33" t="b">
        <f t="shared" si="2"/>
        <v>1</v>
      </c>
      <c r="P33">
        <v>0</v>
      </c>
      <c r="Q33">
        <v>0</v>
      </c>
      <c r="R33" t="b">
        <f t="shared" si="3"/>
        <v>1</v>
      </c>
      <c r="S33">
        <v>0</v>
      </c>
      <c r="T33">
        <v>0</v>
      </c>
      <c r="U33" t="b">
        <f t="shared" si="12"/>
        <v>1</v>
      </c>
      <c r="V33">
        <v>0</v>
      </c>
      <c r="W33">
        <v>0</v>
      </c>
      <c r="X33" t="b">
        <f t="shared" si="5"/>
        <v>1</v>
      </c>
      <c r="Y33">
        <v>0</v>
      </c>
      <c r="Z33">
        <v>0</v>
      </c>
      <c r="AA33" t="b">
        <f t="shared" si="6"/>
        <v>1</v>
      </c>
      <c r="AB33">
        <v>0</v>
      </c>
      <c r="AC33">
        <v>0</v>
      </c>
      <c r="AD33" t="b">
        <f t="shared" si="7"/>
        <v>1</v>
      </c>
      <c r="AE33">
        <v>0</v>
      </c>
      <c r="AF33">
        <v>0</v>
      </c>
      <c r="AG33" t="b">
        <f t="shared" si="8"/>
        <v>1</v>
      </c>
      <c r="AH33">
        <v>0</v>
      </c>
      <c r="AI33">
        <v>0</v>
      </c>
      <c r="AJ33" t="b">
        <f t="shared" si="9"/>
        <v>1</v>
      </c>
      <c r="AK33">
        <v>822404</v>
      </c>
      <c r="AL33">
        <v>822404</v>
      </c>
      <c r="AM33" t="b">
        <f t="shared" si="10"/>
        <v>1</v>
      </c>
    </row>
    <row r="34" hidden="1" spans="1:39">
      <c r="A34">
        <v>45780</v>
      </c>
      <c r="B34" t="s">
        <v>59</v>
      </c>
      <c r="C34" t="s">
        <v>356</v>
      </c>
      <c r="D34" t="s">
        <v>76</v>
      </c>
      <c r="E34" t="s">
        <v>84</v>
      </c>
      <c r="F34" t="s">
        <v>397</v>
      </c>
      <c r="G34">
        <v>394253</v>
      </c>
      <c r="H34">
        <v>394253</v>
      </c>
      <c r="I34" t="b">
        <f t="shared" si="11"/>
        <v>1</v>
      </c>
      <c r="J34">
        <v>0</v>
      </c>
      <c r="K34">
        <v>0</v>
      </c>
      <c r="L34" t="b">
        <f t="shared" si="1"/>
        <v>1</v>
      </c>
      <c r="M34">
        <v>361880</v>
      </c>
      <c r="N34">
        <v>361880</v>
      </c>
      <c r="O34" t="b">
        <f t="shared" si="2"/>
        <v>1</v>
      </c>
      <c r="P34">
        <v>0</v>
      </c>
      <c r="Q34">
        <v>0</v>
      </c>
      <c r="R34" t="b">
        <f t="shared" si="3"/>
        <v>1</v>
      </c>
      <c r="S34">
        <v>361880</v>
      </c>
      <c r="T34">
        <v>361880</v>
      </c>
      <c r="U34" t="b">
        <f t="shared" si="12"/>
        <v>1</v>
      </c>
      <c r="V34">
        <v>0</v>
      </c>
      <c r="W34">
        <v>6379</v>
      </c>
      <c r="X34" t="b">
        <f t="shared" si="5"/>
        <v>0</v>
      </c>
      <c r="Y34">
        <v>6379</v>
      </c>
      <c r="Z34">
        <v>6379</v>
      </c>
      <c r="AA34" t="b">
        <f t="shared" si="6"/>
        <v>1</v>
      </c>
      <c r="AB34">
        <v>275886</v>
      </c>
      <c r="AC34">
        <v>275886</v>
      </c>
      <c r="AD34" t="b">
        <f t="shared" si="7"/>
        <v>1</v>
      </c>
      <c r="AE34">
        <v>0</v>
      </c>
      <c r="AF34">
        <v>0</v>
      </c>
      <c r="AG34" t="b">
        <f t="shared" si="8"/>
        <v>1</v>
      </c>
      <c r="AH34">
        <v>282265</v>
      </c>
      <c r="AI34">
        <v>282265</v>
      </c>
      <c r="AJ34" t="b">
        <f t="shared" si="9"/>
        <v>1</v>
      </c>
      <c r="AK34">
        <v>394253</v>
      </c>
      <c r="AL34">
        <v>387874</v>
      </c>
      <c r="AM34" t="b">
        <f t="shared" si="10"/>
        <v>0</v>
      </c>
    </row>
    <row r="35" spans="1:39">
      <c r="A35">
        <v>45780</v>
      </c>
      <c r="B35" t="s">
        <v>31</v>
      </c>
      <c r="C35" t="s">
        <v>356</v>
      </c>
      <c r="D35" t="s">
        <v>85</v>
      </c>
      <c r="E35" t="s">
        <v>86</v>
      </c>
      <c r="F35" t="s">
        <v>398</v>
      </c>
      <c r="G35">
        <v>11232890</v>
      </c>
      <c r="H35">
        <v>11232890</v>
      </c>
      <c r="I35" t="b">
        <f t="shared" si="11"/>
        <v>1</v>
      </c>
      <c r="J35">
        <v>0</v>
      </c>
      <c r="K35">
        <v>0</v>
      </c>
      <c r="L35" t="b">
        <f t="shared" si="1"/>
        <v>1</v>
      </c>
      <c r="M35">
        <v>0</v>
      </c>
      <c r="N35">
        <v>0</v>
      </c>
      <c r="O35" t="b">
        <f t="shared" si="2"/>
        <v>1</v>
      </c>
      <c r="P35">
        <v>0</v>
      </c>
      <c r="Q35">
        <v>0</v>
      </c>
      <c r="R35" t="b">
        <f t="shared" si="3"/>
        <v>1</v>
      </c>
      <c r="S35">
        <v>0</v>
      </c>
      <c r="T35">
        <v>0</v>
      </c>
      <c r="U35" t="b">
        <f t="shared" si="12"/>
        <v>1</v>
      </c>
      <c r="V35">
        <v>4000</v>
      </c>
      <c r="W35">
        <v>4000</v>
      </c>
      <c r="X35" t="b">
        <f t="shared" si="5"/>
        <v>1</v>
      </c>
      <c r="Y35">
        <v>4000</v>
      </c>
      <c r="Z35">
        <v>4000</v>
      </c>
      <c r="AA35" t="b">
        <f t="shared" si="6"/>
        <v>1</v>
      </c>
      <c r="AB35">
        <v>4000</v>
      </c>
      <c r="AC35">
        <v>4000</v>
      </c>
      <c r="AD35" t="b">
        <f t="shared" si="7"/>
        <v>1</v>
      </c>
      <c r="AE35">
        <v>0</v>
      </c>
      <c r="AF35">
        <v>0</v>
      </c>
      <c r="AG35" t="b">
        <f t="shared" si="8"/>
        <v>1</v>
      </c>
      <c r="AH35">
        <v>0</v>
      </c>
      <c r="AI35">
        <v>0</v>
      </c>
      <c r="AJ35" t="b">
        <f t="shared" si="9"/>
        <v>1</v>
      </c>
      <c r="AK35">
        <v>11228890</v>
      </c>
      <c r="AL35">
        <v>11228890</v>
      </c>
      <c r="AM35" t="b">
        <f t="shared" si="10"/>
        <v>1</v>
      </c>
    </row>
    <row r="36" hidden="1" spans="1:39">
      <c r="A36">
        <v>45780</v>
      </c>
      <c r="B36" t="s">
        <v>31</v>
      </c>
      <c r="C36" t="s">
        <v>356</v>
      </c>
      <c r="D36" t="s">
        <v>87</v>
      </c>
      <c r="E36" t="s">
        <v>399</v>
      </c>
      <c r="F36" t="s">
        <v>400</v>
      </c>
      <c r="G36">
        <v>723561.28</v>
      </c>
      <c r="H36">
        <v>723561.28</v>
      </c>
      <c r="I36" t="b">
        <f t="shared" si="11"/>
        <v>1</v>
      </c>
      <c r="J36">
        <v>0</v>
      </c>
      <c r="K36">
        <v>0</v>
      </c>
      <c r="L36" t="b">
        <f t="shared" si="1"/>
        <v>1</v>
      </c>
      <c r="M36">
        <v>703084</v>
      </c>
      <c r="N36">
        <v>703084</v>
      </c>
      <c r="O36" t="b">
        <f t="shared" si="2"/>
        <v>1</v>
      </c>
      <c r="P36">
        <v>0</v>
      </c>
      <c r="Q36">
        <v>0</v>
      </c>
      <c r="R36" t="b">
        <f t="shared" si="3"/>
        <v>1</v>
      </c>
      <c r="S36">
        <v>703084</v>
      </c>
      <c r="T36">
        <v>703084</v>
      </c>
      <c r="U36" t="b">
        <f t="shared" si="12"/>
        <v>1</v>
      </c>
      <c r="V36">
        <v>443795</v>
      </c>
      <c r="W36">
        <v>451057</v>
      </c>
      <c r="X36" t="b">
        <f t="shared" si="5"/>
        <v>0</v>
      </c>
      <c r="Y36">
        <v>446136</v>
      </c>
      <c r="Z36">
        <v>446136</v>
      </c>
      <c r="AA36" t="b">
        <f t="shared" si="6"/>
        <v>1</v>
      </c>
      <c r="AB36">
        <v>179044</v>
      </c>
      <c r="AC36">
        <v>179044</v>
      </c>
      <c r="AD36" t="b">
        <f t="shared" si="7"/>
        <v>1</v>
      </c>
      <c r="AE36">
        <v>0</v>
      </c>
      <c r="AF36">
        <v>0</v>
      </c>
      <c r="AG36" t="b">
        <f t="shared" si="8"/>
        <v>1</v>
      </c>
      <c r="AH36">
        <v>625180</v>
      </c>
      <c r="AI36">
        <v>625180</v>
      </c>
      <c r="AJ36" t="b">
        <f t="shared" si="9"/>
        <v>1</v>
      </c>
      <c r="AK36">
        <v>279766.28</v>
      </c>
      <c r="AL36">
        <v>272504.28</v>
      </c>
      <c r="AM36" t="b">
        <f t="shared" si="10"/>
        <v>0</v>
      </c>
    </row>
    <row r="37" spans="1:39">
      <c r="A37">
        <v>45780</v>
      </c>
      <c r="B37" t="s">
        <v>31</v>
      </c>
      <c r="C37" t="s">
        <v>356</v>
      </c>
      <c r="D37" t="s">
        <v>89</v>
      </c>
      <c r="E37" t="s">
        <v>90</v>
      </c>
      <c r="F37" t="s">
        <v>401</v>
      </c>
      <c r="G37">
        <v>30800</v>
      </c>
      <c r="H37">
        <v>30800</v>
      </c>
      <c r="I37" t="b">
        <f t="shared" si="11"/>
        <v>1</v>
      </c>
      <c r="J37">
        <v>0</v>
      </c>
      <c r="K37">
        <v>0</v>
      </c>
      <c r="L37" t="b">
        <f t="shared" si="1"/>
        <v>1</v>
      </c>
      <c r="M37">
        <v>30800</v>
      </c>
      <c r="N37">
        <v>30800</v>
      </c>
      <c r="O37" t="b">
        <f t="shared" si="2"/>
        <v>1</v>
      </c>
      <c r="P37">
        <v>0</v>
      </c>
      <c r="Q37">
        <v>0</v>
      </c>
      <c r="R37" t="b">
        <f t="shared" si="3"/>
        <v>1</v>
      </c>
      <c r="S37">
        <v>30800</v>
      </c>
      <c r="T37">
        <v>30800</v>
      </c>
      <c r="U37" t="b">
        <f t="shared" si="12"/>
        <v>1</v>
      </c>
      <c r="V37">
        <v>0</v>
      </c>
      <c r="W37">
        <v>0</v>
      </c>
      <c r="X37" t="b">
        <f t="shared" si="5"/>
        <v>1</v>
      </c>
      <c r="Y37">
        <v>0</v>
      </c>
      <c r="Z37">
        <v>0</v>
      </c>
      <c r="AA37" t="b">
        <f t="shared" si="6"/>
        <v>1</v>
      </c>
      <c r="AB37">
        <v>24000</v>
      </c>
      <c r="AC37">
        <v>24000</v>
      </c>
      <c r="AD37" t="b">
        <f t="shared" si="7"/>
        <v>1</v>
      </c>
      <c r="AE37">
        <v>0</v>
      </c>
      <c r="AF37">
        <v>0</v>
      </c>
      <c r="AG37" t="b">
        <f t="shared" si="8"/>
        <v>1</v>
      </c>
      <c r="AH37">
        <v>24000</v>
      </c>
      <c r="AI37">
        <v>24000</v>
      </c>
      <c r="AJ37" t="b">
        <f t="shared" si="9"/>
        <v>1</v>
      </c>
      <c r="AK37">
        <v>30800</v>
      </c>
      <c r="AL37">
        <v>30800</v>
      </c>
      <c r="AM37" t="b">
        <f t="shared" si="10"/>
        <v>1</v>
      </c>
    </row>
    <row r="38" hidden="1" spans="1:39">
      <c r="A38">
        <v>45780</v>
      </c>
      <c r="B38" t="s">
        <v>38</v>
      </c>
      <c r="C38" t="s">
        <v>356</v>
      </c>
      <c r="D38" t="s">
        <v>91</v>
      </c>
      <c r="E38" t="s">
        <v>92</v>
      </c>
      <c r="F38" t="s">
        <v>402</v>
      </c>
      <c r="G38">
        <v>1800000</v>
      </c>
      <c r="H38">
        <v>1800000</v>
      </c>
      <c r="I38" t="b">
        <f t="shared" si="11"/>
        <v>1</v>
      </c>
      <c r="J38">
        <v>0</v>
      </c>
      <c r="K38">
        <v>0</v>
      </c>
      <c r="L38" t="b">
        <f t="shared" si="1"/>
        <v>1</v>
      </c>
      <c r="M38">
        <v>0</v>
      </c>
      <c r="N38">
        <v>0</v>
      </c>
      <c r="O38" t="b">
        <f t="shared" si="2"/>
        <v>1</v>
      </c>
      <c r="P38">
        <v>0</v>
      </c>
      <c r="Q38">
        <v>0</v>
      </c>
      <c r="R38" t="b">
        <f t="shared" si="3"/>
        <v>1</v>
      </c>
      <c r="S38">
        <v>0</v>
      </c>
      <c r="T38">
        <v>0</v>
      </c>
      <c r="U38" t="b">
        <f t="shared" si="12"/>
        <v>1</v>
      </c>
      <c r="V38">
        <v>899727.19</v>
      </c>
      <c r="W38">
        <v>899726.73</v>
      </c>
      <c r="X38" t="b">
        <f t="shared" si="5"/>
        <v>0</v>
      </c>
      <c r="Y38">
        <v>0</v>
      </c>
      <c r="Z38">
        <v>0</v>
      </c>
      <c r="AA38" t="b">
        <f t="shared" si="6"/>
        <v>1</v>
      </c>
      <c r="AB38">
        <v>0</v>
      </c>
      <c r="AC38">
        <v>0</v>
      </c>
      <c r="AD38" t="b">
        <f t="shared" si="7"/>
        <v>1</v>
      </c>
      <c r="AE38">
        <v>0</v>
      </c>
      <c r="AF38">
        <v>0</v>
      </c>
      <c r="AG38" t="b">
        <f t="shared" si="8"/>
        <v>1</v>
      </c>
      <c r="AH38">
        <v>0</v>
      </c>
      <c r="AI38">
        <v>0</v>
      </c>
      <c r="AJ38" t="b">
        <f t="shared" si="9"/>
        <v>1</v>
      </c>
      <c r="AK38">
        <v>900272.81</v>
      </c>
      <c r="AL38">
        <v>900273.27</v>
      </c>
      <c r="AM38" t="b">
        <f t="shared" si="10"/>
        <v>0</v>
      </c>
    </row>
    <row r="39" spans="1:39">
      <c r="A39">
        <v>45780</v>
      </c>
      <c r="B39" t="s">
        <v>38</v>
      </c>
      <c r="C39" t="s">
        <v>356</v>
      </c>
      <c r="D39" t="s">
        <v>93</v>
      </c>
      <c r="E39" t="s">
        <v>94</v>
      </c>
      <c r="F39" t="s">
        <v>403</v>
      </c>
      <c r="G39">
        <v>437265</v>
      </c>
      <c r="H39">
        <v>437265</v>
      </c>
      <c r="I39" t="b">
        <f t="shared" si="11"/>
        <v>1</v>
      </c>
      <c r="J39">
        <v>0</v>
      </c>
      <c r="K39">
        <v>0</v>
      </c>
      <c r="L39" t="b">
        <f t="shared" si="1"/>
        <v>1</v>
      </c>
      <c r="M39">
        <v>437265</v>
      </c>
      <c r="N39">
        <v>437265</v>
      </c>
      <c r="O39" t="b">
        <f t="shared" si="2"/>
        <v>1</v>
      </c>
      <c r="P39">
        <v>0</v>
      </c>
      <c r="Q39">
        <v>0</v>
      </c>
      <c r="R39" t="b">
        <f t="shared" si="3"/>
        <v>1</v>
      </c>
      <c r="S39">
        <v>437265</v>
      </c>
      <c r="T39">
        <v>437265</v>
      </c>
      <c r="U39" t="b">
        <f t="shared" si="12"/>
        <v>1</v>
      </c>
      <c r="V39">
        <v>0</v>
      </c>
      <c r="W39">
        <v>0</v>
      </c>
      <c r="X39" t="b">
        <f t="shared" si="5"/>
        <v>1</v>
      </c>
      <c r="Y39">
        <v>0</v>
      </c>
      <c r="Z39">
        <v>0</v>
      </c>
      <c r="AA39" t="b">
        <f t="shared" si="6"/>
        <v>1</v>
      </c>
      <c r="AB39">
        <v>337265</v>
      </c>
      <c r="AC39">
        <v>337265</v>
      </c>
      <c r="AD39" t="b">
        <f t="shared" si="7"/>
        <v>1</v>
      </c>
      <c r="AE39">
        <v>0</v>
      </c>
      <c r="AF39">
        <v>0</v>
      </c>
      <c r="AG39" t="b">
        <f t="shared" si="8"/>
        <v>1</v>
      </c>
      <c r="AH39">
        <v>337265</v>
      </c>
      <c r="AI39">
        <v>337265</v>
      </c>
      <c r="AJ39" t="b">
        <f t="shared" si="9"/>
        <v>1</v>
      </c>
      <c r="AK39">
        <v>437265</v>
      </c>
      <c r="AL39">
        <v>437265</v>
      </c>
      <c r="AM39" t="b">
        <f t="shared" si="10"/>
        <v>1</v>
      </c>
    </row>
    <row r="40" hidden="1" spans="1:39">
      <c r="A40">
        <v>45780</v>
      </c>
      <c r="B40" t="s">
        <v>38</v>
      </c>
      <c r="C40" t="s">
        <v>356</v>
      </c>
      <c r="D40" t="s">
        <v>39</v>
      </c>
      <c r="E40" t="s">
        <v>95</v>
      </c>
      <c r="F40" t="s">
        <v>404</v>
      </c>
      <c r="G40">
        <v>1719960</v>
      </c>
      <c r="H40">
        <v>1719960</v>
      </c>
      <c r="I40" t="b">
        <f t="shared" si="11"/>
        <v>1</v>
      </c>
      <c r="J40">
        <v>0</v>
      </c>
      <c r="K40">
        <v>0</v>
      </c>
      <c r="L40" t="b">
        <f t="shared" si="1"/>
        <v>1</v>
      </c>
      <c r="M40">
        <v>1719960</v>
      </c>
      <c r="N40">
        <v>1719960</v>
      </c>
      <c r="O40" t="b">
        <f t="shared" si="2"/>
        <v>1</v>
      </c>
      <c r="P40">
        <v>0</v>
      </c>
      <c r="Q40">
        <v>0</v>
      </c>
      <c r="R40" t="b">
        <f t="shared" si="3"/>
        <v>1</v>
      </c>
      <c r="S40">
        <v>1719960</v>
      </c>
      <c r="T40">
        <v>1719960</v>
      </c>
      <c r="U40" t="b">
        <f t="shared" si="12"/>
        <v>1</v>
      </c>
      <c r="V40">
        <v>410540</v>
      </c>
      <c r="W40">
        <v>1021316</v>
      </c>
      <c r="X40" t="b">
        <f t="shared" si="5"/>
        <v>0</v>
      </c>
      <c r="Y40">
        <v>0</v>
      </c>
      <c r="Z40">
        <v>7350</v>
      </c>
      <c r="AA40" t="b">
        <f t="shared" si="6"/>
        <v>0</v>
      </c>
      <c r="AB40">
        <v>1412610</v>
      </c>
      <c r="AC40">
        <v>1412610</v>
      </c>
      <c r="AD40" t="b">
        <f t="shared" si="7"/>
        <v>1</v>
      </c>
      <c r="AE40">
        <v>0</v>
      </c>
      <c r="AF40">
        <v>0</v>
      </c>
      <c r="AG40" t="b">
        <f t="shared" si="8"/>
        <v>1</v>
      </c>
      <c r="AH40">
        <v>1412610</v>
      </c>
      <c r="AI40">
        <v>1419960</v>
      </c>
      <c r="AJ40" t="b">
        <f t="shared" si="9"/>
        <v>0</v>
      </c>
      <c r="AK40">
        <v>1309420</v>
      </c>
      <c r="AL40">
        <v>698644</v>
      </c>
      <c r="AM40" t="b">
        <f t="shared" si="10"/>
        <v>0</v>
      </c>
    </row>
    <row r="41" hidden="1" spans="1:39">
      <c r="A41">
        <v>45780</v>
      </c>
      <c r="B41" t="s">
        <v>27</v>
      </c>
      <c r="C41" t="s">
        <v>356</v>
      </c>
      <c r="D41" t="s">
        <v>96</v>
      </c>
      <c r="E41" t="s">
        <v>97</v>
      </c>
      <c r="F41" t="s">
        <v>405</v>
      </c>
      <c r="G41">
        <v>11532500</v>
      </c>
      <c r="H41">
        <v>15498045</v>
      </c>
      <c r="I41" t="b">
        <f t="shared" si="11"/>
        <v>0</v>
      </c>
      <c r="J41">
        <v>0</v>
      </c>
      <c r="K41">
        <v>0</v>
      </c>
      <c r="L41" t="b">
        <f t="shared" si="1"/>
        <v>1</v>
      </c>
      <c r="M41">
        <v>0</v>
      </c>
      <c r="N41">
        <v>0</v>
      </c>
      <c r="O41" t="b">
        <f t="shared" si="2"/>
        <v>1</v>
      </c>
      <c r="P41">
        <v>0</v>
      </c>
      <c r="Q41">
        <v>0</v>
      </c>
      <c r="R41" t="b">
        <f t="shared" si="3"/>
        <v>1</v>
      </c>
      <c r="S41">
        <v>0</v>
      </c>
      <c r="T41">
        <v>0</v>
      </c>
      <c r="U41" t="b">
        <f t="shared" si="12"/>
        <v>1</v>
      </c>
      <c r="V41">
        <v>7315000</v>
      </c>
      <c r="W41">
        <v>7315000</v>
      </c>
      <c r="X41" t="b">
        <f t="shared" si="5"/>
        <v>1</v>
      </c>
      <c r="Y41">
        <v>0</v>
      </c>
      <c r="Z41">
        <v>0</v>
      </c>
      <c r="AA41" t="b">
        <f t="shared" si="6"/>
        <v>1</v>
      </c>
      <c r="AB41">
        <v>0</v>
      </c>
      <c r="AC41">
        <v>0</v>
      </c>
      <c r="AD41" t="b">
        <f t="shared" si="7"/>
        <v>1</v>
      </c>
      <c r="AE41">
        <v>0</v>
      </c>
      <c r="AF41">
        <v>0</v>
      </c>
      <c r="AG41" t="b">
        <f t="shared" si="8"/>
        <v>1</v>
      </c>
      <c r="AH41">
        <v>0</v>
      </c>
      <c r="AI41">
        <v>0</v>
      </c>
      <c r="AJ41" t="b">
        <f t="shared" si="9"/>
        <v>1</v>
      </c>
      <c r="AK41">
        <v>4217500</v>
      </c>
      <c r="AL41">
        <v>8183045</v>
      </c>
      <c r="AM41" t="b">
        <f t="shared" si="10"/>
        <v>0</v>
      </c>
    </row>
    <row r="42" hidden="1" spans="1:39">
      <c r="A42">
        <v>45780</v>
      </c>
      <c r="B42" t="s">
        <v>59</v>
      </c>
      <c r="C42" t="s">
        <v>356</v>
      </c>
      <c r="D42" t="s">
        <v>60</v>
      </c>
      <c r="E42" t="s">
        <v>98</v>
      </c>
      <c r="F42" t="s">
        <v>406</v>
      </c>
      <c r="G42">
        <v>706801.7</v>
      </c>
      <c r="H42">
        <v>706801.7</v>
      </c>
      <c r="I42" t="b">
        <f t="shared" si="11"/>
        <v>1</v>
      </c>
      <c r="J42">
        <v>706801.7</v>
      </c>
      <c r="K42">
        <v>706801.7</v>
      </c>
      <c r="L42" t="b">
        <f t="shared" si="1"/>
        <v>1</v>
      </c>
      <c r="M42">
        <v>0</v>
      </c>
      <c r="N42">
        <v>0</v>
      </c>
      <c r="O42" t="b">
        <f t="shared" si="2"/>
        <v>1</v>
      </c>
      <c r="P42">
        <v>0</v>
      </c>
      <c r="Q42">
        <v>0</v>
      </c>
      <c r="R42" t="b">
        <f t="shared" si="3"/>
        <v>1</v>
      </c>
      <c r="S42">
        <v>706801.7</v>
      </c>
      <c r="T42">
        <v>706801.7</v>
      </c>
      <c r="U42" t="b">
        <f t="shared" si="12"/>
        <v>1</v>
      </c>
      <c r="V42">
        <v>560504</v>
      </c>
      <c r="W42">
        <v>569191.04</v>
      </c>
      <c r="X42" t="b">
        <f t="shared" si="5"/>
        <v>0</v>
      </c>
      <c r="Y42">
        <v>569191.04</v>
      </c>
      <c r="Z42">
        <v>569191.04</v>
      </c>
      <c r="AA42" t="b">
        <f t="shared" si="6"/>
        <v>1</v>
      </c>
      <c r="AB42">
        <v>0</v>
      </c>
      <c r="AC42">
        <v>0</v>
      </c>
      <c r="AD42" t="b">
        <f t="shared" si="7"/>
        <v>1</v>
      </c>
      <c r="AE42">
        <v>0</v>
      </c>
      <c r="AF42">
        <v>0</v>
      </c>
      <c r="AG42" t="b">
        <f t="shared" si="8"/>
        <v>1</v>
      </c>
      <c r="AH42">
        <v>569191.04</v>
      </c>
      <c r="AI42">
        <v>569191.04</v>
      </c>
      <c r="AJ42" t="b">
        <f t="shared" si="9"/>
        <v>1</v>
      </c>
      <c r="AK42">
        <v>146297.7</v>
      </c>
      <c r="AL42">
        <v>137610.66</v>
      </c>
      <c r="AM42" t="b">
        <f t="shared" si="10"/>
        <v>0</v>
      </c>
    </row>
    <row r="43" hidden="1" spans="1:39">
      <c r="A43">
        <v>45780</v>
      </c>
      <c r="B43" t="s">
        <v>38</v>
      </c>
      <c r="C43" t="s">
        <v>356</v>
      </c>
      <c r="D43" t="s">
        <v>99</v>
      </c>
      <c r="E43" t="s">
        <v>100</v>
      </c>
      <c r="F43" t="s">
        <v>407</v>
      </c>
      <c r="G43">
        <v>0</v>
      </c>
      <c r="H43">
        <v>4235</v>
      </c>
      <c r="I43" t="b">
        <f t="shared" si="11"/>
        <v>0</v>
      </c>
      <c r="J43">
        <v>0</v>
      </c>
      <c r="K43">
        <v>4235</v>
      </c>
      <c r="L43" t="b">
        <f t="shared" si="1"/>
        <v>0</v>
      </c>
      <c r="M43">
        <v>3518535</v>
      </c>
      <c r="N43">
        <v>3518535</v>
      </c>
      <c r="O43" t="b">
        <f t="shared" si="2"/>
        <v>1</v>
      </c>
      <c r="P43">
        <v>0</v>
      </c>
      <c r="Q43">
        <v>0</v>
      </c>
      <c r="R43" t="b">
        <f t="shared" si="3"/>
        <v>1</v>
      </c>
      <c r="S43">
        <v>3518535</v>
      </c>
      <c r="T43">
        <v>3522770</v>
      </c>
      <c r="U43" t="b">
        <f t="shared" si="12"/>
        <v>0</v>
      </c>
      <c r="V43">
        <v>116203.5</v>
      </c>
      <c r="W43">
        <v>116203.5</v>
      </c>
      <c r="X43" t="b">
        <f t="shared" si="5"/>
        <v>1</v>
      </c>
      <c r="Y43">
        <v>0</v>
      </c>
      <c r="Z43">
        <v>0</v>
      </c>
      <c r="AA43" t="b">
        <f t="shared" si="6"/>
        <v>1</v>
      </c>
      <c r="AB43">
        <v>2810770</v>
      </c>
      <c r="AC43">
        <v>2810770</v>
      </c>
      <c r="AD43" t="b">
        <f t="shared" si="7"/>
        <v>1</v>
      </c>
      <c r="AE43">
        <v>0</v>
      </c>
      <c r="AF43">
        <v>0</v>
      </c>
      <c r="AG43" t="b">
        <f t="shared" si="8"/>
        <v>1</v>
      </c>
      <c r="AH43">
        <v>2810770</v>
      </c>
      <c r="AI43">
        <v>2810770</v>
      </c>
      <c r="AJ43" t="b">
        <f t="shared" si="9"/>
        <v>1</v>
      </c>
      <c r="AK43">
        <v>116203.5</v>
      </c>
      <c r="AL43">
        <v>111968.5</v>
      </c>
      <c r="AM43" t="b">
        <f t="shared" si="10"/>
        <v>0</v>
      </c>
    </row>
    <row r="44" hidden="1" spans="1:39">
      <c r="A44">
        <v>45780</v>
      </c>
      <c r="B44" t="s">
        <v>27</v>
      </c>
      <c r="C44" t="s">
        <v>356</v>
      </c>
      <c r="D44" t="s">
        <v>71</v>
      </c>
      <c r="E44" t="s">
        <v>408</v>
      </c>
      <c r="F44" t="s">
        <v>409</v>
      </c>
      <c r="G44">
        <v>1077740.44</v>
      </c>
      <c r="H44">
        <v>1077740.44</v>
      </c>
      <c r="I44" t="b">
        <f t="shared" si="11"/>
        <v>1</v>
      </c>
      <c r="J44">
        <v>0</v>
      </c>
      <c r="K44">
        <v>0</v>
      </c>
      <c r="L44" t="b">
        <f t="shared" si="1"/>
        <v>1</v>
      </c>
      <c r="M44">
        <v>1077740.44</v>
      </c>
      <c r="N44">
        <v>1077740.44</v>
      </c>
      <c r="O44" t="b">
        <f t="shared" si="2"/>
        <v>1</v>
      </c>
      <c r="P44">
        <v>0</v>
      </c>
      <c r="Q44">
        <v>0</v>
      </c>
      <c r="R44" t="b">
        <f t="shared" si="3"/>
        <v>1</v>
      </c>
      <c r="S44">
        <v>1077740.44</v>
      </c>
      <c r="T44">
        <v>1077740.44</v>
      </c>
      <c r="U44" t="b">
        <f t="shared" si="12"/>
        <v>1</v>
      </c>
      <c r="V44">
        <v>860280</v>
      </c>
      <c r="W44">
        <v>865381</v>
      </c>
      <c r="X44" t="b">
        <f t="shared" si="5"/>
        <v>0</v>
      </c>
      <c r="Y44">
        <v>57381</v>
      </c>
      <c r="Z44">
        <v>57381</v>
      </c>
      <c r="AA44" t="b">
        <f t="shared" si="6"/>
        <v>1</v>
      </c>
      <c r="AB44">
        <v>852619</v>
      </c>
      <c r="AC44">
        <v>852619</v>
      </c>
      <c r="AD44" t="b">
        <f t="shared" si="7"/>
        <v>1</v>
      </c>
      <c r="AE44">
        <v>0</v>
      </c>
      <c r="AF44">
        <v>0</v>
      </c>
      <c r="AG44" t="b">
        <f t="shared" si="8"/>
        <v>1</v>
      </c>
      <c r="AH44">
        <v>910000</v>
      </c>
      <c r="AI44">
        <v>910000</v>
      </c>
      <c r="AJ44" t="b">
        <f t="shared" si="9"/>
        <v>1</v>
      </c>
      <c r="AK44">
        <v>217460.44</v>
      </c>
      <c r="AL44">
        <v>212359.44</v>
      </c>
      <c r="AM44" t="b">
        <f t="shared" si="10"/>
        <v>0</v>
      </c>
    </row>
    <row r="45" spans="1:39">
      <c r="A45">
        <v>45780</v>
      </c>
      <c r="B45" t="s">
        <v>31</v>
      </c>
      <c r="C45" t="s">
        <v>356</v>
      </c>
      <c r="D45" t="s">
        <v>102</v>
      </c>
      <c r="E45" t="s">
        <v>103</v>
      </c>
      <c r="F45" t="s">
        <v>410</v>
      </c>
      <c r="G45">
        <v>4884790.86</v>
      </c>
      <c r="H45">
        <v>4884790.86</v>
      </c>
      <c r="I45" t="b">
        <f t="shared" si="11"/>
        <v>1</v>
      </c>
      <c r="J45">
        <v>0</v>
      </c>
      <c r="K45">
        <v>0</v>
      </c>
      <c r="L45" t="b">
        <f t="shared" si="1"/>
        <v>1</v>
      </c>
      <c r="M45">
        <v>4949340</v>
      </c>
      <c r="N45">
        <v>4949340</v>
      </c>
      <c r="O45" t="b">
        <f t="shared" si="2"/>
        <v>1</v>
      </c>
      <c r="P45">
        <v>0</v>
      </c>
      <c r="Q45">
        <v>0</v>
      </c>
      <c r="R45" t="b">
        <f t="shared" si="3"/>
        <v>1</v>
      </c>
      <c r="S45">
        <v>4949340</v>
      </c>
      <c r="T45">
        <v>4949340</v>
      </c>
      <c r="U45" t="b">
        <f t="shared" si="12"/>
        <v>1</v>
      </c>
      <c r="V45">
        <v>2135500</v>
      </c>
      <c r="W45">
        <v>2135500</v>
      </c>
      <c r="X45" t="b">
        <f t="shared" si="5"/>
        <v>1</v>
      </c>
      <c r="Y45">
        <v>1650000</v>
      </c>
      <c r="Z45">
        <v>1650000</v>
      </c>
      <c r="AA45" t="b">
        <f t="shared" si="6"/>
        <v>1</v>
      </c>
      <c r="AB45">
        <v>2299340</v>
      </c>
      <c r="AC45">
        <v>2299340</v>
      </c>
      <c r="AD45" t="b">
        <f t="shared" si="7"/>
        <v>1</v>
      </c>
      <c r="AE45">
        <v>0</v>
      </c>
      <c r="AF45">
        <v>0</v>
      </c>
      <c r="AG45" t="b">
        <f t="shared" si="8"/>
        <v>1</v>
      </c>
      <c r="AH45">
        <v>3949340</v>
      </c>
      <c r="AI45">
        <v>3949340</v>
      </c>
      <c r="AJ45" t="b">
        <f t="shared" si="9"/>
        <v>1</v>
      </c>
      <c r="AK45">
        <v>2749290.86</v>
      </c>
      <c r="AL45">
        <v>2749290.86</v>
      </c>
      <c r="AM45" t="b">
        <f t="shared" si="10"/>
        <v>1</v>
      </c>
    </row>
    <row r="46" hidden="1" spans="1:39">
      <c r="A46">
        <v>45780</v>
      </c>
      <c r="B46" t="s">
        <v>27</v>
      </c>
      <c r="C46" t="s">
        <v>356</v>
      </c>
      <c r="D46" t="s">
        <v>104</v>
      </c>
      <c r="E46" t="s">
        <v>105</v>
      </c>
      <c r="F46" t="s">
        <v>411</v>
      </c>
      <c r="G46">
        <v>617954</v>
      </c>
      <c r="H46">
        <v>617954</v>
      </c>
      <c r="I46" t="b">
        <f t="shared" si="11"/>
        <v>1</v>
      </c>
      <c r="J46">
        <v>0</v>
      </c>
      <c r="K46">
        <v>0</v>
      </c>
      <c r="L46" t="b">
        <f t="shared" si="1"/>
        <v>1</v>
      </c>
      <c r="M46">
        <v>617954</v>
      </c>
      <c r="N46">
        <v>617954</v>
      </c>
      <c r="O46" t="b">
        <f t="shared" si="2"/>
        <v>1</v>
      </c>
      <c r="P46">
        <v>0</v>
      </c>
      <c r="Q46">
        <v>0</v>
      </c>
      <c r="R46" t="b">
        <f t="shared" si="3"/>
        <v>1</v>
      </c>
      <c r="S46">
        <v>617954</v>
      </c>
      <c r="T46">
        <v>617954</v>
      </c>
      <c r="U46" t="b">
        <f t="shared" si="12"/>
        <v>1</v>
      </c>
      <c r="V46">
        <v>0</v>
      </c>
      <c r="W46">
        <v>5758</v>
      </c>
      <c r="X46" t="b">
        <f t="shared" si="5"/>
        <v>0</v>
      </c>
      <c r="Y46">
        <v>5758</v>
      </c>
      <c r="Z46">
        <v>5758</v>
      </c>
      <c r="AA46" t="b">
        <f t="shared" si="6"/>
        <v>1</v>
      </c>
      <c r="AB46">
        <v>479242</v>
      </c>
      <c r="AC46">
        <v>479242</v>
      </c>
      <c r="AD46" t="b">
        <f t="shared" si="7"/>
        <v>1</v>
      </c>
      <c r="AE46">
        <v>0</v>
      </c>
      <c r="AF46">
        <v>0</v>
      </c>
      <c r="AG46" t="b">
        <f t="shared" si="8"/>
        <v>1</v>
      </c>
      <c r="AH46">
        <v>485000</v>
      </c>
      <c r="AI46">
        <v>485000</v>
      </c>
      <c r="AJ46" t="b">
        <f t="shared" si="9"/>
        <v>1</v>
      </c>
      <c r="AK46">
        <v>617954</v>
      </c>
      <c r="AL46">
        <v>612196</v>
      </c>
      <c r="AM46" t="b">
        <f t="shared" si="10"/>
        <v>0</v>
      </c>
    </row>
    <row r="47" hidden="1" spans="1:39">
      <c r="A47">
        <v>45780</v>
      </c>
      <c r="B47" t="s">
        <v>38</v>
      </c>
      <c r="C47" t="s">
        <v>356</v>
      </c>
      <c r="D47" t="s">
        <v>99</v>
      </c>
      <c r="E47" t="s">
        <v>106</v>
      </c>
      <c r="F47" t="s">
        <v>412</v>
      </c>
      <c r="G47">
        <v>24019610</v>
      </c>
      <c r="H47">
        <v>24019610</v>
      </c>
      <c r="I47" t="b">
        <f t="shared" si="11"/>
        <v>1</v>
      </c>
      <c r="J47">
        <v>0</v>
      </c>
      <c r="K47">
        <v>0</v>
      </c>
      <c r="L47" t="b">
        <f t="shared" si="1"/>
        <v>1</v>
      </c>
      <c r="M47">
        <v>0</v>
      </c>
      <c r="N47">
        <v>0</v>
      </c>
      <c r="O47" t="b">
        <f t="shared" si="2"/>
        <v>1</v>
      </c>
      <c r="P47">
        <v>0</v>
      </c>
      <c r="Q47">
        <v>0</v>
      </c>
      <c r="R47" t="b">
        <f t="shared" si="3"/>
        <v>1</v>
      </c>
      <c r="S47">
        <v>0</v>
      </c>
      <c r="T47">
        <v>0</v>
      </c>
      <c r="U47" t="b">
        <f t="shared" si="12"/>
        <v>1</v>
      </c>
      <c r="V47">
        <v>766857.42</v>
      </c>
      <c r="W47">
        <v>9431153.77</v>
      </c>
      <c r="X47" t="b">
        <f t="shared" si="5"/>
        <v>0</v>
      </c>
      <c r="Y47">
        <v>364772.75</v>
      </c>
      <c r="Z47">
        <v>8867050.75</v>
      </c>
      <c r="AA47" t="b">
        <f t="shared" si="6"/>
        <v>0</v>
      </c>
      <c r="AB47">
        <v>8867050.75</v>
      </c>
      <c r="AC47">
        <v>8867050.75</v>
      </c>
      <c r="AD47" t="b">
        <f t="shared" si="7"/>
        <v>1</v>
      </c>
      <c r="AE47">
        <v>0</v>
      </c>
      <c r="AF47">
        <v>0</v>
      </c>
      <c r="AG47" t="b">
        <f t="shared" si="8"/>
        <v>1</v>
      </c>
      <c r="AH47">
        <v>8502278</v>
      </c>
      <c r="AI47">
        <v>0</v>
      </c>
      <c r="AJ47" t="b">
        <f t="shared" si="9"/>
        <v>0</v>
      </c>
      <c r="AK47">
        <v>23252752.58</v>
      </c>
      <c r="AL47">
        <v>14588456.23</v>
      </c>
      <c r="AM47" t="b">
        <f t="shared" si="10"/>
        <v>0</v>
      </c>
    </row>
    <row r="48" spans="1:39">
      <c r="A48">
        <v>45780</v>
      </c>
      <c r="B48" t="s">
        <v>38</v>
      </c>
      <c r="C48" t="s">
        <v>356</v>
      </c>
      <c r="D48" t="s">
        <v>107</v>
      </c>
      <c r="E48" t="s">
        <v>108</v>
      </c>
      <c r="F48" t="s">
        <v>413</v>
      </c>
      <c r="G48">
        <v>6873500</v>
      </c>
      <c r="H48">
        <v>6873500</v>
      </c>
      <c r="I48" t="b">
        <f t="shared" si="11"/>
        <v>1</v>
      </c>
      <c r="J48">
        <v>6873500</v>
      </c>
      <c r="K48">
        <v>6873500</v>
      </c>
      <c r="L48" t="b">
        <f t="shared" si="1"/>
        <v>1</v>
      </c>
      <c r="M48">
        <v>0</v>
      </c>
      <c r="N48">
        <v>0</v>
      </c>
      <c r="O48" t="b">
        <f t="shared" si="2"/>
        <v>1</v>
      </c>
      <c r="P48">
        <v>0</v>
      </c>
      <c r="Q48">
        <v>0</v>
      </c>
      <c r="R48" t="b">
        <f t="shared" si="3"/>
        <v>1</v>
      </c>
      <c r="S48">
        <v>6873500</v>
      </c>
      <c r="T48">
        <v>6873500</v>
      </c>
      <c r="U48" t="b">
        <f t="shared" si="12"/>
        <v>1</v>
      </c>
      <c r="V48">
        <v>0</v>
      </c>
      <c r="W48">
        <v>0</v>
      </c>
      <c r="X48" t="b">
        <f t="shared" si="5"/>
        <v>1</v>
      </c>
      <c r="Y48">
        <v>0</v>
      </c>
      <c r="Z48">
        <v>0</v>
      </c>
      <c r="AA48" t="b">
        <f t="shared" si="6"/>
        <v>1</v>
      </c>
      <c r="AB48">
        <v>6873500</v>
      </c>
      <c r="AC48">
        <v>6873500</v>
      </c>
      <c r="AD48" t="b">
        <f t="shared" si="7"/>
        <v>1</v>
      </c>
      <c r="AE48">
        <v>0</v>
      </c>
      <c r="AF48">
        <v>0</v>
      </c>
      <c r="AG48" t="b">
        <f t="shared" si="8"/>
        <v>1</v>
      </c>
      <c r="AH48">
        <v>6873500</v>
      </c>
      <c r="AI48">
        <v>6873500</v>
      </c>
      <c r="AJ48" t="b">
        <f t="shared" si="9"/>
        <v>1</v>
      </c>
      <c r="AK48">
        <v>6873500</v>
      </c>
      <c r="AL48">
        <v>6873500</v>
      </c>
      <c r="AM48" t="b">
        <f t="shared" si="10"/>
        <v>1</v>
      </c>
    </row>
    <row r="49" hidden="1" spans="1:39">
      <c r="A49">
        <v>45780</v>
      </c>
      <c r="B49" t="s">
        <v>31</v>
      </c>
      <c r="C49" t="s">
        <v>356</v>
      </c>
      <c r="D49" t="s">
        <v>45</v>
      </c>
      <c r="E49" t="s">
        <v>109</v>
      </c>
      <c r="F49" t="s">
        <v>414</v>
      </c>
      <c r="G49">
        <v>0</v>
      </c>
      <c r="H49">
        <v>71500</v>
      </c>
      <c r="I49" t="b">
        <f t="shared" si="11"/>
        <v>0</v>
      </c>
      <c r="J49">
        <v>0</v>
      </c>
      <c r="K49">
        <v>0</v>
      </c>
      <c r="L49" t="b">
        <f t="shared" si="1"/>
        <v>1</v>
      </c>
      <c r="M49">
        <v>71500</v>
      </c>
      <c r="N49">
        <v>71500</v>
      </c>
      <c r="O49" t="b">
        <f t="shared" si="2"/>
        <v>1</v>
      </c>
      <c r="P49">
        <v>0</v>
      </c>
      <c r="Q49">
        <v>0</v>
      </c>
      <c r="R49" t="b">
        <f t="shared" si="3"/>
        <v>1</v>
      </c>
      <c r="S49">
        <v>71500</v>
      </c>
      <c r="T49">
        <v>71500</v>
      </c>
      <c r="U49" t="b">
        <f t="shared" si="12"/>
        <v>1</v>
      </c>
      <c r="V49">
        <v>0</v>
      </c>
      <c r="W49">
        <v>0</v>
      </c>
      <c r="X49" t="b">
        <f t="shared" si="5"/>
        <v>1</v>
      </c>
      <c r="Y49">
        <v>0</v>
      </c>
      <c r="Z49">
        <v>0</v>
      </c>
      <c r="AA49" t="b">
        <f t="shared" si="6"/>
        <v>1</v>
      </c>
      <c r="AB49">
        <v>40000</v>
      </c>
      <c r="AC49">
        <v>40000</v>
      </c>
      <c r="AD49" t="b">
        <f t="shared" si="7"/>
        <v>1</v>
      </c>
      <c r="AE49">
        <v>0</v>
      </c>
      <c r="AF49">
        <v>0</v>
      </c>
      <c r="AG49" t="b">
        <f t="shared" si="8"/>
        <v>1</v>
      </c>
      <c r="AH49">
        <v>40000</v>
      </c>
      <c r="AI49">
        <v>40000</v>
      </c>
      <c r="AJ49" t="b">
        <f t="shared" si="9"/>
        <v>1</v>
      </c>
      <c r="AK49">
        <v>0</v>
      </c>
      <c r="AL49">
        <v>71500</v>
      </c>
      <c r="AM49" t="b">
        <f t="shared" si="10"/>
        <v>0</v>
      </c>
    </row>
    <row r="50" hidden="1" spans="1:39">
      <c r="A50">
        <v>45780</v>
      </c>
      <c r="B50" t="s">
        <v>38</v>
      </c>
      <c r="C50" t="s">
        <v>356</v>
      </c>
      <c r="D50" t="s">
        <v>110</v>
      </c>
      <c r="E50" t="s">
        <v>111</v>
      </c>
      <c r="F50" t="s">
        <v>415</v>
      </c>
      <c r="G50">
        <v>2099625</v>
      </c>
      <c r="H50">
        <v>2099625</v>
      </c>
      <c r="I50" t="b">
        <f t="shared" si="11"/>
        <v>1</v>
      </c>
      <c r="J50">
        <v>0</v>
      </c>
      <c r="K50">
        <v>0</v>
      </c>
      <c r="L50" t="b">
        <f t="shared" si="1"/>
        <v>1</v>
      </c>
      <c r="M50">
        <v>2099625</v>
      </c>
      <c r="N50">
        <v>2099625</v>
      </c>
      <c r="O50" t="b">
        <f t="shared" si="2"/>
        <v>1</v>
      </c>
      <c r="P50">
        <v>0</v>
      </c>
      <c r="Q50">
        <v>0</v>
      </c>
      <c r="R50" t="b">
        <f t="shared" si="3"/>
        <v>1</v>
      </c>
      <c r="S50">
        <v>2099625</v>
      </c>
      <c r="T50">
        <v>2099625</v>
      </c>
      <c r="U50" t="b">
        <f t="shared" si="12"/>
        <v>1</v>
      </c>
      <c r="V50">
        <v>1537420</v>
      </c>
      <c r="W50">
        <v>1547166</v>
      </c>
      <c r="X50" t="b">
        <f t="shared" si="5"/>
        <v>0</v>
      </c>
      <c r="Y50">
        <v>1547166</v>
      </c>
      <c r="Z50">
        <v>1547166</v>
      </c>
      <c r="AA50" t="b">
        <f t="shared" si="6"/>
        <v>1</v>
      </c>
      <c r="AB50">
        <v>52459</v>
      </c>
      <c r="AC50">
        <v>52459</v>
      </c>
      <c r="AD50" t="b">
        <f t="shared" si="7"/>
        <v>1</v>
      </c>
      <c r="AE50">
        <v>0</v>
      </c>
      <c r="AF50">
        <v>0</v>
      </c>
      <c r="AG50" t="b">
        <f t="shared" si="8"/>
        <v>1</v>
      </c>
      <c r="AH50">
        <v>1599625</v>
      </c>
      <c r="AI50">
        <v>1599625</v>
      </c>
      <c r="AJ50" t="b">
        <f t="shared" si="9"/>
        <v>1</v>
      </c>
      <c r="AK50">
        <v>562205</v>
      </c>
      <c r="AL50">
        <v>552459</v>
      </c>
      <c r="AM50" t="b">
        <f t="shared" si="10"/>
        <v>0</v>
      </c>
    </row>
    <row r="51" spans="1:39">
      <c r="A51">
        <v>45780</v>
      </c>
      <c r="B51" t="s">
        <v>38</v>
      </c>
      <c r="C51" t="s">
        <v>356</v>
      </c>
      <c r="D51" t="s">
        <v>112</v>
      </c>
      <c r="E51" t="s">
        <v>113</v>
      </c>
      <c r="F51" t="s">
        <v>416</v>
      </c>
      <c r="G51">
        <v>1662370</v>
      </c>
      <c r="H51">
        <v>1662370</v>
      </c>
      <c r="I51" t="b">
        <f t="shared" si="11"/>
        <v>1</v>
      </c>
      <c r="J51">
        <v>0</v>
      </c>
      <c r="K51">
        <v>0</v>
      </c>
      <c r="L51" t="b">
        <f t="shared" si="1"/>
        <v>1</v>
      </c>
      <c r="M51">
        <v>1610670</v>
      </c>
      <c r="N51">
        <v>1610670</v>
      </c>
      <c r="O51" t="b">
        <f t="shared" si="2"/>
        <v>1</v>
      </c>
      <c r="P51">
        <v>0</v>
      </c>
      <c r="Q51">
        <v>0</v>
      </c>
      <c r="R51" t="b">
        <f t="shared" si="3"/>
        <v>1</v>
      </c>
      <c r="S51">
        <v>1610670</v>
      </c>
      <c r="T51">
        <v>1610670</v>
      </c>
      <c r="U51" t="b">
        <f t="shared" si="12"/>
        <v>1</v>
      </c>
      <c r="V51">
        <v>5188</v>
      </c>
      <c r="W51">
        <v>5188</v>
      </c>
      <c r="X51" t="b">
        <f t="shared" si="5"/>
        <v>1</v>
      </c>
      <c r="Y51">
        <v>5188</v>
      </c>
      <c r="Z51">
        <v>5188</v>
      </c>
      <c r="AA51" t="b">
        <f t="shared" si="6"/>
        <v>1</v>
      </c>
      <c r="AB51">
        <v>994812</v>
      </c>
      <c r="AC51">
        <v>994812</v>
      </c>
      <c r="AD51" t="b">
        <f t="shared" si="7"/>
        <v>1</v>
      </c>
      <c r="AE51">
        <v>0</v>
      </c>
      <c r="AF51">
        <v>0</v>
      </c>
      <c r="AG51" t="b">
        <f t="shared" si="8"/>
        <v>1</v>
      </c>
      <c r="AH51">
        <v>1000000</v>
      </c>
      <c r="AI51">
        <v>1000000</v>
      </c>
      <c r="AJ51" t="b">
        <f t="shared" si="9"/>
        <v>1</v>
      </c>
      <c r="AK51">
        <v>1657182</v>
      </c>
      <c r="AL51">
        <v>1657182</v>
      </c>
      <c r="AM51" t="b">
        <f t="shared" si="10"/>
        <v>1</v>
      </c>
    </row>
    <row r="52" hidden="1" spans="1:39">
      <c r="A52">
        <v>45780</v>
      </c>
      <c r="B52" t="s">
        <v>27</v>
      </c>
      <c r="C52" t="s">
        <v>356</v>
      </c>
      <c r="D52" t="s">
        <v>81</v>
      </c>
      <c r="E52" t="s">
        <v>417</v>
      </c>
      <c r="F52" t="s">
        <v>418</v>
      </c>
      <c r="G52">
        <v>0</v>
      </c>
      <c r="H52">
        <v>0</v>
      </c>
      <c r="I52" t="b">
        <f t="shared" si="11"/>
        <v>1</v>
      </c>
      <c r="J52">
        <v>0</v>
      </c>
      <c r="K52">
        <v>0</v>
      </c>
      <c r="L52" t="b">
        <f t="shared" si="1"/>
        <v>1</v>
      </c>
      <c r="M52">
        <v>0</v>
      </c>
      <c r="N52">
        <v>0</v>
      </c>
      <c r="O52" t="b">
        <f t="shared" si="2"/>
        <v>1</v>
      </c>
      <c r="P52">
        <v>394474</v>
      </c>
      <c r="Q52">
        <v>394474</v>
      </c>
      <c r="R52" t="b">
        <f t="shared" si="3"/>
        <v>1</v>
      </c>
      <c r="S52">
        <v>394474</v>
      </c>
      <c r="T52">
        <v>394474</v>
      </c>
      <c r="U52" t="b">
        <f t="shared" si="12"/>
        <v>1</v>
      </c>
      <c r="V52">
        <v>0</v>
      </c>
      <c r="W52">
        <v>0</v>
      </c>
      <c r="X52" t="b">
        <f t="shared" si="5"/>
        <v>1</v>
      </c>
      <c r="Y52">
        <v>0</v>
      </c>
      <c r="Z52">
        <v>0</v>
      </c>
      <c r="AA52" t="b">
        <f t="shared" si="6"/>
        <v>1</v>
      </c>
      <c r="AB52">
        <v>0</v>
      </c>
      <c r="AC52">
        <v>0</v>
      </c>
      <c r="AD52" t="b">
        <f t="shared" si="7"/>
        <v>1</v>
      </c>
      <c r="AE52">
        <v>0</v>
      </c>
      <c r="AF52">
        <v>0</v>
      </c>
      <c r="AG52" t="b">
        <f t="shared" si="8"/>
        <v>1</v>
      </c>
      <c r="AH52">
        <v>0</v>
      </c>
      <c r="AI52">
        <v>2475482</v>
      </c>
      <c r="AJ52" t="b">
        <f t="shared" si="9"/>
        <v>0</v>
      </c>
      <c r="AK52">
        <v>0</v>
      </c>
      <c r="AL52">
        <v>0</v>
      </c>
      <c r="AM52" t="b">
        <f t="shared" si="10"/>
        <v>1</v>
      </c>
    </row>
    <row r="53" hidden="1" spans="1:39">
      <c r="A53">
        <v>45761</v>
      </c>
      <c r="B53" t="s">
        <v>31</v>
      </c>
      <c r="C53" t="s">
        <v>115</v>
      </c>
      <c r="D53" t="s">
        <v>116</v>
      </c>
      <c r="E53" t="s">
        <v>117</v>
      </c>
      <c r="F53" t="s">
        <v>419</v>
      </c>
      <c r="G53">
        <v>509179.06</v>
      </c>
      <c r="H53">
        <v>509179.06</v>
      </c>
      <c r="I53" t="b">
        <f t="shared" si="11"/>
        <v>1</v>
      </c>
      <c r="J53">
        <v>0</v>
      </c>
      <c r="K53">
        <v>0</v>
      </c>
      <c r="L53" t="b">
        <f t="shared" si="1"/>
        <v>1</v>
      </c>
      <c r="M53">
        <v>451386</v>
      </c>
      <c r="N53">
        <v>451386</v>
      </c>
      <c r="O53" t="b">
        <f t="shared" si="2"/>
        <v>1</v>
      </c>
      <c r="P53">
        <v>0</v>
      </c>
      <c r="Q53">
        <v>0</v>
      </c>
      <c r="R53" t="b">
        <f t="shared" si="3"/>
        <v>1</v>
      </c>
      <c r="S53">
        <v>451386</v>
      </c>
      <c r="T53">
        <v>451386</v>
      </c>
      <c r="U53" t="b">
        <f t="shared" si="12"/>
        <v>1</v>
      </c>
      <c r="V53">
        <v>3000</v>
      </c>
      <c r="W53">
        <v>6130</v>
      </c>
      <c r="X53" t="b">
        <f t="shared" si="5"/>
        <v>0</v>
      </c>
      <c r="Y53">
        <v>6130</v>
      </c>
      <c r="Z53">
        <v>6130</v>
      </c>
      <c r="AA53" t="b">
        <f t="shared" si="6"/>
        <v>1</v>
      </c>
      <c r="AB53">
        <v>349312.1</v>
      </c>
      <c r="AC53">
        <v>349312.1</v>
      </c>
      <c r="AD53" t="b">
        <f t="shared" si="7"/>
        <v>1</v>
      </c>
      <c r="AE53">
        <v>0</v>
      </c>
      <c r="AF53">
        <v>0</v>
      </c>
      <c r="AG53" t="b">
        <f t="shared" si="8"/>
        <v>1</v>
      </c>
      <c r="AH53">
        <v>355442.1</v>
      </c>
      <c r="AI53">
        <v>355442.1</v>
      </c>
      <c r="AJ53" t="b">
        <f t="shared" si="9"/>
        <v>1</v>
      </c>
      <c r="AK53">
        <v>506179.06</v>
      </c>
      <c r="AL53">
        <v>503049.06</v>
      </c>
      <c r="AM53" t="b">
        <f t="shared" si="10"/>
        <v>0</v>
      </c>
    </row>
    <row r="54" spans="1:39">
      <c r="A54">
        <v>45761</v>
      </c>
      <c r="B54" t="s">
        <v>31</v>
      </c>
      <c r="C54" t="s">
        <v>115</v>
      </c>
      <c r="D54" t="s">
        <v>118</v>
      </c>
      <c r="E54" t="s">
        <v>119</v>
      </c>
      <c r="F54" t="s">
        <v>420</v>
      </c>
      <c r="G54">
        <v>72600</v>
      </c>
      <c r="H54">
        <v>72600</v>
      </c>
      <c r="I54" t="b">
        <f t="shared" si="11"/>
        <v>1</v>
      </c>
      <c r="J54">
        <v>72600</v>
      </c>
      <c r="K54">
        <v>72600</v>
      </c>
      <c r="L54" t="b">
        <f t="shared" si="1"/>
        <v>1</v>
      </c>
      <c r="M54">
        <v>0</v>
      </c>
      <c r="N54">
        <v>0</v>
      </c>
      <c r="O54" t="b">
        <f t="shared" si="2"/>
        <v>1</v>
      </c>
      <c r="P54">
        <v>0</v>
      </c>
      <c r="Q54">
        <v>0</v>
      </c>
      <c r="R54" t="b">
        <f t="shared" si="3"/>
        <v>1</v>
      </c>
      <c r="S54">
        <v>72600</v>
      </c>
      <c r="T54">
        <v>72600</v>
      </c>
      <c r="U54" t="b">
        <f t="shared" si="12"/>
        <v>1</v>
      </c>
      <c r="V54">
        <v>0</v>
      </c>
      <c r="W54">
        <v>0</v>
      </c>
      <c r="X54" t="b">
        <f t="shared" si="5"/>
        <v>1</v>
      </c>
      <c r="Y54">
        <v>0</v>
      </c>
      <c r="Z54">
        <v>0</v>
      </c>
      <c r="AA54" t="b">
        <f t="shared" si="6"/>
        <v>1</v>
      </c>
      <c r="AB54">
        <v>25000</v>
      </c>
      <c r="AC54">
        <v>25000</v>
      </c>
      <c r="AD54" t="b">
        <f t="shared" si="7"/>
        <v>1</v>
      </c>
      <c r="AE54">
        <v>0</v>
      </c>
      <c r="AF54">
        <v>0</v>
      </c>
      <c r="AG54" t="b">
        <f t="shared" si="8"/>
        <v>1</v>
      </c>
      <c r="AH54">
        <v>25000</v>
      </c>
      <c r="AI54">
        <v>25000</v>
      </c>
      <c r="AJ54" t="b">
        <f t="shared" si="9"/>
        <v>1</v>
      </c>
      <c r="AK54">
        <v>72600</v>
      </c>
      <c r="AL54">
        <v>72600</v>
      </c>
      <c r="AM54" t="b">
        <f t="shared" si="10"/>
        <v>1</v>
      </c>
    </row>
    <row r="55" hidden="1" spans="1:39">
      <c r="A55">
        <v>45761</v>
      </c>
      <c r="B55" t="s">
        <v>27</v>
      </c>
      <c r="C55" t="s">
        <v>120</v>
      </c>
      <c r="D55" t="s">
        <v>121</v>
      </c>
      <c r="E55" t="s">
        <v>122</v>
      </c>
      <c r="F55" t="s">
        <v>421</v>
      </c>
      <c r="G55">
        <v>0</v>
      </c>
      <c r="H55">
        <v>873718</v>
      </c>
      <c r="I55" t="b">
        <f t="shared" si="11"/>
        <v>0</v>
      </c>
      <c r="J55">
        <v>0</v>
      </c>
      <c r="K55">
        <v>873718</v>
      </c>
      <c r="L55" t="b">
        <f t="shared" si="1"/>
        <v>0</v>
      </c>
      <c r="M55">
        <v>0</v>
      </c>
      <c r="N55">
        <v>0</v>
      </c>
      <c r="O55" t="b">
        <f t="shared" si="2"/>
        <v>1</v>
      </c>
      <c r="P55">
        <v>0</v>
      </c>
      <c r="Q55">
        <v>0</v>
      </c>
      <c r="R55" t="b">
        <f t="shared" si="3"/>
        <v>1</v>
      </c>
      <c r="S55">
        <v>0</v>
      </c>
      <c r="T55">
        <v>873718</v>
      </c>
      <c r="U55" t="b">
        <f t="shared" si="12"/>
        <v>0</v>
      </c>
      <c r="V55">
        <v>508068.78</v>
      </c>
      <c r="W55">
        <v>521017.88</v>
      </c>
      <c r="X55" t="b">
        <f t="shared" si="5"/>
        <v>0</v>
      </c>
      <c r="Y55">
        <v>328729.78</v>
      </c>
      <c r="Z55">
        <v>328729.78</v>
      </c>
      <c r="AA55" t="b">
        <f t="shared" si="6"/>
        <v>1</v>
      </c>
      <c r="AB55">
        <v>306788.22</v>
      </c>
      <c r="AC55">
        <v>306788.22</v>
      </c>
      <c r="AD55" t="b">
        <f t="shared" si="7"/>
        <v>1</v>
      </c>
      <c r="AE55">
        <v>11800</v>
      </c>
      <c r="AF55">
        <v>11800</v>
      </c>
      <c r="AG55" t="b">
        <f t="shared" si="8"/>
        <v>1</v>
      </c>
      <c r="AH55">
        <v>623718</v>
      </c>
      <c r="AI55">
        <v>623718</v>
      </c>
      <c r="AJ55" t="b">
        <f t="shared" si="9"/>
        <v>1</v>
      </c>
      <c r="AK55">
        <v>508068.78</v>
      </c>
      <c r="AL55">
        <v>352700.12</v>
      </c>
      <c r="AM55" t="b">
        <f t="shared" si="10"/>
        <v>0</v>
      </c>
    </row>
    <row r="56" spans="1:39">
      <c r="A56">
        <v>45761</v>
      </c>
      <c r="B56" t="s">
        <v>31</v>
      </c>
      <c r="C56" t="s">
        <v>115</v>
      </c>
      <c r="D56" t="s">
        <v>123</v>
      </c>
      <c r="E56" t="s">
        <v>124</v>
      </c>
      <c r="F56" t="s">
        <v>422</v>
      </c>
      <c r="G56">
        <v>0</v>
      </c>
      <c r="H56">
        <v>0</v>
      </c>
      <c r="I56" t="b">
        <f t="shared" si="11"/>
        <v>1</v>
      </c>
      <c r="J56">
        <v>0</v>
      </c>
      <c r="K56">
        <v>0</v>
      </c>
      <c r="L56" t="b">
        <f t="shared" si="1"/>
        <v>1</v>
      </c>
      <c r="M56">
        <v>0</v>
      </c>
      <c r="N56">
        <v>0</v>
      </c>
      <c r="O56" t="b">
        <f t="shared" si="2"/>
        <v>1</v>
      </c>
      <c r="P56">
        <v>0</v>
      </c>
      <c r="Q56">
        <v>0</v>
      </c>
      <c r="R56" t="b">
        <f t="shared" si="3"/>
        <v>1</v>
      </c>
      <c r="S56">
        <v>0</v>
      </c>
      <c r="T56">
        <v>0</v>
      </c>
      <c r="U56" t="b">
        <f t="shared" si="12"/>
        <v>1</v>
      </c>
      <c r="V56">
        <v>0</v>
      </c>
      <c r="W56">
        <v>0</v>
      </c>
      <c r="X56" t="b">
        <f t="shared" si="5"/>
        <v>1</v>
      </c>
      <c r="Y56">
        <v>1691</v>
      </c>
      <c r="Z56">
        <v>1691</v>
      </c>
      <c r="AA56" t="b">
        <f t="shared" si="6"/>
        <v>1</v>
      </c>
      <c r="AB56">
        <v>1691</v>
      </c>
      <c r="AC56">
        <v>1691</v>
      </c>
      <c r="AD56" t="b">
        <f t="shared" si="7"/>
        <v>1</v>
      </c>
      <c r="AE56">
        <v>0</v>
      </c>
      <c r="AF56">
        <v>0</v>
      </c>
      <c r="AG56" t="b">
        <f t="shared" si="8"/>
        <v>1</v>
      </c>
      <c r="AH56">
        <v>0</v>
      </c>
      <c r="AI56">
        <v>0</v>
      </c>
      <c r="AJ56" t="b">
        <f t="shared" si="9"/>
        <v>1</v>
      </c>
      <c r="AK56">
        <v>0</v>
      </c>
      <c r="AL56">
        <v>0</v>
      </c>
      <c r="AM56" t="b">
        <f t="shared" si="10"/>
        <v>1</v>
      </c>
    </row>
    <row r="57" hidden="1" spans="1:39">
      <c r="A57">
        <v>45761</v>
      </c>
      <c r="B57" t="s">
        <v>27</v>
      </c>
      <c r="C57" t="s">
        <v>120</v>
      </c>
      <c r="D57" t="s">
        <v>121</v>
      </c>
      <c r="E57" t="s">
        <v>125</v>
      </c>
      <c r="F57" t="s">
        <v>423</v>
      </c>
      <c r="G57">
        <v>1035000</v>
      </c>
      <c r="H57">
        <v>1035000</v>
      </c>
      <c r="I57" t="b">
        <f t="shared" si="11"/>
        <v>1</v>
      </c>
      <c r="J57">
        <v>2271571</v>
      </c>
      <c r="K57">
        <v>2271571</v>
      </c>
      <c r="L57" t="b">
        <f t="shared" si="1"/>
        <v>1</v>
      </c>
      <c r="M57">
        <v>2271571</v>
      </c>
      <c r="N57">
        <v>2271571</v>
      </c>
      <c r="O57" t="b">
        <f t="shared" si="2"/>
        <v>1</v>
      </c>
      <c r="P57">
        <v>0</v>
      </c>
      <c r="Q57">
        <v>0</v>
      </c>
      <c r="R57" t="b">
        <f t="shared" si="3"/>
        <v>1</v>
      </c>
      <c r="S57">
        <v>0</v>
      </c>
      <c r="T57">
        <v>0</v>
      </c>
      <c r="U57" t="b">
        <f t="shared" si="12"/>
        <v>1</v>
      </c>
      <c r="V57">
        <v>373500</v>
      </c>
      <c r="W57">
        <v>374412</v>
      </c>
      <c r="X57" t="b">
        <f t="shared" si="5"/>
        <v>0</v>
      </c>
      <c r="Y57">
        <v>1117962</v>
      </c>
      <c r="Z57">
        <v>1117962</v>
      </c>
      <c r="AA57" t="b">
        <f t="shared" si="6"/>
        <v>1</v>
      </c>
      <c r="AB57">
        <v>1074050</v>
      </c>
      <c r="AC57">
        <v>1074050</v>
      </c>
      <c r="AD57" t="b">
        <f t="shared" si="7"/>
        <v>1</v>
      </c>
      <c r="AE57">
        <v>21000</v>
      </c>
      <c r="AF57">
        <v>21000</v>
      </c>
      <c r="AG57" t="b">
        <f t="shared" si="8"/>
        <v>1</v>
      </c>
      <c r="AH57">
        <v>22912</v>
      </c>
      <c r="AI57">
        <v>22912</v>
      </c>
      <c r="AJ57" t="b">
        <f t="shared" si="9"/>
        <v>1</v>
      </c>
      <c r="AK57">
        <v>661500</v>
      </c>
      <c r="AL57">
        <v>660588</v>
      </c>
      <c r="AM57" t="b">
        <f t="shared" si="10"/>
        <v>0</v>
      </c>
    </row>
    <row r="58" spans="1:39">
      <c r="A58">
        <v>45761</v>
      </c>
      <c r="B58" t="s">
        <v>27</v>
      </c>
      <c r="C58" t="s">
        <v>120</v>
      </c>
      <c r="D58" t="s">
        <v>126</v>
      </c>
      <c r="E58" t="s">
        <v>127</v>
      </c>
      <c r="F58" t="s">
        <v>424</v>
      </c>
      <c r="G58">
        <v>3087345.8</v>
      </c>
      <c r="H58">
        <v>3087345.8</v>
      </c>
      <c r="I58" t="b">
        <f t="shared" si="11"/>
        <v>1</v>
      </c>
      <c r="J58">
        <v>3087345.8</v>
      </c>
      <c r="K58">
        <v>3087345.8</v>
      </c>
      <c r="L58" t="b">
        <f t="shared" si="1"/>
        <v>1</v>
      </c>
      <c r="M58">
        <v>2855245.4</v>
      </c>
      <c r="N58">
        <v>2855245.4</v>
      </c>
      <c r="O58" t="b">
        <f t="shared" si="2"/>
        <v>1</v>
      </c>
      <c r="P58">
        <v>0</v>
      </c>
      <c r="Q58">
        <v>0</v>
      </c>
      <c r="R58" t="b">
        <f t="shared" si="3"/>
        <v>1</v>
      </c>
      <c r="S58">
        <v>232100.4</v>
      </c>
      <c r="T58">
        <v>232100.4</v>
      </c>
      <c r="U58" t="b">
        <f t="shared" si="12"/>
        <v>1</v>
      </c>
      <c r="V58">
        <v>210000</v>
      </c>
      <c r="W58">
        <v>210000</v>
      </c>
      <c r="X58" t="b">
        <f t="shared" si="5"/>
        <v>1</v>
      </c>
      <c r="Y58">
        <v>878028</v>
      </c>
      <c r="Z58">
        <v>878028</v>
      </c>
      <c r="AA58" t="b">
        <f t="shared" si="6"/>
        <v>1</v>
      </c>
      <c r="AB58">
        <v>665511</v>
      </c>
      <c r="AC58">
        <v>665511</v>
      </c>
      <c r="AD58" t="b">
        <f t="shared" si="7"/>
        <v>1</v>
      </c>
      <c r="AE58">
        <v>0</v>
      </c>
      <c r="AF58">
        <v>0</v>
      </c>
      <c r="AG58" t="b">
        <f t="shared" si="8"/>
        <v>1</v>
      </c>
      <c r="AH58">
        <v>212517</v>
      </c>
      <c r="AI58">
        <v>212517</v>
      </c>
      <c r="AJ58" t="b">
        <f t="shared" si="9"/>
        <v>1</v>
      </c>
      <c r="AK58">
        <v>2877345.8</v>
      </c>
      <c r="AL58">
        <v>2877345.8</v>
      </c>
      <c r="AM58" t="b">
        <f t="shared" si="10"/>
        <v>1</v>
      </c>
    </row>
    <row r="59" spans="1:39">
      <c r="A59">
        <v>45761</v>
      </c>
      <c r="B59" t="s">
        <v>27</v>
      </c>
      <c r="C59" t="s">
        <v>120</v>
      </c>
      <c r="D59" t="s">
        <v>128</v>
      </c>
      <c r="E59" t="s">
        <v>129</v>
      </c>
      <c r="F59" t="s">
        <v>425</v>
      </c>
      <c r="G59">
        <v>0</v>
      </c>
      <c r="H59">
        <v>0</v>
      </c>
      <c r="I59" t="b">
        <f t="shared" si="11"/>
        <v>1</v>
      </c>
      <c r="J59">
        <v>0</v>
      </c>
      <c r="K59">
        <v>0</v>
      </c>
      <c r="L59" t="b">
        <f t="shared" si="1"/>
        <v>1</v>
      </c>
      <c r="M59">
        <v>0</v>
      </c>
      <c r="N59">
        <v>0</v>
      </c>
      <c r="O59" t="b">
        <f t="shared" si="2"/>
        <v>1</v>
      </c>
      <c r="P59">
        <v>0</v>
      </c>
      <c r="Q59">
        <v>0</v>
      </c>
      <c r="R59" t="b">
        <f t="shared" si="3"/>
        <v>1</v>
      </c>
      <c r="S59">
        <v>0</v>
      </c>
      <c r="T59">
        <v>0</v>
      </c>
      <c r="U59" t="b">
        <f t="shared" si="12"/>
        <v>1</v>
      </c>
      <c r="V59">
        <v>0</v>
      </c>
      <c r="W59">
        <v>0</v>
      </c>
      <c r="X59" t="b">
        <f t="shared" si="5"/>
        <v>1</v>
      </c>
      <c r="Y59">
        <v>6000</v>
      </c>
      <c r="Z59">
        <v>6000</v>
      </c>
      <c r="AA59" t="b">
        <f t="shared" si="6"/>
        <v>1</v>
      </c>
      <c r="AB59">
        <v>6000</v>
      </c>
      <c r="AC59">
        <v>6000</v>
      </c>
      <c r="AD59" t="b">
        <f t="shared" si="7"/>
        <v>1</v>
      </c>
      <c r="AE59">
        <v>0</v>
      </c>
      <c r="AF59">
        <v>0</v>
      </c>
      <c r="AG59" t="b">
        <f t="shared" si="8"/>
        <v>1</v>
      </c>
      <c r="AH59">
        <v>0</v>
      </c>
      <c r="AI59">
        <v>0</v>
      </c>
      <c r="AJ59" t="b">
        <f t="shared" si="9"/>
        <v>1</v>
      </c>
      <c r="AK59">
        <v>0</v>
      </c>
      <c r="AL59">
        <v>0</v>
      </c>
      <c r="AM59" t="b">
        <f t="shared" si="10"/>
        <v>1</v>
      </c>
    </row>
    <row r="60" spans="1:39">
      <c r="A60">
        <v>45761</v>
      </c>
      <c r="B60" t="s">
        <v>38</v>
      </c>
      <c r="C60" t="s">
        <v>130</v>
      </c>
      <c r="D60" t="s">
        <v>131</v>
      </c>
      <c r="E60" t="s">
        <v>132</v>
      </c>
      <c r="F60" t="s">
        <v>426</v>
      </c>
      <c r="G60">
        <v>0</v>
      </c>
      <c r="H60">
        <v>0</v>
      </c>
      <c r="I60" t="b">
        <f t="shared" si="11"/>
        <v>1</v>
      </c>
      <c r="J60">
        <v>0</v>
      </c>
      <c r="K60">
        <v>0</v>
      </c>
      <c r="L60" t="b">
        <f t="shared" si="1"/>
        <v>1</v>
      </c>
      <c r="M60">
        <v>0</v>
      </c>
      <c r="N60">
        <v>0</v>
      </c>
      <c r="O60" t="b">
        <f t="shared" si="2"/>
        <v>1</v>
      </c>
      <c r="P60">
        <v>0</v>
      </c>
      <c r="Q60">
        <v>0</v>
      </c>
      <c r="R60" t="b">
        <f t="shared" si="3"/>
        <v>1</v>
      </c>
      <c r="S60">
        <v>0</v>
      </c>
      <c r="T60">
        <v>0</v>
      </c>
      <c r="U60" t="b">
        <f t="shared" si="12"/>
        <v>1</v>
      </c>
      <c r="V60">
        <v>0</v>
      </c>
      <c r="W60">
        <v>0</v>
      </c>
      <c r="X60" t="b">
        <f t="shared" si="5"/>
        <v>1</v>
      </c>
      <c r="Y60">
        <v>8898</v>
      </c>
      <c r="Z60">
        <v>8898</v>
      </c>
      <c r="AA60" t="b">
        <f t="shared" si="6"/>
        <v>1</v>
      </c>
      <c r="AB60">
        <v>8898</v>
      </c>
      <c r="AC60">
        <v>8898</v>
      </c>
      <c r="AD60" t="b">
        <f t="shared" si="7"/>
        <v>1</v>
      </c>
      <c r="AE60">
        <v>0</v>
      </c>
      <c r="AF60">
        <v>0</v>
      </c>
      <c r="AG60" t="b">
        <f t="shared" si="8"/>
        <v>1</v>
      </c>
      <c r="AH60">
        <v>0</v>
      </c>
      <c r="AI60">
        <v>0</v>
      </c>
      <c r="AJ60" t="b">
        <f t="shared" si="9"/>
        <v>1</v>
      </c>
      <c r="AK60">
        <v>0</v>
      </c>
      <c r="AL60">
        <v>0</v>
      </c>
      <c r="AM60" t="b">
        <f t="shared" si="10"/>
        <v>1</v>
      </c>
    </row>
    <row r="61" hidden="1" spans="1:39">
      <c r="A61">
        <v>45761</v>
      </c>
      <c r="B61" t="s">
        <v>27</v>
      </c>
      <c r="C61" t="s">
        <v>120</v>
      </c>
      <c r="D61" t="s">
        <v>133</v>
      </c>
      <c r="E61" t="s">
        <v>427</v>
      </c>
      <c r="F61" t="s">
        <v>428</v>
      </c>
      <c r="G61">
        <v>854315</v>
      </c>
      <c r="H61">
        <v>854315</v>
      </c>
      <c r="I61" t="b">
        <f t="shared" si="11"/>
        <v>1</v>
      </c>
      <c r="J61">
        <v>854315</v>
      </c>
      <c r="K61">
        <v>854315</v>
      </c>
      <c r="L61" t="b">
        <f t="shared" si="1"/>
        <v>1</v>
      </c>
      <c r="M61">
        <v>0</v>
      </c>
      <c r="N61">
        <v>0</v>
      </c>
      <c r="O61" t="b">
        <f t="shared" si="2"/>
        <v>1</v>
      </c>
      <c r="P61">
        <v>0</v>
      </c>
      <c r="Q61">
        <v>0</v>
      </c>
      <c r="R61" t="b">
        <f t="shared" si="3"/>
        <v>1</v>
      </c>
      <c r="S61">
        <v>854315</v>
      </c>
      <c r="T61">
        <v>854315</v>
      </c>
      <c r="U61" t="b">
        <f t="shared" si="12"/>
        <v>1</v>
      </c>
      <c r="V61">
        <v>426201</v>
      </c>
      <c r="W61">
        <v>426201</v>
      </c>
      <c r="X61" t="b">
        <f t="shared" si="5"/>
        <v>1</v>
      </c>
      <c r="Y61">
        <v>727580</v>
      </c>
      <c r="Z61">
        <v>727110</v>
      </c>
      <c r="AA61" t="b">
        <f t="shared" si="6"/>
        <v>0</v>
      </c>
      <c r="AB61">
        <v>371859</v>
      </c>
      <c r="AC61">
        <v>300909</v>
      </c>
      <c r="AD61" t="b">
        <f t="shared" si="7"/>
        <v>0</v>
      </c>
      <c r="AE61">
        <v>0</v>
      </c>
      <c r="AF61">
        <v>0</v>
      </c>
      <c r="AG61" t="b">
        <f t="shared" si="8"/>
        <v>1</v>
      </c>
      <c r="AH61">
        <v>355721</v>
      </c>
      <c r="AI61">
        <v>426201</v>
      </c>
      <c r="AJ61" t="b">
        <f t="shared" si="9"/>
        <v>0</v>
      </c>
      <c r="AK61">
        <v>428114</v>
      </c>
      <c r="AL61">
        <v>428114</v>
      </c>
      <c r="AM61" t="b">
        <f t="shared" si="10"/>
        <v>1</v>
      </c>
    </row>
    <row r="62" hidden="1" spans="1:39">
      <c r="A62">
        <v>45758</v>
      </c>
      <c r="B62" t="s">
        <v>27</v>
      </c>
      <c r="C62" t="s">
        <v>120</v>
      </c>
      <c r="D62" t="s">
        <v>135</v>
      </c>
      <c r="E62" t="s">
        <v>429</v>
      </c>
      <c r="F62" t="s">
        <v>430</v>
      </c>
      <c r="G62">
        <v>713240</v>
      </c>
      <c r="H62">
        <v>713240</v>
      </c>
      <c r="I62" t="b">
        <f t="shared" si="11"/>
        <v>1</v>
      </c>
      <c r="J62">
        <v>0</v>
      </c>
      <c r="K62">
        <v>0</v>
      </c>
      <c r="L62" t="b">
        <f t="shared" si="1"/>
        <v>1</v>
      </c>
      <c r="M62">
        <v>713240</v>
      </c>
      <c r="N62">
        <v>713240</v>
      </c>
      <c r="O62" t="b">
        <f t="shared" si="2"/>
        <v>1</v>
      </c>
      <c r="P62">
        <v>0</v>
      </c>
      <c r="Q62">
        <v>0</v>
      </c>
      <c r="R62" t="b">
        <f t="shared" si="3"/>
        <v>1</v>
      </c>
      <c r="S62">
        <v>713240</v>
      </c>
      <c r="T62">
        <v>713240</v>
      </c>
      <c r="U62" t="b">
        <f t="shared" si="12"/>
        <v>1</v>
      </c>
      <c r="V62">
        <v>74720.82</v>
      </c>
      <c r="W62">
        <v>77012.82</v>
      </c>
      <c r="X62" t="b">
        <f t="shared" si="5"/>
        <v>0</v>
      </c>
      <c r="Y62">
        <v>52292</v>
      </c>
      <c r="Z62">
        <v>52292</v>
      </c>
      <c r="AA62" t="b">
        <f t="shared" si="6"/>
        <v>1</v>
      </c>
      <c r="AB62">
        <v>503708</v>
      </c>
      <c r="AC62">
        <v>503708</v>
      </c>
      <c r="AD62" t="b">
        <f t="shared" si="7"/>
        <v>1</v>
      </c>
      <c r="AE62">
        <v>0</v>
      </c>
      <c r="AF62">
        <v>0</v>
      </c>
      <c r="AG62" t="b">
        <f t="shared" si="8"/>
        <v>1</v>
      </c>
      <c r="AH62">
        <v>556000</v>
      </c>
      <c r="AI62">
        <v>556000</v>
      </c>
      <c r="AJ62" t="b">
        <f t="shared" si="9"/>
        <v>1</v>
      </c>
      <c r="AK62">
        <v>638519.18</v>
      </c>
      <c r="AL62">
        <v>636227.18</v>
      </c>
      <c r="AM62" t="b">
        <f t="shared" si="10"/>
        <v>0</v>
      </c>
    </row>
    <row r="63" hidden="1" spans="1:39">
      <c r="A63">
        <v>45758</v>
      </c>
      <c r="B63" t="s">
        <v>27</v>
      </c>
      <c r="C63" t="s">
        <v>120</v>
      </c>
      <c r="D63" t="s">
        <v>71</v>
      </c>
      <c r="E63" t="s">
        <v>137</v>
      </c>
      <c r="F63" t="s">
        <v>431</v>
      </c>
      <c r="G63">
        <v>564513.83</v>
      </c>
      <c r="H63">
        <v>564513.83</v>
      </c>
      <c r="I63" t="b">
        <f t="shared" si="11"/>
        <v>1</v>
      </c>
      <c r="J63">
        <v>564513.83</v>
      </c>
      <c r="K63">
        <v>564513.83</v>
      </c>
      <c r="L63" t="b">
        <f t="shared" si="1"/>
        <v>1</v>
      </c>
      <c r="M63">
        <v>0</v>
      </c>
      <c r="N63">
        <v>0</v>
      </c>
      <c r="O63" t="b">
        <f t="shared" si="2"/>
        <v>1</v>
      </c>
      <c r="P63">
        <v>0</v>
      </c>
      <c r="Q63">
        <v>0</v>
      </c>
      <c r="R63" t="b">
        <f t="shared" si="3"/>
        <v>1</v>
      </c>
      <c r="S63">
        <v>564513.83</v>
      </c>
      <c r="T63">
        <v>564513.83</v>
      </c>
      <c r="U63" t="b">
        <f t="shared" si="12"/>
        <v>1</v>
      </c>
      <c r="V63">
        <v>198200</v>
      </c>
      <c r="W63">
        <v>253014.5</v>
      </c>
      <c r="X63" t="b">
        <f t="shared" si="5"/>
        <v>0</v>
      </c>
      <c r="Y63">
        <v>188596</v>
      </c>
      <c r="Z63">
        <v>188596</v>
      </c>
      <c r="AA63" t="b">
        <f t="shared" si="6"/>
        <v>1</v>
      </c>
      <c r="AB63">
        <v>275266.83</v>
      </c>
      <c r="AC63">
        <v>275266.83</v>
      </c>
      <c r="AD63" t="b">
        <f t="shared" si="7"/>
        <v>1</v>
      </c>
      <c r="AE63">
        <v>0</v>
      </c>
      <c r="AF63">
        <v>0</v>
      </c>
      <c r="AG63" t="b">
        <f t="shared" si="8"/>
        <v>1</v>
      </c>
      <c r="AH63">
        <v>463862.83</v>
      </c>
      <c r="AI63">
        <v>463862.83</v>
      </c>
      <c r="AJ63" t="b">
        <f t="shared" si="9"/>
        <v>1</v>
      </c>
      <c r="AK63">
        <v>366313.83</v>
      </c>
      <c r="AL63">
        <v>311499.33</v>
      </c>
      <c r="AM63" t="b">
        <f t="shared" si="10"/>
        <v>0</v>
      </c>
    </row>
    <row r="64" hidden="1" spans="1:39">
      <c r="A64">
        <v>45758</v>
      </c>
      <c r="B64" t="s">
        <v>27</v>
      </c>
      <c r="C64" t="s">
        <v>120</v>
      </c>
      <c r="D64" t="s">
        <v>138</v>
      </c>
      <c r="E64" t="s">
        <v>139</v>
      </c>
      <c r="F64" t="s">
        <v>432</v>
      </c>
      <c r="G64">
        <v>5907347.6</v>
      </c>
      <c r="H64">
        <v>5907347.6</v>
      </c>
      <c r="I64" t="b">
        <f t="shared" si="11"/>
        <v>1</v>
      </c>
      <c r="J64">
        <v>0</v>
      </c>
      <c r="K64">
        <v>0</v>
      </c>
      <c r="L64" t="b">
        <f t="shared" si="1"/>
        <v>1</v>
      </c>
      <c r="M64">
        <v>5998107</v>
      </c>
      <c r="N64">
        <v>5907348</v>
      </c>
      <c r="O64" t="b">
        <f t="shared" si="2"/>
        <v>0</v>
      </c>
      <c r="P64">
        <v>0</v>
      </c>
      <c r="Q64">
        <v>0</v>
      </c>
      <c r="R64" t="b">
        <f t="shared" si="3"/>
        <v>1</v>
      </c>
      <c r="S64">
        <v>5998107</v>
      </c>
      <c r="T64">
        <v>5907348</v>
      </c>
      <c r="U64" t="b">
        <f t="shared" si="12"/>
        <v>0</v>
      </c>
      <c r="V64">
        <v>2848783.54</v>
      </c>
      <c r="W64">
        <v>2991402.18</v>
      </c>
      <c r="X64" t="b">
        <f t="shared" si="5"/>
        <v>0</v>
      </c>
      <c r="Y64">
        <v>585823</v>
      </c>
      <c r="Z64">
        <v>585823</v>
      </c>
      <c r="AA64" t="b">
        <f t="shared" si="6"/>
        <v>1</v>
      </c>
      <c r="AB64">
        <v>3981994.66</v>
      </c>
      <c r="AC64">
        <v>3981994.66</v>
      </c>
      <c r="AD64" t="b">
        <f t="shared" si="7"/>
        <v>1</v>
      </c>
      <c r="AE64">
        <v>0</v>
      </c>
      <c r="AF64">
        <v>0</v>
      </c>
      <c r="AG64" t="b">
        <f t="shared" si="8"/>
        <v>1</v>
      </c>
      <c r="AH64">
        <v>4567817.66</v>
      </c>
      <c r="AI64">
        <v>4567817.66</v>
      </c>
      <c r="AJ64" t="b">
        <f t="shared" si="9"/>
        <v>1</v>
      </c>
      <c r="AK64">
        <v>3058564.06</v>
      </c>
      <c r="AL64">
        <v>2915945.42</v>
      </c>
      <c r="AM64" t="b">
        <f t="shared" si="10"/>
        <v>0</v>
      </c>
    </row>
    <row r="65" spans="1:39">
      <c r="A65">
        <v>45758</v>
      </c>
      <c r="B65" t="s">
        <v>27</v>
      </c>
      <c r="C65" t="s">
        <v>120</v>
      </c>
      <c r="D65" t="s">
        <v>140</v>
      </c>
      <c r="E65" t="s">
        <v>141</v>
      </c>
      <c r="F65" t="s">
        <v>433</v>
      </c>
      <c r="G65">
        <v>336450</v>
      </c>
      <c r="H65">
        <v>336450</v>
      </c>
      <c r="I65" t="b">
        <f t="shared" si="11"/>
        <v>1</v>
      </c>
      <c r="J65">
        <v>336450</v>
      </c>
      <c r="K65">
        <v>336450</v>
      </c>
      <c r="L65" t="b">
        <f t="shared" si="1"/>
        <v>1</v>
      </c>
      <c r="M65">
        <v>0</v>
      </c>
      <c r="N65">
        <v>0</v>
      </c>
      <c r="O65" t="b">
        <f t="shared" si="2"/>
        <v>1</v>
      </c>
      <c r="P65">
        <v>0</v>
      </c>
      <c r="Q65">
        <v>0</v>
      </c>
      <c r="R65" t="b">
        <f t="shared" si="3"/>
        <v>1</v>
      </c>
      <c r="S65">
        <v>336450</v>
      </c>
      <c r="T65">
        <v>336450</v>
      </c>
      <c r="U65" t="b">
        <f t="shared" si="12"/>
        <v>1</v>
      </c>
      <c r="V65">
        <v>227815</v>
      </c>
      <c r="W65">
        <v>227815</v>
      </c>
      <c r="X65" t="b">
        <f t="shared" si="5"/>
        <v>1</v>
      </c>
      <c r="Y65">
        <v>227815</v>
      </c>
      <c r="Z65">
        <v>227815</v>
      </c>
      <c r="AA65" t="b">
        <f t="shared" si="6"/>
        <v>1</v>
      </c>
      <c r="AB65">
        <v>34616</v>
      </c>
      <c r="AC65">
        <v>34616</v>
      </c>
      <c r="AD65" t="b">
        <f t="shared" si="7"/>
        <v>1</v>
      </c>
      <c r="AE65">
        <v>0</v>
      </c>
      <c r="AF65">
        <v>0</v>
      </c>
      <c r="AG65" t="b">
        <f t="shared" si="8"/>
        <v>1</v>
      </c>
      <c r="AH65">
        <v>262431</v>
      </c>
      <c r="AI65">
        <v>262431</v>
      </c>
      <c r="AJ65" t="b">
        <f t="shared" si="9"/>
        <v>1</v>
      </c>
      <c r="AK65">
        <v>108635</v>
      </c>
      <c r="AL65">
        <v>108635</v>
      </c>
      <c r="AM65" t="b">
        <f t="shared" si="10"/>
        <v>1</v>
      </c>
    </row>
    <row r="66" hidden="1" spans="1:39">
      <c r="A66">
        <v>45758</v>
      </c>
      <c r="B66" t="s">
        <v>27</v>
      </c>
      <c r="C66" t="s">
        <v>120</v>
      </c>
      <c r="D66" t="s">
        <v>71</v>
      </c>
      <c r="E66" t="s">
        <v>142</v>
      </c>
      <c r="F66" t="s">
        <v>434</v>
      </c>
      <c r="G66">
        <v>52557</v>
      </c>
      <c r="H66">
        <v>105114</v>
      </c>
      <c r="I66" t="b">
        <f t="shared" si="11"/>
        <v>0</v>
      </c>
      <c r="J66">
        <v>0</v>
      </c>
      <c r="K66">
        <v>0</v>
      </c>
      <c r="L66" t="b">
        <f t="shared" si="1"/>
        <v>1</v>
      </c>
      <c r="M66">
        <v>0</v>
      </c>
      <c r="N66">
        <v>0</v>
      </c>
      <c r="O66" t="b">
        <f t="shared" si="2"/>
        <v>1</v>
      </c>
      <c r="P66">
        <v>0</v>
      </c>
      <c r="Q66">
        <v>0</v>
      </c>
      <c r="R66" t="b">
        <f t="shared" si="3"/>
        <v>1</v>
      </c>
      <c r="S66">
        <v>0</v>
      </c>
      <c r="T66">
        <v>0</v>
      </c>
      <c r="U66" t="b">
        <f t="shared" si="12"/>
        <v>1</v>
      </c>
      <c r="V66">
        <v>0</v>
      </c>
      <c r="W66">
        <v>0</v>
      </c>
      <c r="X66" t="b">
        <f t="shared" si="5"/>
        <v>1</v>
      </c>
      <c r="Y66">
        <v>0</v>
      </c>
      <c r="Z66">
        <v>0</v>
      </c>
      <c r="AA66" t="b">
        <f t="shared" si="6"/>
        <v>1</v>
      </c>
      <c r="AB66">
        <v>0</v>
      </c>
      <c r="AC66">
        <v>0</v>
      </c>
      <c r="AD66" t="b">
        <f t="shared" si="7"/>
        <v>1</v>
      </c>
      <c r="AE66">
        <v>0</v>
      </c>
      <c r="AF66">
        <v>0</v>
      </c>
      <c r="AG66" t="b">
        <f t="shared" si="8"/>
        <v>1</v>
      </c>
      <c r="AH66">
        <v>0</v>
      </c>
      <c r="AI66">
        <v>0</v>
      </c>
      <c r="AJ66" t="b">
        <f t="shared" si="9"/>
        <v>1</v>
      </c>
      <c r="AK66">
        <v>52557</v>
      </c>
      <c r="AL66">
        <v>105114</v>
      </c>
      <c r="AM66" t="b">
        <f t="shared" si="10"/>
        <v>0</v>
      </c>
    </row>
    <row r="67" spans="1:39">
      <c r="A67">
        <v>45758</v>
      </c>
      <c r="B67" t="s">
        <v>31</v>
      </c>
      <c r="C67" t="s">
        <v>115</v>
      </c>
      <c r="D67" t="s">
        <v>143</v>
      </c>
      <c r="E67" t="s">
        <v>144</v>
      </c>
      <c r="F67" t="s">
        <v>435</v>
      </c>
      <c r="G67">
        <v>13492.5</v>
      </c>
      <c r="H67">
        <v>13492.5</v>
      </c>
      <c r="I67" t="b">
        <f t="shared" si="11"/>
        <v>1</v>
      </c>
      <c r="J67">
        <v>13492.5</v>
      </c>
      <c r="K67">
        <v>13492.5</v>
      </c>
      <c r="L67" t="b">
        <f t="shared" ref="L67:L130" si="13">J67=K67</f>
        <v>1</v>
      </c>
      <c r="M67">
        <v>0</v>
      </c>
      <c r="N67">
        <v>0</v>
      </c>
      <c r="O67" t="b">
        <f t="shared" ref="O67:O130" si="14">N67=M67</f>
        <v>1</v>
      </c>
      <c r="P67">
        <v>0</v>
      </c>
      <c r="Q67">
        <v>0</v>
      </c>
      <c r="R67" t="b">
        <f t="shared" ref="R67:R130" si="15">P67=Q67</f>
        <v>1</v>
      </c>
      <c r="S67">
        <v>13492.5</v>
      </c>
      <c r="T67">
        <v>13492.5</v>
      </c>
      <c r="U67" t="b">
        <f t="shared" si="12"/>
        <v>1</v>
      </c>
      <c r="V67">
        <v>9400</v>
      </c>
      <c r="W67">
        <v>9400</v>
      </c>
      <c r="X67" t="b">
        <f t="shared" ref="X67:X130" si="16">V67=W67</f>
        <v>1</v>
      </c>
      <c r="Y67">
        <v>9400</v>
      </c>
      <c r="Z67">
        <v>9400</v>
      </c>
      <c r="AA67" t="b">
        <f t="shared" ref="AA67:AA130" si="17">Y67=Z67</f>
        <v>1</v>
      </c>
      <c r="AB67">
        <v>0</v>
      </c>
      <c r="AC67">
        <v>0</v>
      </c>
      <c r="AD67" t="b">
        <f t="shared" ref="AD67:AD130" si="18">AB67=AC67</f>
        <v>1</v>
      </c>
      <c r="AE67">
        <v>0</v>
      </c>
      <c r="AF67">
        <v>0</v>
      </c>
      <c r="AG67" t="b">
        <f t="shared" ref="AG67:AG130" si="19">AE67=AF67</f>
        <v>1</v>
      </c>
      <c r="AH67">
        <v>9400</v>
      </c>
      <c r="AI67">
        <v>9400</v>
      </c>
      <c r="AJ67" t="b">
        <f t="shared" ref="AJ67:AJ130" si="20">AH67=AI67</f>
        <v>1</v>
      </c>
      <c r="AK67">
        <v>4092.5</v>
      </c>
      <c r="AL67">
        <v>4092.5</v>
      </c>
      <c r="AM67" t="b">
        <f t="shared" ref="AM67:AM130" si="21">AK67=AL67</f>
        <v>1</v>
      </c>
    </row>
    <row r="68" hidden="1" spans="1:39">
      <c r="A68">
        <v>45758</v>
      </c>
      <c r="B68" t="s">
        <v>31</v>
      </c>
      <c r="C68" t="s">
        <v>115</v>
      </c>
      <c r="D68" t="s">
        <v>45</v>
      </c>
      <c r="E68" t="s">
        <v>145</v>
      </c>
      <c r="F68" t="s">
        <v>436</v>
      </c>
      <c r="G68">
        <v>0</v>
      </c>
      <c r="H68">
        <v>1014046</v>
      </c>
      <c r="I68" t="b">
        <f t="shared" si="11"/>
        <v>0</v>
      </c>
      <c r="J68">
        <v>0</v>
      </c>
      <c r="K68">
        <v>0</v>
      </c>
      <c r="L68" t="b">
        <f t="shared" si="13"/>
        <v>1</v>
      </c>
      <c r="M68">
        <v>1014046</v>
      </c>
      <c r="N68">
        <v>1014046</v>
      </c>
      <c r="O68" t="b">
        <f t="shared" si="14"/>
        <v>1</v>
      </c>
      <c r="P68">
        <v>0</v>
      </c>
      <c r="Q68">
        <v>0</v>
      </c>
      <c r="R68" t="b">
        <f t="shared" si="15"/>
        <v>1</v>
      </c>
      <c r="S68">
        <v>1014046</v>
      </c>
      <c r="T68">
        <v>1014046</v>
      </c>
      <c r="U68" t="b">
        <f t="shared" si="12"/>
        <v>1</v>
      </c>
      <c r="V68">
        <v>705944</v>
      </c>
      <c r="W68">
        <v>708765</v>
      </c>
      <c r="X68" t="b">
        <f t="shared" si="16"/>
        <v>0</v>
      </c>
      <c r="Y68">
        <v>708765</v>
      </c>
      <c r="Z68">
        <v>708765</v>
      </c>
      <c r="AA68" t="b">
        <f t="shared" si="17"/>
        <v>1</v>
      </c>
      <c r="AB68">
        <v>0</v>
      </c>
      <c r="AC68">
        <v>0</v>
      </c>
      <c r="AD68" t="b">
        <f t="shared" si="18"/>
        <v>1</v>
      </c>
      <c r="AE68">
        <v>0</v>
      </c>
      <c r="AF68">
        <v>0</v>
      </c>
      <c r="AG68" t="b">
        <f t="shared" si="19"/>
        <v>1</v>
      </c>
      <c r="AH68">
        <v>708765</v>
      </c>
      <c r="AI68">
        <v>708765</v>
      </c>
      <c r="AJ68" t="b">
        <f t="shared" si="20"/>
        <v>1</v>
      </c>
      <c r="AK68">
        <v>705944</v>
      </c>
      <c r="AL68">
        <v>305281</v>
      </c>
      <c r="AM68" t="b">
        <f t="shared" si="21"/>
        <v>0</v>
      </c>
    </row>
    <row r="69" hidden="1" spans="1:39">
      <c r="A69">
        <v>45758</v>
      </c>
      <c r="B69" t="s">
        <v>27</v>
      </c>
      <c r="C69" t="s">
        <v>120</v>
      </c>
      <c r="D69" t="s">
        <v>64</v>
      </c>
      <c r="E69" t="s">
        <v>437</v>
      </c>
      <c r="F69" t="s">
        <v>438</v>
      </c>
      <c r="G69">
        <v>1102551</v>
      </c>
      <c r="H69">
        <v>1102551</v>
      </c>
      <c r="I69" t="b">
        <f t="shared" si="11"/>
        <v>1</v>
      </c>
      <c r="J69">
        <v>1102551</v>
      </c>
      <c r="K69">
        <v>1102551</v>
      </c>
      <c r="L69" t="b">
        <f t="shared" si="13"/>
        <v>1</v>
      </c>
      <c r="M69">
        <v>0</v>
      </c>
      <c r="N69">
        <v>0</v>
      </c>
      <c r="O69" t="b">
        <f t="shared" si="14"/>
        <v>1</v>
      </c>
      <c r="P69">
        <v>0</v>
      </c>
      <c r="Q69">
        <v>0</v>
      </c>
      <c r="R69" t="b">
        <f t="shared" si="15"/>
        <v>1</v>
      </c>
      <c r="S69">
        <v>1102551</v>
      </c>
      <c r="T69">
        <v>1102551</v>
      </c>
      <c r="U69" t="b">
        <f t="shared" si="12"/>
        <v>1</v>
      </c>
      <c r="V69">
        <v>534310.5</v>
      </c>
      <c r="W69">
        <v>712151.24</v>
      </c>
      <c r="X69" t="b">
        <f t="shared" si="16"/>
        <v>0</v>
      </c>
      <c r="Y69">
        <v>608501.24</v>
      </c>
      <c r="Z69">
        <v>608501.24</v>
      </c>
      <c r="AA69" t="b">
        <f t="shared" si="17"/>
        <v>1</v>
      </c>
      <c r="AB69">
        <v>103650</v>
      </c>
      <c r="AC69">
        <v>103650</v>
      </c>
      <c r="AD69" t="b">
        <f t="shared" si="18"/>
        <v>1</v>
      </c>
      <c r="AE69">
        <v>0</v>
      </c>
      <c r="AF69">
        <v>0</v>
      </c>
      <c r="AG69" t="b">
        <f t="shared" si="19"/>
        <v>1</v>
      </c>
      <c r="AH69">
        <v>712151.24</v>
      </c>
      <c r="AI69">
        <v>712151.24</v>
      </c>
      <c r="AJ69" t="b">
        <f t="shared" si="20"/>
        <v>1</v>
      </c>
      <c r="AK69">
        <v>568240.5</v>
      </c>
      <c r="AL69">
        <v>390399.76</v>
      </c>
      <c r="AM69" t="b">
        <f t="shared" si="21"/>
        <v>0</v>
      </c>
    </row>
    <row r="70" spans="1:39">
      <c r="A70">
        <v>45758</v>
      </c>
      <c r="B70" t="s">
        <v>27</v>
      </c>
      <c r="C70" t="s">
        <v>120</v>
      </c>
      <c r="D70" t="s">
        <v>81</v>
      </c>
      <c r="E70" t="s">
        <v>147</v>
      </c>
      <c r="F70" t="s">
        <v>439</v>
      </c>
      <c r="G70">
        <v>192016</v>
      </c>
      <c r="H70">
        <v>192016</v>
      </c>
      <c r="I70" t="b">
        <f t="shared" si="11"/>
        <v>1</v>
      </c>
      <c r="J70">
        <v>0</v>
      </c>
      <c r="K70">
        <v>0</v>
      </c>
      <c r="L70" t="b">
        <f t="shared" si="13"/>
        <v>1</v>
      </c>
      <c r="M70">
        <v>192016</v>
      </c>
      <c r="N70">
        <v>192016</v>
      </c>
      <c r="O70" t="b">
        <f t="shared" si="14"/>
        <v>1</v>
      </c>
      <c r="P70">
        <v>0</v>
      </c>
      <c r="Q70">
        <v>0</v>
      </c>
      <c r="R70" t="b">
        <f t="shared" si="15"/>
        <v>1</v>
      </c>
      <c r="S70">
        <v>192016</v>
      </c>
      <c r="T70">
        <v>192016</v>
      </c>
      <c r="U70" t="b">
        <f t="shared" si="12"/>
        <v>1</v>
      </c>
      <c r="V70">
        <v>600</v>
      </c>
      <c r="W70">
        <v>600</v>
      </c>
      <c r="X70" t="b">
        <f t="shared" si="16"/>
        <v>1</v>
      </c>
      <c r="Y70">
        <v>600</v>
      </c>
      <c r="Z70">
        <v>600</v>
      </c>
      <c r="AA70" t="b">
        <f t="shared" si="17"/>
        <v>1</v>
      </c>
      <c r="AB70">
        <v>149100</v>
      </c>
      <c r="AC70">
        <v>149100</v>
      </c>
      <c r="AD70" t="b">
        <f t="shared" si="18"/>
        <v>1</v>
      </c>
      <c r="AE70">
        <v>0</v>
      </c>
      <c r="AF70">
        <v>0</v>
      </c>
      <c r="AG70" t="b">
        <f t="shared" si="19"/>
        <v>1</v>
      </c>
      <c r="AH70">
        <v>149700</v>
      </c>
      <c r="AI70">
        <v>149700</v>
      </c>
      <c r="AJ70" t="b">
        <f t="shared" si="20"/>
        <v>1</v>
      </c>
      <c r="AK70">
        <v>191416</v>
      </c>
      <c r="AL70">
        <v>191416</v>
      </c>
      <c r="AM70" t="b">
        <f t="shared" si="21"/>
        <v>1</v>
      </c>
    </row>
    <row r="71" hidden="1" spans="1:39">
      <c r="A71">
        <v>45758</v>
      </c>
      <c r="B71" t="s">
        <v>27</v>
      </c>
      <c r="C71" t="s">
        <v>120</v>
      </c>
      <c r="D71" t="s">
        <v>47</v>
      </c>
      <c r="E71" t="s">
        <v>148</v>
      </c>
      <c r="F71" t="s">
        <v>440</v>
      </c>
      <c r="G71">
        <v>3705921</v>
      </c>
      <c r="H71">
        <v>3701171.45</v>
      </c>
      <c r="I71" t="b">
        <f t="shared" si="11"/>
        <v>0</v>
      </c>
      <c r="J71">
        <v>0</v>
      </c>
      <c r="K71">
        <v>0</v>
      </c>
      <c r="L71" t="b">
        <f t="shared" si="13"/>
        <v>1</v>
      </c>
      <c r="M71">
        <v>0</v>
      </c>
      <c r="N71">
        <v>0</v>
      </c>
      <c r="O71" t="b">
        <f t="shared" si="14"/>
        <v>1</v>
      </c>
      <c r="P71">
        <v>0</v>
      </c>
      <c r="Q71">
        <v>0</v>
      </c>
      <c r="R71" t="b">
        <f t="shared" si="15"/>
        <v>1</v>
      </c>
      <c r="S71">
        <v>0</v>
      </c>
      <c r="T71">
        <v>0</v>
      </c>
      <c r="U71" t="b">
        <f t="shared" si="12"/>
        <v>1</v>
      </c>
      <c r="V71">
        <v>0</v>
      </c>
      <c r="W71">
        <v>0</v>
      </c>
      <c r="X71" t="b">
        <f t="shared" si="16"/>
        <v>1</v>
      </c>
      <c r="Y71">
        <v>0</v>
      </c>
      <c r="Z71">
        <v>0</v>
      </c>
      <c r="AA71" t="b">
        <f t="shared" si="17"/>
        <v>1</v>
      </c>
      <c r="AB71">
        <v>0</v>
      </c>
      <c r="AC71">
        <v>0</v>
      </c>
      <c r="AD71" t="b">
        <f t="shared" si="18"/>
        <v>1</v>
      </c>
      <c r="AE71">
        <v>0</v>
      </c>
      <c r="AF71">
        <v>0</v>
      </c>
      <c r="AG71" t="b">
        <f t="shared" si="19"/>
        <v>1</v>
      </c>
      <c r="AH71">
        <v>0</v>
      </c>
      <c r="AI71">
        <v>0</v>
      </c>
      <c r="AJ71" t="b">
        <f t="shared" si="20"/>
        <v>1</v>
      </c>
      <c r="AK71">
        <v>3705921</v>
      </c>
      <c r="AL71">
        <v>3701171.45</v>
      </c>
      <c r="AM71" t="b">
        <f t="shared" si="21"/>
        <v>0</v>
      </c>
    </row>
    <row r="72" hidden="1" spans="1:39">
      <c r="A72">
        <v>45758</v>
      </c>
      <c r="B72" t="s">
        <v>31</v>
      </c>
      <c r="C72" t="s">
        <v>115</v>
      </c>
      <c r="D72" t="s">
        <v>149</v>
      </c>
      <c r="E72" t="s">
        <v>150</v>
      </c>
      <c r="F72" t="s">
        <v>441</v>
      </c>
      <c r="G72">
        <v>644498</v>
      </c>
      <c r="H72">
        <v>644498</v>
      </c>
      <c r="I72" t="b">
        <f t="shared" si="11"/>
        <v>1</v>
      </c>
      <c r="J72">
        <v>0</v>
      </c>
      <c r="K72">
        <v>644498</v>
      </c>
      <c r="L72" t="b">
        <f t="shared" si="13"/>
        <v>0</v>
      </c>
      <c r="M72">
        <v>0</v>
      </c>
      <c r="N72">
        <v>0</v>
      </c>
      <c r="O72" t="b">
        <f t="shared" si="14"/>
        <v>1</v>
      </c>
      <c r="P72">
        <v>0</v>
      </c>
      <c r="Q72">
        <v>0</v>
      </c>
      <c r="R72" t="b">
        <f t="shared" si="15"/>
        <v>1</v>
      </c>
      <c r="S72">
        <v>0</v>
      </c>
      <c r="T72">
        <v>644498</v>
      </c>
      <c r="U72" t="b">
        <f t="shared" si="12"/>
        <v>0</v>
      </c>
      <c r="V72">
        <v>560310</v>
      </c>
      <c r="W72">
        <v>561491</v>
      </c>
      <c r="X72" t="b">
        <f t="shared" si="16"/>
        <v>0</v>
      </c>
      <c r="Y72">
        <v>75591</v>
      </c>
      <c r="Z72">
        <v>75591</v>
      </c>
      <c r="AA72" t="b">
        <f t="shared" si="17"/>
        <v>1</v>
      </c>
      <c r="AB72">
        <v>485900</v>
      </c>
      <c r="AC72">
        <v>485900</v>
      </c>
      <c r="AD72" t="b">
        <f t="shared" si="18"/>
        <v>1</v>
      </c>
      <c r="AE72">
        <v>0</v>
      </c>
      <c r="AF72">
        <v>0</v>
      </c>
      <c r="AG72" t="b">
        <f t="shared" si="19"/>
        <v>1</v>
      </c>
      <c r="AH72">
        <v>561491</v>
      </c>
      <c r="AI72">
        <v>561491</v>
      </c>
      <c r="AJ72" t="b">
        <f t="shared" si="20"/>
        <v>1</v>
      </c>
      <c r="AK72">
        <v>84188</v>
      </c>
      <c r="AL72">
        <v>83007</v>
      </c>
      <c r="AM72" t="b">
        <f t="shared" si="21"/>
        <v>0</v>
      </c>
    </row>
    <row r="73" spans="1:39">
      <c r="A73">
        <v>45758</v>
      </c>
      <c r="B73" t="s">
        <v>59</v>
      </c>
      <c r="C73" t="s">
        <v>115</v>
      </c>
      <c r="D73" t="s">
        <v>151</v>
      </c>
      <c r="E73" t="s">
        <v>152</v>
      </c>
      <c r="F73" t="s">
        <v>442</v>
      </c>
      <c r="G73">
        <v>16125</v>
      </c>
      <c r="H73">
        <v>16125</v>
      </c>
      <c r="I73" t="b">
        <f t="shared" si="11"/>
        <v>1</v>
      </c>
      <c r="J73">
        <v>16125</v>
      </c>
      <c r="K73">
        <v>16125</v>
      </c>
      <c r="L73" t="b">
        <f t="shared" si="13"/>
        <v>1</v>
      </c>
      <c r="M73">
        <v>0</v>
      </c>
      <c r="N73">
        <v>0</v>
      </c>
      <c r="O73" t="b">
        <f t="shared" si="14"/>
        <v>1</v>
      </c>
      <c r="P73">
        <v>0</v>
      </c>
      <c r="Q73">
        <v>0</v>
      </c>
      <c r="R73" t="b">
        <f t="shared" si="15"/>
        <v>1</v>
      </c>
      <c r="S73">
        <v>16125</v>
      </c>
      <c r="T73">
        <v>16125</v>
      </c>
      <c r="U73" t="b">
        <f t="shared" si="12"/>
        <v>1</v>
      </c>
      <c r="V73">
        <v>15150</v>
      </c>
      <c r="W73">
        <v>15150</v>
      </c>
      <c r="X73" t="b">
        <f t="shared" si="16"/>
        <v>1</v>
      </c>
      <c r="Y73">
        <v>15150</v>
      </c>
      <c r="Z73">
        <v>15150</v>
      </c>
      <c r="AA73" t="b">
        <f t="shared" si="17"/>
        <v>1</v>
      </c>
      <c r="AB73">
        <v>0</v>
      </c>
      <c r="AC73">
        <v>0</v>
      </c>
      <c r="AD73" t="b">
        <f t="shared" si="18"/>
        <v>1</v>
      </c>
      <c r="AE73">
        <v>0</v>
      </c>
      <c r="AF73">
        <v>0</v>
      </c>
      <c r="AG73" t="b">
        <f t="shared" si="19"/>
        <v>1</v>
      </c>
      <c r="AH73">
        <v>15150</v>
      </c>
      <c r="AI73">
        <v>15150</v>
      </c>
      <c r="AJ73" t="b">
        <f t="shared" si="20"/>
        <v>1</v>
      </c>
      <c r="AK73">
        <v>975</v>
      </c>
      <c r="AL73">
        <v>975</v>
      </c>
      <c r="AM73" t="b">
        <f t="shared" si="21"/>
        <v>1</v>
      </c>
    </row>
    <row r="74" hidden="1" spans="1:39">
      <c r="A74">
        <v>45758</v>
      </c>
      <c r="B74" t="s">
        <v>59</v>
      </c>
      <c r="C74" t="s">
        <v>115</v>
      </c>
      <c r="D74" t="s">
        <v>60</v>
      </c>
      <c r="E74" t="s">
        <v>153</v>
      </c>
      <c r="F74" t="s">
        <v>443</v>
      </c>
      <c r="G74">
        <v>268279</v>
      </c>
      <c r="H74">
        <v>268279</v>
      </c>
      <c r="I74" t="b">
        <f t="shared" si="11"/>
        <v>1</v>
      </c>
      <c r="J74">
        <v>0</v>
      </c>
      <c r="K74">
        <v>0</v>
      </c>
      <c r="L74" t="b">
        <f t="shared" si="13"/>
        <v>1</v>
      </c>
      <c r="M74">
        <v>268279</v>
      </c>
      <c r="N74">
        <v>268279</v>
      </c>
      <c r="O74" t="b">
        <f t="shared" si="14"/>
        <v>1</v>
      </c>
      <c r="P74">
        <v>0</v>
      </c>
      <c r="Q74">
        <v>0</v>
      </c>
      <c r="R74" t="b">
        <f t="shared" si="15"/>
        <v>1</v>
      </c>
      <c r="S74">
        <v>268279</v>
      </c>
      <c r="T74">
        <v>268279</v>
      </c>
      <c r="U74" t="b">
        <f t="shared" si="12"/>
        <v>1</v>
      </c>
      <c r="V74">
        <v>241305</v>
      </c>
      <c r="W74">
        <v>241305</v>
      </c>
      <c r="X74" t="b">
        <f t="shared" si="16"/>
        <v>1</v>
      </c>
      <c r="Y74">
        <v>205805</v>
      </c>
      <c r="Z74">
        <v>241305</v>
      </c>
      <c r="AA74" t="b">
        <f t="shared" si="17"/>
        <v>0</v>
      </c>
      <c r="AB74">
        <v>0</v>
      </c>
      <c r="AC74">
        <v>0</v>
      </c>
      <c r="AD74" t="b">
        <f t="shared" si="18"/>
        <v>1</v>
      </c>
      <c r="AE74">
        <v>0</v>
      </c>
      <c r="AF74">
        <v>0</v>
      </c>
      <c r="AG74" t="b">
        <f t="shared" si="19"/>
        <v>1</v>
      </c>
      <c r="AH74">
        <v>205805</v>
      </c>
      <c r="AI74">
        <v>241305</v>
      </c>
      <c r="AJ74" t="b">
        <f t="shared" si="20"/>
        <v>0</v>
      </c>
      <c r="AK74">
        <v>26974</v>
      </c>
      <c r="AL74">
        <v>26974</v>
      </c>
      <c r="AM74" t="b">
        <f t="shared" si="21"/>
        <v>1</v>
      </c>
    </row>
    <row r="75" hidden="1" spans="1:39">
      <c r="A75">
        <v>45758</v>
      </c>
      <c r="B75" t="s">
        <v>27</v>
      </c>
      <c r="C75" t="s">
        <v>120</v>
      </c>
      <c r="D75" t="s">
        <v>135</v>
      </c>
      <c r="E75" t="s">
        <v>444</v>
      </c>
      <c r="F75" t="s">
        <v>445</v>
      </c>
      <c r="G75">
        <v>0</v>
      </c>
      <c r="H75">
        <v>2580160</v>
      </c>
      <c r="I75" t="b">
        <f t="shared" si="11"/>
        <v>0</v>
      </c>
      <c r="J75">
        <v>0</v>
      </c>
      <c r="K75">
        <v>0</v>
      </c>
      <c r="L75" t="b">
        <f t="shared" si="13"/>
        <v>1</v>
      </c>
      <c r="M75">
        <v>0</v>
      </c>
      <c r="N75">
        <v>0</v>
      </c>
      <c r="O75" t="b">
        <f t="shared" si="14"/>
        <v>1</v>
      </c>
      <c r="P75">
        <v>0</v>
      </c>
      <c r="Q75">
        <v>0</v>
      </c>
      <c r="R75" t="b">
        <f t="shared" si="15"/>
        <v>1</v>
      </c>
      <c r="S75">
        <v>0</v>
      </c>
      <c r="T75">
        <v>0</v>
      </c>
      <c r="U75" t="b">
        <f t="shared" si="12"/>
        <v>1</v>
      </c>
      <c r="V75">
        <v>850000</v>
      </c>
      <c r="W75">
        <v>850000</v>
      </c>
      <c r="X75" t="b">
        <f t="shared" si="16"/>
        <v>1</v>
      </c>
      <c r="Y75">
        <v>850000</v>
      </c>
      <c r="Z75">
        <v>850000</v>
      </c>
      <c r="AA75" t="b">
        <f t="shared" si="17"/>
        <v>1</v>
      </c>
      <c r="AB75">
        <v>850000</v>
      </c>
      <c r="AC75">
        <v>850000</v>
      </c>
      <c r="AD75" t="b">
        <f t="shared" si="18"/>
        <v>1</v>
      </c>
      <c r="AE75">
        <v>0</v>
      </c>
      <c r="AF75">
        <v>0</v>
      </c>
      <c r="AG75" t="b">
        <f t="shared" si="19"/>
        <v>1</v>
      </c>
      <c r="AH75">
        <v>0</v>
      </c>
      <c r="AI75">
        <v>0</v>
      </c>
      <c r="AJ75" t="b">
        <f t="shared" si="20"/>
        <v>1</v>
      </c>
      <c r="AK75">
        <v>850000</v>
      </c>
      <c r="AL75">
        <v>1730160</v>
      </c>
      <c r="AM75" t="b">
        <f t="shared" si="21"/>
        <v>0</v>
      </c>
    </row>
    <row r="76" hidden="1" spans="1:39">
      <c r="A76">
        <v>45758</v>
      </c>
      <c r="B76" t="s">
        <v>27</v>
      </c>
      <c r="C76" t="s">
        <v>120</v>
      </c>
      <c r="D76" t="s">
        <v>71</v>
      </c>
      <c r="E76" t="s">
        <v>155</v>
      </c>
      <c r="F76" t="s">
        <v>446</v>
      </c>
      <c r="G76">
        <v>1022599</v>
      </c>
      <c r="H76">
        <v>1022599</v>
      </c>
      <c r="I76" t="b">
        <f t="shared" si="11"/>
        <v>1</v>
      </c>
      <c r="J76">
        <v>0</v>
      </c>
      <c r="K76">
        <v>0</v>
      </c>
      <c r="L76" t="b">
        <f t="shared" si="13"/>
        <v>1</v>
      </c>
      <c r="M76">
        <v>1022599</v>
      </c>
      <c r="N76">
        <v>1022599</v>
      </c>
      <c r="O76" t="b">
        <f t="shared" si="14"/>
        <v>1</v>
      </c>
      <c r="P76">
        <v>0</v>
      </c>
      <c r="Q76">
        <v>0</v>
      </c>
      <c r="R76" t="b">
        <f t="shared" si="15"/>
        <v>1</v>
      </c>
      <c r="S76">
        <v>1022599</v>
      </c>
      <c r="T76">
        <v>1022599</v>
      </c>
      <c r="U76" t="b">
        <f t="shared" si="12"/>
        <v>1</v>
      </c>
      <c r="V76">
        <v>511685</v>
      </c>
      <c r="W76">
        <v>551803</v>
      </c>
      <c r="X76" t="b">
        <f t="shared" si="16"/>
        <v>0</v>
      </c>
      <c r="Y76">
        <v>536803</v>
      </c>
      <c r="Z76">
        <v>536803</v>
      </c>
      <c r="AA76" t="b">
        <f t="shared" si="17"/>
        <v>1</v>
      </c>
      <c r="AB76">
        <v>185197</v>
      </c>
      <c r="AC76">
        <v>185197</v>
      </c>
      <c r="AD76" t="b">
        <f t="shared" si="18"/>
        <v>1</v>
      </c>
      <c r="AE76">
        <v>0</v>
      </c>
      <c r="AF76">
        <v>0</v>
      </c>
      <c r="AG76" t="b">
        <f t="shared" si="19"/>
        <v>1</v>
      </c>
      <c r="AH76">
        <v>722000</v>
      </c>
      <c r="AI76">
        <v>722000</v>
      </c>
      <c r="AJ76" t="b">
        <f t="shared" si="20"/>
        <v>1</v>
      </c>
      <c r="AK76">
        <v>510914</v>
      </c>
      <c r="AL76">
        <v>470796</v>
      </c>
      <c r="AM76" t="b">
        <f t="shared" si="21"/>
        <v>0</v>
      </c>
    </row>
    <row r="77" hidden="1" spans="1:39">
      <c r="A77">
        <v>45758</v>
      </c>
      <c r="B77" t="s">
        <v>38</v>
      </c>
      <c r="C77" t="s">
        <v>130</v>
      </c>
      <c r="D77" t="s">
        <v>156</v>
      </c>
      <c r="E77" t="s">
        <v>157</v>
      </c>
      <c r="F77" t="s">
        <v>447</v>
      </c>
      <c r="G77">
        <v>13936040</v>
      </c>
      <c r="H77">
        <v>10725200</v>
      </c>
      <c r="I77" t="b">
        <f t="shared" si="11"/>
        <v>0</v>
      </c>
      <c r="J77">
        <v>0</v>
      </c>
      <c r="K77">
        <v>0</v>
      </c>
      <c r="L77" t="b">
        <f t="shared" si="13"/>
        <v>1</v>
      </c>
      <c r="M77">
        <v>0</v>
      </c>
      <c r="N77">
        <v>0</v>
      </c>
      <c r="O77" t="b">
        <f t="shared" si="14"/>
        <v>1</v>
      </c>
      <c r="P77">
        <v>0</v>
      </c>
      <c r="Q77">
        <v>0</v>
      </c>
      <c r="R77" t="b">
        <f t="shared" si="15"/>
        <v>1</v>
      </c>
      <c r="S77">
        <v>0</v>
      </c>
      <c r="T77">
        <v>0</v>
      </c>
      <c r="U77" t="b">
        <f t="shared" si="12"/>
        <v>1</v>
      </c>
      <c r="V77">
        <v>3483000</v>
      </c>
      <c r="W77">
        <v>3483000</v>
      </c>
      <c r="X77" t="b">
        <f t="shared" si="16"/>
        <v>1</v>
      </c>
      <c r="Y77">
        <v>0</v>
      </c>
      <c r="Z77">
        <v>0</v>
      </c>
      <c r="AA77" t="b">
        <f t="shared" si="17"/>
        <v>1</v>
      </c>
      <c r="AB77">
        <v>0</v>
      </c>
      <c r="AC77">
        <v>0</v>
      </c>
      <c r="AD77" t="b">
        <f t="shared" si="18"/>
        <v>1</v>
      </c>
      <c r="AE77">
        <v>0</v>
      </c>
      <c r="AF77">
        <v>0</v>
      </c>
      <c r="AG77" t="b">
        <f t="shared" si="19"/>
        <v>1</v>
      </c>
      <c r="AH77">
        <v>0</v>
      </c>
      <c r="AI77">
        <v>0</v>
      </c>
      <c r="AJ77" t="b">
        <f t="shared" si="20"/>
        <v>1</v>
      </c>
      <c r="AK77">
        <v>10453040</v>
      </c>
      <c r="AL77">
        <v>7242200</v>
      </c>
      <c r="AM77" t="b">
        <f t="shared" si="21"/>
        <v>0</v>
      </c>
    </row>
    <row r="78" hidden="1" spans="1:39">
      <c r="A78">
        <v>45758</v>
      </c>
      <c r="B78" t="s">
        <v>38</v>
      </c>
      <c r="C78" t="s">
        <v>130</v>
      </c>
      <c r="D78" t="s">
        <v>91</v>
      </c>
      <c r="E78" t="s">
        <v>158</v>
      </c>
      <c r="F78" t="s">
        <v>448</v>
      </c>
      <c r="G78">
        <v>1456000</v>
      </c>
      <c r="H78">
        <v>1456000</v>
      </c>
      <c r="I78" t="b">
        <f t="shared" si="11"/>
        <v>1</v>
      </c>
      <c r="J78">
        <v>1456000</v>
      </c>
      <c r="K78">
        <v>1456000</v>
      </c>
      <c r="L78" t="b">
        <f t="shared" si="13"/>
        <v>1</v>
      </c>
      <c r="M78">
        <v>0</v>
      </c>
      <c r="N78">
        <v>0</v>
      </c>
      <c r="O78" t="b">
        <f t="shared" si="14"/>
        <v>1</v>
      </c>
      <c r="P78">
        <v>0</v>
      </c>
      <c r="Q78">
        <v>0</v>
      </c>
      <c r="R78" t="b">
        <f t="shared" si="15"/>
        <v>1</v>
      </c>
      <c r="S78">
        <v>1456000</v>
      </c>
      <c r="T78">
        <v>1456000</v>
      </c>
      <c r="U78" t="b">
        <f t="shared" si="12"/>
        <v>1</v>
      </c>
      <c r="V78">
        <v>120826.06</v>
      </c>
      <c r="W78">
        <v>620826.06</v>
      </c>
      <c r="X78" t="b">
        <f t="shared" si="16"/>
        <v>0</v>
      </c>
      <c r="Y78">
        <v>120826.06</v>
      </c>
      <c r="Z78">
        <v>620826.06</v>
      </c>
      <c r="AA78" t="b">
        <f t="shared" si="17"/>
        <v>0</v>
      </c>
      <c r="AB78">
        <v>129173.94</v>
      </c>
      <c r="AC78">
        <v>129173.94</v>
      </c>
      <c r="AD78" t="b">
        <f t="shared" si="18"/>
        <v>1</v>
      </c>
      <c r="AE78">
        <v>0</v>
      </c>
      <c r="AF78">
        <v>0</v>
      </c>
      <c r="AG78" t="b">
        <f t="shared" si="19"/>
        <v>1</v>
      </c>
      <c r="AH78">
        <v>250000</v>
      </c>
      <c r="AI78">
        <v>750000</v>
      </c>
      <c r="AJ78" t="b">
        <f t="shared" si="20"/>
        <v>0</v>
      </c>
      <c r="AK78">
        <v>1335173.94</v>
      </c>
      <c r="AL78">
        <v>835173.94</v>
      </c>
      <c r="AM78" t="b">
        <f t="shared" si="21"/>
        <v>0</v>
      </c>
    </row>
    <row r="79" spans="1:39">
      <c r="A79">
        <v>45758</v>
      </c>
      <c r="B79" t="s">
        <v>38</v>
      </c>
      <c r="C79" t="s">
        <v>130</v>
      </c>
      <c r="D79" t="s">
        <v>156</v>
      </c>
      <c r="E79" t="s">
        <v>159</v>
      </c>
      <c r="F79" t="s">
        <v>449</v>
      </c>
      <c r="G79">
        <v>11903320</v>
      </c>
      <c r="H79">
        <v>11903320</v>
      </c>
      <c r="I79" t="b">
        <f t="shared" si="11"/>
        <v>1</v>
      </c>
      <c r="J79">
        <v>0</v>
      </c>
      <c r="K79">
        <v>0</v>
      </c>
      <c r="L79" t="b">
        <f t="shared" si="13"/>
        <v>1</v>
      </c>
      <c r="M79">
        <v>0</v>
      </c>
      <c r="N79">
        <v>0</v>
      </c>
      <c r="O79" t="b">
        <f t="shared" si="14"/>
        <v>1</v>
      </c>
      <c r="P79">
        <v>0</v>
      </c>
      <c r="Q79">
        <v>0</v>
      </c>
      <c r="R79" t="b">
        <f t="shared" si="15"/>
        <v>1</v>
      </c>
      <c r="S79">
        <v>0</v>
      </c>
      <c r="T79">
        <v>0</v>
      </c>
      <c r="U79" t="b">
        <f t="shared" si="12"/>
        <v>1</v>
      </c>
      <c r="V79">
        <v>2955196</v>
      </c>
      <c r="W79">
        <v>2955196</v>
      </c>
      <c r="X79" t="b">
        <f t="shared" si="16"/>
        <v>1</v>
      </c>
      <c r="Y79">
        <v>0</v>
      </c>
      <c r="Z79">
        <v>0</v>
      </c>
      <c r="AA79" t="b">
        <f t="shared" si="17"/>
        <v>1</v>
      </c>
      <c r="AB79">
        <v>0</v>
      </c>
      <c r="AC79">
        <v>0</v>
      </c>
      <c r="AD79" t="b">
        <f t="shared" si="18"/>
        <v>1</v>
      </c>
      <c r="AE79">
        <v>0</v>
      </c>
      <c r="AF79">
        <v>0</v>
      </c>
      <c r="AG79" t="b">
        <f t="shared" si="19"/>
        <v>1</v>
      </c>
      <c r="AH79">
        <v>0</v>
      </c>
      <c r="AI79">
        <v>0</v>
      </c>
      <c r="AJ79" t="b">
        <f t="shared" si="20"/>
        <v>1</v>
      </c>
      <c r="AK79">
        <v>8948124</v>
      </c>
      <c r="AL79">
        <v>8948124</v>
      </c>
      <c r="AM79" t="b">
        <f t="shared" si="21"/>
        <v>1</v>
      </c>
    </row>
    <row r="80" spans="1:39">
      <c r="A80">
        <v>45758</v>
      </c>
      <c r="B80" t="s">
        <v>31</v>
      </c>
      <c r="C80" t="s">
        <v>115</v>
      </c>
      <c r="D80" t="s">
        <v>45</v>
      </c>
      <c r="E80" t="s">
        <v>450</v>
      </c>
      <c r="F80" t="s">
        <v>451</v>
      </c>
      <c r="G80">
        <v>34100</v>
      </c>
      <c r="H80">
        <v>34100</v>
      </c>
      <c r="I80" t="b">
        <f t="shared" si="11"/>
        <v>1</v>
      </c>
      <c r="J80">
        <v>34100</v>
      </c>
      <c r="K80">
        <v>34100</v>
      </c>
      <c r="L80" t="b">
        <f t="shared" si="13"/>
        <v>1</v>
      </c>
      <c r="M80">
        <v>0</v>
      </c>
      <c r="N80">
        <v>0</v>
      </c>
      <c r="O80" t="b">
        <f t="shared" si="14"/>
        <v>1</v>
      </c>
      <c r="P80">
        <v>0</v>
      </c>
      <c r="Q80">
        <v>0</v>
      </c>
      <c r="R80" t="b">
        <f t="shared" si="15"/>
        <v>1</v>
      </c>
      <c r="S80">
        <v>34100</v>
      </c>
      <c r="T80">
        <v>34100</v>
      </c>
      <c r="U80" t="b">
        <f t="shared" si="12"/>
        <v>1</v>
      </c>
      <c r="V80">
        <v>0</v>
      </c>
      <c r="W80">
        <v>0</v>
      </c>
      <c r="X80" t="b">
        <f t="shared" si="16"/>
        <v>1</v>
      </c>
      <c r="Y80">
        <v>0</v>
      </c>
      <c r="Z80">
        <v>0</v>
      </c>
      <c r="AA80" t="b">
        <f t="shared" si="17"/>
        <v>1</v>
      </c>
      <c r="AB80">
        <v>23000</v>
      </c>
      <c r="AC80">
        <v>23000</v>
      </c>
      <c r="AD80" t="b">
        <f t="shared" si="18"/>
        <v>1</v>
      </c>
      <c r="AE80">
        <v>0</v>
      </c>
      <c r="AF80">
        <v>0</v>
      </c>
      <c r="AG80" t="b">
        <f t="shared" si="19"/>
        <v>1</v>
      </c>
      <c r="AH80">
        <v>23000</v>
      </c>
      <c r="AI80">
        <v>23000</v>
      </c>
      <c r="AJ80" t="b">
        <f t="shared" si="20"/>
        <v>1</v>
      </c>
      <c r="AK80">
        <v>34100</v>
      </c>
      <c r="AL80">
        <v>34100</v>
      </c>
      <c r="AM80" t="b">
        <f t="shared" si="21"/>
        <v>1</v>
      </c>
    </row>
    <row r="81" spans="1:39">
      <c r="A81">
        <v>45758</v>
      </c>
      <c r="B81" t="s">
        <v>27</v>
      </c>
      <c r="C81" t="s">
        <v>120</v>
      </c>
      <c r="D81" t="s">
        <v>140</v>
      </c>
      <c r="E81" t="s">
        <v>161</v>
      </c>
      <c r="F81" t="s">
        <v>452</v>
      </c>
      <c r="G81">
        <v>29835</v>
      </c>
      <c r="H81">
        <v>29835</v>
      </c>
      <c r="I81" t="b">
        <f t="shared" si="11"/>
        <v>1</v>
      </c>
      <c r="J81">
        <v>29835</v>
      </c>
      <c r="K81">
        <v>29835</v>
      </c>
      <c r="L81" t="b">
        <f t="shared" si="13"/>
        <v>1</v>
      </c>
      <c r="M81">
        <v>0</v>
      </c>
      <c r="N81">
        <v>0</v>
      </c>
      <c r="O81" t="b">
        <f t="shared" si="14"/>
        <v>1</v>
      </c>
      <c r="P81">
        <v>0</v>
      </c>
      <c r="Q81">
        <v>0</v>
      </c>
      <c r="R81" t="b">
        <f t="shared" si="15"/>
        <v>1</v>
      </c>
      <c r="S81">
        <v>29835</v>
      </c>
      <c r="T81">
        <v>29835</v>
      </c>
      <c r="U81" t="b">
        <f t="shared" si="12"/>
        <v>1</v>
      </c>
      <c r="V81">
        <v>0</v>
      </c>
      <c r="W81">
        <v>0</v>
      </c>
      <c r="X81" t="b">
        <f t="shared" si="16"/>
        <v>1</v>
      </c>
      <c r="Y81">
        <v>0</v>
      </c>
      <c r="Z81">
        <v>0</v>
      </c>
      <c r="AA81" t="b">
        <f t="shared" si="17"/>
        <v>1</v>
      </c>
      <c r="AB81">
        <v>23270</v>
      </c>
      <c r="AC81">
        <v>23270</v>
      </c>
      <c r="AD81" t="b">
        <f t="shared" si="18"/>
        <v>1</v>
      </c>
      <c r="AE81">
        <v>0</v>
      </c>
      <c r="AF81">
        <v>0</v>
      </c>
      <c r="AG81" t="b">
        <f t="shared" si="19"/>
        <v>1</v>
      </c>
      <c r="AH81">
        <v>23270</v>
      </c>
      <c r="AI81">
        <v>23270</v>
      </c>
      <c r="AJ81" t="b">
        <f t="shared" si="20"/>
        <v>1</v>
      </c>
      <c r="AK81">
        <v>29835</v>
      </c>
      <c r="AL81">
        <v>29835</v>
      </c>
      <c r="AM81" t="b">
        <f t="shared" si="21"/>
        <v>1</v>
      </c>
    </row>
    <row r="82" hidden="1" spans="1:39">
      <c r="A82">
        <v>45758</v>
      </c>
      <c r="B82" t="s">
        <v>27</v>
      </c>
      <c r="C82" t="s">
        <v>120</v>
      </c>
      <c r="D82" t="s">
        <v>138</v>
      </c>
      <c r="E82" t="s">
        <v>162</v>
      </c>
      <c r="F82" t="s">
        <v>453</v>
      </c>
      <c r="G82">
        <v>6496</v>
      </c>
      <c r="H82">
        <v>6496</v>
      </c>
      <c r="I82" t="b">
        <f t="shared" si="11"/>
        <v>1</v>
      </c>
      <c r="J82">
        <v>6496</v>
      </c>
      <c r="K82">
        <v>6496</v>
      </c>
      <c r="L82" t="b">
        <f t="shared" si="13"/>
        <v>1</v>
      </c>
      <c r="M82">
        <v>0</v>
      </c>
      <c r="N82">
        <v>0</v>
      </c>
      <c r="O82" t="b">
        <f t="shared" si="14"/>
        <v>1</v>
      </c>
      <c r="P82">
        <v>0</v>
      </c>
      <c r="Q82">
        <v>0</v>
      </c>
      <c r="R82" t="b">
        <f t="shared" si="15"/>
        <v>1</v>
      </c>
      <c r="S82">
        <v>6496</v>
      </c>
      <c r="T82">
        <v>6496</v>
      </c>
      <c r="U82" t="b">
        <f t="shared" si="12"/>
        <v>1</v>
      </c>
      <c r="V82">
        <v>2700</v>
      </c>
      <c r="W82">
        <v>3006</v>
      </c>
      <c r="X82" t="b">
        <f t="shared" si="16"/>
        <v>0</v>
      </c>
      <c r="Y82">
        <v>306</v>
      </c>
      <c r="Z82">
        <v>306</v>
      </c>
      <c r="AA82" t="b">
        <f t="shared" si="17"/>
        <v>1</v>
      </c>
      <c r="AB82">
        <v>4760.88</v>
      </c>
      <c r="AC82">
        <v>4760.88</v>
      </c>
      <c r="AD82" t="b">
        <f t="shared" si="18"/>
        <v>1</v>
      </c>
      <c r="AE82">
        <v>0</v>
      </c>
      <c r="AF82">
        <v>0</v>
      </c>
      <c r="AG82" t="b">
        <f t="shared" si="19"/>
        <v>1</v>
      </c>
      <c r="AH82">
        <v>5066.88</v>
      </c>
      <c r="AI82">
        <v>5066.88</v>
      </c>
      <c r="AJ82" t="b">
        <f t="shared" si="20"/>
        <v>1</v>
      </c>
      <c r="AK82">
        <v>3796</v>
      </c>
      <c r="AL82">
        <v>3490</v>
      </c>
      <c r="AM82" t="b">
        <f t="shared" si="21"/>
        <v>0</v>
      </c>
    </row>
    <row r="83" hidden="1" spans="1:39">
      <c r="A83">
        <v>45758</v>
      </c>
      <c r="B83" t="s">
        <v>27</v>
      </c>
      <c r="C83" t="s">
        <v>120</v>
      </c>
      <c r="D83" t="s">
        <v>163</v>
      </c>
      <c r="E83" t="s">
        <v>164</v>
      </c>
      <c r="F83" t="s">
        <v>454</v>
      </c>
      <c r="G83">
        <v>2600192</v>
      </c>
      <c r="H83">
        <v>2751197.6</v>
      </c>
      <c r="I83" t="b">
        <f t="shared" ref="I83:I146" si="22">G83=H83</f>
        <v>0</v>
      </c>
      <c r="J83">
        <v>0</v>
      </c>
      <c r="K83">
        <v>151005.6</v>
      </c>
      <c r="L83" t="b">
        <f t="shared" si="13"/>
        <v>0</v>
      </c>
      <c r="M83">
        <v>3167429.4</v>
      </c>
      <c r="N83">
        <v>3167429.4</v>
      </c>
      <c r="O83" t="b">
        <f t="shared" si="14"/>
        <v>1</v>
      </c>
      <c r="P83">
        <v>0</v>
      </c>
      <c r="Q83">
        <v>0</v>
      </c>
      <c r="R83" t="b">
        <f t="shared" si="15"/>
        <v>1</v>
      </c>
      <c r="S83">
        <v>3167429.4</v>
      </c>
      <c r="T83">
        <v>3318435</v>
      </c>
      <c r="U83" t="b">
        <f t="shared" si="12"/>
        <v>0</v>
      </c>
      <c r="V83">
        <v>1248960</v>
      </c>
      <c r="W83">
        <v>1256398</v>
      </c>
      <c r="X83" t="b">
        <f t="shared" si="16"/>
        <v>0</v>
      </c>
      <c r="Y83">
        <v>1120374</v>
      </c>
      <c r="Z83">
        <v>1120374</v>
      </c>
      <c r="AA83" t="b">
        <f t="shared" si="17"/>
        <v>1</v>
      </c>
      <c r="AB83">
        <v>1509376</v>
      </c>
      <c r="AC83">
        <v>1509376</v>
      </c>
      <c r="AD83" t="b">
        <f t="shared" si="18"/>
        <v>1</v>
      </c>
      <c r="AE83">
        <v>6872</v>
      </c>
      <c r="AF83">
        <v>6872</v>
      </c>
      <c r="AG83" t="b">
        <f t="shared" si="19"/>
        <v>1</v>
      </c>
      <c r="AH83">
        <v>2622878</v>
      </c>
      <c r="AI83">
        <v>2622878</v>
      </c>
      <c r="AJ83" t="b">
        <f t="shared" si="20"/>
        <v>1</v>
      </c>
      <c r="AK83">
        <v>1351232</v>
      </c>
      <c r="AL83">
        <v>1494799.6</v>
      </c>
      <c r="AM83" t="b">
        <f t="shared" si="21"/>
        <v>0</v>
      </c>
    </row>
    <row r="84" hidden="1" spans="1:39">
      <c r="A84">
        <v>45758</v>
      </c>
      <c r="B84" t="s">
        <v>27</v>
      </c>
      <c r="C84" t="s">
        <v>120</v>
      </c>
      <c r="D84" t="s">
        <v>64</v>
      </c>
      <c r="E84" t="s">
        <v>165</v>
      </c>
      <c r="F84" t="s">
        <v>455</v>
      </c>
      <c r="G84">
        <v>2728972.4</v>
      </c>
      <c r="H84">
        <v>2778994.9</v>
      </c>
      <c r="I84" t="b">
        <f t="shared" si="22"/>
        <v>0</v>
      </c>
      <c r="J84">
        <v>2728972.4</v>
      </c>
      <c r="K84">
        <v>2728972.4</v>
      </c>
      <c r="L84" t="b">
        <f t="shared" si="13"/>
        <v>1</v>
      </c>
      <c r="M84">
        <v>0</v>
      </c>
      <c r="N84">
        <v>0</v>
      </c>
      <c r="O84" t="b">
        <f t="shared" si="14"/>
        <v>1</v>
      </c>
      <c r="P84">
        <v>0</v>
      </c>
      <c r="Q84">
        <v>0</v>
      </c>
      <c r="R84" t="b">
        <f t="shared" si="15"/>
        <v>1</v>
      </c>
      <c r="S84">
        <v>2728972.4</v>
      </c>
      <c r="T84">
        <v>2728972.4</v>
      </c>
      <c r="U84" t="b">
        <f t="shared" si="12"/>
        <v>1</v>
      </c>
      <c r="V84">
        <v>1768272.98</v>
      </c>
      <c r="W84">
        <v>2025813.57</v>
      </c>
      <c r="X84" t="b">
        <f t="shared" si="16"/>
        <v>0</v>
      </c>
      <c r="Y84">
        <v>1668833.57</v>
      </c>
      <c r="Z84">
        <v>1689013.57</v>
      </c>
      <c r="AA84" t="b">
        <f t="shared" si="17"/>
        <v>0</v>
      </c>
      <c r="AB84">
        <v>377517.83</v>
      </c>
      <c r="AC84">
        <v>377517.83</v>
      </c>
      <c r="AD84" t="b">
        <f t="shared" si="18"/>
        <v>1</v>
      </c>
      <c r="AE84">
        <v>0</v>
      </c>
      <c r="AF84">
        <v>0</v>
      </c>
      <c r="AG84" t="b">
        <f t="shared" si="19"/>
        <v>1</v>
      </c>
      <c r="AH84">
        <v>2046351.4</v>
      </c>
      <c r="AI84">
        <v>2066531.4</v>
      </c>
      <c r="AJ84" t="b">
        <f t="shared" si="20"/>
        <v>0</v>
      </c>
      <c r="AK84">
        <v>960699.42</v>
      </c>
      <c r="AL84">
        <v>753181.33</v>
      </c>
      <c r="AM84" t="b">
        <f t="shared" si="21"/>
        <v>0</v>
      </c>
    </row>
    <row r="85" spans="1:39">
      <c r="A85">
        <v>45758</v>
      </c>
      <c r="B85" t="s">
        <v>27</v>
      </c>
      <c r="C85" t="s">
        <v>120</v>
      </c>
      <c r="D85" t="s">
        <v>166</v>
      </c>
      <c r="E85" t="s">
        <v>167</v>
      </c>
      <c r="F85" t="s">
        <v>456</v>
      </c>
      <c r="G85">
        <v>138448</v>
      </c>
      <c r="H85">
        <v>138448</v>
      </c>
      <c r="I85" t="b">
        <f t="shared" si="22"/>
        <v>1</v>
      </c>
      <c r="J85">
        <v>0</v>
      </c>
      <c r="K85">
        <v>0</v>
      </c>
      <c r="L85" t="b">
        <f t="shared" si="13"/>
        <v>1</v>
      </c>
      <c r="M85">
        <v>138448</v>
      </c>
      <c r="N85">
        <v>138448</v>
      </c>
      <c r="O85" t="b">
        <f t="shared" si="14"/>
        <v>1</v>
      </c>
      <c r="P85">
        <v>0</v>
      </c>
      <c r="Q85">
        <v>0</v>
      </c>
      <c r="R85" t="b">
        <f t="shared" si="15"/>
        <v>1</v>
      </c>
      <c r="S85">
        <v>138448</v>
      </c>
      <c r="T85">
        <v>138448</v>
      </c>
      <c r="U85" t="b">
        <f t="shared" si="12"/>
        <v>1</v>
      </c>
      <c r="V85">
        <v>43200</v>
      </c>
      <c r="W85">
        <v>43200</v>
      </c>
      <c r="X85" t="b">
        <f t="shared" si="16"/>
        <v>1</v>
      </c>
      <c r="Y85">
        <v>43200</v>
      </c>
      <c r="Z85">
        <v>43200</v>
      </c>
      <c r="AA85" t="b">
        <f t="shared" si="17"/>
        <v>1</v>
      </c>
      <c r="AB85">
        <v>45248</v>
      </c>
      <c r="AC85">
        <v>45248</v>
      </c>
      <c r="AD85" t="b">
        <f t="shared" si="18"/>
        <v>1</v>
      </c>
      <c r="AE85">
        <v>0</v>
      </c>
      <c r="AF85">
        <v>0</v>
      </c>
      <c r="AG85" t="b">
        <f t="shared" si="19"/>
        <v>1</v>
      </c>
      <c r="AH85">
        <v>88448</v>
      </c>
      <c r="AI85">
        <v>88448</v>
      </c>
      <c r="AJ85" t="b">
        <f t="shared" si="20"/>
        <v>1</v>
      </c>
      <c r="AK85">
        <v>95248</v>
      </c>
      <c r="AL85">
        <v>95248</v>
      </c>
      <c r="AM85" t="b">
        <f t="shared" si="21"/>
        <v>1</v>
      </c>
    </row>
    <row r="86" hidden="1" spans="1:39">
      <c r="A86">
        <v>45758</v>
      </c>
      <c r="B86" t="s">
        <v>27</v>
      </c>
      <c r="C86" t="s">
        <v>120</v>
      </c>
      <c r="D86" t="s">
        <v>168</v>
      </c>
      <c r="E86" t="s">
        <v>169</v>
      </c>
      <c r="F86" t="s">
        <v>457</v>
      </c>
      <c r="G86">
        <v>55000</v>
      </c>
      <c r="H86">
        <v>55000</v>
      </c>
      <c r="I86" t="b">
        <f t="shared" si="22"/>
        <v>1</v>
      </c>
      <c r="J86">
        <v>55000</v>
      </c>
      <c r="K86">
        <v>55000</v>
      </c>
      <c r="L86" t="b">
        <f t="shared" si="13"/>
        <v>1</v>
      </c>
      <c r="M86">
        <v>0</v>
      </c>
      <c r="N86">
        <v>0</v>
      </c>
      <c r="O86" t="b">
        <f t="shared" si="14"/>
        <v>1</v>
      </c>
      <c r="P86">
        <v>0</v>
      </c>
      <c r="Q86">
        <v>0</v>
      </c>
      <c r="R86" t="b">
        <f t="shared" si="15"/>
        <v>1</v>
      </c>
      <c r="S86">
        <v>55000</v>
      </c>
      <c r="T86">
        <v>55000</v>
      </c>
      <c r="U86" t="b">
        <f t="shared" si="12"/>
        <v>1</v>
      </c>
      <c r="V86">
        <v>0</v>
      </c>
      <c r="W86">
        <v>9728.8</v>
      </c>
      <c r="X86" t="b">
        <f t="shared" si="16"/>
        <v>0</v>
      </c>
      <c r="Y86">
        <v>9728.8</v>
      </c>
      <c r="Z86">
        <v>9728.8</v>
      </c>
      <c r="AA86" t="b">
        <f t="shared" si="17"/>
        <v>1</v>
      </c>
      <c r="AB86">
        <v>0</v>
      </c>
      <c r="AC86">
        <v>0</v>
      </c>
      <c r="AD86" t="b">
        <f t="shared" si="18"/>
        <v>1</v>
      </c>
      <c r="AE86">
        <v>0</v>
      </c>
      <c r="AF86">
        <v>0</v>
      </c>
      <c r="AG86" t="b">
        <f t="shared" si="19"/>
        <v>1</v>
      </c>
      <c r="AH86">
        <v>9728.8</v>
      </c>
      <c r="AI86">
        <v>9728.8</v>
      </c>
      <c r="AJ86" t="b">
        <f t="shared" si="20"/>
        <v>1</v>
      </c>
      <c r="AK86">
        <v>55000</v>
      </c>
      <c r="AL86">
        <v>45271.2</v>
      </c>
      <c r="AM86" t="b">
        <f t="shared" si="21"/>
        <v>0</v>
      </c>
    </row>
    <row r="87" hidden="1" spans="1:39">
      <c r="A87">
        <v>45758</v>
      </c>
      <c r="B87" t="s">
        <v>27</v>
      </c>
      <c r="C87" t="s">
        <v>120</v>
      </c>
      <c r="D87" t="s">
        <v>104</v>
      </c>
      <c r="E87" t="s">
        <v>170</v>
      </c>
      <c r="F87" t="s">
        <v>458</v>
      </c>
      <c r="G87">
        <v>650000</v>
      </c>
      <c r="H87">
        <v>680000</v>
      </c>
      <c r="I87" t="b">
        <f t="shared" si="22"/>
        <v>0</v>
      </c>
      <c r="J87">
        <v>0</v>
      </c>
      <c r="K87">
        <v>0</v>
      </c>
      <c r="L87" t="b">
        <f t="shared" si="13"/>
        <v>1</v>
      </c>
      <c r="M87">
        <v>650000</v>
      </c>
      <c r="N87">
        <v>650000</v>
      </c>
      <c r="O87" t="b">
        <f t="shared" si="14"/>
        <v>1</v>
      </c>
      <c r="P87">
        <v>0</v>
      </c>
      <c r="Q87">
        <v>0</v>
      </c>
      <c r="R87" t="b">
        <f t="shared" si="15"/>
        <v>1</v>
      </c>
      <c r="S87">
        <v>650000</v>
      </c>
      <c r="T87">
        <v>650000</v>
      </c>
      <c r="U87" t="b">
        <f t="shared" si="12"/>
        <v>1</v>
      </c>
      <c r="V87">
        <v>650000</v>
      </c>
      <c r="W87">
        <v>650000</v>
      </c>
      <c r="X87" t="b">
        <f t="shared" si="16"/>
        <v>1</v>
      </c>
      <c r="Y87">
        <v>650000</v>
      </c>
      <c r="Z87">
        <v>650000</v>
      </c>
      <c r="AA87" t="b">
        <f t="shared" si="17"/>
        <v>1</v>
      </c>
      <c r="AB87">
        <v>0</v>
      </c>
      <c r="AC87">
        <v>0</v>
      </c>
      <c r="AD87" t="b">
        <f t="shared" si="18"/>
        <v>1</v>
      </c>
      <c r="AE87">
        <v>0</v>
      </c>
      <c r="AF87">
        <v>0</v>
      </c>
      <c r="AG87" t="b">
        <f t="shared" si="19"/>
        <v>1</v>
      </c>
      <c r="AH87">
        <v>650000</v>
      </c>
      <c r="AI87">
        <v>650000</v>
      </c>
      <c r="AJ87" t="b">
        <f t="shared" si="20"/>
        <v>1</v>
      </c>
      <c r="AK87">
        <v>0</v>
      </c>
      <c r="AL87">
        <v>30000</v>
      </c>
      <c r="AM87" t="b">
        <f t="shared" si="21"/>
        <v>0</v>
      </c>
    </row>
    <row r="88" hidden="1" spans="1:39">
      <c r="A88">
        <v>45758</v>
      </c>
      <c r="B88" t="s">
        <v>27</v>
      </c>
      <c r="C88" t="s">
        <v>120</v>
      </c>
      <c r="D88" t="s">
        <v>71</v>
      </c>
      <c r="E88" t="s">
        <v>171</v>
      </c>
      <c r="F88" t="s">
        <v>459</v>
      </c>
      <c r="G88">
        <v>5333936</v>
      </c>
      <c r="H88">
        <v>10667872.81</v>
      </c>
      <c r="I88" t="b">
        <f t="shared" si="22"/>
        <v>0</v>
      </c>
      <c r="J88">
        <v>5333936.81</v>
      </c>
      <c r="K88">
        <v>5333936.81</v>
      </c>
      <c r="L88" t="b">
        <f t="shared" si="13"/>
        <v>1</v>
      </c>
      <c r="M88">
        <v>0</v>
      </c>
      <c r="N88">
        <v>0</v>
      </c>
      <c r="O88" t="b">
        <f t="shared" si="14"/>
        <v>1</v>
      </c>
      <c r="P88">
        <v>0</v>
      </c>
      <c r="Q88">
        <v>0</v>
      </c>
      <c r="R88" t="b">
        <f t="shared" si="15"/>
        <v>1</v>
      </c>
      <c r="S88">
        <v>5333936.81</v>
      </c>
      <c r="T88">
        <v>5333936.81</v>
      </c>
      <c r="U88" t="b">
        <f t="shared" ref="U88:U151" si="23">S88=T88</f>
        <v>1</v>
      </c>
      <c r="V88">
        <v>3147394</v>
      </c>
      <c r="W88">
        <v>3377971.05</v>
      </c>
      <c r="X88" t="b">
        <f t="shared" si="16"/>
        <v>0</v>
      </c>
      <c r="Y88">
        <v>2086639.61</v>
      </c>
      <c r="Z88">
        <v>2128089.05</v>
      </c>
      <c r="AA88" t="b">
        <f t="shared" si="17"/>
        <v>0</v>
      </c>
      <c r="AB88">
        <v>1705846.95</v>
      </c>
      <c r="AC88">
        <v>1705846.95</v>
      </c>
      <c r="AD88" t="b">
        <f t="shared" si="18"/>
        <v>1</v>
      </c>
      <c r="AE88">
        <v>0</v>
      </c>
      <c r="AF88">
        <v>0</v>
      </c>
      <c r="AG88" t="b">
        <f t="shared" si="19"/>
        <v>1</v>
      </c>
      <c r="AH88">
        <v>3792486.56</v>
      </c>
      <c r="AI88">
        <v>3833936</v>
      </c>
      <c r="AJ88" t="b">
        <f t="shared" si="20"/>
        <v>0</v>
      </c>
      <c r="AK88">
        <v>2186542</v>
      </c>
      <c r="AL88">
        <v>7289901.76</v>
      </c>
      <c r="AM88" t="b">
        <f t="shared" si="21"/>
        <v>0</v>
      </c>
    </row>
    <row r="89" hidden="1" spans="1:39">
      <c r="A89">
        <v>45758</v>
      </c>
      <c r="B89" t="s">
        <v>27</v>
      </c>
      <c r="C89" t="s">
        <v>120</v>
      </c>
      <c r="D89" t="s">
        <v>172</v>
      </c>
      <c r="E89" t="s">
        <v>173</v>
      </c>
      <c r="F89" t="s">
        <v>460</v>
      </c>
      <c r="G89">
        <v>771075</v>
      </c>
      <c r="H89">
        <v>771075</v>
      </c>
      <c r="I89" t="b">
        <f t="shared" si="22"/>
        <v>1</v>
      </c>
      <c r="J89">
        <v>771075</v>
      </c>
      <c r="K89">
        <v>771075</v>
      </c>
      <c r="L89" t="b">
        <f t="shared" si="13"/>
        <v>1</v>
      </c>
      <c r="M89">
        <v>0</v>
      </c>
      <c r="N89">
        <v>0</v>
      </c>
      <c r="O89" t="b">
        <f t="shared" si="14"/>
        <v>1</v>
      </c>
      <c r="P89">
        <v>0</v>
      </c>
      <c r="Q89">
        <v>0</v>
      </c>
      <c r="R89" t="b">
        <f t="shared" si="15"/>
        <v>1</v>
      </c>
      <c r="S89">
        <v>771075</v>
      </c>
      <c r="T89">
        <v>771075</v>
      </c>
      <c r="U89" t="b">
        <f t="shared" si="23"/>
        <v>1</v>
      </c>
      <c r="V89">
        <v>398548</v>
      </c>
      <c r="W89">
        <v>488131.99</v>
      </c>
      <c r="X89" t="b">
        <f t="shared" si="16"/>
        <v>0</v>
      </c>
      <c r="Y89">
        <v>472583.99</v>
      </c>
      <c r="Z89">
        <v>472583.99</v>
      </c>
      <c r="AA89" t="b">
        <f t="shared" si="17"/>
        <v>1</v>
      </c>
      <c r="AB89">
        <v>38706.01</v>
      </c>
      <c r="AC89">
        <v>38706.01</v>
      </c>
      <c r="AD89" t="b">
        <f t="shared" si="18"/>
        <v>1</v>
      </c>
      <c r="AE89">
        <v>0</v>
      </c>
      <c r="AF89">
        <v>0</v>
      </c>
      <c r="AG89" t="b">
        <f t="shared" si="19"/>
        <v>1</v>
      </c>
      <c r="AH89">
        <v>511290</v>
      </c>
      <c r="AI89">
        <v>511290</v>
      </c>
      <c r="AJ89" t="b">
        <f t="shared" si="20"/>
        <v>1</v>
      </c>
      <c r="AK89">
        <v>372527</v>
      </c>
      <c r="AL89">
        <v>282943.01</v>
      </c>
      <c r="AM89" t="b">
        <f t="shared" si="21"/>
        <v>0</v>
      </c>
    </row>
    <row r="90" hidden="1" spans="1:39">
      <c r="A90">
        <v>45758</v>
      </c>
      <c r="B90" t="s">
        <v>27</v>
      </c>
      <c r="C90" t="s">
        <v>120</v>
      </c>
      <c r="D90" t="s">
        <v>166</v>
      </c>
      <c r="E90" t="s">
        <v>174</v>
      </c>
      <c r="F90" t="s">
        <v>461</v>
      </c>
      <c r="G90">
        <v>0</v>
      </c>
      <c r="H90">
        <v>835524</v>
      </c>
      <c r="I90" t="b">
        <f t="shared" si="22"/>
        <v>0</v>
      </c>
      <c r="J90">
        <v>0</v>
      </c>
      <c r="K90">
        <v>0</v>
      </c>
      <c r="L90" t="b">
        <f t="shared" si="13"/>
        <v>1</v>
      </c>
      <c r="M90">
        <v>835524</v>
      </c>
      <c r="N90">
        <v>835524</v>
      </c>
      <c r="O90" t="b">
        <f t="shared" si="14"/>
        <v>1</v>
      </c>
      <c r="P90">
        <v>0</v>
      </c>
      <c r="Q90">
        <v>0</v>
      </c>
      <c r="R90" t="b">
        <f t="shared" si="15"/>
        <v>1</v>
      </c>
      <c r="S90">
        <v>835524</v>
      </c>
      <c r="T90">
        <v>835524</v>
      </c>
      <c r="U90" t="b">
        <f t="shared" si="23"/>
        <v>1</v>
      </c>
      <c r="V90">
        <v>236500</v>
      </c>
      <c r="W90">
        <v>258689.94</v>
      </c>
      <c r="X90" t="b">
        <f t="shared" si="16"/>
        <v>0</v>
      </c>
      <c r="Y90">
        <v>258689.94</v>
      </c>
      <c r="Z90">
        <v>258689.94</v>
      </c>
      <c r="AA90" t="b">
        <f t="shared" si="17"/>
        <v>1</v>
      </c>
      <c r="AB90">
        <v>176834.06</v>
      </c>
      <c r="AC90">
        <v>176834.06</v>
      </c>
      <c r="AD90" t="b">
        <f t="shared" si="18"/>
        <v>1</v>
      </c>
      <c r="AE90">
        <v>0</v>
      </c>
      <c r="AF90">
        <v>0</v>
      </c>
      <c r="AG90" t="b">
        <f t="shared" si="19"/>
        <v>1</v>
      </c>
      <c r="AH90">
        <v>435524</v>
      </c>
      <c r="AI90">
        <v>435524</v>
      </c>
      <c r="AJ90" t="b">
        <f t="shared" si="20"/>
        <v>1</v>
      </c>
      <c r="AK90">
        <v>236500</v>
      </c>
      <c r="AL90">
        <v>576834.06</v>
      </c>
      <c r="AM90" t="b">
        <f t="shared" si="21"/>
        <v>0</v>
      </c>
    </row>
    <row r="91" hidden="1" spans="1:39">
      <c r="A91">
        <v>45758</v>
      </c>
      <c r="B91" t="s">
        <v>59</v>
      </c>
      <c r="C91" t="s">
        <v>115</v>
      </c>
      <c r="D91" t="s">
        <v>175</v>
      </c>
      <c r="E91" t="s">
        <v>176</v>
      </c>
      <c r="F91" t="s">
        <v>462</v>
      </c>
      <c r="G91">
        <v>304656</v>
      </c>
      <c r="H91">
        <v>304656</v>
      </c>
      <c r="I91" t="b">
        <f t="shared" si="22"/>
        <v>1</v>
      </c>
      <c r="J91">
        <v>0</v>
      </c>
      <c r="K91">
        <v>0</v>
      </c>
      <c r="L91" t="b">
        <f t="shared" si="13"/>
        <v>1</v>
      </c>
      <c r="M91">
        <v>891616</v>
      </c>
      <c r="N91">
        <v>891616</v>
      </c>
      <c r="O91" t="b">
        <f t="shared" si="14"/>
        <v>1</v>
      </c>
      <c r="P91">
        <v>0</v>
      </c>
      <c r="Q91">
        <v>0</v>
      </c>
      <c r="R91" t="b">
        <f t="shared" si="15"/>
        <v>1</v>
      </c>
      <c r="S91">
        <v>891616</v>
      </c>
      <c r="T91">
        <v>891616</v>
      </c>
      <c r="U91" t="b">
        <f t="shared" si="23"/>
        <v>1</v>
      </c>
      <c r="V91">
        <v>618138.76</v>
      </c>
      <c r="W91">
        <v>643704.03</v>
      </c>
      <c r="X91" t="b">
        <f t="shared" si="16"/>
        <v>0</v>
      </c>
      <c r="Y91">
        <v>640954.03</v>
      </c>
      <c r="Z91">
        <v>640954.03</v>
      </c>
      <c r="AA91" t="b">
        <f t="shared" si="17"/>
        <v>1</v>
      </c>
      <c r="AB91">
        <v>59045.97</v>
      </c>
      <c r="AC91">
        <v>59045.97</v>
      </c>
      <c r="AD91" t="b">
        <f t="shared" si="18"/>
        <v>1</v>
      </c>
      <c r="AE91">
        <v>0</v>
      </c>
      <c r="AF91">
        <v>0</v>
      </c>
      <c r="AG91" t="b">
        <f t="shared" si="19"/>
        <v>1</v>
      </c>
      <c r="AH91">
        <v>700000</v>
      </c>
      <c r="AI91">
        <v>700000</v>
      </c>
      <c r="AJ91" t="b">
        <f t="shared" si="20"/>
        <v>1</v>
      </c>
      <c r="AK91">
        <v>313482.76</v>
      </c>
      <c r="AL91">
        <v>339048.03</v>
      </c>
      <c r="AM91" t="b">
        <f t="shared" si="21"/>
        <v>0</v>
      </c>
    </row>
    <row r="92" hidden="1" spans="1:39">
      <c r="A92">
        <v>45758</v>
      </c>
      <c r="B92" t="s">
        <v>38</v>
      </c>
      <c r="C92" t="s">
        <v>130</v>
      </c>
      <c r="D92" t="s">
        <v>62</v>
      </c>
      <c r="E92" t="s">
        <v>177</v>
      </c>
      <c r="F92" t="s">
        <v>463</v>
      </c>
      <c r="G92">
        <v>2450000</v>
      </c>
      <c r="H92">
        <v>2450000</v>
      </c>
      <c r="I92" t="b">
        <f t="shared" si="22"/>
        <v>1</v>
      </c>
      <c r="J92">
        <v>0</v>
      </c>
      <c r="K92">
        <v>0</v>
      </c>
      <c r="L92" t="b">
        <f t="shared" si="13"/>
        <v>1</v>
      </c>
      <c r="M92">
        <v>832754</v>
      </c>
      <c r="N92">
        <v>832754</v>
      </c>
      <c r="O92" t="b">
        <f t="shared" si="14"/>
        <v>1</v>
      </c>
      <c r="P92">
        <v>0</v>
      </c>
      <c r="Q92">
        <v>0</v>
      </c>
      <c r="R92" t="b">
        <f t="shared" si="15"/>
        <v>1</v>
      </c>
      <c r="S92">
        <v>832754</v>
      </c>
      <c r="T92">
        <v>832754</v>
      </c>
      <c r="U92" t="b">
        <f t="shared" si="23"/>
        <v>1</v>
      </c>
      <c r="V92">
        <v>62197.5</v>
      </c>
      <c r="W92">
        <v>63687.5</v>
      </c>
      <c r="X92" t="b">
        <f t="shared" si="16"/>
        <v>0</v>
      </c>
      <c r="Y92">
        <v>63687.5</v>
      </c>
      <c r="Z92">
        <v>63687.5</v>
      </c>
      <c r="AA92" t="b">
        <f t="shared" si="17"/>
        <v>1</v>
      </c>
      <c r="AB92">
        <v>569066.5</v>
      </c>
      <c r="AC92">
        <v>569066.5</v>
      </c>
      <c r="AD92" t="b">
        <f t="shared" si="18"/>
        <v>1</v>
      </c>
      <c r="AE92">
        <v>0</v>
      </c>
      <c r="AF92">
        <v>0</v>
      </c>
      <c r="AG92" t="b">
        <f t="shared" si="19"/>
        <v>1</v>
      </c>
      <c r="AH92">
        <v>632754</v>
      </c>
      <c r="AI92">
        <v>632754</v>
      </c>
      <c r="AJ92" t="b">
        <f t="shared" si="20"/>
        <v>1</v>
      </c>
      <c r="AK92">
        <v>2387802.5</v>
      </c>
      <c r="AL92">
        <v>2386312.5</v>
      </c>
      <c r="AM92" t="b">
        <f t="shared" si="21"/>
        <v>0</v>
      </c>
    </row>
    <row r="93" hidden="1" spans="1:39">
      <c r="A93">
        <v>45758</v>
      </c>
      <c r="B93" t="s">
        <v>38</v>
      </c>
      <c r="C93" t="s">
        <v>130</v>
      </c>
      <c r="D93" t="s">
        <v>51</v>
      </c>
      <c r="E93" t="s">
        <v>178</v>
      </c>
      <c r="F93" t="s">
        <v>464</v>
      </c>
      <c r="G93">
        <v>0</v>
      </c>
      <c r="H93">
        <v>0</v>
      </c>
      <c r="I93" t="b">
        <f t="shared" si="22"/>
        <v>1</v>
      </c>
      <c r="J93">
        <v>2156689</v>
      </c>
      <c r="K93">
        <v>2156689</v>
      </c>
      <c r="L93" t="b">
        <f t="shared" si="13"/>
        <v>1</v>
      </c>
      <c r="M93">
        <v>0</v>
      </c>
      <c r="N93">
        <v>0</v>
      </c>
      <c r="O93" t="b">
        <f t="shared" si="14"/>
        <v>1</v>
      </c>
      <c r="P93">
        <v>0</v>
      </c>
      <c r="Q93">
        <v>0</v>
      </c>
      <c r="R93" t="b">
        <f t="shared" si="15"/>
        <v>1</v>
      </c>
      <c r="S93">
        <v>2156689</v>
      </c>
      <c r="T93">
        <v>2156689</v>
      </c>
      <c r="U93" t="b">
        <f t="shared" si="23"/>
        <v>1</v>
      </c>
      <c r="V93">
        <v>990189.76</v>
      </c>
      <c r="W93">
        <v>1038189.75</v>
      </c>
      <c r="X93" t="b">
        <f t="shared" si="16"/>
        <v>0</v>
      </c>
      <c r="Y93">
        <v>990189.76</v>
      </c>
      <c r="Z93">
        <v>1038189.75</v>
      </c>
      <c r="AA93" t="b">
        <f t="shared" si="17"/>
        <v>0</v>
      </c>
      <c r="AB93">
        <v>582989.25</v>
      </c>
      <c r="AC93">
        <v>582989.25</v>
      </c>
      <c r="AD93" t="b">
        <f t="shared" si="18"/>
        <v>1</v>
      </c>
      <c r="AE93">
        <v>0</v>
      </c>
      <c r="AF93">
        <v>0</v>
      </c>
      <c r="AG93" t="b">
        <f t="shared" si="19"/>
        <v>1</v>
      </c>
      <c r="AH93">
        <v>1573179.01</v>
      </c>
      <c r="AI93">
        <v>1621179</v>
      </c>
      <c r="AJ93" t="b">
        <f t="shared" si="20"/>
        <v>0</v>
      </c>
      <c r="AK93">
        <v>990189.76</v>
      </c>
      <c r="AL93">
        <v>1038189.75</v>
      </c>
      <c r="AM93" t="b">
        <f t="shared" si="21"/>
        <v>0</v>
      </c>
    </row>
    <row r="94" hidden="1" spans="1:39">
      <c r="A94">
        <v>45758</v>
      </c>
      <c r="B94" t="s">
        <v>31</v>
      </c>
      <c r="C94" t="s">
        <v>115</v>
      </c>
      <c r="D94" t="s">
        <v>45</v>
      </c>
      <c r="E94" t="s">
        <v>179</v>
      </c>
      <c r="F94" t="s">
        <v>465</v>
      </c>
      <c r="G94">
        <v>0</v>
      </c>
      <c r="H94">
        <v>0</v>
      </c>
      <c r="I94" t="b">
        <f t="shared" si="22"/>
        <v>1</v>
      </c>
      <c r="J94">
        <v>0</v>
      </c>
      <c r="K94">
        <v>0</v>
      </c>
      <c r="L94" t="b">
        <f t="shared" si="13"/>
        <v>1</v>
      </c>
      <c r="M94">
        <v>33583</v>
      </c>
      <c r="N94">
        <v>33583</v>
      </c>
      <c r="O94" t="b">
        <f t="shared" si="14"/>
        <v>1</v>
      </c>
      <c r="P94">
        <v>0</v>
      </c>
      <c r="Q94">
        <v>0</v>
      </c>
      <c r="R94" t="b">
        <f t="shared" si="15"/>
        <v>1</v>
      </c>
      <c r="S94">
        <v>33583</v>
      </c>
      <c r="T94">
        <v>33583</v>
      </c>
      <c r="U94" t="b">
        <f t="shared" si="23"/>
        <v>1</v>
      </c>
      <c r="V94">
        <v>0</v>
      </c>
      <c r="W94">
        <v>1903</v>
      </c>
      <c r="X94" t="b">
        <f t="shared" si="16"/>
        <v>0</v>
      </c>
      <c r="Y94">
        <v>1903</v>
      </c>
      <c r="Z94">
        <v>1903</v>
      </c>
      <c r="AA94" t="b">
        <f t="shared" si="17"/>
        <v>1</v>
      </c>
      <c r="AB94">
        <v>20097</v>
      </c>
      <c r="AC94">
        <v>20097</v>
      </c>
      <c r="AD94" t="b">
        <f t="shared" si="18"/>
        <v>1</v>
      </c>
      <c r="AE94">
        <v>0</v>
      </c>
      <c r="AF94">
        <v>0</v>
      </c>
      <c r="AG94" t="b">
        <f t="shared" si="19"/>
        <v>1</v>
      </c>
      <c r="AH94">
        <v>22000</v>
      </c>
      <c r="AI94">
        <v>22000</v>
      </c>
      <c r="AJ94" t="b">
        <f t="shared" si="20"/>
        <v>1</v>
      </c>
      <c r="AK94">
        <v>0</v>
      </c>
      <c r="AL94">
        <v>1903</v>
      </c>
      <c r="AM94" t="b">
        <f t="shared" si="21"/>
        <v>0</v>
      </c>
    </row>
    <row r="95" hidden="1" spans="1:39">
      <c r="A95">
        <v>45758</v>
      </c>
      <c r="B95" t="s">
        <v>27</v>
      </c>
      <c r="C95" t="s">
        <v>120</v>
      </c>
      <c r="D95" t="s">
        <v>143</v>
      </c>
      <c r="E95" t="s">
        <v>180</v>
      </c>
      <c r="F95" t="s">
        <v>466</v>
      </c>
      <c r="G95">
        <v>0</v>
      </c>
      <c r="H95">
        <v>1721092.49</v>
      </c>
      <c r="I95" t="b">
        <f t="shared" si="22"/>
        <v>0</v>
      </c>
      <c r="J95">
        <v>0</v>
      </c>
      <c r="K95">
        <v>1721092.49</v>
      </c>
      <c r="L95" t="b">
        <f t="shared" si="13"/>
        <v>0</v>
      </c>
      <c r="M95">
        <v>0</v>
      </c>
      <c r="N95">
        <v>0</v>
      </c>
      <c r="O95" t="b">
        <f t="shared" si="14"/>
        <v>1</v>
      </c>
      <c r="P95">
        <v>0</v>
      </c>
      <c r="Q95">
        <v>0</v>
      </c>
      <c r="R95" t="b">
        <f t="shared" si="15"/>
        <v>1</v>
      </c>
      <c r="S95">
        <v>0</v>
      </c>
      <c r="T95">
        <v>1721092.49</v>
      </c>
      <c r="U95" t="b">
        <f t="shared" si="23"/>
        <v>0</v>
      </c>
      <c r="V95">
        <v>1148205</v>
      </c>
      <c r="W95">
        <v>1181572</v>
      </c>
      <c r="X95" t="b">
        <f t="shared" si="16"/>
        <v>0</v>
      </c>
      <c r="Y95">
        <v>1178072</v>
      </c>
      <c r="Z95">
        <v>1181572</v>
      </c>
      <c r="AA95" t="b">
        <f t="shared" si="17"/>
        <v>0</v>
      </c>
      <c r="AB95">
        <v>318428</v>
      </c>
      <c r="AC95">
        <v>318428</v>
      </c>
      <c r="AD95" t="b">
        <f t="shared" si="18"/>
        <v>1</v>
      </c>
      <c r="AE95">
        <v>0</v>
      </c>
      <c r="AF95">
        <v>0</v>
      </c>
      <c r="AG95" t="b">
        <f t="shared" si="19"/>
        <v>1</v>
      </c>
      <c r="AH95">
        <v>1496500</v>
      </c>
      <c r="AI95">
        <v>1500000</v>
      </c>
      <c r="AJ95" t="b">
        <f t="shared" si="20"/>
        <v>0</v>
      </c>
      <c r="AK95">
        <v>1148205</v>
      </c>
      <c r="AL95">
        <v>539520.49</v>
      </c>
      <c r="AM95" t="b">
        <f t="shared" si="21"/>
        <v>0</v>
      </c>
    </row>
    <row r="96" hidden="1" spans="1:39">
      <c r="A96">
        <v>45758</v>
      </c>
      <c r="B96" t="s">
        <v>59</v>
      </c>
      <c r="C96" t="s">
        <v>115</v>
      </c>
      <c r="D96" t="s">
        <v>181</v>
      </c>
      <c r="E96" t="s">
        <v>467</v>
      </c>
      <c r="F96" t="s">
        <v>468</v>
      </c>
      <c r="G96">
        <v>94071.96</v>
      </c>
      <c r="H96">
        <v>94072</v>
      </c>
      <c r="I96" t="b">
        <f t="shared" si="22"/>
        <v>0</v>
      </c>
      <c r="J96">
        <v>94071.96</v>
      </c>
      <c r="K96">
        <v>94072</v>
      </c>
      <c r="L96" t="b">
        <f t="shared" si="13"/>
        <v>0</v>
      </c>
      <c r="M96">
        <v>0</v>
      </c>
      <c r="N96">
        <v>0</v>
      </c>
      <c r="O96" t="b">
        <f t="shared" si="14"/>
        <v>1</v>
      </c>
      <c r="P96">
        <v>0</v>
      </c>
      <c r="Q96">
        <v>0</v>
      </c>
      <c r="R96" t="b">
        <f t="shared" si="15"/>
        <v>1</v>
      </c>
      <c r="S96">
        <v>94071.96</v>
      </c>
      <c r="T96">
        <v>94072</v>
      </c>
      <c r="U96" t="b">
        <f t="shared" si="23"/>
        <v>0</v>
      </c>
      <c r="V96">
        <v>45000</v>
      </c>
      <c r="W96">
        <v>45000</v>
      </c>
      <c r="X96" t="b">
        <f t="shared" si="16"/>
        <v>1</v>
      </c>
      <c r="Y96">
        <v>36000</v>
      </c>
      <c r="Z96">
        <v>36000</v>
      </c>
      <c r="AA96" t="b">
        <f t="shared" si="17"/>
        <v>1</v>
      </c>
      <c r="AB96">
        <v>33072</v>
      </c>
      <c r="AC96">
        <v>33072</v>
      </c>
      <c r="AD96" t="b">
        <f t="shared" si="18"/>
        <v>1</v>
      </c>
      <c r="AE96">
        <v>0</v>
      </c>
      <c r="AF96">
        <v>0</v>
      </c>
      <c r="AG96" t="b">
        <f t="shared" si="19"/>
        <v>1</v>
      </c>
      <c r="AH96">
        <v>69072</v>
      </c>
      <c r="AI96">
        <v>69072</v>
      </c>
      <c r="AJ96" t="b">
        <f t="shared" si="20"/>
        <v>1</v>
      </c>
      <c r="AK96">
        <v>49071.96</v>
      </c>
      <c r="AL96">
        <v>49072</v>
      </c>
      <c r="AM96" t="b">
        <f t="shared" si="21"/>
        <v>0</v>
      </c>
    </row>
    <row r="97" hidden="1" spans="1:39">
      <c r="A97">
        <v>45758</v>
      </c>
      <c r="B97" t="s">
        <v>27</v>
      </c>
      <c r="C97" t="s">
        <v>120</v>
      </c>
      <c r="D97" t="s">
        <v>81</v>
      </c>
      <c r="E97" t="s">
        <v>469</v>
      </c>
      <c r="F97" t="s">
        <v>470</v>
      </c>
      <c r="G97">
        <v>375100</v>
      </c>
      <c r="H97">
        <v>342650</v>
      </c>
      <c r="I97" t="b">
        <f t="shared" si="22"/>
        <v>0</v>
      </c>
      <c r="J97">
        <v>171050</v>
      </c>
      <c r="K97">
        <v>171050</v>
      </c>
      <c r="L97" t="b">
        <f t="shared" si="13"/>
        <v>1</v>
      </c>
      <c r="M97">
        <v>0</v>
      </c>
      <c r="N97">
        <v>0</v>
      </c>
      <c r="O97" t="b">
        <f t="shared" si="14"/>
        <v>1</v>
      </c>
      <c r="P97">
        <v>0</v>
      </c>
      <c r="Q97">
        <v>0</v>
      </c>
      <c r="R97" t="b">
        <f t="shared" si="15"/>
        <v>1</v>
      </c>
      <c r="S97">
        <v>171050</v>
      </c>
      <c r="T97">
        <v>171050</v>
      </c>
      <c r="U97" t="b">
        <f t="shared" si="23"/>
        <v>1</v>
      </c>
      <c r="V97">
        <v>46000</v>
      </c>
      <c r="W97">
        <v>46000</v>
      </c>
      <c r="X97" t="b">
        <f t="shared" si="16"/>
        <v>1</v>
      </c>
      <c r="Y97">
        <v>46000</v>
      </c>
      <c r="Z97">
        <v>46000</v>
      </c>
      <c r="AA97" t="b">
        <f t="shared" si="17"/>
        <v>1</v>
      </c>
      <c r="AB97">
        <v>48380</v>
      </c>
      <c r="AC97">
        <v>48380</v>
      </c>
      <c r="AD97" t="b">
        <f t="shared" si="18"/>
        <v>1</v>
      </c>
      <c r="AE97">
        <v>0</v>
      </c>
      <c r="AF97">
        <v>0</v>
      </c>
      <c r="AG97" t="b">
        <f t="shared" si="19"/>
        <v>1</v>
      </c>
      <c r="AH97">
        <v>94380</v>
      </c>
      <c r="AI97">
        <v>94380</v>
      </c>
      <c r="AJ97" t="b">
        <f t="shared" si="20"/>
        <v>1</v>
      </c>
      <c r="AK97">
        <v>329100</v>
      </c>
      <c r="AL97">
        <v>296650</v>
      </c>
      <c r="AM97" t="b">
        <f t="shared" si="21"/>
        <v>0</v>
      </c>
    </row>
    <row r="98" hidden="1" spans="1:39">
      <c r="A98">
        <v>45758</v>
      </c>
      <c r="B98" t="s">
        <v>27</v>
      </c>
      <c r="C98" t="s">
        <v>120</v>
      </c>
      <c r="D98" t="s">
        <v>168</v>
      </c>
      <c r="E98" t="s">
        <v>184</v>
      </c>
      <c r="F98" t="s">
        <v>471</v>
      </c>
      <c r="G98">
        <v>24145</v>
      </c>
      <c r="H98">
        <v>24145</v>
      </c>
      <c r="I98" t="b">
        <f t="shared" si="22"/>
        <v>1</v>
      </c>
      <c r="J98">
        <v>24145</v>
      </c>
      <c r="K98">
        <v>24145</v>
      </c>
      <c r="L98" t="b">
        <f t="shared" si="13"/>
        <v>1</v>
      </c>
      <c r="M98">
        <v>0</v>
      </c>
      <c r="N98">
        <v>0</v>
      </c>
      <c r="O98" t="b">
        <f t="shared" si="14"/>
        <v>1</v>
      </c>
      <c r="P98">
        <v>0</v>
      </c>
      <c r="Q98">
        <v>0</v>
      </c>
      <c r="R98" t="b">
        <f t="shared" si="15"/>
        <v>1</v>
      </c>
      <c r="S98">
        <v>24145</v>
      </c>
      <c r="T98">
        <v>24145</v>
      </c>
      <c r="U98" t="b">
        <f t="shared" si="23"/>
        <v>1</v>
      </c>
      <c r="V98">
        <v>0</v>
      </c>
      <c r="W98">
        <v>3453.33</v>
      </c>
      <c r="X98" t="b">
        <f t="shared" si="16"/>
        <v>0</v>
      </c>
      <c r="Y98">
        <v>3453.33</v>
      </c>
      <c r="Z98">
        <v>3453.33</v>
      </c>
      <c r="AA98" t="b">
        <f t="shared" si="17"/>
        <v>1</v>
      </c>
      <c r="AB98">
        <v>14049.87</v>
      </c>
      <c r="AC98">
        <v>14049.87</v>
      </c>
      <c r="AD98" t="b">
        <f t="shared" si="18"/>
        <v>1</v>
      </c>
      <c r="AE98">
        <v>0</v>
      </c>
      <c r="AF98">
        <v>0</v>
      </c>
      <c r="AG98" t="b">
        <f t="shared" si="19"/>
        <v>1</v>
      </c>
      <c r="AH98">
        <v>17503.2</v>
      </c>
      <c r="AI98">
        <v>17503.2</v>
      </c>
      <c r="AJ98" t="b">
        <f t="shared" si="20"/>
        <v>1</v>
      </c>
      <c r="AK98">
        <v>24145</v>
      </c>
      <c r="AL98">
        <v>20691.67</v>
      </c>
      <c r="AM98" t="b">
        <f t="shared" si="21"/>
        <v>0</v>
      </c>
    </row>
    <row r="99" hidden="1" spans="1:39">
      <c r="A99">
        <v>45758</v>
      </c>
      <c r="B99" t="s">
        <v>38</v>
      </c>
      <c r="C99" t="s">
        <v>130</v>
      </c>
      <c r="D99" t="s">
        <v>185</v>
      </c>
      <c r="E99" t="s">
        <v>186</v>
      </c>
      <c r="F99" t="s">
        <v>472</v>
      </c>
      <c r="G99">
        <v>5599600</v>
      </c>
      <c r="H99">
        <v>5599600</v>
      </c>
      <c r="I99" t="b">
        <f t="shared" si="22"/>
        <v>1</v>
      </c>
      <c r="J99">
        <v>7613750</v>
      </c>
      <c r="K99">
        <v>7613750</v>
      </c>
      <c r="L99" t="b">
        <f t="shared" si="13"/>
        <v>1</v>
      </c>
      <c r="M99">
        <v>6899640</v>
      </c>
      <c r="N99">
        <v>6899640</v>
      </c>
      <c r="O99" t="b">
        <f t="shared" si="14"/>
        <v>1</v>
      </c>
      <c r="P99">
        <v>0</v>
      </c>
      <c r="Q99">
        <v>0</v>
      </c>
      <c r="R99" t="b">
        <f t="shared" si="15"/>
        <v>1</v>
      </c>
      <c r="S99">
        <v>14513390</v>
      </c>
      <c r="T99">
        <v>14513390</v>
      </c>
      <c r="U99" t="b">
        <f t="shared" si="23"/>
        <v>1</v>
      </c>
      <c r="V99">
        <v>3855949.94</v>
      </c>
      <c r="W99">
        <v>4836572.34</v>
      </c>
      <c r="X99" t="b">
        <f t="shared" si="16"/>
        <v>0</v>
      </c>
      <c r="Y99">
        <v>2547292.34</v>
      </c>
      <c r="Z99">
        <v>2565317.34</v>
      </c>
      <c r="AA99" t="b">
        <f t="shared" si="17"/>
        <v>0</v>
      </c>
      <c r="AB99">
        <v>9834682.66</v>
      </c>
      <c r="AC99">
        <v>9834682.66</v>
      </c>
      <c r="AD99" t="b">
        <f t="shared" si="18"/>
        <v>1</v>
      </c>
      <c r="AE99">
        <v>0</v>
      </c>
      <c r="AF99">
        <v>0</v>
      </c>
      <c r="AG99" t="b">
        <f t="shared" si="19"/>
        <v>1</v>
      </c>
      <c r="AH99">
        <v>12381975</v>
      </c>
      <c r="AI99">
        <v>12400000</v>
      </c>
      <c r="AJ99" t="b">
        <f t="shared" si="20"/>
        <v>0</v>
      </c>
      <c r="AK99">
        <v>1743650.06</v>
      </c>
      <c r="AL99">
        <v>763027.66</v>
      </c>
      <c r="AM99" t="b">
        <f t="shared" si="21"/>
        <v>0</v>
      </c>
    </row>
    <row r="100" hidden="1" spans="1:39">
      <c r="A100">
        <v>45758</v>
      </c>
      <c r="B100" t="s">
        <v>27</v>
      </c>
      <c r="C100" t="s">
        <v>120</v>
      </c>
      <c r="D100" t="s">
        <v>64</v>
      </c>
      <c r="E100" t="s">
        <v>187</v>
      </c>
      <c r="F100" t="s">
        <v>473</v>
      </c>
      <c r="G100">
        <v>2060170.57</v>
      </c>
      <c r="H100">
        <v>2060170.57</v>
      </c>
      <c r="I100" t="b">
        <f t="shared" si="22"/>
        <v>1</v>
      </c>
      <c r="J100">
        <v>2060170.57</v>
      </c>
      <c r="K100">
        <v>2060170.57</v>
      </c>
      <c r="L100" t="b">
        <f t="shared" si="13"/>
        <v>1</v>
      </c>
      <c r="M100">
        <v>2060170.57</v>
      </c>
      <c r="N100">
        <v>2060170.57</v>
      </c>
      <c r="O100" t="b">
        <f t="shared" si="14"/>
        <v>1</v>
      </c>
      <c r="P100">
        <v>0</v>
      </c>
      <c r="Q100">
        <v>0</v>
      </c>
      <c r="R100" t="b">
        <f t="shared" si="15"/>
        <v>1</v>
      </c>
      <c r="S100">
        <v>0</v>
      </c>
      <c r="T100">
        <v>0</v>
      </c>
      <c r="U100" t="b">
        <f t="shared" si="23"/>
        <v>1</v>
      </c>
      <c r="V100">
        <v>968500</v>
      </c>
      <c r="W100">
        <v>994503</v>
      </c>
      <c r="X100" t="b">
        <f t="shared" si="16"/>
        <v>0</v>
      </c>
      <c r="Y100">
        <v>2793503</v>
      </c>
      <c r="Z100">
        <v>2793503</v>
      </c>
      <c r="AA100" t="b">
        <f t="shared" si="17"/>
        <v>1</v>
      </c>
      <c r="AB100">
        <v>2877500</v>
      </c>
      <c r="AC100">
        <v>2877500</v>
      </c>
      <c r="AD100" t="b">
        <f t="shared" si="18"/>
        <v>1</v>
      </c>
      <c r="AE100">
        <v>0</v>
      </c>
      <c r="AF100">
        <v>0</v>
      </c>
      <c r="AG100" t="b">
        <f t="shared" si="19"/>
        <v>1</v>
      </c>
      <c r="AH100">
        <v>83997</v>
      </c>
      <c r="AI100">
        <v>83997</v>
      </c>
      <c r="AJ100" t="b">
        <f t="shared" si="20"/>
        <v>1</v>
      </c>
      <c r="AK100">
        <v>1091670.57</v>
      </c>
      <c r="AL100">
        <v>1065667.57</v>
      </c>
      <c r="AM100" t="b">
        <f t="shared" si="21"/>
        <v>0</v>
      </c>
    </row>
    <row r="101" hidden="1" spans="1:39">
      <c r="A101">
        <v>45758</v>
      </c>
      <c r="B101" t="s">
        <v>31</v>
      </c>
      <c r="C101" t="s">
        <v>115</v>
      </c>
      <c r="D101" t="s">
        <v>188</v>
      </c>
      <c r="E101" t="s">
        <v>189</v>
      </c>
      <c r="F101" t="s">
        <v>474</v>
      </c>
      <c r="G101">
        <v>1804616</v>
      </c>
      <c r="H101">
        <v>1804616</v>
      </c>
      <c r="I101" t="b">
        <f t="shared" si="22"/>
        <v>1</v>
      </c>
      <c r="J101">
        <v>0</v>
      </c>
      <c r="K101">
        <v>0</v>
      </c>
      <c r="L101" t="b">
        <f t="shared" si="13"/>
        <v>1</v>
      </c>
      <c r="M101">
        <v>1804616</v>
      </c>
      <c r="N101">
        <v>1804616</v>
      </c>
      <c r="O101" t="b">
        <f t="shared" si="14"/>
        <v>1</v>
      </c>
      <c r="P101">
        <v>0</v>
      </c>
      <c r="Q101">
        <v>0</v>
      </c>
      <c r="R101" t="b">
        <f t="shared" si="15"/>
        <v>1</v>
      </c>
      <c r="S101">
        <v>1804616</v>
      </c>
      <c r="T101">
        <v>1804616</v>
      </c>
      <c r="U101" t="b">
        <f t="shared" si="23"/>
        <v>1</v>
      </c>
      <c r="V101">
        <v>82324</v>
      </c>
      <c r="W101">
        <v>133928</v>
      </c>
      <c r="X101" t="b">
        <f t="shared" si="16"/>
        <v>0</v>
      </c>
      <c r="Y101">
        <v>133928</v>
      </c>
      <c r="Z101">
        <v>133928</v>
      </c>
      <c r="AA101" t="b">
        <f t="shared" si="17"/>
        <v>1</v>
      </c>
      <c r="AB101">
        <v>1515043</v>
      </c>
      <c r="AC101">
        <v>1515043</v>
      </c>
      <c r="AD101" t="b">
        <f t="shared" si="18"/>
        <v>1</v>
      </c>
      <c r="AE101">
        <v>11315</v>
      </c>
      <c r="AF101">
        <v>11315</v>
      </c>
      <c r="AG101" t="b">
        <f t="shared" si="19"/>
        <v>1</v>
      </c>
      <c r="AH101">
        <v>1637656</v>
      </c>
      <c r="AI101">
        <v>1637656</v>
      </c>
      <c r="AJ101" t="b">
        <f t="shared" si="20"/>
        <v>1</v>
      </c>
      <c r="AK101">
        <v>1722292</v>
      </c>
      <c r="AL101">
        <v>1670688</v>
      </c>
      <c r="AM101" t="b">
        <f t="shared" si="21"/>
        <v>0</v>
      </c>
    </row>
    <row r="102" hidden="1" spans="1:39">
      <c r="A102">
        <v>45758</v>
      </c>
      <c r="B102" t="s">
        <v>27</v>
      </c>
      <c r="C102" t="s">
        <v>120</v>
      </c>
      <c r="D102" t="s">
        <v>166</v>
      </c>
      <c r="E102" t="s">
        <v>190</v>
      </c>
      <c r="F102" t="s">
        <v>475</v>
      </c>
      <c r="G102">
        <v>0</v>
      </c>
      <c r="H102">
        <v>0</v>
      </c>
      <c r="I102" t="b">
        <f t="shared" si="22"/>
        <v>1</v>
      </c>
      <c r="J102">
        <v>0</v>
      </c>
      <c r="K102">
        <v>0</v>
      </c>
      <c r="L102" t="b">
        <f t="shared" si="13"/>
        <v>1</v>
      </c>
      <c r="M102">
        <v>1017327</v>
      </c>
      <c r="N102">
        <v>1017327</v>
      </c>
      <c r="O102" t="b">
        <f t="shared" si="14"/>
        <v>1</v>
      </c>
      <c r="P102">
        <v>0</v>
      </c>
      <c r="Q102">
        <v>0</v>
      </c>
      <c r="R102" t="b">
        <f t="shared" si="15"/>
        <v>1</v>
      </c>
      <c r="S102">
        <v>1017327</v>
      </c>
      <c r="T102">
        <v>1017327</v>
      </c>
      <c r="U102" t="b">
        <f t="shared" si="23"/>
        <v>1</v>
      </c>
      <c r="V102">
        <v>33050</v>
      </c>
      <c r="W102">
        <v>54466.43</v>
      </c>
      <c r="X102" t="b">
        <f t="shared" si="16"/>
        <v>0</v>
      </c>
      <c r="Y102">
        <v>496966.43</v>
      </c>
      <c r="Z102">
        <v>496966.43</v>
      </c>
      <c r="AA102" t="b">
        <f t="shared" si="17"/>
        <v>1</v>
      </c>
      <c r="AB102">
        <v>170000</v>
      </c>
      <c r="AC102">
        <v>170000</v>
      </c>
      <c r="AD102" t="b">
        <f t="shared" si="18"/>
        <v>1</v>
      </c>
      <c r="AE102">
        <v>0</v>
      </c>
      <c r="AF102">
        <v>0</v>
      </c>
      <c r="AG102" t="b">
        <f t="shared" si="19"/>
        <v>1</v>
      </c>
      <c r="AH102">
        <v>666966.43</v>
      </c>
      <c r="AI102">
        <v>666966.43</v>
      </c>
      <c r="AJ102" t="b">
        <f t="shared" si="20"/>
        <v>1</v>
      </c>
      <c r="AK102">
        <v>33050</v>
      </c>
      <c r="AL102">
        <v>54466.43</v>
      </c>
      <c r="AM102" t="b">
        <f t="shared" si="21"/>
        <v>0</v>
      </c>
    </row>
    <row r="103" hidden="1" spans="1:39">
      <c r="A103">
        <v>45758</v>
      </c>
      <c r="B103" t="s">
        <v>38</v>
      </c>
      <c r="C103" t="s">
        <v>130</v>
      </c>
      <c r="D103" t="s">
        <v>156</v>
      </c>
      <c r="E103" t="s">
        <v>476</v>
      </c>
      <c r="F103" t="s">
        <v>477</v>
      </c>
      <c r="G103">
        <v>0</v>
      </c>
      <c r="H103">
        <v>12000000</v>
      </c>
      <c r="I103" t="b">
        <f t="shared" si="22"/>
        <v>0</v>
      </c>
      <c r="J103">
        <v>0</v>
      </c>
      <c r="K103">
        <v>0</v>
      </c>
      <c r="L103" t="b">
        <f t="shared" si="13"/>
        <v>1</v>
      </c>
      <c r="M103">
        <v>10634</v>
      </c>
      <c r="N103">
        <v>0</v>
      </c>
      <c r="O103" t="b">
        <f t="shared" si="14"/>
        <v>0</v>
      </c>
      <c r="P103">
        <v>0</v>
      </c>
      <c r="Q103">
        <v>0</v>
      </c>
      <c r="R103" t="b">
        <f t="shared" si="15"/>
        <v>1</v>
      </c>
      <c r="S103">
        <v>10634</v>
      </c>
      <c r="T103">
        <v>0</v>
      </c>
      <c r="U103" t="b">
        <f t="shared" si="23"/>
        <v>0</v>
      </c>
      <c r="V103">
        <v>2782500</v>
      </c>
      <c r="W103">
        <v>4042500</v>
      </c>
      <c r="X103" t="b">
        <f t="shared" si="16"/>
        <v>0</v>
      </c>
      <c r="Y103">
        <v>0</v>
      </c>
      <c r="Z103">
        <v>0</v>
      </c>
      <c r="AA103" t="b">
        <f t="shared" si="17"/>
        <v>1</v>
      </c>
      <c r="AB103">
        <v>0</v>
      </c>
      <c r="AC103">
        <v>0</v>
      </c>
      <c r="AD103" t="b">
        <f t="shared" si="18"/>
        <v>1</v>
      </c>
      <c r="AE103">
        <v>0</v>
      </c>
      <c r="AF103">
        <v>0</v>
      </c>
      <c r="AG103" t="b">
        <f t="shared" si="19"/>
        <v>1</v>
      </c>
      <c r="AH103">
        <v>0</v>
      </c>
      <c r="AI103">
        <v>0</v>
      </c>
      <c r="AJ103" t="b">
        <f t="shared" si="20"/>
        <v>1</v>
      </c>
      <c r="AK103">
        <v>2782500</v>
      </c>
      <c r="AL103">
        <v>7957500</v>
      </c>
      <c r="AM103" t="b">
        <f t="shared" si="21"/>
        <v>0</v>
      </c>
    </row>
    <row r="104" hidden="1" spans="1:39">
      <c r="A104">
        <v>45758</v>
      </c>
      <c r="B104" t="s">
        <v>38</v>
      </c>
      <c r="C104" t="s">
        <v>130</v>
      </c>
      <c r="D104" t="s">
        <v>156</v>
      </c>
      <c r="E104" t="s">
        <v>478</v>
      </c>
      <c r="F104" t="s">
        <v>479</v>
      </c>
      <c r="G104">
        <v>0</v>
      </c>
      <c r="H104">
        <v>12000000</v>
      </c>
      <c r="I104" t="b">
        <f t="shared" si="22"/>
        <v>0</v>
      </c>
      <c r="J104">
        <v>0</v>
      </c>
      <c r="K104">
        <v>0</v>
      </c>
      <c r="L104" t="b">
        <f t="shared" si="13"/>
        <v>1</v>
      </c>
      <c r="M104">
        <v>24408</v>
      </c>
      <c r="N104">
        <v>0</v>
      </c>
      <c r="O104" t="b">
        <f t="shared" si="14"/>
        <v>0</v>
      </c>
      <c r="P104">
        <v>0</v>
      </c>
      <c r="Q104">
        <v>0</v>
      </c>
      <c r="R104" t="b">
        <f t="shared" si="15"/>
        <v>1</v>
      </c>
      <c r="S104">
        <v>24408</v>
      </c>
      <c r="T104">
        <v>0</v>
      </c>
      <c r="U104" t="b">
        <f t="shared" si="23"/>
        <v>0</v>
      </c>
      <c r="V104">
        <v>4279097.68</v>
      </c>
      <c r="W104">
        <v>3988277</v>
      </c>
      <c r="X104" t="b">
        <f t="shared" si="16"/>
        <v>0</v>
      </c>
      <c r="Y104">
        <v>0</v>
      </c>
      <c r="Z104">
        <v>0</v>
      </c>
      <c r="AA104" t="b">
        <f t="shared" si="17"/>
        <v>1</v>
      </c>
      <c r="AB104">
        <v>0</v>
      </c>
      <c r="AC104">
        <v>0</v>
      </c>
      <c r="AD104" t="b">
        <f t="shared" si="18"/>
        <v>1</v>
      </c>
      <c r="AE104">
        <v>0</v>
      </c>
      <c r="AF104">
        <v>0</v>
      </c>
      <c r="AG104" t="b">
        <f t="shared" si="19"/>
        <v>1</v>
      </c>
      <c r="AH104">
        <v>0</v>
      </c>
      <c r="AI104">
        <v>0</v>
      </c>
      <c r="AJ104" t="b">
        <f t="shared" si="20"/>
        <v>1</v>
      </c>
      <c r="AK104">
        <v>4279097.68</v>
      </c>
      <c r="AL104">
        <v>8011723</v>
      </c>
      <c r="AM104" t="b">
        <f t="shared" si="21"/>
        <v>0</v>
      </c>
    </row>
    <row r="105" hidden="1" spans="1:39">
      <c r="A105">
        <v>45758</v>
      </c>
      <c r="B105" t="s">
        <v>38</v>
      </c>
      <c r="C105" t="s">
        <v>130</v>
      </c>
      <c r="D105" t="s">
        <v>156</v>
      </c>
      <c r="E105" t="s">
        <v>480</v>
      </c>
      <c r="F105" t="s">
        <v>481</v>
      </c>
      <c r="G105">
        <v>0</v>
      </c>
      <c r="H105">
        <v>15300000</v>
      </c>
      <c r="I105" t="b">
        <f t="shared" si="22"/>
        <v>0</v>
      </c>
      <c r="J105">
        <v>0</v>
      </c>
      <c r="K105">
        <v>0</v>
      </c>
      <c r="L105" t="b">
        <f t="shared" si="13"/>
        <v>1</v>
      </c>
      <c r="M105">
        <v>8163</v>
      </c>
      <c r="N105">
        <v>0</v>
      </c>
      <c r="O105" t="b">
        <f t="shared" si="14"/>
        <v>0</v>
      </c>
      <c r="P105">
        <v>0</v>
      </c>
      <c r="Q105">
        <v>0</v>
      </c>
      <c r="R105" t="b">
        <f t="shared" si="15"/>
        <v>1</v>
      </c>
      <c r="S105">
        <v>8163</v>
      </c>
      <c r="T105">
        <v>0</v>
      </c>
      <c r="U105" t="b">
        <f t="shared" si="23"/>
        <v>0</v>
      </c>
      <c r="V105">
        <v>5508391.25</v>
      </c>
      <c r="W105">
        <v>5635612.25</v>
      </c>
      <c r="X105" t="b">
        <f t="shared" si="16"/>
        <v>0</v>
      </c>
      <c r="Y105">
        <v>0</v>
      </c>
      <c r="Z105">
        <v>0</v>
      </c>
      <c r="AA105" t="b">
        <f t="shared" si="17"/>
        <v>1</v>
      </c>
      <c r="AB105">
        <v>0</v>
      </c>
      <c r="AC105">
        <v>0</v>
      </c>
      <c r="AD105" t="b">
        <f t="shared" si="18"/>
        <v>1</v>
      </c>
      <c r="AE105">
        <v>0</v>
      </c>
      <c r="AF105">
        <v>0</v>
      </c>
      <c r="AG105" t="b">
        <f t="shared" si="19"/>
        <v>1</v>
      </c>
      <c r="AH105">
        <v>0</v>
      </c>
      <c r="AI105">
        <v>0</v>
      </c>
      <c r="AJ105" t="b">
        <f t="shared" si="20"/>
        <v>1</v>
      </c>
      <c r="AK105">
        <v>5508391.25</v>
      </c>
      <c r="AL105">
        <v>9664387.75</v>
      </c>
      <c r="AM105" t="b">
        <f t="shared" si="21"/>
        <v>0</v>
      </c>
    </row>
    <row r="106" hidden="1" spans="1:39">
      <c r="A106">
        <v>45758</v>
      </c>
      <c r="B106" t="s">
        <v>38</v>
      </c>
      <c r="C106" t="s">
        <v>130</v>
      </c>
      <c r="D106" t="s">
        <v>39</v>
      </c>
      <c r="E106" t="s">
        <v>194</v>
      </c>
      <c r="F106" t="s">
        <v>482</v>
      </c>
      <c r="G106">
        <v>515900</v>
      </c>
      <c r="H106">
        <v>515900</v>
      </c>
      <c r="I106" t="b">
        <f t="shared" si="22"/>
        <v>1</v>
      </c>
      <c r="J106">
        <v>1548800</v>
      </c>
      <c r="K106">
        <v>1548800</v>
      </c>
      <c r="L106" t="b">
        <f t="shared" si="13"/>
        <v>1</v>
      </c>
      <c r="M106">
        <v>0</v>
      </c>
      <c r="N106">
        <v>0</v>
      </c>
      <c r="O106" t="b">
        <f t="shared" si="14"/>
        <v>1</v>
      </c>
      <c r="P106">
        <v>515900</v>
      </c>
      <c r="Q106">
        <v>515900</v>
      </c>
      <c r="R106" t="b">
        <f t="shared" si="15"/>
        <v>1</v>
      </c>
      <c r="S106">
        <v>1032900</v>
      </c>
      <c r="T106">
        <v>1032900</v>
      </c>
      <c r="U106" t="b">
        <f t="shared" si="23"/>
        <v>1</v>
      </c>
      <c r="V106">
        <v>213434.99</v>
      </c>
      <c r="W106">
        <v>302103.99</v>
      </c>
      <c r="X106" t="b">
        <f t="shared" si="16"/>
        <v>0</v>
      </c>
      <c r="Y106">
        <v>351863.99</v>
      </c>
      <c r="Z106">
        <v>351863.99</v>
      </c>
      <c r="AA106" t="b">
        <f t="shared" si="17"/>
        <v>1</v>
      </c>
      <c r="AB106">
        <v>481036.01</v>
      </c>
      <c r="AC106">
        <v>481036.01</v>
      </c>
      <c r="AD106" t="b">
        <f t="shared" si="18"/>
        <v>1</v>
      </c>
      <c r="AE106">
        <v>0</v>
      </c>
      <c r="AF106">
        <v>0</v>
      </c>
      <c r="AG106" t="b">
        <f t="shared" si="19"/>
        <v>1</v>
      </c>
      <c r="AH106">
        <v>832900</v>
      </c>
      <c r="AI106">
        <v>832900</v>
      </c>
      <c r="AJ106" t="b">
        <f t="shared" si="20"/>
        <v>1</v>
      </c>
      <c r="AK106">
        <v>302465.01</v>
      </c>
      <c r="AL106">
        <v>213796.01</v>
      </c>
      <c r="AM106" t="b">
        <f t="shared" si="21"/>
        <v>0</v>
      </c>
    </row>
    <row r="107" hidden="1" spans="1:39">
      <c r="A107">
        <v>45758</v>
      </c>
      <c r="B107" t="s">
        <v>27</v>
      </c>
      <c r="C107" t="s">
        <v>130</v>
      </c>
      <c r="D107" t="s">
        <v>39</v>
      </c>
      <c r="E107" t="s">
        <v>195</v>
      </c>
      <c r="F107" t="s">
        <v>483</v>
      </c>
      <c r="G107">
        <v>2150500</v>
      </c>
      <c r="H107">
        <v>2150500</v>
      </c>
      <c r="I107" t="b">
        <f t="shared" si="22"/>
        <v>1</v>
      </c>
      <c r="J107">
        <v>0</v>
      </c>
      <c r="K107">
        <v>0</v>
      </c>
      <c r="L107" t="b">
        <f t="shared" si="13"/>
        <v>1</v>
      </c>
      <c r="M107">
        <v>2150500</v>
      </c>
      <c r="N107">
        <v>2150500</v>
      </c>
      <c r="O107" t="b">
        <f t="shared" si="14"/>
        <v>1</v>
      </c>
      <c r="P107">
        <v>0</v>
      </c>
      <c r="Q107">
        <v>0</v>
      </c>
      <c r="R107" t="b">
        <f t="shared" si="15"/>
        <v>1</v>
      </c>
      <c r="S107">
        <v>2150500</v>
      </c>
      <c r="T107">
        <v>2150500</v>
      </c>
      <c r="U107" t="b">
        <f t="shared" si="23"/>
        <v>1</v>
      </c>
      <c r="V107">
        <v>1561642</v>
      </c>
      <c r="W107">
        <v>1561642.5</v>
      </c>
      <c r="X107" t="b">
        <f t="shared" si="16"/>
        <v>0</v>
      </c>
      <c r="Y107">
        <v>299730</v>
      </c>
      <c r="Z107">
        <v>299730</v>
      </c>
      <c r="AA107" t="b">
        <f t="shared" si="17"/>
        <v>1</v>
      </c>
      <c r="AB107">
        <v>1550770</v>
      </c>
      <c r="AC107">
        <v>1550770</v>
      </c>
      <c r="AD107" t="b">
        <f t="shared" si="18"/>
        <v>1</v>
      </c>
      <c r="AE107">
        <v>0</v>
      </c>
      <c r="AF107">
        <v>0</v>
      </c>
      <c r="AG107" t="b">
        <f t="shared" si="19"/>
        <v>1</v>
      </c>
      <c r="AH107">
        <v>1850500</v>
      </c>
      <c r="AI107">
        <v>1850500</v>
      </c>
      <c r="AJ107" t="b">
        <f t="shared" si="20"/>
        <v>1</v>
      </c>
      <c r="AK107">
        <v>588858</v>
      </c>
      <c r="AL107">
        <v>588857.5</v>
      </c>
      <c r="AM107" t="b">
        <f t="shared" si="21"/>
        <v>0</v>
      </c>
    </row>
    <row r="108" spans="1:39">
      <c r="A108">
        <v>45758</v>
      </c>
      <c r="B108" t="s">
        <v>59</v>
      </c>
      <c r="C108" t="s">
        <v>115</v>
      </c>
      <c r="D108" t="s">
        <v>60</v>
      </c>
      <c r="E108" t="s">
        <v>196</v>
      </c>
      <c r="F108" t="s">
        <v>484</v>
      </c>
      <c r="G108">
        <v>224730</v>
      </c>
      <c r="H108">
        <v>224730</v>
      </c>
      <c r="I108" t="b">
        <f t="shared" si="22"/>
        <v>1</v>
      </c>
      <c r="J108">
        <v>224730</v>
      </c>
      <c r="K108">
        <v>224730</v>
      </c>
      <c r="L108" t="b">
        <f t="shared" si="13"/>
        <v>1</v>
      </c>
      <c r="M108">
        <v>0</v>
      </c>
      <c r="N108">
        <v>0</v>
      </c>
      <c r="O108" t="b">
        <f t="shared" si="14"/>
        <v>1</v>
      </c>
      <c r="P108">
        <v>0</v>
      </c>
      <c r="Q108">
        <v>0</v>
      </c>
      <c r="R108" t="b">
        <f t="shared" si="15"/>
        <v>1</v>
      </c>
      <c r="S108">
        <v>224730</v>
      </c>
      <c r="T108">
        <v>224730</v>
      </c>
      <c r="U108" t="b">
        <f t="shared" si="23"/>
        <v>1</v>
      </c>
      <c r="V108">
        <v>180250</v>
      </c>
      <c r="W108">
        <v>180250</v>
      </c>
      <c r="X108" t="b">
        <f t="shared" si="16"/>
        <v>1</v>
      </c>
      <c r="Y108">
        <v>180250</v>
      </c>
      <c r="Z108">
        <v>180250</v>
      </c>
      <c r="AA108" t="b">
        <f t="shared" si="17"/>
        <v>1</v>
      </c>
      <c r="AB108">
        <v>0</v>
      </c>
      <c r="AC108">
        <v>0</v>
      </c>
      <c r="AD108" t="b">
        <f t="shared" si="18"/>
        <v>1</v>
      </c>
      <c r="AE108">
        <v>0</v>
      </c>
      <c r="AF108">
        <v>0</v>
      </c>
      <c r="AG108" t="b">
        <f t="shared" si="19"/>
        <v>1</v>
      </c>
      <c r="AH108">
        <v>180250</v>
      </c>
      <c r="AI108">
        <v>180250</v>
      </c>
      <c r="AJ108" t="b">
        <f t="shared" si="20"/>
        <v>1</v>
      </c>
      <c r="AK108">
        <v>44480</v>
      </c>
      <c r="AL108">
        <v>44480</v>
      </c>
      <c r="AM108" t="b">
        <f t="shared" si="21"/>
        <v>1</v>
      </c>
    </row>
    <row r="109" spans="1:39">
      <c r="A109">
        <v>45758</v>
      </c>
      <c r="B109" t="s">
        <v>38</v>
      </c>
      <c r="C109" t="s">
        <v>130</v>
      </c>
      <c r="D109" t="s">
        <v>51</v>
      </c>
      <c r="E109" t="s">
        <v>197</v>
      </c>
      <c r="F109" t="s">
        <v>485</v>
      </c>
      <c r="G109">
        <v>0</v>
      </c>
      <c r="H109">
        <v>0</v>
      </c>
      <c r="I109" t="b">
        <f t="shared" si="22"/>
        <v>1</v>
      </c>
      <c r="J109">
        <v>0</v>
      </c>
      <c r="K109">
        <v>0</v>
      </c>
      <c r="L109" t="b">
        <f t="shared" si="13"/>
        <v>1</v>
      </c>
      <c r="M109">
        <v>0</v>
      </c>
      <c r="N109">
        <v>0</v>
      </c>
      <c r="O109" t="b">
        <f t="shared" si="14"/>
        <v>1</v>
      </c>
      <c r="P109">
        <v>0</v>
      </c>
      <c r="Q109">
        <v>0</v>
      </c>
      <c r="R109" t="b">
        <f t="shared" si="15"/>
        <v>1</v>
      </c>
      <c r="S109">
        <v>0</v>
      </c>
      <c r="T109">
        <v>0</v>
      </c>
      <c r="U109" t="b">
        <f t="shared" si="23"/>
        <v>1</v>
      </c>
      <c r="V109">
        <v>0</v>
      </c>
      <c r="W109">
        <v>0</v>
      </c>
      <c r="X109" t="b">
        <f t="shared" si="16"/>
        <v>1</v>
      </c>
      <c r="Y109">
        <v>138700</v>
      </c>
      <c r="Z109">
        <v>138700</v>
      </c>
      <c r="AA109" t="b">
        <f t="shared" si="17"/>
        <v>1</v>
      </c>
      <c r="AB109">
        <v>138700</v>
      </c>
      <c r="AC109">
        <v>138700</v>
      </c>
      <c r="AD109" t="b">
        <f t="shared" si="18"/>
        <v>1</v>
      </c>
      <c r="AE109">
        <v>0</v>
      </c>
      <c r="AF109">
        <v>0</v>
      </c>
      <c r="AG109" t="b">
        <f t="shared" si="19"/>
        <v>1</v>
      </c>
      <c r="AH109">
        <v>0</v>
      </c>
      <c r="AI109">
        <v>0</v>
      </c>
      <c r="AJ109" t="b">
        <f t="shared" si="20"/>
        <v>1</v>
      </c>
      <c r="AK109">
        <v>0</v>
      </c>
      <c r="AL109">
        <v>0</v>
      </c>
      <c r="AM109" t="b">
        <f t="shared" si="21"/>
        <v>1</v>
      </c>
    </row>
    <row r="110" spans="1:39">
      <c r="A110">
        <v>45758</v>
      </c>
      <c r="B110" t="s">
        <v>31</v>
      </c>
      <c r="C110" t="s">
        <v>115</v>
      </c>
      <c r="D110" t="s">
        <v>45</v>
      </c>
      <c r="E110" t="s">
        <v>198</v>
      </c>
      <c r="F110" t="s">
        <v>486</v>
      </c>
      <c r="G110">
        <v>0</v>
      </c>
      <c r="H110">
        <v>0</v>
      </c>
      <c r="I110" t="b">
        <f t="shared" si="22"/>
        <v>1</v>
      </c>
      <c r="J110">
        <v>0</v>
      </c>
      <c r="K110">
        <v>0</v>
      </c>
      <c r="L110" t="b">
        <f t="shared" si="13"/>
        <v>1</v>
      </c>
      <c r="M110">
        <v>0</v>
      </c>
      <c r="N110">
        <v>0</v>
      </c>
      <c r="O110" t="b">
        <f t="shared" si="14"/>
        <v>1</v>
      </c>
      <c r="P110">
        <v>0</v>
      </c>
      <c r="Q110">
        <v>0</v>
      </c>
      <c r="R110" t="b">
        <f t="shared" si="15"/>
        <v>1</v>
      </c>
      <c r="S110">
        <v>0</v>
      </c>
      <c r="T110">
        <v>0</v>
      </c>
      <c r="U110" t="b">
        <f t="shared" si="23"/>
        <v>1</v>
      </c>
      <c r="V110">
        <v>0</v>
      </c>
      <c r="W110">
        <v>0</v>
      </c>
      <c r="X110" t="b">
        <f t="shared" si="16"/>
        <v>1</v>
      </c>
      <c r="Y110">
        <v>15000</v>
      </c>
      <c r="Z110">
        <v>15000</v>
      </c>
      <c r="AA110" t="b">
        <f t="shared" si="17"/>
        <v>1</v>
      </c>
      <c r="AB110">
        <v>15000</v>
      </c>
      <c r="AC110">
        <v>15000</v>
      </c>
      <c r="AD110" t="b">
        <f t="shared" si="18"/>
        <v>1</v>
      </c>
      <c r="AE110">
        <v>0</v>
      </c>
      <c r="AF110">
        <v>0</v>
      </c>
      <c r="AG110" t="b">
        <f t="shared" si="19"/>
        <v>1</v>
      </c>
      <c r="AH110">
        <v>0</v>
      </c>
      <c r="AI110">
        <v>0</v>
      </c>
      <c r="AJ110" t="b">
        <f t="shared" si="20"/>
        <v>1</v>
      </c>
      <c r="AK110">
        <v>0</v>
      </c>
      <c r="AL110">
        <v>0</v>
      </c>
      <c r="AM110" t="b">
        <f t="shared" si="21"/>
        <v>1</v>
      </c>
    </row>
    <row r="111" spans="1:39">
      <c r="A111">
        <v>45758</v>
      </c>
      <c r="B111" t="s">
        <v>31</v>
      </c>
      <c r="C111" t="s">
        <v>115</v>
      </c>
      <c r="D111" t="s">
        <v>45</v>
      </c>
      <c r="E111" t="s">
        <v>199</v>
      </c>
      <c r="F111" t="s">
        <v>487</v>
      </c>
      <c r="G111">
        <v>0</v>
      </c>
      <c r="H111">
        <v>0</v>
      </c>
      <c r="I111" t="b">
        <f t="shared" si="22"/>
        <v>1</v>
      </c>
      <c r="J111">
        <v>0</v>
      </c>
      <c r="K111">
        <v>0</v>
      </c>
      <c r="L111" t="b">
        <f t="shared" si="13"/>
        <v>1</v>
      </c>
      <c r="M111">
        <v>0</v>
      </c>
      <c r="N111">
        <v>0</v>
      </c>
      <c r="O111" t="b">
        <f t="shared" si="14"/>
        <v>1</v>
      </c>
      <c r="P111">
        <v>0</v>
      </c>
      <c r="Q111">
        <v>0</v>
      </c>
      <c r="R111" t="b">
        <f t="shared" si="15"/>
        <v>1</v>
      </c>
      <c r="S111">
        <v>0</v>
      </c>
      <c r="T111">
        <v>0</v>
      </c>
      <c r="U111" t="b">
        <f t="shared" si="23"/>
        <v>1</v>
      </c>
      <c r="V111">
        <v>0</v>
      </c>
      <c r="W111">
        <v>0</v>
      </c>
      <c r="X111" t="b">
        <f t="shared" si="16"/>
        <v>1</v>
      </c>
      <c r="Y111">
        <v>52056</v>
      </c>
      <c r="Z111">
        <v>52056</v>
      </c>
      <c r="AA111" t="b">
        <f t="shared" si="17"/>
        <v>1</v>
      </c>
      <c r="AB111">
        <v>52056</v>
      </c>
      <c r="AC111">
        <v>52056</v>
      </c>
      <c r="AD111" t="b">
        <f t="shared" si="18"/>
        <v>1</v>
      </c>
      <c r="AE111">
        <v>0</v>
      </c>
      <c r="AF111">
        <v>0</v>
      </c>
      <c r="AG111" t="b">
        <f t="shared" si="19"/>
        <v>1</v>
      </c>
      <c r="AH111">
        <v>0</v>
      </c>
      <c r="AI111">
        <v>0</v>
      </c>
      <c r="AJ111" t="b">
        <f t="shared" si="20"/>
        <v>1</v>
      </c>
      <c r="AK111">
        <v>0</v>
      </c>
      <c r="AL111">
        <v>0</v>
      </c>
      <c r="AM111" t="b">
        <f t="shared" si="21"/>
        <v>1</v>
      </c>
    </row>
    <row r="112" hidden="1" spans="1:39">
      <c r="A112">
        <v>45758</v>
      </c>
      <c r="B112" t="s">
        <v>27</v>
      </c>
      <c r="C112" t="s">
        <v>120</v>
      </c>
      <c r="D112" t="s">
        <v>64</v>
      </c>
      <c r="E112" t="s">
        <v>200</v>
      </c>
      <c r="F112" t="s">
        <v>488</v>
      </c>
      <c r="G112">
        <v>0</v>
      </c>
      <c r="H112">
        <v>0</v>
      </c>
      <c r="I112" t="b">
        <f t="shared" si="22"/>
        <v>1</v>
      </c>
      <c r="J112">
        <v>0</v>
      </c>
      <c r="K112">
        <v>0</v>
      </c>
      <c r="L112" t="b">
        <f t="shared" si="13"/>
        <v>1</v>
      </c>
      <c r="M112">
        <v>0</v>
      </c>
      <c r="N112">
        <v>0</v>
      </c>
      <c r="O112" t="b">
        <f t="shared" si="14"/>
        <v>1</v>
      </c>
      <c r="P112">
        <v>0</v>
      </c>
      <c r="Q112">
        <v>0</v>
      </c>
      <c r="R112" t="b">
        <f t="shared" si="15"/>
        <v>1</v>
      </c>
      <c r="S112">
        <v>0</v>
      </c>
      <c r="T112">
        <v>0</v>
      </c>
      <c r="U112" t="b">
        <f t="shared" si="23"/>
        <v>1</v>
      </c>
      <c r="V112">
        <v>573790.29</v>
      </c>
      <c r="W112">
        <v>603830.29</v>
      </c>
      <c r="X112" t="b">
        <f t="shared" si="16"/>
        <v>0</v>
      </c>
      <c r="Y112">
        <v>751830.29</v>
      </c>
      <c r="Z112">
        <v>751830.29</v>
      </c>
      <c r="AA112" t="b">
        <f t="shared" si="17"/>
        <v>1</v>
      </c>
      <c r="AB112">
        <v>790000</v>
      </c>
      <c r="AC112">
        <v>790000</v>
      </c>
      <c r="AD112" t="b">
        <f t="shared" si="18"/>
        <v>1</v>
      </c>
      <c r="AE112">
        <v>0</v>
      </c>
      <c r="AF112">
        <v>0</v>
      </c>
      <c r="AG112" t="b">
        <f t="shared" si="19"/>
        <v>1</v>
      </c>
      <c r="AH112">
        <v>38169.71</v>
      </c>
      <c r="AI112">
        <v>38169.71</v>
      </c>
      <c r="AJ112" t="b">
        <f t="shared" si="20"/>
        <v>1</v>
      </c>
      <c r="AK112">
        <v>573790.29</v>
      </c>
      <c r="AL112">
        <v>603830.29</v>
      </c>
      <c r="AM112" t="b">
        <f t="shared" si="21"/>
        <v>0</v>
      </c>
    </row>
    <row r="113" hidden="1" spans="1:39">
      <c r="A113">
        <v>45758</v>
      </c>
      <c r="B113" t="s">
        <v>38</v>
      </c>
      <c r="C113" t="s">
        <v>130</v>
      </c>
      <c r="D113" t="s">
        <v>51</v>
      </c>
      <c r="E113" t="s">
        <v>489</v>
      </c>
      <c r="F113" t="s">
        <v>490</v>
      </c>
      <c r="G113">
        <v>0</v>
      </c>
      <c r="H113">
        <v>0</v>
      </c>
      <c r="I113" t="b">
        <f t="shared" si="22"/>
        <v>1</v>
      </c>
      <c r="J113">
        <v>699894</v>
      </c>
      <c r="K113">
        <v>699894</v>
      </c>
      <c r="L113" t="b">
        <f t="shared" si="13"/>
        <v>1</v>
      </c>
      <c r="M113">
        <v>699894</v>
      </c>
      <c r="N113">
        <v>699894</v>
      </c>
      <c r="O113" t="b">
        <f t="shared" si="14"/>
        <v>1</v>
      </c>
      <c r="P113">
        <v>0</v>
      </c>
      <c r="Q113">
        <v>0</v>
      </c>
      <c r="R113" t="b">
        <f t="shared" si="15"/>
        <v>1</v>
      </c>
      <c r="S113">
        <v>0</v>
      </c>
      <c r="T113">
        <v>0</v>
      </c>
      <c r="U113" t="b">
        <f t="shared" si="23"/>
        <v>1</v>
      </c>
      <c r="V113">
        <v>259000</v>
      </c>
      <c r="W113">
        <v>458120</v>
      </c>
      <c r="X113" t="b">
        <f t="shared" si="16"/>
        <v>0</v>
      </c>
      <c r="Y113">
        <v>293950</v>
      </c>
      <c r="Z113">
        <v>303120</v>
      </c>
      <c r="AA113" t="b">
        <f t="shared" si="17"/>
        <v>0</v>
      </c>
      <c r="AB113">
        <v>303120</v>
      </c>
      <c r="AC113">
        <v>303120</v>
      </c>
      <c r="AD113" t="b">
        <f t="shared" si="18"/>
        <v>1</v>
      </c>
      <c r="AE113">
        <v>0</v>
      </c>
      <c r="AF113">
        <v>0</v>
      </c>
      <c r="AG113" t="b">
        <f t="shared" si="19"/>
        <v>1</v>
      </c>
      <c r="AH113">
        <v>9170</v>
      </c>
      <c r="AI113">
        <v>0</v>
      </c>
      <c r="AJ113" t="b">
        <f t="shared" si="20"/>
        <v>0</v>
      </c>
      <c r="AK113">
        <v>259000</v>
      </c>
      <c r="AL113">
        <v>458120</v>
      </c>
      <c r="AM113" t="b">
        <f t="shared" si="21"/>
        <v>0</v>
      </c>
    </row>
    <row r="114" spans="1:39">
      <c r="A114">
        <v>45758</v>
      </c>
      <c r="B114" t="s">
        <v>27</v>
      </c>
      <c r="C114" t="s">
        <v>120</v>
      </c>
      <c r="D114" t="s">
        <v>71</v>
      </c>
      <c r="E114" t="s">
        <v>202</v>
      </c>
      <c r="F114" t="s">
        <v>491</v>
      </c>
      <c r="G114">
        <v>0</v>
      </c>
      <c r="H114">
        <v>0</v>
      </c>
      <c r="I114" t="b">
        <f t="shared" si="22"/>
        <v>1</v>
      </c>
      <c r="J114">
        <v>286859.98</v>
      </c>
      <c r="K114">
        <v>286859.98</v>
      </c>
      <c r="L114" t="b">
        <f t="shared" si="13"/>
        <v>1</v>
      </c>
      <c r="M114">
        <v>301859.98</v>
      </c>
      <c r="N114">
        <v>301859.98</v>
      </c>
      <c r="O114" t="b">
        <f t="shared" si="14"/>
        <v>1</v>
      </c>
      <c r="P114">
        <v>0</v>
      </c>
      <c r="Q114">
        <v>0</v>
      </c>
      <c r="R114" t="b">
        <f t="shared" si="15"/>
        <v>1</v>
      </c>
      <c r="S114">
        <v>15000</v>
      </c>
      <c r="T114">
        <v>15000</v>
      </c>
      <c r="U114" t="b">
        <f t="shared" si="23"/>
        <v>1</v>
      </c>
      <c r="V114">
        <v>0</v>
      </c>
      <c r="W114">
        <v>0</v>
      </c>
      <c r="X114" t="b">
        <f t="shared" si="16"/>
        <v>1</v>
      </c>
      <c r="Y114">
        <v>94000</v>
      </c>
      <c r="Z114">
        <v>94000</v>
      </c>
      <c r="AA114" t="b">
        <f t="shared" si="17"/>
        <v>1</v>
      </c>
      <c r="AB114">
        <v>94000</v>
      </c>
      <c r="AC114">
        <v>94000</v>
      </c>
      <c r="AD114" t="b">
        <f t="shared" si="18"/>
        <v>1</v>
      </c>
      <c r="AE114">
        <v>0</v>
      </c>
      <c r="AF114">
        <v>0</v>
      </c>
      <c r="AG114" t="b">
        <f t="shared" si="19"/>
        <v>1</v>
      </c>
      <c r="AH114">
        <v>0</v>
      </c>
      <c r="AI114">
        <v>0</v>
      </c>
      <c r="AJ114" t="b">
        <f t="shared" si="20"/>
        <v>1</v>
      </c>
      <c r="AK114">
        <v>0</v>
      </c>
      <c r="AL114">
        <v>0</v>
      </c>
      <c r="AM114" t="b">
        <f t="shared" si="21"/>
        <v>1</v>
      </c>
    </row>
    <row r="115" hidden="1" spans="1:39">
      <c r="A115">
        <v>45758</v>
      </c>
      <c r="B115" t="s">
        <v>27</v>
      </c>
      <c r="C115" t="s">
        <v>120</v>
      </c>
      <c r="D115" t="s">
        <v>203</v>
      </c>
      <c r="E115" t="s">
        <v>492</v>
      </c>
      <c r="F115" t="s">
        <v>493</v>
      </c>
      <c r="G115">
        <v>0</v>
      </c>
      <c r="H115">
        <v>0</v>
      </c>
      <c r="I115" t="b">
        <f t="shared" si="22"/>
        <v>1</v>
      </c>
      <c r="J115">
        <v>2226654</v>
      </c>
      <c r="K115">
        <v>2226654</v>
      </c>
      <c r="L115" t="b">
        <f t="shared" si="13"/>
        <v>1</v>
      </c>
      <c r="M115">
        <v>2117000</v>
      </c>
      <c r="N115">
        <v>2117000</v>
      </c>
      <c r="O115" t="b">
        <f t="shared" si="14"/>
        <v>1</v>
      </c>
      <c r="P115">
        <v>0</v>
      </c>
      <c r="Q115">
        <v>0</v>
      </c>
      <c r="R115" t="b">
        <f t="shared" si="15"/>
        <v>1</v>
      </c>
      <c r="S115">
        <v>109654</v>
      </c>
      <c r="T115">
        <v>109654</v>
      </c>
      <c r="U115" t="b">
        <f t="shared" si="23"/>
        <v>1</v>
      </c>
      <c r="V115">
        <v>1283640</v>
      </c>
      <c r="W115">
        <v>1335025.02</v>
      </c>
      <c r="X115" t="b">
        <f t="shared" si="16"/>
        <v>0</v>
      </c>
      <c r="Y115">
        <v>1260505.02</v>
      </c>
      <c r="Z115">
        <v>1260505.02</v>
      </c>
      <c r="AA115" t="b">
        <f t="shared" si="17"/>
        <v>1</v>
      </c>
      <c r="AB115">
        <v>1258076.02</v>
      </c>
      <c r="AC115">
        <v>1258076.02</v>
      </c>
      <c r="AD115" t="b">
        <f t="shared" si="18"/>
        <v>1</v>
      </c>
      <c r="AE115">
        <v>2429</v>
      </c>
      <c r="AF115">
        <v>2429</v>
      </c>
      <c r="AG115" t="b">
        <f t="shared" si="19"/>
        <v>1</v>
      </c>
      <c r="AH115">
        <v>0</v>
      </c>
      <c r="AI115">
        <v>0</v>
      </c>
      <c r="AJ115" t="b">
        <f t="shared" si="20"/>
        <v>1</v>
      </c>
      <c r="AK115">
        <v>1283640</v>
      </c>
      <c r="AL115">
        <v>1335025.02</v>
      </c>
      <c r="AM115" t="b">
        <f t="shared" si="21"/>
        <v>0</v>
      </c>
    </row>
    <row r="116" spans="1:39">
      <c r="A116">
        <v>45758</v>
      </c>
      <c r="B116" t="s">
        <v>27</v>
      </c>
      <c r="C116" t="s">
        <v>120</v>
      </c>
      <c r="D116" t="s">
        <v>205</v>
      </c>
      <c r="E116" t="s">
        <v>494</v>
      </c>
      <c r="F116" t="s">
        <v>495</v>
      </c>
      <c r="G116">
        <v>581460</v>
      </c>
      <c r="H116">
        <v>581460</v>
      </c>
      <c r="I116" t="b">
        <f t="shared" si="22"/>
        <v>1</v>
      </c>
      <c r="J116">
        <v>581460</v>
      </c>
      <c r="K116">
        <v>581460</v>
      </c>
      <c r="L116" t="b">
        <f t="shared" si="13"/>
        <v>1</v>
      </c>
      <c r="M116">
        <v>0</v>
      </c>
      <c r="N116">
        <v>0</v>
      </c>
      <c r="O116" t="b">
        <f t="shared" si="14"/>
        <v>1</v>
      </c>
      <c r="P116">
        <v>581460</v>
      </c>
      <c r="Q116">
        <v>581460</v>
      </c>
      <c r="R116" t="b">
        <f t="shared" si="15"/>
        <v>1</v>
      </c>
      <c r="S116">
        <v>0</v>
      </c>
      <c r="T116">
        <v>0</v>
      </c>
      <c r="U116" t="b">
        <f t="shared" si="23"/>
        <v>1</v>
      </c>
      <c r="V116">
        <v>83363</v>
      </c>
      <c r="W116">
        <v>83363</v>
      </c>
      <c r="X116" t="b">
        <f t="shared" si="16"/>
        <v>1</v>
      </c>
      <c r="Y116">
        <v>197038</v>
      </c>
      <c r="Z116">
        <v>197038</v>
      </c>
      <c r="AA116" t="b">
        <f t="shared" si="17"/>
        <v>1</v>
      </c>
      <c r="AB116">
        <v>243675</v>
      </c>
      <c r="AC116">
        <v>243675</v>
      </c>
      <c r="AD116" t="b">
        <f t="shared" si="18"/>
        <v>1</v>
      </c>
      <c r="AE116">
        <v>0</v>
      </c>
      <c r="AF116">
        <v>0</v>
      </c>
      <c r="AG116" t="b">
        <f t="shared" si="19"/>
        <v>1</v>
      </c>
      <c r="AH116">
        <v>46637</v>
      </c>
      <c r="AI116">
        <v>46637</v>
      </c>
      <c r="AJ116" t="b">
        <f t="shared" si="20"/>
        <v>1</v>
      </c>
      <c r="AK116">
        <v>498097</v>
      </c>
      <c r="AL116">
        <v>498097</v>
      </c>
      <c r="AM116" t="b">
        <f t="shared" si="21"/>
        <v>1</v>
      </c>
    </row>
    <row r="117" spans="1:39">
      <c r="A117">
        <v>45758</v>
      </c>
      <c r="B117" t="s">
        <v>31</v>
      </c>
      <c r="C117" t="s">
        <v>115</v>
      </c>
      <c r="D117" t="s">
        <v>45</v>
      </c>
      <c r="E117" t="s">
        <v>496</v>
      </c>
      <c r="F117" t="s">
        <v>497</v>
      </c>
      <c r="G117">
        <v>0</v>
      </c>
      <c r="H117">
        <v>0</v>
      </c>
      <c r="I117" t="b">
        <f t="shared" si="22"/>
        <v>1</v>
      </c>
      <c r="J117">
        <v>0</v>
      </c>
      <c r="K117">
        <v>0</v>
      </c>
      <c r="L117" t="b">
        <f t="shared" si="13"/>
        <v>1</v>
      </c>
      <c r="M117">
        <v>0</v>
      </c>
      <c r="N117">
        <v>0</v>
      </c>
      <c r="O117" t="b">
        <f t="shared" si="14"/>
        <v>1</v>
      </c>
      <c r="P117">
        <v>0</v>
      </c>
      <c r="Q117">
        <v>0</v>
      </c>
      <c r="R117" t="b">
        <f t="shared" si="15"/>
        <v>1</v>
      </c>
      <c r="S117">
        <v>0</v>
      </c>
      <c r="T117">
        <v>0</v>
      </c>
      <c r="U117" t="b">
        <f t="shared" si="23"/>
        <v>1</v>
      </c>
      <c r="V117">
        <v>0</v>
      </c>
      <c r="W117">
        <v>0</v>
      </c>
      <c r="X117" t="b">
        <f t="shared" si="16"/>
        <v>1</v>
      </c>
      <c r="Y117">
        <v>42110</v>
      </c>
      <c r="Z117">
        <v>42110</v>
      </c>
      <c r="AA117" t="b">
        <f t="shared" si="17"/>
        <v>1</v>
      </c>
      <c r="AB117">
        <v>42110</v>
      </c>
      <c r="AC117">
        <v>42110</v>
      </c>
      <c r="AD117" t="b">
        <f t="shared" si="18"/>
        <v>1</v>
      </c>
      <c r="AE117">
        <v>0</v>
      </c>
      <c r="AF117">
        <v>0</v>
      </c>
      <c r="AG117" t="b">
        <f t="shared" si="19"/>
        <v>1</v>
      </c>
      <c r="AH117">
        <v>0</v>
      </c>
      <c r="AI117">
        <v>0</v>
      </c>
      <c r="AJ117" t="b">
        <f t="shared" si="20"/>
        <v>1</v>
      </c>
      <c r="AK117">
        <v>0</v>
      </c>
      <c r="AL117">
        <v>0</v>
      </c>
      <c r="AM117" t="b">
        <f t="shared" si="21"/>
        <v>1</v>
      </c>
    </row>
    <row r="118" spans="1:39">
      <c r="A118">
        <v>45758</v>
      </c>
      <c r="B118" t="s">
        <v>59</v>
      </c>
      <c r="C118" t="s">
        <v>115</v>
      </c>
      <c r="D118" t="s">
        <v>60</v>
      </c>
      <c r="E118" t="s">
        <v>208</v>
      </c>
      <c r="F118" t="s">
        <v>498</v>
      </c>
      <c r="G118">
        <v>0</v>
      </c>
      <c r="H118">
        <v>0</v>
      </c>
      <c r="I118" t="b">
        <f t="shared" si="22"/>
        <v>1</v>
      </c>
      <c r="J118">
        <v>0</v>
      </c>
      <c r="K118">
        <v>0</v>
      </c>
      <c r="L118" t="b">
        <f t="shared" si="13"/>
        <v>1</v>
      </c>
      <c r="M118">
        <v>0</v>
      </c>
      <c r="N118">
        <v>0</v>
      </c>
      <c r="O118" t="b">
        <f t="shared" si="14"/>
        <v>1</v>
      </c>
      <c r="P118">
        <v>0</v>
      </c>
      <c r="Q118">
        <v>0</v>
      </c>
      <c r="R118" t="b">
        <f t="shared" si="15"/>
        <v>1</v>
      </c>
      <c r="S118">
        <v>0</v>
      </c>
      <c r="T118">
        <v>0</v>
      </c>
      <c r="U118" t="b">
        <f t="shared" si="23"/>
        <v>1</v>
      </c>
      <c r="V118">
        <v>0</v>
      </c>
      <c r="W118">
        <v>0</v>
      </c>
      <c r="X118" t="b">
        <f t="shared" si="16"/>
        <v>1</v>
      </c>
      <c r="Y118">
        <v>330740</v>
      </c>
      <c r="Z118">
        <v>330740</v>
      </c>
      <c r="AA118" t="b">
        <f t="shared" si="17"/>
        <v>1</v>
      </c>
      <c r="AB118">
        <v>330740</v>
      </c>
      <c r="AC118">
        <v>330740</v>
      </c>
      <c r="AD118" t="b">
        <f t="shared" si="18"/>
        <v>1</v>
      </c>
      <c r="AE118">
        <v>0</v>
      </c>
      <c r="AF118">
        <v>0</v>
      </c>
      <c r="AG118" t="b">
        <f t="shared" si="19"/>
        <v>1</v>
      </c>
      <c r="AH118">
        <v>0</v>
      </c>
      <c r="AI118">
        <v>0</v>
      </c>
      <c r="AJ118" t="b">
        <f t="shared" si="20"/>
        <v>1</v>
      </c>
      <c r="AK118">
        <v>0</v>
      </c>
      <c r="AL118">
        <v>0</v>
      </c>
      <c r="AM118" t="b">
        <f t="shared" si="21"/>
        <v>1</v>
      </c>
    </row>
    <row r="119" hidden="1" spans="1:39">
      <c r="A119">
        <v>45758</v>
      </c>
      <c r="B119" t="s">
        <v>27</v>
      </c>
      <c r="C119" t="s">
        <v>120</v>
      </c>
      <c r="D119" t="s">
        <v>104</v>
      </c>
      <c r="E119" t="s">
        <v>209</v>
      </c>
      <c r="F119" t="s">
        <v>499</v>
      </c>
      <c r="G119">
        <v>3500020</v>
      </c>
      <c r="H119">
        <v>4180020</v>
      </c>
      <c r="I119" t="b">
        <f t="shared" si="22"/>
        <v>0</v>
      </c>
      <c r="J119">
        <v>0</v>
      </c>
      <c r="K119">
        <v>680000</v>
      </c>
      <c r="L119" t="b">
        <f t="shared" si="13"/>
        <v>0</v>
      </c>
      <c r="M119">
        <v>2839466</v>
      </c>
      <c r="N119">
        <v>2820020</v>
      </c>
      <c r="O119" t="b">
        <f t="shared" si="14"/>
        <v>0</v>
      </c>
      <c r="P119">
        <v>0</v>
      </c>
      <c r="Q119">
        <v>0</v>
      </c>
      <c r="R119" t="b">
        <f t="shared" si="15"/>
        <v>1</v>
      </c>
      <c r="S119">
        <v>2839466</v>
      </c>
      <c r="T119">
        <v>3500020</v>
      </c>
      <c r="U119" t="b">
        <f t="shared" si="23"/>
        <v>0</v>
      </c>
      <c r="V119">
        <v>3027640.8</v>
      </c>
      <c r="W119">
        <v>3033592.8</v>
      </c>
      <c r="X119" t="b">
        <f t="shared" si="16"/>
        <v>0</v>
      </c>
      <c r="Y119">
        <v>1187782</v>
      </c>
      <c r="Z119">
        <v>1187782</v>
      </c>
      <c r="AA119" t="b">
        <f t="shared" si="17"/>
        <v>1</v>
      </c>
      <c r="AB119">
        <v>1612238</v>
      </c>
      <c r="AC119">
        <v>1612238</v>
      </c>
      <c r="AD119" t="b">
        <f t="shared" si="18"/>
        <v>1</v>
      </c>
      <c r="AE119">
        <v>0</v>
      </c>
      <c r="AF119">
        <v>0</v>
      </c>
      <c r="AG119" t="b">
        <f t="shared" si="19"/>
        <v>1</v>
      </c>
      <c r="AH119">
        <v>2800020</v>
      </c>
      <c r="AI119">
        <v>2800020</v>
      </c>
      <c r="AJ119" t="b">
        <f t="shared" si="20"/>
        <v>1</v>
      </c>
      <c r="AK119">
        <v>472379.2</v>
      </c>
      <c r="AL119">
        <v>1146427.2</v>
      </c>
      <c r="AM119" t="b">
        <f t="shared" si="21"/>
        <v>0</v>
      </c>
    </row>
    <row r="120" spans="1:39">
      <c r="A120">
        <v>45758</v>
      </c>
      <c r="B120" t="s">
        <v>27</v>
      </c>
      <c r="C120" t="s">
        <v>120</v>
      </c>
      <c r="D120" t="s">
        <v>140</v>
      </c>
      <c r="E120" t="s">
        <v>210</v>
      </c>
      <c r="F120" t="s">
        <v>500</v>
      </c>
      <c r="G120">
        <v>2929136.25</v>
      </c>
      <c r="H120">
        <v>2929136.25</v>
      </c>
      <c r="I120" t="b">
        <f t="shared" si="22"/>
        <v>1</v>
      </c>
      <c r="J120">
        <v>4753266.25</v>
      </c>
      <c r="K120">
        <v>4753266.25</v>
      </c>
      <c r="L120" t="b">
        <f t="shared" si="13"/>
        <v>1</v>
      </c>
      <c r="M120">
        <v>0</v>
      </c>
      <c r="N120">
        <v>0</v>
      </c>
      <c r="O120" t="b">
        <f t="shared" si="14"/>
        <v>1</v>
      </c>
      <c r="P120">
        <v>0</v>
      </c>
      <c r="Q120">
        <v>0</v>
      </c>
      <c r="R120" t="b">
        <f t="shared" si="15"/>
        <v>1</v>
      </c>
      <c r="S120">
        <v>4753266.25</v>
      </c>
      <c r="T120">
        <v>4753266.25</v>
      </c>
      <c r="U120" t="b">
        <f t="shared" si="23"/>
        <v>1</v>
      </c>
      <c r="V120">
        <v>924455</v>
      </c>
      <c r="W120">
        <v>924455</v>
      </c>
      <c r="X120" t="b">
        <f t="shared" si="16"/>
        <v>1</v>
      </c>
      <c r="Y120">
        <v>924455</v>
      </c>
      <c r="Z120">
        <v>924455</v>
      </c>
      <c r="AA120" t="b">
        <f t="shared" si="17"/>
        <v>1</v>
      </c>
      <c r="AB120">
        <v>3115821.31</v>
      </c>
      <c r="AC120">
        <v>3115821.31</v>
      </c>
      <c r="AD120" t="b">
        <f t="shared" si="18"/>
        <v>1</v>
      </c>
      <c r="AE120">
        <v>0</v>
      </c>
      <c r="AF120">
        <v>0</v>
      </c>
      <c r="AG120" t="b">
        <f t="shared" si="19"/>
        <v>1</v>
      </c>
      <c r="AH120">
        <v>4040276.31</v>
      </c>
      <c r="AI120">
        <v>4040276.31</v>
      </c>
      <c r="AJ120" t="b">
        <f t="shared" si="20"/>
        <v>1</v>
      </c>
      <c r="AK120">
        <v>2004681.25</v>
      </c>
      <c r="AL120">
        <v>2004681.25</v>
      </c>
      <c r="AM120" t="b">
        <f t="shared" si="21"/>
        <v>1</v>
      </c>
    </row>
    <row r="121" hidden="1" spans="1:39">
      <c r="A121">
        <v>45758</v>
      </c>
      <c r="B121" t="s">
        <v>31</v>
      </c>
      <c r="C121" t="s">
        <v>115</v>
      </c>
      <c r="D121" t="s">
        <v>69</v>
      </c>
      <c r="E121" t="s">
        <v>501</v>
      </c>
      <c r="F121" t="s">
        <v>502</v>
      </c>
      <c r="G121">
        <v>0</v>
      </c>
      <c r="H121">
        <v>1372057.5</v>
      </c>
      <c r="I121" t="b">
        <f t="shared" si="22"/>
        <v>0</v>
      </c>
      <c r="J121">
        <v>0</v>
      </c>
      <c r="K121">
        <v>1372057.5</v>
      </c>
      <c r="L121" t="b">
        <f t="shared" si="13"/>
        <v>0</v>
      </c>
      <c r="M121">
        <v>0</v>
      </c>
      <c r="N121">
        <v>0</v>
      </c>
      <c r="O121" t="b">
        <f t="shared" si="14"/>
        <v>1</v>
      </c>
      <c r="P121">
        <v>0</v>
      </c>
      <c r="Q121">
        <v>1372057.5</v>
      </c>
      <c r="R121" t="b">
        <f t="shared" si="15"/>
        <v>0</v>
      </c>
      <c r="S121">
        <v>0</v>
      </c>
      <c r="T121">
        <v>0</v>
      </c>
      <c r="U121" t="b">
        <f t="shared" si="23"/>
        <v>1</v>
      </c>
      <c r="V121">
        <v>985399</v>
      </c>
      <c r="W121">
        <v>985399</v>
      </c>
      <c r="X121" t="b">
        <f t="shared" si="16"/>
        <v>1</v>
      </c>
      <c r="Y121">
        <v>1021439</v>
      </c>
      <c r="Z121">
        <v>1021439</v>
      </c>
      <c r="AA121" t="b">
        <f t="shared" si="17"/>
        <v>1</v>
      </c>
      <c r="AB121">
        <v>1021439</v>
      </c>
      <c r="AC121">
        <v>1021439</v>
      </c>
      <c r="AD121" t="b">
        <f t="shared" si="18"/>
        <v>1</v>
      </c>
      <c r="AE121">
        <v>0</v>
      </c>
      <c r="AF121">
        <v>0</v>
      </c>
      <c r="AG121" t="b">
        <f t="shared" si="19"/>
        <v>1</v>
      </c>
      <c r="AH121">
        <v>0</v>
      </c>
      <c r="AI121">
        <v>0</v>
      </c>
      <c r="AJ121" t="b">
        <f t="shared" si="20"/>
        <v>1</v>
      </c>
      <c r="AK121">
        <v>985399</v>
      </c>
      <c r="AL121">
        <v>386658.5</v>
      </c>
      <c r="AM121" t="b">
        <f t="shared" si="21"/>
        <v>0</v>
      </c>
    </row>
    <row r="122" hidden="1" spans="1:39">
      <c r="A122">
        <v>45758</v>
      </c>
      <c r="B122" t="s">
        <v>27</v>
      </c>
      <c r="C122" t="s">
        <v>120</v>
      </c>
      <c r="D122" t="s">
        <v>212</v>
      </c>
      <c r="E122" t="s">
        <v>213</v>
      </c>
      <c r="F122" t="s">
        <v>503</v>
      </c>
      <c r="G122">
        <v>0</v>
      </c>
      <c r="H122">
        <v>0</v>
      </c>
      <c r="I122" t="b">
        <f t="shared" si="22"/>
        <v>1</v>
      </c>
      <c r="J122">
        <v>63910</v>
      </c>
      <c r="K122">
        <v>63910</v>
      </c>
      <c r="L122" t="b">
        <f t="shared" si="13"/>
        <v>1</v>
      </c>
      <c r="M122">
        <v>64000</v>
      </c>
      <c r="N122">
        <v>64000</v>
      </c>
      <c r="O122" t="b">
        <f t="shared" si="14"/>
        <v>1</v>
      </c>
      <c r="P122">
        <v>0</v>
      </c>
      <c r="Q122">
        <v>0</v>
      </c>
      <c r="R122" t="b">
        <f t="shared" si="15"/>
        <v>1</v>
      </c>
      <c r="S122">
        <v>90</v>
      </c>
      <c r="T122">
        <v>90</v>
      </c>
      <c r="U122" t="b">
        <f t="shared" si="23"/>
        <v>1</v>
      </c>
      <c r="V122">
        <v>0</v>
      </c>
      <c r="W122">
        <v>0</v>
      </c>
      <c r="X122" t="b">
        <f t="shared" si="16"/>
        <v>1</v>
      </c>
      <c r="Y122">
        <v>12149.44</v>
      </c>
      <c r="Z122">
        <v>700</v>
      </c>
      <c r="AA122" t="b">
        <f t="shared" si="17"/>
        <v>0</v>
      </c>
      <c r="AB122">
        <v>700</v>
      </c>
      <c r="AC122">
        <v>700</v>
      </c>
      <c r="AD122" t="b">
        <f t="shared" si="18"/>
        <v>1</v>
      </c>
      <c r="AE122">
        <v>0</v>
      </c>
      <c r="AF122">
        <v>0</v>
      </c>
      <c r="AG122" t="b">
        <f t="shared" si="19"/>
        <v>1</v>
      </c>
      <c r="AH122">
        <v>11449.44</v>
      </c>
      <c r="AI122">
        <v>0</v>
      </c>
      <c r="AJ122" t="b">
        <f t="shared" si="20"/>
        <v>0</v>
      </c>
      <c r="AK122">
        <v>0</v>
      </c>
      <c r="AL122">
        <v>0</v>
      </c>
      <c r="AM122" t="b">
        <f t="shared" si="21"/>
        <v>1</v>
      </c>
    </row>
    <row r="123" hidden="1" spans="1:39">
      <c r="A123">
        <v>45758</v>
      </c>
      <c r="B123" t="s">
        <v>27</v>
      </c>
      <c r="C123" t="s">
        <v>120</v>
      </c>
      <c r="D123" t="s">
        <v>214</v>
      </c>
      <c r="E123" t="s">
        <v>215</v>
      </c>
      <c r="F123" t="s">
        <v>504</v>
      </c>
      <c r="G123">
        <v>13665000</v>
      </c>
      <c r="H123">
        <v>13665000</v>
      </c>
      <c r="I123" t="b">
        <f t="shared" si="22"/>
        <v>1</v>
      </c>
      <c r="J123">
        <v>8295000</v>
      </c>
      <c r="K123">
        <v>8295000</v>
      </c>
      <c r="L123" t="b">
        <f t="shared" si="13"/>
        <v>1</v>
      </c>
      <c r="M123">
        <v>33211000</v>
      </c>
      <c r="N123">
        <v>33211000</v>
      </c>
      <c r="O123" t="b">
        <f t="shared" si="14"/>
        <v>1</v>
      </c>
      <c r="P123">
        <v>0</v>
      </c>
      <c r="Q123">
        <v>0</v>
      </c>
      <c r="R123" t="b">
        <f t="shared" si="15"/>
        <v>1</v>
      </c>
      <c r="S123">
        <v>41506000</v>
      </c>
      <c r="T123">
        <v>41506000</v>
      </c>
      <c r="U123" t="b">
        <f t="shared" si="23"/>
        <v>1</v>
      </c>
      <c r="V123">
        <v>31640035.8</v>
      </c>
      <c r="W123">
        <v>31879447.28</v>
      </c>
      <c r="X123" t="b">
        <f t="shared" si="16"/>
        <v>0</v>
      </c>
      <c r="Y123">
        <v>18769147.36</v>
      </c>
      <c r="Z123">
        <v>18768742.36</v>
      </c>
      <c r="AA123" t="b">
        <f t="shared" si="17"/>
        <v>0</v>
      </c>
      <c r="AB123">
        <v>21458605.47</v>
      </c>
      <c r="AC123">
        <v>21458605.47</v>
      </c>
      <c r="AD123" t="b">
        <f t="shared" si="18"/>
        <v>1</v>
      </c>
      <c r="AE123">
        <v>4535000</v>
      </c>
      <c r="AF123">
        <v>4535000</v>
      </c>
      <c r="AG123" t="b">
        <f t="shared" si="19"/>
        <v>1</v>
      </c>
      <c r="AH123">
        <v>35692752.83</v>
      </c>
      <c r="AI123">
        <v>35692347.83</v>
      </c>
      <c r="AJ123" t="b">
        <f t="shared" si="20"/>
        <v>0</v>
      </c>
      <c r="AK123">
        <v>17975035.8</v>
      </c>
      <c r="AL123">
        <v>18214447.28</v>
      </c>
      <c r="AM123" t="b">
        <f t="shared" si="21"/>
        <v>0</v>
      </c>
    </row>
    <row r="124" hidden="1" spans="1:39">
      <c r="A124">
        <v>45758</v>
      </c>
      <c r="B124" t="s">
        <v>38</v>
      </c>
      <c r="C124" t="s">
        <v>130</v>
      </c>
      <c r="D124" t="s">
        <v>41</v>
      </c>
      <c r="E124" t="s">
        <v>216</v>
      </c>
      <c r="F124" t="s">
        <v>505</v>
      </c>
      <c r="G124">
        <v>0</v>
      </c>
      <c r="H124">
        <v>0</v>
      </c>
      <c r="I124" t="b">
        <f t="shared" si="22"/>
        <v>1</v>
      </c>
      <c r="J124">
        <v>7760453</v>
      </c>
      <c r="K124">
        <v>7760453</v>
      </c>
      <c r="L124" t="b">
        <f t="shared" si="13"/>
        <v>1</v>
      </c>
      <c r="M124">
        <v>4904900</v>
      </c>
      <c r="N124">
        <v>4904900</v>
      </c>
      <c r="O124" t="b">
        <f t="shared" si="14"/>
        <v>1</v>
      </c>
      <c r="P124">
        <v>0</v>
      </c>
      <c r="Q124">
        <v>0</v>
      </c>
      <c r="R124" t="b">
        <f t="shared" si="15"/>
        <v>1</v>
      </c>
      <c r="S124">
        <v>2855553</v>
      </c>
      <c r="T124">
        <v>2855553</v>
      </c>
      <c r="U124" t="b">
        <f t="shared" si="23"/>
        <v>1</v>
      </c>
      <c r="V124">
        <v>4576291.19</v>
      </c>
      <c r="W124">
        <v>4610958.19</v>
      </c>
      <c r="X124" t="b">
        <f t="shared" si="16"/>
        <v>0</v>
      </c>
      <c r="Y124">
        <v>1337624.19</v>
      </c>
      <c r="Z124">
        <v>1337624.19</v>
      </c>
      <c r="AA124" t="b">
        <f t="shared" si="17"/>
        <v>1</v>
      </c>
      <c r="AB124">
        <v>219954.19</v>
      </c>
      <c r="AC124">
        <v>219954.19</v>
      </c>
      <c r="AD124" t="b">
        <f t="shared" si="18"/>
        <v>1</v>
      </c>
      <c r="AE124">
        <v>6450</v>
      </c>
      <c r="AF124">
        <v>6450</v>
      </c>
      <c r="AG124" t="b">
        <f t="shared" si="19"/>
        <v>1</v>
      </c>
      <c r="AH124">
        <v>1111220</v>
      </c>
      <c r="AI124">
        <v>1111220</v>
      </c>
      <c r="AJ124" t="b">
        <f t="shared" si="20"/>
        <v>1</v>
      </c>
      <c r="AK124">
        <v>4576291.19</v>
      </c>
      <c r="AL124">
        <v>4610958.19</v>
      </c>
      <c r="AM124" t="b">
        <f t="shared" si="21"/>
        <v>0</v>
      </c>
    </row>
    <row r="125" hidden="1" spans="1:39">
      <c r="A125">
        <v>45758</v>
      </c>
      <c r="B125" t="s">
        <v>27</v>
      </c>
      <c r="C125" t="s">
        <v>120</v>
      </c>
      <c r="D125" t="s">
        <v>217</v>
      </c>
      <c r="E125" t="s">
        <v>506</v>
      </c>
      <c r="F125" t="s">
        <v>507</v>
      </c>
      <c r="G125">
        <v>0</v>
      </c>
      <c r="H125">
        <v>0</v>
      </c>
      <c r="I125" t="b">
        <f t="shared" si="22"/>
        <v>1</v>
      </c>
      <c r="J125">
        <v>0</v>
      </c>
      <c r="K125">
        <v>11000</v>
      </c>
      <c r="L125" t="b">
        <f t="shared" si="13"/>
        <v>0</v>
      </c>
      <c r="M125">
        <v>10000</v>
      </c>
      <c r="N125">
        <v>10000</v>
      </c>
      <c r="O125" t="b">
        <f t="shared" si="14"/>
        <v>1</v>
      </c>
      <c r="P125">
        <v>0</v>
      </c>
      <c r="Q125">
        <v>0</v>
      </c>
      <c r="R125" t="b">
        <f t="shared" si="15"/>
        <v>1</v>
      </c>
      <c r="S125">
        <v>10000</v>
      </c>
      <c r="T125">
        <v>1000</v>
      </c>
      <c r="U125" t="b">
        <f t="shared" si="23"/>
        <v>0</v>
      </c>
      <c r="V125">
        <v>0</v>
      </c>
      <c r="W125">
        <v>0</v>
      </c>
      <c r="X125" t="b">
        <f t="shared" si="16"/>
        <v>1</v>
      </c>
      <c r="Y125">
        <v>0</v>
      </c>
      <c r="Z125">
        <v>0</v>
      </c>
      <c r="AA125" t="b">
        <f t="shared" si="17"/>
        <v>1</v>
      </c>
      <c r="AB125">
        <v>0</v>
      </c>
      <c r="AC125">
        <v>0</v>
      </c>
      <c r="AD125" t="b">
        <f t="shared" si="18"/>
        <v>1</v>
      </c>
      <c r="AE125">
        <v>0</v>
      </c>
      <c r="AF125">
        <v>0</v>
      </c>
      <c r="AG125" t="b">
        <f t="shared" si="19"/>
        <v>1</v>
      </c>
      <c r="AH125">
        <v>0</v>
      </c>
      <c r="AI125">
        <v>0</v>
      </c>
      <c r="AJ125" t="b">
        <f t="shared" si="20"/>
        <v>1</v>
      </c>
      <c r="AK125">
        <v>0</v>
      </c>
      <c r="AL125">
        <v>0</v>
      </c>
      <c r="AM125" t="b">
        <f t="shared" si="21"/>
        <v>1</v>
      </c>
    </row>
    <row r="126" spans="1:39">
      <c r="A126">
        <v>45758</v>
      </c>
      <c r="B126" t="s">
        <v>27</v>
      </c>
      <c r="C126" t="s">
        <v>120</v>
      </c>
      <c r="D126" t="s">
        <v>71</v>
      </c>
      <c r="E126" t="s">
        <v>219</v>
      </c>
      <c r="F126" t="s">
        <v>508</v>
      </c>
      <c r="G126">
        <v>0</v>
      </c>
      <c r="H126">
        <v>0</v>
      </c>
      <c r="I126" t="b">
        <f t="shared" si="22"/>
        <v>1</v>
      </c>
      <c r="J126">
        <v>0</v>
      </c>
      <c r="K126">
        <v>0</v>
      </c>
      <c r="L126" t="b">
        <f t="shared" si="13"/>
        <v>1</v>
      </c>
      <c r="M126">
        <v>0</v>
      </c>
      <c r="N126">
        <v>0</v>
      </c>
      <c r="O126" t="b">
        <f t="shared" si="14"/>
        <v>1</v>
      </c>
      <c r="P126">
        <v>0</v>
      </c>
      <c r="Q126">
        <v>0</v>
      </c>
      <c r="R126" t="b">
        <f t="shared" si="15"/>
        <v>1</v>
      </c>
      <c r="S126">
        <v>0</v>
      </c>
      <c r="T126">
        <v>0</v>
      </c>
      <c r="U126" t="b">
        <f t="shared" si="23"/>
        <v>1</v>
      </c>
      <c r="V126">
        <v>0</v>
      </c>
      <c r="W126">
        <v>0</v>
      </c>
      <c r="X126" t="b">
        <f t="shared" si="16"/>
        <v>1</v>
      </c>
      <c r="Y126">
        <v>330000</v>
      </c>
      <c r="Z126">
        <v>330000</v>
      </c>
      <c r="AA126" t="b">
        <f t="shared" si="17"/>
        <v>1</v>
      </c>
      <c r="AB126">
        <v>330000</v>
      </c>
      <c r="AC126">
        <v>330000</v>
      </c>
      <c r="AD126" t="b">
        <f t="shared" si="18"/>
        <v>1</v>
      </c>
      <c r="AE126">
        <v>0</v>
      </c>
      <c r="AF126">
        <v>0</v>
      </c>
      <c r="AG126" t="b">
        <f t="shared" si="19"/>
        <v>1</v>
      </c>
      <c r="AH126">
        <v>0</v>
      </c>
      <c r="AI126">
        <v>0</v>
      </c>
      <c r="AJ126" t="b">
        <f t="shared" si="20"/>
        <v>1</v>
      </c>
      <c r="AK126">
        <v>0</v>
      </c>
      <c r="AL126">
        <v>0</v>
      </c>
      <c r="AM126" t="b">
        <f t="shared" si="21"/>
        <v>1</v>
      </c>
    </row>
    <row r="127" hidden="1" spans="1:39">
      <c r="A127">
        <v>45758</v>
      </c>
      <c r="B127" t="s">
        <v>59</v>
      </c>
      <c r="C127" t="s">
        <v>115</v>
      </c>
      <c r="D127" t="s">
        <v>60</v>
      </c>
      <c r="E127" t="s">
        <v>220</v>
      </c>
      <c r="F127" t="s">
        <v>509</v>
      </c>
      <c r="G127">
        <v>1679447</v>
      </c>
      <c r="H127">
        <v>1679447</v>
      </c>
      <c r="I127" t="b">
        <f t="shared" si="22"/>
        <v>1</v>
      </c>
      <c r="J127">
        <v>909447</v>
      </c>
      <c r="K127">
        <v>909447</v>
      </c>
      <c r="L127" t="b">
        <f t="shared" si="13"/>
        <v>1</v>
      </c>
      <c r="M127">
        <v>0</v>
      </c>
      <c r="N127">
        <v>0</v>
      </c>
      <c r="O127" t="b">
        <f t="shared" si="14"/>
        <v>1</v>
      </c>
      <c r="P127">
        <v>0</v>
      </c>
      <c r="Q127">
        <v>0</v>
      </c>
      <c r="R127" t="b">
        <f t="shared" si="15"/>
        <v>1</v>
      </c>
      <c r="S127">
        <v>909447</v>
      </c>
      <c r="T127">
        <v>909447</v>
      </c>
      <c r="U127" t="b">
        <f t="shared" si="23"/>
        <v>1</v>
      </c>
      <c r="V127">
        <v>351760</v>
      </c>
      <c r="W127">
        <v>364700</v>
      </c>
      <c r="X127" t="b">
        <f t="shared" si="16"/>
        <v>0</v>
      </c>
      <c r="Y127">
        <v>614211</v>
      </c>
      <c r="Z127">
        <v>614211</v>
      </c>
      <c r="AA127" t="b">
        <f t="shared" si="17"/>
        <v>1</v>
      </c>
      <c r="AB127">
        <v>110540</v>
      </c>
      <c r="AC127">
        <v>110540</v>
      </c>
      <c r="AD127" t="b">
        <f t="shared" si="18"/>
        <v>1</v>
      </c>
      <c r="AE127">
        <v>0</v>
      </c>
      <c r="AF127">
        <v>0</v>
      </c>
      <c r="AG127" t="b">
        <f t="shared" si="19"/>
        <v>1</v>
      </c>
      <c r="AH127">
        <v>724751</v>
      </c>
      <c r="AI127">
        <v>724751</v>
      </c>
      <c r="AJ127" t="b">
        <f t="shared" si="20"/>
        <v>1</v>
      </c>
      <c r="AK127">
        <v>1327687</v>
      </c>
      <c r="AL127">
        <v>1314747</v>
      </c>
      <c r="AM127" t="b">
        <f t="shared" si="21"/>
        <v>0</v>
      </c>
    </row>
    <row r="128" spans="1:39">
      <c r="A128">
        <v>45758</v>
      </c>
      <c r="B128" t="s">
        <v>59</v>
      </c>
      <c r="C128" t="s">
        <v>115</v>
      </c>
      <c r="D128" t="s">
        <v>76</v>
      </c>
      <c r="E128" t="s">
        <v>221</v>
      </c>
      <c r="F128" t="s">
        <v>510</v>
      </c>
      <c r="G128">
        <v>0</v>
      </c>
      <c r="H128">
        <v>0</v>
      </c>
      <c r="I128" t="b">
        <f t="shared" si="22"/>
        <v>1</v>
      </c>
      <c r="J128">
        <v>337700</v>
      </c>
      <c r="K128">
        <v>337700</v>
      </c>
      <c r="L128" t="b">
        <f t="shared" si="13"/>
        <v>1</v>
      </c>
      <c r="M128">
        <v>337700</v>
      </c>
      <c r="N128">
        <v>337700</v>
      </c>
      <c r="O128" t="b">
        <f t="shared" si="14"/>
        <v>1</v>
      </c>
      <c r="P128">
        <v>0</v>
      </c>
      <c r="Q128">
        <v>0</v>
      </c>
      <c r="R128" t="b">
        <f t="shared" si="15"/>
        <v>1</v>
      </c>
      <c r="S128">
        <v>0</v>
      </c>
      <c r="T128">
        <v>0</v>
      </c>
      <c r="U128" t="b">
        <f t="shared" si="23"/>
        <v>1</v>
      </c>
      <c r="V128">
        <v>0</v>
      </c>
      <c r="W128">
        <v>0</v>
      </c>
      <c r="X128" t="b">
        <f t="shared" si="16"/>
        <v>1</v>
      </c>
      <c r="Y128">
        <v>255000</v>
      </c>
      <c r="Z128">
        <v>255000</v>
      </c>
      <c r="AA128" t="b">
        <f t="shared" si="17"/>
        <v>1</v>
      </c>
      <c r="AB128">
        <v>255000</v>
      </c>
      <c r="AC128">
        <v>255000</v>
      </c>
      <c r="AD128" t="b">
        <f t="shared" si="18"/>
        <v>1</v>
      </c>
      <c r="AE128">
        <v>0</v>
      </c>
      <c r="AF128">
        <v>0</v>
      </c>
      <c r="AG128" t="b">
        <f t="shared" si="19"/>
        <v>1</v>
      </c>
      <c r="AH128">
        <v>0</v>
      </c>
      <c r="AI128">
        <v>0</v>
      </c>
      <c r="AJ128" t="b">
        <f t="shared" si="20"/>
        <v>1</v>
      </c>
      <c r="AK128">
        <v>0</v>
      </c>
      <c r="AL128">
        <v>0</v>
      </c>
      <c r="AM128" t="b">
        <f t="shared" si="21"/>
        <v>1</v>
      </c>
    </row>
    <row r="129" spans="1:39">
      <c r="A129">
        <v>45758</v>
      </c>
      <c r="B129" t="s">
        <v>59</v>
      </c>
      <c r="C129" t="s">
        <v>115</v>
      </c>
      <c r="D129" t="s">
        <v>60</v>
      </c>
      <c r="E129" t="s">
        <v>222</v>
      </c>
      <c r="F129" t="s">
        <v>511</v>
      </c>
      <c r="G129">
        <v>86020</v>
      </c>
      <c r="H129">
        <v>86020</v>
      </c>
      <c r="I129" t="b">
        <f t="shared" si="22"/>
        <v>1</v>
      </c>
      <c r="J129">
        <v>656271</v>
      </c>
      <c r="K129">
        <v>656271</v>
      </c>
      <c r="L129" t="b">
        <f t="shared" si="13"/>
        <v>1</v>
      </c>
      <c r="M129">
        <v>656271</v>
      </c>
      <c r="N129">
        <v>656271</v>
      </c>
      <c r="O129" t="b">
        <f t="shared" si="14"/>
        <v>1</v>
      </c>
      <c r="P129">
        <v>0</v>
      </c>
      <c r="Q129">
        <v>0</v>
      </c>
      <c r="R129" t="b">
        <f t="shared" si="15"/>
        <v>1</v>
      </c>
      <c r="S129">
        <v>0</v>
      </c>
      <c r="T129">
        <v>0</v>
      </c>
      <c r="U129" t="b">
        <f t="shared" si="23"/>
        <v>1</v>
      </c>
      <c r="V129">
        <v>0</v>
      </c>
      <c r="W129">
        <v>0</v>
      </c>
      <c r="X129" t="b">
        <f t="shared" si="16"/>
        <v>1</v>
      </c>
      <c r="Y129">
        <v>490814</v>
      </c>
      <c r="Z129">
        <v>490814</v>
      </c>
      <c r="AA129" t="b">
        <f t="shared" si="17"/>
        <v>1</v>
      </c>
      <c r="AB129">
        <v>490814</v>
      </c>
      <c r="AC129">
        <v>490814</v>
      </c>
      <c r="AD129" t="b">
        <f t="shared" si="18"/>
        <v>1</v>
      </c>
      <c r="AE129">
        <v>0</v>
      </c>
      <c r="AF129">
        <v>0</v>
      </c>
      <c r="AG129" t="b">
        <f t="shared" si="19"/>
        <v>1</v>
      </c>
      <c r="AH129">
        <v>0</v>
      </c>
      <c r="AI129">
        <v>0</v>
      </c>
      <c r="AJ129" t="b">
        <f t="shared" si="20"/>
        <v>1</v>
      </c>
      <c r="AK129">
        <v>86020</v>
      </c>
      <c r="AL129">
        <v>86020</v>
      </c>
      <c r="AM129" t="b">
        <f t="shared" si="21"/>
        <v>1</v>
      </c>
    </row>
    <row r="130" spans="1:39">
      <c r="A130">
        <v>45758</v>
      </c>
      <c r="B130" t="s">
        <v>27</v>
      </c>
      <c r="C130" t="s">
        <v>120</v>
      </c>
      <c r="D130" t="s">
        <v>81</v>
      </c>
      <c r="E130" t="s">
        <v>223</v>
      </c>
      <c r="F130" t="s">
        <v>512</v>
      </c>
      <c r="G130">
        <v>121792</v>
      </c>
      <c r="H130">
        <v>121792</v>
      </c>
      <c r="I130" t="b">
        <f t="shared" si="22"/>
        <v>1</v>
      </c>
      <c r="J130">
        <v>121792</v>
      </c>
      <c r="K130">
        <v>121792</v>
      </c>
      <c r="L130" t="b">
        <f t="shared" si="13"/>
        <v>1</v>
      </c>
      <c r="M130">
        <v>115008</v>
      </c>
      <c r="N130">
        <v>115008</v>
      </c>
      <c r="O130" t="b">
        <f t="shared" si="14"/>
        <v>1</v>
      </c>
      <c r="P130">
        <v>0</v>
      </c>
      <c r="Q130">
        <v>0</v>
      </c>
      <c r="R130" t="b">
        <f t="shared" si="15"/>
        <v>1</v>
      </c>
      <c r="S130">
        <v>6784</v>
      </c>
      <c r="T130">
        <v>6784</v>
      </c>
      <c r="U130" t="b">
        <f t="shared" si="23"/>
        <v>1</v>
      </c>
      <c r="V130">
        <v>0</v>
      </c>
      <c r="W130">
        <v>0</v>
      </c>
      <c r="X130" t="b">
        <f t="shared" si="16"/>
        <v>1</v>
      </c>
      <c r="Y130">
        <v>0</v>
      </c>
      <c r="Z130">
        <v>0</v>
      </c>
      <c r="AA130" t="b">
        <f t="shared" si="17"/>
        <v>1</v>
      </c>
      <c r="AB130">
        <v>0</v>
      </c>
      <c r="AC130">
        <v>0</v>
      </c>
      <c r="AD130" t="b">
        <f t="shared" si="18"/>
        <v>1</v>
      </c>
      <c r="AE130">
        <v>0</v>
      </c>
      <c r="AF130">
        <v>0</v>
      </c>
      <c r="AG130" t="b">
        <f t="shared" si="19"/>
        <v>1</v>
      </c>
      <c r="AH130">
        <v>0</v>
      </c>
      <c r="AI130">
        <v>0</v>
      </c>
      <c r="AJ130" t="b">
        <f t="shared" si="20"/>
        <v>1</v>
      </c>
      <c r="AK130">
        <v>121792</v>
      </c>
      <c r="AL130">
        <v>121792</v>
      </c>
      <c r="AM130" t="b">
        <f t="shared" si="21"/>
        <v>1</v>
      </c>
    </row>
    <row r="131" spans="1:39">
      <c r="A131">
        <v>45758</v>
      </c>
      <c r="B131" t="s">
        <v>38</v>
      </c>
      <c r="C131" t="s">
        <v>130</v>
      </c>
      <c r="D131" t="s">
        <v>224</v>
      </c>
      <c r="E131" t="s">
        <v>513</v>
      </c>
      <c r="F131" t="s">
        <v>514</v>
      </c>
      <c r="G131">
        <v>0</v>
      </c>
      <c r="H131">
        <v>0</v>
      </c>
      <c r="I131" t="b">
        <f t="shared" si="22"/>
        <v>1</v>
      </c>
      <c r="J131">
        <v>284211</v>
      </c>
      <c r="K131">
        <v>284211</v>
      </c>
      <c r="L131" t="b">
        <f t="shared" ref="L131:L194" si="24">J131=K131</f>
        <v>1</v>
      </c>
      <c r="M131">
        <v>284211</v>
      </c>
      <c r="N131">
        <v>284211</v>
      </c>
      <c r="O131" t="b">
        <f t="shared" ref="O131:O194" si="25">N131=M131</f>
        <v>1</v>
      </c>
      <c r="P131">
        <v>0</v>
      </c>
      <c r="Q131">
        <v>0</v>
      </c>
      <c r="R131" t="b">
        <f t="shared" ref="R131:R194" si="26">P131=Q131</f>
        <v>1</v>
      </c>
      <c r="S131">
        <v>0</v>
      </c>
      <c r="T131">
        <v>0</v>
      </c>
      <c r="U131" t="b">
        <f t="shared" si="23"/>
        <v>1</v>
      </c>
      <c r="V131">
        <v>175000</v>
      </c>
      <c r="W131">
        <v>175000</v>
      </c>
      <c r="X131" t="b">
        <f t="shared" ref="X131:X194" si="27">V131=W131</f>
        <v>1</v>
      </c>
      <c r="Y131">
        <v>0</v>
      </c>
      <c r="Z131">
        <v>0</v>
      </c>
      <c r="AA131" t="b">
        <f t="shared" ref="AA131:AA194" si="28">Y131=Z131</f>
        <v>1</v>
      </c>
      <c r="AB131">
        <v>0</v>
      </c>
      <c r="AC131">
        <v>0</v>
      </c>
      <c r="AD131" t="b">
        <f t="shared" ref="AD131:AD194" si="29">AB131=AC131</f>
        <v>1</v>
      </c>
      <c r="AE131">
        <v>0</v>
      </c>
      <c r="AF131">
        <v>0</v>
      </c>
      <c r="AG131" t="b">
        <f t="shared" ref="AG131:AG194" si="30">AE131=AF131</f>
        <v>1</v>
      </c>
      <c r="AH131">
        <v>0</v>
      </c>
      <c r="AI131">
        <v>0</v>
      </c>
      <c r="AJ131" t="b">
        <f t="shared" ref="AJ131:AJ194" si="31">AH131=AI131</f>
        <v>1</v>
      </c>
      <c r="AK131">
        <v>175000</v>
      </c>
      <c r="AL131">
        <v>175000</v>
      </c>
      <c r="AM131" t="b">
        <f t="shared" ref="AM131:AM194" si="32">AK131=AL131</f>
        <v>1</v>
      </c>
    </row>
    <row r="132" spans="1:39">
      <c r="A132">
        <v>45758</v>
      </c>
      <c r="B132" t="s">
        <v>31</v>
      </c>
      <c r="C132" t="s">
        <v>115</v>
      </c>
      <c r="D132" t="s">
        <v>45</v>
      </c>
      <c r="E132" t="s">
        <v>515</v>
      </c>
      <c r="F132" t="s">
        <v>516</v>
      </c>
      <c r="G132">
        <v>0</v>
      </c>
      <c r="H132">
        <v>0</v>
      </c>
      <c r="I132" t="b">
        <f t="shared" si="22"/>
        <v>1</v>
      </c>
      <c r="J132">
        <v>0</v>
      </c>
      <c r="K132">
        <v>0</v>
      </c>
      <c r="L132" t="b">
        <f t="shared" si="24"/>
        <v>1</v>
      </c>
      <c r="M132">
        <v>0</v>
      </c>
      <c r="N132">
        <v>0</v>
      </c>
      <c r="O132" t="b">
        <f t="shared" si="25"/>
        <v>1</v>
      </c>
      <c r="P132">
        <v>0</v>
      </c>
      <c r="Q132">
        <v>0</v>
      </c>
      <c r="R132" t="b">
        <f t="shared" si="26"/>
        <v>1</v>
      </c>
      <c r="S132">
        <v>0</v>
      </c>
      <c r="T132">
        <v>0</v>
      </c>
      <c r="U132" t="b">
        <f t="shared" si="23"/>
        <v>1</v>
      </c>
      <c r="V132">
        <v>0</v>
      </c>
      <c r="W132">
        <v>0</v>
      </c>
      <c r="X132" t="b">
        <f t="shared" si="27"/>
        <v>1</v>
      </c>
      <c r="Y132">
        <v>22800</v>
      </c>
      <c r="Z132">
        <v>22800</v>
      </c>
      <c r="AA132" t="b">
        <f t="shared" si="28"/>
        <v>1</v>
      </c>
      <c r="AB132">
        <v>22800</v>
      </c>
      <c r="AC132">
        <v>22800</v>
      </c>
      <c r="AD132" t="b">
        <f t="shared" si="29"/>
        <v>1</v>
      </c>
      <c r="AE132">
        <v>0</v>
      </c>
      <c r="AF132">
        <v>0</v>
      </c>
      <c r="AG132" t="b">
        <f t="shared" si="30"/>
        <v>1</v>
      </c>
      <c r="AH132">
        <v>0</v>
      </c>
      <c r="AI132">
        <v>0</v>
      </c>
      <c r="AJ132" t="b">
        <f t="shared" si="31"/>
        <v>1</v>
      </c>
      <c r="AK132">
        <v>0</v>
      </c>
      <c r="AL132">
        <v>0</v>
      </c>
      <c r="AM132" t="b">
        <f t="shared" si="32"/>
        <v>1</v>
      </c>
    </row>
    <row r="133" spans="1:39">
      <c r="A133">
        <v>45758</v>
      </c>
      <c r="B133" t="s">
        <v>59</v>
      </c>
      <c r="C133" t="s">
        <v>115</v>
      </c>
      <c r="D133" t="s">
        <v>175</v>
      </c>
      <c r="E133" t="s">
        <v>227</v>
      </c>
      <c r="F133" t="s">
        <v>517</v>
      </c>
      <c r="G133">
        <v>186450</v>
      </c>
      <c r="H133">
        <v>186450</v>
      </c>
      <c r="I133" t="b">
        <f t="shared" si="22"/>
        <v>1</v>
      </c>
      <c r="J133">
        <v>186450</v>
      </c>
      <c r="K133">
        <v>186450</v>
      </c>
      <c r="L133" t="b">
        <f t="shared" si="24"/>
        <v>1</v>
      </c>
      <c r="M133">
        <v>186450</v>
      </c>
      <c r="N133">
        <v>186450</v>
      </c>
      <c r="O133" t="b">
        <f t="shared" si="25"/>
        <v>1</v>
      </c>
      <c r="P133">
        <v>0</v>
      </c>
      <c r="Q133">
        <v>0</v>
      </c>
      <c r="R133" t="b">
        <f t="shared" si="26"/>
        <v>1</v>
      </c>
      <c r="S133">
        <v>0</v>
      </c>
      <c r="T133">
        <v>0</v>
      </c>
      <c r="U133" t="b">
        <f t="shared" si="23"/>
        <v>1</v>
      </c>
      <c r="V133">
        <v>0</v>
      </c>
      <c r="W133">
        <v>0</v>
      </c>
      <c r="X133" t="b">
        <f t="shared" si="27"/>
        <v>1</v>
      </c>
      <c r="Y133">
        <v>15000</v>
      </c>
      <c r="Z133">
        <v>15000</v>
      </c>
      <c r="AA133" t="b">
        <f t="shared" si="28"/>
        <v>1</v>
      </c>
      <c r="AB133">
        <v>15000</v>
      </c>
      <c r="AC133">
        <v>15000</v>
      </c>
      <c r="AD133" t="b">
        <f t="shared" si="29"/>
        <v>1</v>
      </c>
      <c r="AE133">
        <v>0</v>
      </c>
      <c r="AF133">
        <v>0</v>
      </c>
      <c r="AG133" t="b">
        <f t="shared" si="30"/>
        <v>1</v>
      </c>
      <c r="AH133">
        <v>0</v>
      </c>
      <c r="AI133">
        <v>0</v>
      </c>
      <c r="AJ133" t="b">
        <f t="shared" si="31"/>
        <v>1</v>
      </c>
      <c r="AK133">
        <v>186450</v>
      </c>
      <c r="AL133">
        <v>186450</v>
      </c>
      <c r="AM133" t="b">
        <f t="shared" si="32"/>
        <v>1</v>
      </c>
    </row>
    <row r="134" spans="1:39">
      <c r="A134">
        <v>45758</v>
      </c>
      <c r="B134" t="s">
        <v>27</v>
      </c>
      <c r="C134" t="s">
        <v>120</v>
      </c>
      <c r="D134" t="s">
        <v>228</v>
      </c>
      <c r="E134" t="s">
        <v>518</v>
      </c>
      <c r="F134" t="s">
        <v>519</v>
      </c>
      <c r="G134">
        <v>0</v>
      </c>
      <c r="H134">
        <v>0</v>
      </c>
      <c r="I134" t="b">
        <f t="shared" si="22"/>
        <v>1</v>
      </c>
      <c r="J134">
        <v>197144</v>
      </c>
      <c r="K134">
        <v>197144</v>
      </c>
      <c r="L134" t="b">
        <f t="shared" si="24"/>
        <v>1</v>
      </c>
      <c r="M134">
        <v>0</v>
      </c>
      <c r="N134">
        <v>0</v>
      </c>
      <c r="O134" t="b">
        <f t="shared" si="25"/>
        <v>1</v>
      </c>
      <c r="P134">
        <v>0</v>
      </c>
      <c r="Q134">
        <v>0</v>
      </c>
      <c r="R134" t="b">
        <f t="shared" si="26"/>
        <v>1</v>
      </c>
      <c r="S134">
        <v>197144</v>
      </c>
      <c r="T134">
        <v>197144</v>
      </c>
      <c r="U134" t="b">
        <f t="shared" si="23"/>
        <v>1</v>
      </c>
      <c r="V134">
        <v>88880</v>
      </c>
      <c r="W134">
        <v>88880</v>
      </c>
      <c r="X134" t="b">
        <f t="shared" si="27"/>
        <v>1</v>
      </c>
      <c r="Y134">
        <v>126380</v>
      </c>
      <c r="Z134">
        <v>126380</v>
      </c>
      <c r="AA134" t="b">
        <f t="shared" si="28"/>
        <v>1</v>
      </c>
      <c r="AB134">
        <v>27392.32</v>
      </c>
      <c r="AC134">
        <v>27392.32</v>
      </c>
      <c r="AD134" t="b">
        <f t="shared" si="29"/>
        <v>1</v>
      </c>
      <c r="AE134">
        <v>0</v>
      </c>
      <c r="AF134">
        <v>0</v>
      </c>
      <c r="AG134" t="b">
        <f t="shared" si="30"/>
        <v>1</v>
      </c>
      <c r="AH134">
        <v>153772.32</v>
      </c>
      <c r="AI134">
        <v>153772.32</v>
      </c>
      <c r="AJ134" t="b">
        <f t="shared" si="31"/>
        <v>1</v>
      </c>
      <c r="AK134">
        <v>88880</v>
      </c>
      <c r="AL134">
        <v>88880</v>
      </c>
      <c r="AM134" t="b">
        <f t="shared" si="32"/>
        <v>1</v>
      </c>
    </row>
    <row r="135" spans="1:39">
      <c r="A135">
        <v>45758</v>
      </c>
      <c r="B135" t="s">
        <v>27</v>
      </c>
      <c r="C135" t="s">
        <v>120</v>
      </c>
      <c r="D135" t="s">
        <v>104</v>
      </c>
      <c r="E135" t="s">
        <v>230</v>
      </c>
      <c r="F135" t="s">
        <v>520</v>
      </c>
      <c r="G135">
        <v>1200000</v>
      </c>
      <c r="H135">
        <v>1200000</v>
      </c>
      <c r="I135" t="b">
        <f t="shared" si="22"/>
        <v>1</v>
      </c>
      <c r="J135">
        <v>0</v>
      </c>
      <c r="K135">
        <v>0</v>
      </c>
      <c r="L135" t="b">
        <f t="shared" si="24"/>
        <v>1</v>
      </c>
      <c r="M135">
        <v>0</v>
      </c>
      <c r="N135">
        <v>0</v>
      </c>
      <c r="O135" t="b">
        <f t="shared" si="25"/>
        <v>1</v>
      </c>
      <c r="P135">
        <v>0</v>
      </c>
      <c r="Q135">
        <v>0</v>
      </c>
      <c r="R135" t="b">
        <f t="shared" si="26"/>
        <v>1</v>
      </c>
      <c r="S135">
        <v>0</v>
      </c>
      <c r="T135">
        <v>0</v>
      </c>
      <c r="U135" t="b">
        <f t="shared" si="23"/>
        <v>1</v>
      </c>
      <c r="V135">
        <v>1200000</v>
      </c>
      <c r="W135">
        <v>1200000</v>
      </c>
      <c r="X135" t="b">
        <f t="shared" si="27"/>
        <v>1</v>
      </c>
      <c r="Y135">
        <v>0</v>
      </c>
      <c r="Z135">
        <v>0</v>
      </c>
      <c r="AA135" t="b">
        <f t="shared" si="28"/>
        <v>1</v>
      </c>
      <c r="AB135">
        <v>0</v>
      </c>
      <c r="AC135">
        <v>0</v>
      </c>
      <c r="AD135" t="b">
        <f t="shared" si="29"/>
        <v>1</v>
      </c>
      <c r="AE135">
        <v>0</v>
      </c>
      <c r="AF135">
        <v>0</v>
      </c>
      <c r="AG135" t="b">
        <f t="shared" si="30"/>
        <v>1</v>
      </c>
      <c r="AH135">
        <v>0</v>
      </c>
      <c r="AI135">
        <v>0</v>
      </c>
      <c r="AJ135" t="b">
        <f t="shared" si="31"/>
        <v>1</v>
      </c>
      <c r="AK135">
        <v>0</v>
      </c>
      <c r="AL135">
        <v>0</v>
      </c>
      <c r="AM135" t="b">
        <f t="shared" si="32"/>
        <v>1</v>
      </c>
    </row>
    <row r="136" spans="1:39">
      <c r="A136">
        <v>45758</v>
      </c>
      <c r="B136" t="s">
        <v>27</v>
      </c>
      <c r="C136" t="s">
        <v>120</v>
      </c>
      <c r="D136" t="s">
        <v>138</v>
      </c>
      <c r="E136" t="s">
        <v>231</v>
      </c>
      <c r="F136" t="s">
        <v>521</v>
      </c>
      <c r="G136">
        <v>0</v>
      </c>
      <c r="H136">
        <v>0</v>
      </c>
      <c r="I136" t="b">
        <f t="shared" si="22"/>
        <v>1</v>
      </c>
      <c r="J136">
        <v>17248</v>
      </c>
      <c r="K136">
        <v>17248</v>
      </c>
      <c r="L136" t="b">
        <f t="shared" si="24"/>
        <v>1</v>
      </c>
      <c r="M136">
        <v>17248</v>
      </c>
      <c r="N136">
        <v>17248</v>
      </c>
      <c r="O136" t="b">
        <f t="shared" si="25"/>
        <v>1</v>
      </c>
      <c r="P136">
        <v>0</v>
      </c>
      <c r="Q136">
        <v>0</v>
      </c>
      <c r="R136" t="b">
        <f t="shared" si="26"/>
        <v>1</v>
      </c>
      <c r="S136">
        <v>0</v>
      </c>
      <c r="T136">
        <v>0</v>
      </c>
      <c r="U136" t="b">
        <f t="shared" si="23"/>
        <v>1</v>
      </c>
      <c r="V136">
        <v>0</v>
      </c>
      <c r="W136">
        <v>0</v>
      </c>
      <c r="X136" t="b">
        <f t="shared" si="27"/>
        <v>1</v>
      </c>
      <c r="Y136">
        <v>0</v>
      </c>
      <c r="Z136">
        <v>0</v>
      </c>
      <c r="AA136" t="b">
        <f t="shared" si="28"/>
        <v>1</v>
      </c>
      <c r="AB136">
        <v>0</v>
      </c>
      <c r="AC136">
        <v>0</v>
      </c>
      <c r="AD136" t="b">
        <f t="shared" si="29"/>
        <v>1</v>
      </c>
      <c r="AE136">
        <v>0</v>
      </c>
      <c r="AF136">
        <v>0</v>
      </c>
      <c r="AG136" t="b">
        <f t="shared" si="30"/>
        <v>1</v>
      </c>
      <c r="AH136">
        <v>0</v>
      </c>
      <c r="AI136">
        <v>0</v>
      </c>
      <c r="AJ136" t="b">
        <f t="shared" si="31"/>
        <v>1</v>
      </c>
      <c r="AK136">
        <v>0</v>
      </c>
      <c r="AL136">
        <v>0</v>
      </c>
      <c r="AM136" t="b">
        <f t="shared" si="32"/>
        <v>1</v>
      </c>
    </row>
    <row r="137" hidden="1" spans="1:39">
      <c r="A137">
        <v>45758</v>
      </c>
      <c r="B137" t="s">
        <v>27</v>
      </c>
      <c r="C137" t="s">
        <v>120</v>
      </c>
      <c r="D137" t="s">
        <v>232</v>
      </c>
      <c r="E137" t="s">
        <v>233</v>
      </c>
      <c r="F137" t="s">
        <v>522</v>
      </c>
      <c r="G137">
        <v>0</v>
      </c>
      <c r="H137">
        <v>0</v>
      </c>
      <c r="I137" t="b">
        <f t="shared" si="22"/>
        <v>1</v>
      </c>
      <c r="J137">
        <v>0</v>
      </c>
      <c r="K137">
        <v>0</v>
      </c>
      <c r="L137" t="b">
        <f t="shared" si="24"/>
        <v>1</v>
      </c>
      <c r="M137">
        <v>0</v>
      </c>
      <c r="N137">
        <v>0</v>
      </c>
      <c r="O137" t="b">
        <f t="shared" si="25"/>
        <v>1</v>
      </c>
      <c r="P137">
        <v>0</v>
      </c>
      <c r="Q137">
        <v>0</v>
      </c>
      <c r="R137" t="b">
        <f t="shared" si="26"/>
        <v>1</v>
      </c>
      <c r="S137">
        <v>0</v>
      </c>
      <c r="T137">
        <v>0</v>
      </c>
      <c r="U137" t="b">
        <f t="shared" si="23"/>
        <v>1</v>
      </c>
      <c r="V137">
        <v>41100</v>
      </c>
      <c r="W137">
        <v>59695</v>
      </c>
      <c r="X137" t="b">
        <f t="shared" si="27"/>
        <v>0</v>
      </c>
      <c r="Y137">
        <v>59695</v>
      </c>
      <c r="Z137">
        <v>59695</v>
      </c>
      <c r="AA137" t="b">
        <f t="shared" si="28"/>
        <v>1</v>
      </c>
      <c r="AB137">
        <v>59695</v>
      </c>
      <c r="AC137">
        <v>59695</v>
      </c>
      <c r="AD137" t="b">
        <f t="shared" si="29"/>
        <v>1</v>
      </c>
      <c r="AE137">
        <v>0</v>
      </c>
      <c r="AF137">
        <v>0</v>
      </c>
      <c r="AG137" t="b">
        <f t="shared" si="30"/>
        <v>1</v>
      </c>
      <c r="AH137">
        <v>0</v>
      </c>
      <c r="AI137">
        <v>0</v>
      </c>
      <c r="AJ137" t="b">
        <f t="shared" si="31"/>
        <v>1</v>
      </c>
      <c r="AK137">
        <v>41100</v>
      </c>
      <c r="AL137">
        <v>59695</v>
      </c>
      <c r="AM137" t="b">
        <f t="shared" si="32"/>
        <v>0</v>
      </c>
    </row>
    <row r="138" hidden="1" spans="1:39">
      <c r="A138">
        <v>45758</v>
      </c>
      <c r="B138" t="s">
        <v>27</v>
      </c>
      <c r="C138" t="s">
        <v>120</v>
      </c>
      <c r="D138" t="s">
        <v>234</v>
      </c>
      <c r="E138" t="s">
        <v>235</v>
      </c>
      <c r="F138" t="s">
        <v>523</v>
      </c>
      <c r="G138">
        <v>1000000</v>
      </c>
      <c r="H138">
        <v>1000000</v>
      </c>
      <c r="I138" t="b">
        <f t="shared" si="22"/>
        <v>1</v>
      </c>
      <c r="J138">
        <v>0</v>
      </c>
      <c r="K138">
        <v>0</v>
      </c>
      <c r="L138" t="b">
        <f t="shared" si="24"/>
        <v>1</v>
      </c>
      <c r="M138">
        <v>0</v>
      </c>
      <c r="N138">
        <v>0</v>
      </c>
      <c r="O138" t="b">
        <f t="shared" si="25"/>
        <v>1</v>
      </c>
      <c r="P138">
        <v>0</v>
      </c>
      <c r="Q138">
        <v>0</v>
      </c>
      <c r="R138" t="b">
        <f t="shared" si="26"/>
        <v>1</v>
      </c>
      <c r="S138">
        <v>0</v>
      </c>
      <c r="T138">
        <v>0</v>
      </c>
      <c r="U138" t="b">
        <f t="shared" si="23"/>
        <v>1</v>
      </c>
      <c r="V138">
        <v>0</v>
      </c>
      <c r="W138">
        <v>559134.47</v>
      </c>
      <c r="X138" t="b">
        <f t="shared" si="27"/>
        <v>0</v>
      </c>
      <c r="Y138">
        <v>559134.47</v>
      </c>
      <c r="Z138">
        <v>559134.47</v>
      </c>
      <c r="AA138" t="b">
        <f t="shared" si="28"/>
        <v>1</v>
      </c>
      <c r="AB138">
        <v>559134.47</v>
      </c>
      <c r="AC138">
        <v>559134.47</v>
      </c>
      <c r="AD138" t="b">
        <f t="shared" si="29"/>
        <v>1</v>
      </c>
      <c r="AE138">
        <v>0</v>
      </c>
      <c r="AF138">
        <v>0</v>
      </c>
      <c r="AG138" t="b">
        <f t="shared" si="30"/>
        <v>1</v>
      </c>
      <c r="AH138">
        <v>0</v>
      </c>
      <c r="AI138">
        <v>0</v>
      </c>
      <c r="AJ138" t="b">
        <f t="shared" si="31"/>
        <v>1</v>
      </c>
      <c r="AK138">
        <v>1000000</v>
      </c>
      <c r="AL138">
        <v>440865.53</v>
      </c>
      <c r="AM138" t="b">
        <f t="shared" si="32"/>
        <v>0</v>
      </c>
    </row>
    <row r="139" hidden="1" spans="1:39">
      <c r="A139">
        <v>45758</v>
      </c>
      <c r="B139" t="s">
        <v>31</v>
      </c>
      <c r="C139" t="s">
        <v>115</v>
      </c>
      <c r="D139" t="s">
        <v>143</v>
      </c>
      <c r="E139" t="s">
        <v>236</v>
      </c>
      <c r="F139" t="s">
        <v>524</v>
      </c>
      <c r="G139">
        <v>0</v>
      </c>
      <c r="H139">
        <v>0</v>
      </c>
      <c r="I139" t="b">
        <f t="shared" si="22"/>
        <v>1</v>
      </c>
      <c r="J139">
        <v>0</v>
      </c>
      <c r="K139">
        <v>0</v>
      </c>
      <c r="L139" t="b">
        <f t="shared" si="24"/>
        <v>1</v>
      </c>
      <c r="M139">
        <v>0</v>
      </c>
      <c r="N139">
        <v>0</v>
      </c>
      <c r="O139" t="b">
        <f t="shared" si="25"/>
        <v>1</v>
      </c>
      <c r="P139">
        <v>0</v>
      </c>
      <c r="Q139">
        <v>0</v>
      </c>
      <c r="R139" t="b">
        <f t="shared" si="26"/>
        <v>1</v>
      </c>
      <c r="S139">
        <v>0</v>
      </c>
      <c r="T139">
        <v>0</v>
      </c>
      <c r="U139" t="b">
        <f t="shared" si="23"/>
        <v>1</v>
      </c>
      <c r="V139">
        <v>10000</v>
      </c>
      <c r="W139">
        <v>24024</v>
      </c>
      <c r="X139" t="b">
        <f t="shared" si="27"/>
        <v>0</v>
      </c>
      <c r="Y139">
        <v>24024</v>
      </c>
      <c r="Z139">
        <v>24024</v>
      </c>
      <c r="AA139" t="b">
        <f t="shared" si="28"/>
        <v>1</v>
      </c>
      <c r="AB139">
        <v>23884</v>
      </c>
      <c r="AC139">
        <v>23884</v>
      </c>
      <c r="AD139" t="b">
        <f t="shared" si="29"/>
        <v>1</v>
      </c>
      <c r="AE139">
        <v>0</v>
      </c>
      <c r="AF139">
        <v>0</v>
      </c>
      <c r="AG139" t="b">
        <f t="shared" si="30"/>
        <v>1</v>
      </c>
      <c r="AH139">
        <v>140</v>
      </c>
      <c r="AI139">
        <v>140</v>
      </c>
      <c r="AJ139" t="b">
        <f t="shared" si="31"/>
        <v>1</v>
      </c>
      <c r="AK139">
        <v>10000</v>
      </c>
      <c r="AL139">
        <v>24024</v>
      </c>
      <c r="AM139" t="b">
        <f t="shared" si="32"/>
        <v>0</v>
      </c>
    </row>
    <row r="140" hidden="1" spans="1:39">
      <c r="A140">
        <v>45758</v>
      </c>
      <c r="B140" t="s">
        <v>27</v>
      </c>
      <c r="C140" t="s">
        <v>120</v>
      </c>
      <c r="D140" t="s">
        <v>81</v>
      </c>
      <c r="E140" t="s">
        <v>237</v>
      </c>
      <c r="F140" t="s">
        <v>525</v>
      </c>
      <c r="G140">
        <v>1456383.5</v>
      </c>
      <c r="H140">
        <v>1456383.5</v>
      </c>
      <c r="I140" t="b">
        <f t="shared" si="22"/>
        <v>1</v>
      </c>
      <c r="J140">
        <v>1456383.5</v>
      </c>
      <c r="K140">
        <v>1456383.5</v>
      </c>
      <c r="L140" t="b">
        <f t="shared" si="24"/>
        <v>1</v>
      </c>
      <c r="M140">
        <v>943616.5</v>
      </c>
      <c r="N140">
        <v>943616.5</v>
      </c>
      <c r="O140" t="b">
        <f t="shared" si="25"/>
        <v>1</v>
      </c>
      <c r="P140">
        <v>0</v>
      </c>
      <c r="Q140">
        <v>0</v>
      </c>
      <c r="R140" t="b">
        <f t="shared" si="26"/>
        <v>1</v>
      </c>
      <c r="S140">
        <v>2400000</v>
      </c>
      <c r="T140">
        <v>2400000</v>
      </c>
      <c r="U140" t="b">
        <f t="shared" si="23"/>
        <v>1</v>
      </c>
      <c r="V140">
        <v>1051839.85</v>
      </c>
      <c r="W140">
        <v>1079750.09</v>
      </c>
      <c r="X140" t="b">
        <f t="shared" si="27"/>
        <v>0</v>
      </c>
      <c r="Y140">
        <v>1036880.09</v>
      </c>
      <c r="Z140">
        <v>1036880.09</v>
      </c>
      <c r="AA140" t="b">
        <f t="shared" si="28"/>
        <v>1</v>
      </c>
      <c r="AB140">
        <v>763119.91</v>
      </c>
      <c r="AC140">
        <v>763119.91</v>
      </c>
      <c r="AD140" t="b">
        <f t="shared" si="29"/>
        <v>1</v>
      </c>
      <c r="AE140">
        <v>0</v>
      </c>
      <c r="AF140">
        <v>0</v>
      </c>
      <c r="AG140" t="b">
        <f t="shared" si="30"/>
        <v>1</v>
      </c>
      <c r="AH140">
        <v>1800000</v>
      </c>
      <c r="AI140">
        <v>1800000</v>
      </c>
      <c r="AJ140" t="b">
        <f t="shared" si="31"/>
        <v>1</v>
      </c>
      <c r="AK140">
        <v>404543.65</v>
      </c>
      <c r="AL140">
        <v>376633.41</v>
      </c>
      <c r="AM140" t="b">
        <f t="shared" si="32"/>
        <v>0</v>
      </c>
    </row>
    <row r="141" hidden="1" spans="1:39">
      <c r="A141">
        <v>45758</v>
      </c>
      <c r="B141" t="s">
        <v>31</v>
      </c>
      <c r="C141" t="s">
        <v>115</v>
      </c>
      <c r="D141" t="s">
        <v>45</v>
      </c>
      <c r="E141" t="s">
        <v>526</v>
      </c>
      <c r="F141" t="s">
        <v>527</v>
      </c>
      <c r="G141">
        <v>0</v>
      </c>
      <c r="H141">
        <v>0</v>
      </c>
      <c r="I141" t="b">
        <f t="shared" si="22"/>
        <v>1</v>
      </c>
      <c r="J141">
        <v>0</v>
      </c>
      <c r="K141">
        <v>0</v>
      </c>
      <c r="L141" t="b">
        <f t="shared" si="24"/>
        <v>1</v>
      </c>
      <c r="M141">
        <v>290</v>
      </c>
      <c r="N141">
        <v>0</v>
      </c>
      <c r="O141" t="b">
        <f t="shared" si="25"/>
        <v>0</v>
      </c>
      <c r="P141">
        <v>0</v>
      </c>
      <c r="Q141">
        <v>0</v>
      </c>
      <c r="R141" t="b">
        <f t="shared" si="26"/>
        <v>1</v>
      </c>
      <c r="S141">
        <v>290</v>
      </c>
      <c r="T141">
        <v>0</v>
      </c>
      <c r="U141" t="b">
        <f t="shared" si="23"/>
        <v>0</v>
      </c>
      <c r="V141">
        <v>0</v>
      </c>
      <c r="W141">
        <v>0</v>
      </c>
      <c r="X141" t="b">
        <f t="shared" si="27"/>
        <v>1</v>
      </c>
      <c r="Y141">
        <v>8391</v>
      </c>
      <c r="Z141">
        <v>8391</v>
      </c>
      <c r="AA141" t="b">
        <f t="shared" si="28"/>
        <v>1</v>
      </c>
      <c r="AB141">
        <v>8391</v>
      </c>
      <c r="AC141">
        <v>8391</v>
      </c>
      <c r="AD141" t="b">
        <f t="shared" si="29"/>
        <v>1</v>
      </c>
      <c r="AE141">
        <v>0</v>
      </c>
      <c r="AF141">
        <v>0</v>
      </c>
      <c r="AG141" t="b">
        <f t="shared" si="30"/>
        <v>1</v>
      </c>
      <c r="AH141">
        <v>0</v>
      </c>
      <c r="AI141">
        <v>0</v>
      </c>
      <c r="AJ141" t="b">
        <f t="shared" si="31"/>
        <v>1</v>
      </c>
      <c r="AK141">
        <v>0</v>
      </c>
      <c r="AL141">
        <v>0</v>
      </c>
      <c r="AM141" t="b">
        <f t="shared" si="32"/>
        <v>1</v>
      </c>
    </row>
    <row r="142" spans="1:39">
      <c r="A142">
        <v>45758</v>
      </c>
      <c r="B142" t="s">
        <v>27</v>
      </c>
      <c r="C142" t="s">
        <v>120</v>
      </c>
      <c r="D142" t="s">
        <v>64</v>
      </c>
      <c r="E142" t="s">
        <v>239</v>
      </c>
      <c r="F142" t="s">
        <v>528</v>
      </c>
      <c r="G142">
        <v>500000</v>
      </c>
      <c r="H142">
        <v>500000</v>
      </c>
      <c r="I142" t="b">
        <f t="shared" si="22"/>
        <v>1</v>
      </c>
      <c r="J142">
        <v>2500043</v>
      </c>
      <c r="K142">
        <v>2500043</v>
      </c>
      <c r="L142" t="b">
        <f t="shared" si="24"/>
        <v>1</v>
      </c>
      <c r="M142">
        <v>2500000</v>
      </c>
      <c r="N142">
        <v>2500000</v>
      </c>
      <c r="O142" t="b">
        <f t="shared" si="25"/>
        <v>1</v>
      </c>
      <c r="P142">
        <v>0</v>
      </c>
      <c r="Q142">
        <v>0</v>
      </c>
      <c r="R142" t="b">
        <f t="shared" si="26"/>
        <v>1</v>
      </c>
      <c r="S142">
        <v>43</v>
      </c>
      <c r="T142">
        <v>43</v>
      </c>
      <c r="U142" t="b">
        <f t="shared" si="23"/>
        <v>1</v>
      </c>
      <c r="V142">
        <v>0</v>
      </c>
      <c r="W142">
        <v>0</v>
      </c>
      <c r="X142" t="b">
        <f t="shared" si="27"/>
        <v>1</v>
      </c>
      <c r="Y142">
        <v>1100000</v>
      </c>
      <c r="Z142">
        <v>1100000</v>
      </c>
      <c r="AA142" t="b">
        <f t="shared" si="28"/>
        <v>1</v>
      </c>
      <c r="AB142">
        <v>1100000</v>
      </c>
      <c r="AC142">
        <v>1100000</v>
      </c>
      <c r="AD142" t="b">
        <f t="shared" si="29"/>
        <v>1</v>
      </c>
      <c r="AE142">
        <v>0</v>
      </c>
      <c r="AF142">
        <v>0</v>
      </c>
      <c r="AG142" t="b">
        <f t="shared" si="30"/>
        <v>1</v>
      </c>
      <c r="AH142">
        <v>0</v>
      </c>
      <c r="AI142">
        <v>0</v>
      </c>
      <c r="AJ142" t="b">
        <f t="shared" si="31"/>
        <v>1</v>
      </c>
      <c r="AK142">
        <v>500000</v>
      </c>
      <c r="AL142">
        <v>500000</v>
      </c>
      <c r="AM142" t="b">
        <f t="shared" si="32"/>
        <v>1</v>
      </c>
    </row>
    <row r="143" spans="1:39">
      <c r="A143">
        <v>45758</v>
      </c>
      <c r="B143" t="s">
        <v>27</v>
      </c>
      <c r="C143" t="s">
        <v>120</v>
      </c>
      <c r="D143" t="s">
        <v>71</v>
      </c>
      <c r="E143" t="s">
        <v>240</v>
      </c>
      <c r="F143" t="s">
        <v>529</v>
      </c>
      <c r="G143">
        <v>0</v>
      </c>
      <c r="H143">
        <v>0</v>
      </c>
      <c r="I143" t="b">
        <f t="shared" si="22"/>
        <v>1</v>
      </c>
      <c r="J143">
        <v>0</v>
      </c>
      <c r="K143">
        <v>0</v>
      </c>
      <c r="L143" t="b">
        <f t="shared" si="24"/>
        <v>1</v>
      </c>
      <c r="M143">
        <v>0</v>
      </c>
      <c r="N143">
        <v>0</v>
      </c>
      <c r="O143" t="b">
        <f t="shared" si="25"/>
        <v>1</v>
      </c>
      <c r="P143">
        <v>0</v>
      </c>
      <c r="Q143">
        <v>0</v>
      </c>
      <c r="R143" t="b">
        <f t="shared" si="26"/>
        <v>1</v>
      </c>
      <c r="S143">
        <v>0</v>
      </c>
      <c r="T143">
        <v>0</v>
      </c>
      <c r="U143" t="b">
        <f t="shared" si="23"/>
        <v>1</v>
      </c>
      <c r="V143">
        <v>0</v>
      </c>
      <c r="W143">
        <v>0</v>
      </c>
      <c r="X143" t="b">
        <f t="shared" si="27"/>
        <v>1</v>
      </c>
      <c r="Y143">
        <v>180000</v>
      </c>
      <c r="Z143">
        <v>180000</v>
      </c>
      <c r="AA143" t="b">
        <f t="shared" si="28"/>
        <v>1</v>
      </c>
      <c r="AB143">
        <v>180000</v>
      </c>
      <c r="AC143">
        <v>180000</v>
      </c>
      <c r="AD143" t="b">
        <f t="shared" si="29"/>
        <v>1</v>
      </c>
      <c r="AE143">
        <v>0</v>
      </c>
      <c r="AF143">
        <v>0</v>
      </c>
      <c r="AG143" t="b">
        <f t="shared" si="30"/>
        <v>1</v>
      </c>
      <c r="AH143">
        <v>0</v>
      </c>
      <c r="AI143">
        <v>0</v>
      </c>
      <c r="AJ143" t="b">
        <f t="shared" si="31"/>
        <v>1</v>
      </c>
      <c r="AK143">
        <v>0</v>
      </c>
      <c r="AL143">
        <v>0</v>
      </c>
      <c r="AM143" t="b">
        <f t="shared" si="32"/>
        <v>1</v>
      </c>
    </row>
    <row r="144" hidden="1" spans="1:39">
      <c r="A144">
        <v>45758</v>
      </c>
      <c r="B144" t="s">
        <v>38</v>
      </c>
      <c r="C144" t="s">
        <v>130</v>
      </c>
      <c r="D144" t="s">
        <v>43</v>
      </c>
      <c r="E144" t="s">
        <v>241</v>
      </c>
      <c r="F144" t="s">
        <v>530</v>
      </c>
      <c r="G144">
        <v>0</v>
      </c>
      <c r="H144">
        <v>0</v>
      </c>
      <c r="I144" t="b">
        <f t="shared" si="22"/>
        <v>1</v>
      </c>
      <c r="J144">
        <v>0</v>
      </c>
      <c r="K144">
        <v>7892880</v>
      </c>
      <c r="L144" t="b">
        <f t="shared" si="24"/>
        <v>0</v>
      </c>
      <c r="M144">
        <v>7894260</v>
      </c>
      <c r="N144">
        <v>7894260</v>
      </c>
      <c r="O144" t="b">
        <f t="shared" si="25"/>
        <v>1</v>
      </c>
      <c r="P144">
        <v>0</v>
      </c>
      <c r="Q144">
        <v>0</v>
      </c>
      <c r="R144" t="b">
        <f t="shared" si="26"/>
        <v>1</v>
      </c>
      <c r="S144">
        <v>7894260</v>
      </c>
      <c r="T144">
        <v>1380</v>
      </c>
      <c r="U144" t="b">
        <f t="shared" si="23"/>
        <v>0</v>
      </c>
      <c r="V144">
        <v>982055.76</v>
      </c>
      <c r="W144">
        <v>1002047.76</v>
      </c>
      <c r="X144" t="b">
        <f t="shared" si="27"/>
        <v>0</v>
      </c>
      <c r="Y144">
        <v>4785048.76</v>
      </c>
      <c r="Z144">
        <v>4785048.76</v>
      </c>
      <c r="AA144" t="b">
        <f t="shared" si="28"/>
        <v>1</v>
      </c>
      <c r="AB144">
        <v>4735048.76</v>
      </c>
      <c r="AC144">
        <v>4735048.76</v>
      </c>
      <c r="AD144" t="b">
        <f t="shared" si="29"/>
        <v>1</v>
      </c>
      <c r="AE144">
        <v>50000</v>
      </c>
      <c r="AF144">
        <v>50000</v>
      </c>
      <c r="AG144" t="b">
        <f t="shared" si="30"/>
        <v>1</v>
      </c>
      <c r="AH144">
        <v>0</v>
      </c>
      <c r="AI144">
        <v>0</v>
      </c>
      <c r="AJ144" t="b">
        <f t="shared" si="31"/>
        <v>1</v>
      </c>
      <c r="AK144">
        <v>982055.76</v>
      </c>
      <c r="AL144">
        <v>1002047.76</v>
      </c>
      <c r="AM144" t="b">
        <f t="shared" si="32"/>
        <v>0</v>
      </c>
    </row>
    <row r="145" hidden="1" spans="1:39">
      <c r="A145">
        <v>45758</v>
      </c>
      <c r="B145" t="s">
        <v>27</v>
      </c>
      <c r="C145" t="s">
        <v>120</v>
      </c>
      <c r="D145" t="s">
        <v>71</v>
      </c>
      <c r="E145" t="s">
        <v>242</v>
      </c>
      <c r="F145" t="s">
        <v>531</v>
      </c>
      <c r="G145">
        <v>0</v>
      </c>
      <c r="H145">
        <v>0</v>
      </c>
      <c r="I145" t="b">
        <f t="shared" si="22"/>
        <v>1</v>
      </c>
      <c r="J145">
        <v>0</v>
      </c>
      <c r="K145">
        <v>0</v>
      </c>
      <c r="L145" t="b">
        <f t="shared" si="24"/>
        <v>1</v>
      </c>
      <c r="M145">
        <v>0</v>
      </c>
      <c r="N145">
        <v>0</v>
      </c>
      <c r="O145" t="b">
        <f t="shared" si="25"/>
        <v>1</v>
      </c>
      <c r="P145">
        <v>0</v>
      </c>
      <c r="Q145">
        <v>0</v>
      </c>
      <c r="R145" t="b">
        <f t="shared" si="26"/>
        <v>1</v>
      </c>
      <c r="S145">
        <v>0</v>
      </c>
      <c r="T145">
        <v>0</v>
      </c>
      <c r="U145" t="b">
        <f t="shared" si="23"/>
        <v>1</v>
      </c>
      <c r="V145">
        <v>142768</v>
      </c>
      <c r="W145">
        <v>267108.3</v>
      </c>
      <c r="X145" t="b">
        <f t="shared" si="27"/>
        <v>0</v>
      </c>
      <c r="Y145">
        <v>428608.3</v>
      </c>
      <c r="Z145">
        <v>428608.3</v>
      </c>
      <c r="AA145" t="b">
        <f t="shared" si="28"/>
        <v>1</v>
      </c>
      <c r="AB145">
        <v>486500</v>
      </c>
      <c r="AC145">
        <v>486500</v>
      </c>
      <c r="AD145" t="b">
        <f t="shared" si="29"/>
        <v>1</v>
      </c>
      <c r="AE145">
        <v>0</v>
      </c>
      <c r="AF145">
        <v>0</v>
      </c>
      <c r="AG145" t="b">
        <f t="shared" si="30"/>
        <v>1</v>
      </c>
      <c r="AH145">
        <v>57891.7</v>
      </c>
      <c r="AI145">
        <v>57891.7</v>
      </c>
      <c r="AJ145" t="b">
        <f t="shared" si="31"/>
        <v>1</v>
      </c>
      <c r="AK145">
        <v>142768</v>
      </c>
      <c r="AL145">
        <v>267108.3</v>
      </c>
      <c r="AM145" t="b">
        <f t="shared" si="32"/>
        <v>0</v>
      </c>
    </row>
    <row r="146" spans="1:39">
      <c r="A146">
        <v>45758</v>
      </c>
      <c r="B146" t="s">
        <v>38</v>
      </c>
      <c r="C146" t="s">
        <v>130</v>
      </c>
      <c r="D146" t="s">
        <v>51</v>
      </c>
      <c r="E146" t="s">
        <v>532</v>
      </c>
      <c r="F146" t="s">
        <v>533</v>
      </c>
      <c r="G146">
        <v>0</v>
      </c>
      <c r="H146">
        <v>0</v>
      </c>
      <c r="I146" t="b">
        <f t="shared" si="22"/>
        <v>1</v>
      </c>
      <c r="J146">
        <v>0</v>
      </c>
      <c r="K146">
        <v>0</v>
      </c>
      <c r="L146" t="b">
        <f t="shared" si="24"/>
        <v>1</v>
      </c>
      <c r="M146">
        <v>0</v>
      </c>
      <c r="N146">
        <v>0</v>
      </c>
      <c r="O146" t="b">
        <f t="shared" si="25"/>
        <v>1</v>
      </c>
      <c r="P146">
        <v>0</v>
      </c>
      <c r="Q146">
        <v>0</v>
      </c>
      <c r="R146" t="b">
        <f t="shared" si="26"/>
        <v>1</v>
      </c>
      <c r="S146">
        <v>0</v>
      </c>
      <c r="T146">
        <v>0</v>
      </c>
      <c r="U146" t="b">
        <f t="shared" si="23"/>
        <v>1</v>
      </c>
      <c r="V146">
        <v>99741.6</v>
      </c>
      <c r="W146">
        <v>99741.6</v>
      </c>
      <c r="X146" t="b">
        <f t="shared" si="27"/>
        <v>1</v>
      </c>
      <c r="Y146">
        <v>119741.6</v>
      </c>
      <c r="Z146">
        <v>119741.6</v>
      </c>
      <c r="AA146" t="b">
        <f t="shared" si="28"/>
        <v>1</v>
      </c>
      <c r="AB146">
        <v>119741</v>
      </c>
      <c r="AC146">
        <v>119741</v>
      </c>
      <c r="AD146" t="b">
        <f t="shared" si="29"/>
        <v>1</v>
      </c>
      <c r="AE146">
        <v>0</v>
      </c>
      <c r="AF146">
        <v>0</v>
      </c>
      <c r="AG146" t="b">
        <f t="shared" si="30"/>
        <v>1</v>
      </c>
      <c r="AH146">
        <v>0.6</v>
      </c>
      <c r="AI146">
        <v>0.6</v>
      </c>
      <c r="AJ146" t="b">
        <f t="shared" si="31"/>
        <v>1</v>
      </c>
      <c r="AK146">
        <v>99741.6</v>
      </c>
      <c r="AL146">
        <v>99741.6</v>
      </c>
      <c r="AM146" t="b">
        <f t="shared" si="32"/>
        <v>1</v>
      </c>
    </row>
    <row r="147" spans="1:39">
      <c r="A147">
        <v>45758</v>
      </c>
      <c r="B147" t="s">
        <v>27</v>
      </c>
      <c r="C147" t="s">
        <v>120</v>
      </c>
      <c r="D147" t="s">
        <v>64</v>
      </c>
      <c r="E147" t="s">
        <v>244</v>
      </c>
      <c r="F147" t="s">
        <v>534</v>
      </c>
      <c r="G147">
        <v>2741972</v>
      </c>
      <c r="H147">
        <v>2741972</v>
      </c>
      <c r="I147" t="b">
        <f t="shared" ref="I147:I210" si="33">G147=H147</f>
        <v>1</v>
      </c>
      <c r="J147">
        <v>0</v>
      </c>
      <c r="K147">
        <v>0</v>
      </c>
      <c r="L147" t="b">
        <f t="shared" si="24"/>
        <v>1</v>
      </c>
      <c r="M147">
        <v>0</v>
      </c>
      <c r="N147">
        <v>0</v>
      </c>
      <c r="O147" t="b">
        <f t="shared" si="25"/>
        <v>1</v>
      </c>
      <c r="P147">
        <v>0</v>
      </c>
      <c r="Q147">
        <v>0</v>
      </c>
      <c r="R147" t="b">
        <f t="shared" si="26"/>
        <v>1</v>
      </c>
      <c r="S147">
        <v>0</v>
      </c>
      <c r="T147">
        <v>0</v>
      </c>
      <c r="U147" t="b">
        <f t="shared" si="23"/>
        <v>1</v>
      </c>
      <c r="V147">
        <v>0</v>
      </c>
      <c r="W147">
        <v>0</v>
      </c>
      <c r="X147" t="b">
        <f t="shared" si="27"/>
        <v>1</v>
      </c>
      <c r="Y147">
        <v>658382</v>
      </c>
      <c r="Z147">
        <v>658382</v>
      </c>
      <c r="AA147" t="b">
        <f t="shared" si="28"/>
        <v>1</v>
      </c>
      <c r="AB147">
        <v>657910</v>
      </c>
      <c r="AC147">
        <v>657910</v>
      </c>
      <c r="AD147" t="b">
        <f t="shared" si="29"/>
        <v>1</v>
      </c>
      <c r="AE147">
        <v>0</v>
      </c>
      <c r="AF147">
        <v>0</v>
      </c>
      <c r="AG147" t="b">
        <f t="shared" si="30"/>
        <v>1</v>
      </c>
      <c r="AH147">
        <v>472</v>
      </c>
      <c r="AI147">
        <v>472</v>
      </c>
      <c r="AJ147" t="b">
        <f t="shared" si="31"/>
        <v>1</v>
      </c>
      <c r="AK147">
        <v>2741972</v>
      </c>
      <c r="AL147">
        <v>2741972</v>
      </c>
      <c r="AM147" t="b">
        <f t="shared" si="32"/>
        <v>1</v>
      </c>
    </row>
    <row r="148" hidden="1" spans="1:39">
      <c r="A148">
        <v>45758</v>
      </c>
      <c r="B148" t="s">
        <v>27</v>
      </c>
      <c r="C148" t="s">
        <v>120</v>
      </c>
      <c r="D148" t="s">
        <v>168</v>
      </c>
      <c r="E148" t="s">
        <v>245</v>
      </c>
      <c r="F148" t="s">
        <v>535</v>
      </c>
      <c r="G148">
        <v>0</v>
      </c>
      <c r="H148">
        <v>0</v>
      </c>
      <c r="I148" t="b">
        <f t="shared" si="33"/>
        <v>1</v>
      </c>
      <c r="J148">
        <v>1920687</v>
      </c>
      <c r="K148">
        <v>1920687</v>
      </c>
      <c r="L148" t="b">
        <f t="shared" si="24"/>
        <v>1</v>
      </c>
      <c r="M148">
        <v>1871000</v>
      </c>
      <c r="N148">
        <v>1871000</v>
      </c>
      <c r="O148" t="b">
        <f t="shared" si="25"/>
        <v>1</v>
      </c>
      <c r="P148">
        <v>0</v>
      </c>
      <c r="Q148">
        <v>0</v>
      </c>
      <c r="R148" t="b">
        <f t="shared" si="26"/>
        <v>1</v>
      </c>
      <c r="S148">
        <v>49687</v>
      </c>
      <c r="T148">
        <v>49687</v>
      </c>
      <c r="U148" t="b">
        <f t="shared" si="23"/>
        <v>1</v>
      </c>
      <c r="V148">
        <v>745579</v>
      </c>
      <c r="W148">
        <v>742817.44</v>
      </c>
      <c r="X148" t="b">
        <f t="shared" si="27"/>
        <v>0</v>
      </c>
      <c r="Y148">
        <v>1222217.48</v>
      </c>
      <c r="Z148">
        <v>1204302.48</v>
      </c>
      <c r="AA148" t="b">
        <f t="shared" si="28"/>
        <v>0</v>
      </c>
      <c r="AB148">
        <v>779853.52</v>
      </c>
      <c r="AC148">
        <v>779853.52</v>
      </c>
      <c r="AD148" t="b">
        <f t="shared" si="29"/>
        <v>1</v>
      </c>
      <c r="AE148">
        <v>200000</v>
      </c>
      <c r="AF148">
        <v>200000</v>
      </c>
      <c r="AG148" t="b">
        <f t="shared" si="30"/>
        <v>1</v>
      </c>
      <c r="AH148">
        <v>242363.96</v>
      </c>
      <c r="AI148">
        <v>224448.96</v>
      </c>
      <c r="AJ148" t="b">
        <f t="shared" si="31"/>
        <v>0</v>
      </c>
      <c r="AK148">
        <v>745579</v>
      </c>
      <c r="AL148">
        <v>742817.44</v>
      </c>
      <c r="AM148" t="b">
        <f t="shared" si="32"/>
        <v>0</v>
      </c>
    </row>
    <row r="149" spans="1:39">
      <c r="A149">
        <v>45758</v>
      </c>
      <c r="B149" t="s">
        <v>27</v>
      </c>
      <c r="C149" t="s">
        <v>120</v>
      </c>
      <c r="D149" t="s">
        <v>71</v>
      </c>
      <c r="E149" t="s">
        <v>246</v>
      </c>
      <c r="F149" t="s">
        <v>536</v>
      </c>
      <c r="G149">
        <v>0</v>
      </c>
      <c r="H149">
        <v>0</v>
      </c>
      <c r="I149" t="b">
        <f t="shared" si="33"/>
        <v>1</v>
      </c>
      <c r="J149">
        <v>0</v>
      </c>
      <c r="K149">
        <v>0</v>
      </c>
      <c r="L149" t="b">
        <f t="shared" si="24"/>
        <v>1</v>
      </c>
      <c r="M149">
        <v>0</v>
      </c>
      <c r="N149">
        <v>0</v>
      </c>
      <c r="O149" t="b">
        <f t="shared" si="25"/>
        <v>1</v>
      </c>
      <c r="P149">
        <v>0</v>
      </c>
      <c r="Q149">
        <v>0</v>
      </c>
      <c r="R149" t="b">
        <f t="shared" si="26"/>
        <v>1</v>
      </c>
      <c r="S149">
        <v>0</v>
      </c>
      <c r="T149">
        <v>0</v>
      </c>
      <c r="U149" t="b">
        <f t="shared" si="23"/>
        <v>1</v>
      </c>
      <c r="V149">
        <v>0</v>
      </c>
      <c r="W149">
        <v>0</v>
      </c>
      <c r="X149" t="b">
        <f t="shared" si="27"/>
        <v>1</v>
      </c>
      <c r="Y149">
        <v>26000</v>
      </c>
      <c r="Z149">
        <v>26000</v>
      </c>
      <c r="AA149" t="b">
        <f t="shared" si="28"/>
        <v>1</v>
      </c>
      <c r="AB149">
        <v>26000</v>
      </c>
      <c r="AC149">
        <v>26000</v>
      </c>
      <c r="AD149" t="b">
        <f t="shared" si="29"/>
        <v>1</v>
      </c>
      <c r="AE149">
        <v>0</v>
      </c>
      <c r="AF149">
        <v>0</v>
      </c>
      <c r="AG149" t="b">
        <f t="shared" si="30"/>
        <v>1</v>
      </c>
      <c r="AH149">
        <v>0</v>
      </c>
      <c r="AI149">
        <v>0</v>
      </c>
      <c r="AJ149" t="b">
        <f t="shared" si="31"/>
        <v>1</v>
      </c>
      <c r="AK149">
        <v>0</v>
      </c>
      <c r="AL149">
        <v>0</v>
      </c>
      <c r="AM149" t="b">
        <f t="shared" si="32"/>
        <v>1</v>
      </c>
    </row>
    <row r="150" hidden="1" spans="1:39">
      <c r="A150">
        <v>45758</v>
      </c>
      <c r="B150" t="s">
        <v>27</v>
      </c>
      <c r="C150" t="s">
        <v>120</v>
      </c>
      <c r="D150" t="s">
        <v>64</v>
      </c>
      <c r="E150" t="s">
        <v>247</v>
      </c>
      <c r="F150" t="s">
        <v>537</v>
      </c>
      <c r="G150">
        <v>800166</v>
      </c>
      <c r="H150">
        <v>800166</v>
      </c>
      <c r="I150" t="b">
        <f t="shared" si="33"/>
        <v>1</v>
      </c>
      <c r="J150">
        <v>15800720</v>
      </c>
      <c r="K150">
        <v>15800720</v>
      </c>
      <c r="L150" t="b">
        <f t="shared" si="24"/>
        <v>1</v>
      </c>
      <c r="M150">
        <v>14900720.39</v>
      </c>
      <c r="N150">
        <v>14900720.39</v>
      </c>
      <c r="O150" t="b">
        <f t="shared" si="25"/>
        <v>1</v>
      </c>
      <c r="P150">
        <v>0</v>
      </c>
      <c r="Q150">
        <v>0</v>
      </c>
      <c r="R150" t="b">
        <f t="shared" si="26"/>
        <v>1</v>
      </c>
      <c r="S150">
        <v>899999.61</v>
      </c>
      <c r="T150">
        <v>899999.61</v>
      </c>
      <c r="U150" t="b">
        <f t="shared" si="23"/>
        <v>1</v>
      </c>
      <c r="V150">
        <v>2378944.5</v>
      </c>
      <c r="W150">
        <v>2868336.67</v>
      </c>
      <c r="X150" t="b">
        <f t="shared" si="27"/>
        <v>0</v>
      </c>
      <c r="Y150">
        <v>6289754.67</v>
      </c>
      <c r="Z150">
        <v>6416420.67</v>
      </c>
      <c r="AA150" t="b">
        <f t="shared" si="28"/>
        <v>0</v>
      </c>
      <c r="AB150">
        <v>5959838.19</v>
      </c>
      <c r="AC150">
        <v>5959838.19</v>
      </c>
      <c r="AD150" t="b">
        <f t="shared" si="29"/>
        <v>1</v>
      </c>
      <c r="AE150">
        <v>0</v>
      </c>
      <c r="AF150">
        <v>0</v>
      </c>
      <c r="AG150" t="b">
        <f t="shared" si="30"/>
        <v>1</v>
      </c>
      <c r="AH150">
        <v>329916.48</v>
      </c>
      <c r="AI150">
        <v>456582.48</v>
      </c>
      <c r="AJ150" t="b">
        <f t="shared" si="31"/>
        <v>0</v>
      </c>
      <c r="AK150">
        <v>1578778.5</v>
      </c>
      <c r="AL150">
        <v>2068170.67</v>
      </c>
      <c r="AM150" t="b">
        <f t="shared" si="32"/>
        <v>0</v>
      </c>
    </row>
    <row r="151" spans="1:39">
      <c r="A151">
        <v>45758</v>
      </c>
      <c r="B151" t="s">
        <v>31</v>
      </c>
      <c r="C151" t="s">
        <v>115</v>
      </c>
      <c r="D151" t="s">
        <v>248</v>
      </c>
      <c r="E151" t="s">
        <v>249</v>
      </c>
      <c r="F151" t="s">
        <v>538</v>
      </c>
      <c r="G151">
        <v>0</v>
      </c>
      <c r="H151">
        <v>0</v>
      </c>
      <c r="I151" t="b">
        <f t="shared" si="33"/>
        <v>1</v>
      </c>
      <c r="J151">
        <v>339093</v>
      </c>
      <c r="K151">
        <v>339093</v>
      </c>
      <c r="L151" t="b">
        <f t="shared" si="24"/>
        <v>1</v>
      </c>
      <c r="M151">
        <v>339093</v>
      </c>
      <c r="N151">
        <v>339093</v>
      </c>
      <c r="O151" t="b">
        <f t="shared" si="25"/>
        <v>1</v>
      </c>
      <c r="P151">
        <v>0</v>
      </c>
      <c r="Q151">
        <v>0</v>
      </c>
      <c r="R151" t="b">
        <f t="shared" si="26"/>
        <v>1</v>
      </c>
      <c r="S151">
        <v>0</v>
      </c>
      <c r="T151">
        <v>0</v>
      </c>
      <c r="U151" t="b">
        <f t="shared" si="23"/>
        <v>1</v>
      </c>
      <c r="V151">
        <v>0</v>
      </c>
      <c r="W151">
        <v>0</v>
      </c>
      <c r="X151" t="b">
        <f t="shared" si="27"/>
        <v>1</v>
      </c>
      <c r="Y151">
        <v>58820</v>
      </c>
      <c r="Z151">
        <v>58820</v>
      </c>
      <c r="AA151" t="b">
        <f t="shared" si="28"/>
        <v>1</v>
      </c>
      <c r="AB151">
        <v>58820</v>
      </c>
      <c r="AC151">
        <v>58820</v>
      </c>
      <c r="AD151" t="b">
        <f t="shared" si="29"/>
        <v>1</v>
      </c>
      <c r="AE151">
        <v>0</v>
      </c>
      <c r="AF151">
        <v>0</v>
      </c>
      <c r="AG151" t="b">
        <f t="shared" si="30"/>
        <v>1</v>
      </c>
      <c r="AH151">
        <v>0</v>
      </c>
      <c r="AI151">
        <v>0</v>
      </c>
      <c r="AJ151" t="b">
        <f t="shared" si="31"/>
        <v>1</v>
      </c>
      <c r="AK151">
        <v>0</v>
      </c>
      <c r="AL151">
        <v>0</v>
      </c>
      <c r="AM151" t="b">
        <f t="shared" si="32"/>
        <v>1</v>
      </c>
    </row>
    <row r="152" spans="1:39">
      <c r="A152">
        <v>45758</v>
      </c>
      <c r="B152" t="s">
        <v>31</v>
      </c>
      <c r="C152" t="s">
        <v>115</v>
      </c>
      <c r="D152" t="s">
        <v>45</v>
      </c>
      <c r="E152" t="s">
        <v>250</v>
      </c>
      <c r="F152" t="s">
        <v>539</v>
      </c>
      <c r="G152">
        <v>0</v>
      </c>
      <c r="H152">
        <v>0</v>
      </c>
      <c r="I152" t="b">
        <f t="shared" si="33"/>
        <v>1</v>
      </c>
      <c r="J152">
        <v>0</v>
      </c>
      <c r="K152">
        <v>0</v>
      </c>
      <c r="L152" t="b">
        <f t="shared" si="24"/>
        <v>1</v>
      </c>
      <c r="M152">
        <v>0</v>
      </c>
      <c r="N152">
        <v>0</v>
      </c>
      <c r="O152" t="b">
        <f t="shared" si="25"/>
        <v>1</v>
      </c>
      <c r="P152">
        <v>0</v>
      </c>
      <c r="Q152">
        <v>0</v>
      </c>
      <c r="R152" t="b">
        <f t="shared" si="26"/>
        <v>1</v>
      </c>
      <c r="S152">
        <v>0</v>
      </c>
      <c r="T152">
        <v>0</v>
      </c>
      <c r="U152" t="b">
        <f t="shared" ref="U152:U215" si="34">S152=T152</f>
        <v>1</v>
      </c>
      <c r="V152">
        <v>0</v>
      </c>
      <c r="W152">
        <v>0</v>
      </c>
      <c r="X152" t="b">
        <f t="shared" si="27"/>
        <v>1</v>
      </c>
      <c r="Y152">
        <v>36830</v>
      </c>
      <c r="Z152">
        <v>36830</v>
      </c>
      <c r="AA152" t="b">
        <f t="shared" si="28"/>
        <v>1</v>
      </c>
      <c r="AB152">
        <v>36830</v>
      </c>
      <c r="AC152">
        <v>36830</v>
      </c>
      <c r="AD152" t="b">
        <f t="shared" si="29"/>
        <v>1</v>
      </c>
      <c r="AE152">
        <v>0</v>
      </c>
      <c r="AF152">
        <v>0</v>
      </c>
      <c r="AG152" t="b">
        <f t="shared" si="30"/>
        <v>1</v>
      </c>
      <c r="AH152">
        <v>0</v>
      </c>
      <c r="AI152">
        <v>0</v>
      </c>
      <c r="AJ152" t="b">
        <f t="shared" si="31"/>
        <v>1</v>
      </c>
      <c r="AK152">
        <v>0</v>
      </c>
      <c r="AL152">
        <v>0</v>
      </c>
      <c r="AM152" t="b">
        <f t="shared" si="32"/>
        <v>1</v>
      </c>
    </row>
    <row r="153" spans="1:39">
      <c r="A153">
        <v>45758</v>
      </c>
      <c r="B153" t="s">
        <v>38</v>
      </c>
      <c r="C153" t="s">
        <v>130</v>
      </c>
      <c r="D153" t="s">
        <v>62</v>
      </c>
      <c r="E153" t="s">
        <v>251</v>
      </c>
      <c r="F153" t="s">
        <v>540</v>
      </c>
      <c r="G153">
        <v>0</v>
      </c>
      <c r="H153">
        <v>0</v>
      </c>
      <c r="I153" t="b">
        <f t="shared" si="33"/>
        <v>1</v>
      </c>
      <c r="J153">
        <v>2475150</v>
      </c>
      <c r="K153">
        <v>2475150</v>
      </c>
      <c r="L153" t="b">
        <f t="shared" si="24"/>
        <v>1</v>
      </c>
      <c r="M153">
        <v>2475150</v>
      </c>
      <c r="N153">
        <v>2475150</v>
      </c>
      <c r="O153" t="b">
        <f t="shared" si="25"/>
        <v>1</v>
      </c>
      <c r="P153">
        <v>0</v>
      </c>
      <c r="Q153">
        <v>0</v>
      </c>
      <c r="R153" t="b">
        <f t="shared" si="26"/>
        <v>1</v>
      </c>
      <c r="S153">
        <v>0</v>
      </c>
      <c r="T153">
        <v>0</v>
      </c>
      <c r="U153" t="b">
        <f t="shared" si="34"/>
        <v>1</v>
      </c>
      <c r="V153">
        <v>0</v>
      </c>
      <c r="W153">
        <v>0</v>
      </c>
      <c r="X153" t="b">
        <f t="shared" si="27"/>
        <v>1</v>
      </c>
      <c r="Y153">
        <v>187950</v>
      </c>
      <c r="Z153">
        <v>187950</v>
      </c>
      <c r="AA153" t="b">
        <f t="shared" si="28"/>
        <v>1</v>
      </c>
      <c r="AB153">
        <v>187950</v>
      </c>
      <c r="AC153">
        <v>187950</v>
      </c>
      <c r="AD153" t="b">
        <f t="shared" si="29"/>
        <v>1</v>
      </c>
      <c r="AE153">
        <v>0</v>
      </c>
      <c r="AF153">
        <v>0</v>
      </c>
      <c r="AG153" t="b">
        <f t="shared" si="30"/>
        <v>1</v>
      </c>
      <c r="AH153">
        <v>0</v>
      </c>
      <c r="AI153">
        <v>0</v>
      </c>
      <c r="AJ153" t="b">
        <f t="shared" si="31"/>
        <v>1</v>
      </c>
      <c r="AK153">
        <v>0</v>
      </c>
      <c r="AL153">
        <v>0</v>
      </c>
      <c r="AM153" t="b">
        <f t="shared" si="32"/>
        <v>1</v>
      </c>
    </row>
    <row r="154" spans="1:39">
      <c r="A154">
        <v>45758</v>
      </c>
      <c r="B154" t="s">
        <v>27</v>
      </c>
      <c r="C154" t="s">
        <v>120</v>
      </c>
      <c r="D154" t="s">
        <v>140</v>
      </c>
      <c r="E154" t="s">
        <v>252</v>
      </c>
      <c r="F154" t="s">
        <v>541</v>
      </c>
      <c r="G154">
        <v>0</v>
      </c>
      <c r="H154">
        <v>0</v>
      </c>
      <c r="I154" t="b">
        <f t="shared" si="33"/>
        <v>1</v>
      </c>
      <c r="J154">
        <v>0</v>
      </c>
      <c r="K154">
        <v>0</v>
      </c>
      <c r="L154" t="b">
        <f t="shared" si="24"/>
        <v>1</v>
      </c>
      <c r="M154">
        <v>0</v>
      </c>
      <c r="N154">
        <v>0</v>
      </c>
      <c r="O154" t="b">
        <f t="shared" si="25"/>
        <v>1</v>
      </c>
      <c r="P154">
        <v>0</v>
      </c>
      <c r="Q154">
        <v>0</v>
      </c>
      <c r="R154" t="b">
        <f t="shared" si="26"/>
        <v>1</v>
      </c>
      <c r="S154">
        <v>0</v>
      </c>
      <c r="T154">
        <v>0</v>
      </c>
      <c r="U154" t="b">
        <f t="shared" si="34"/>
        <v>1</v>
      </c>
      <c r="V154">
        <v>0</v>
      </c>
      <c r="W154">
        <v>0</v>
      </c>
      <c r="X154" t="b">
        <f t="shared" si="27"/>
        <v>1</v>
      </c>
      <c r="Y154">
        <v>263100</v>
      </c>
      <c r="Z154">
        <v>263100</v>
      </c>
      <c r="AA154" t="b">
        <f t="shared" si="28"/>
        <v>1</v>
      </c>
      <c r="AB154">
        <v>263100</v>
      </c>
      <c r="AC154">
        <v>263100</v>
      </c>
      <c r="AD154" t="b">
        <f t="shared" si="29"/>
        <v>1</v>
      </c>
      <c r="AE154">
        <v>0</v>
      </c>
      <c r="AF154">
        <v>0</v>
      </c>
      <c r="AG154" t="b">
        <f t="shared" si="30"/>
        <v>1</v>
      </c>
      <c r="AH154">
        <v>0</v>
      </c>
      <c r="AI154">
        <v>0</v>
      </c>
      <c r="AJ154" t="b">
        <f t="shared" si="31"/>
        <v>1</v>
      </c>
      <c r="AK154">
        <v>0</v>
      </c>
      <c r="AL154">
        <v>0</v>
      </c>
      <c r="AM154" t="b">
        <f t="shared" si="32"/>
        <v>1</v>
      </c>
    </row>
    <row r="155" hidden="1" spans="1:39">
      <c r="A155">
        <v>45741</v>
      </c>
      <c r="B155" t="s">
        <v>31</v>
      </c>
      <c r="C155" t="s">
        <v>115</v>
      </c>
      <c r="D155" t="s">
        <v>69</v>
      </c>
      <c r="E155" t="s">
        <v>253</v>
      </c>
      <c r="F155" t="s">
        <v>542</v>
      </c>
      <c r="G155">
        <v>0</v>
      </c>
      <c r="H155">
        <v>0</v>
      </c>
      <c r="I155" t="b">
        <f t="shared" si="33"/>
        <v>1</v>
      </c>
      <c r="J155">
        <v>0</v>
      </c>
      <c r="K155">
        <v>3416869.5</v>
      </c>
      <c r="L155" t="b">
        <f t="shared" si="24"/>
        <v>0</v>
      </c>
      <c r="M155">
        <v>3554369.5</v>
      </c>
      <c r="N155">
        <v>3554369.5</v>
      </c>
      <c r="O155" t="b">
        <f t="shared" si="25"/>
        <v>1</v>
      </c>
      <c r="P155">
        <v>0</v>
      </c>
      <c r="Q155">
        <v>0</v>
      </c>
      <c r="R155" t="b">
        <f t="shared" si="26"/>
        <v>1</v>
      </c>
      <c r="S155">
        <v>3554369.5</v>
      </c>
      <c r="T155">
        <v>137500</v>
      </c>
      <c r="U155" t="b">
        <f t="shared" si="34"/>
        <v>0</v>
      </c>
      <c r="V155">
        <v>2623008.77</v>
      </c>
      <c r="W155">
        <v>2623008.77</v>
      </c>
      <c r="X155" t="b">
        <f t="shared" si="27"/>
        <v>1</v>
      </c>
      <c r="Y155">
        <v>1942440</v>
      </c>
      <c r="Z155">
        <v>1942440</v>
      </c>
      <c r="AA155" t="b">
        <f t="shared" si="28"/>
        <v>1</v>
      </c>
      <c r="AB155">
        <v>1942440</v>
      </c>
      <c r="AC155">
        <v>1942440</v>
      </c>
      <c r="AD155" t="b">
        <f t="shared" si="29"/>
        <v>1</v>
      </c>
      <c r="AE155">
        <v>0</v>
      </c>
      <c r="AF155">
        <v>0</v>
      </c>
      <c r="AG155" t="b">
        <f t="shared" si="30"/>
        <v>1</v>
      </c>
      <c r="AH155">
        <v>0</v>
      </c>
      <c r="AI155">
        <v>0</v>
      </c>
      <c r="AJ155" t="b">
        <f t="shared" si="31"/>
        <v>1</v>
      </c>
      <c r="AK155">
        <v>2623008.77</v>
      </c>
      <c r="AL155">
        <v>2623008.77</v>
      </c>
      <c r="AM155" t="b">
        <f t="shared" si="32"/>
        <v>1</v>
      </c>
    </row>
    <row r="156" hidden="1" spans="1:39">
      <c r="A156">
        <v>45741</v>
      </c>
      <c r="B156" t="s">
        <v>38</v>
      </c>
      <c r="C156" t="s">
        <v>130</v>
      </c>
      <c r="D156" t="s">
        <v>49</v>
      </c>
      <c r="E156" t="s">
        <v>254</v>
      </c>
      <c r="F156" t="s">
        <v>543</v>
      </c>
      <c r="G156">
        <v>0</v>
      </c>
      <c r="H156">
        <v>0</v>
      </c>
      <c r="I156" t="b">
        <f t="shared" si="33"/>
        <v>1</v>
      </c>
      <c r="J156">
        <v>0</v>
      </c>
      <c r="K156">
        <v>1568753</v>
      </c>
      <c r="L156" t="b">
        <f t="shared" si="24"/>
        <v>0</v>
      </c>
      <c r="M156">
        <v>1568753</v>
      </c>
      <c r="N156">
        <v>1568753</v>
      </c>
      <c r="O156" t="b">
        <f t="shared" si="25"/>
        <v>1</v>
      </c>
      <c r="P156">
        <v>0</v>
      </c>
      <c r="Q156">
        <v>0</v>
      </c>
      <c r="R156" t="b">
        <f t="shared" si="26"/>
        <v>1</v>
      </c>
      <c r="S156">
        <v>1568753</v>
      </c>
      <c r="T156">
        <v>0</v>
      </c>
      <c r="U156" t="b">
        <f t="shared" si="34"/>
        <v>0</v>
      </c>
      <c r="V156">
        <v>745067.14</v>
      </c>
      <c r="W156">
        <v>849067.14</v>
      </c>
      <c r="X156" t="b">
        <f t="shared" si="27"/>
        <v>0</v>
      </c>
      <c r="Y156">
        <v>1211651.14</v>
      </c>
      <c r="Z156">
        <v>1211651.14</v>
      </c>
      <c r="AA156" t="b">
        <f t="shared" si="28"/>
        <v>1</v>
      </c>
      <c r="AB156">
        <v>1211650</v>
      </c>
      <c r="AC156">
        <v>1211650</v>
      </c>
      <c r="AD156" t="b">
        <f t="shared" si="29"/>
        <v>1</v>
      </c>
      <c r="AE156">
        <v>0</v>
      </c>
      <c r="AF156">
        <v>0</v>
      </c>
      <c r="AG156" t="b">
        <f t="shared" si="30"/>
        <v>1</v>
      </c>
      <c r="AH156">
        <v>1.14</v>
      </c>
      <c r="AI156">
        <v>1.14</v>
      </c>
      <c r="AJ156" t="b">
        <f t="shared" si="31"/>
        <v>1</v>
      </c>
      <c r="AK156">
        <v>745067.14</v>
      </c>
      <c r="AL156">
        <v>849067.14</v>
      </c>
      <c r="AM156" t="b">
        <f t="shared" si="32"/>
        <v>0</v>
      </c>
    </row>
    <row r="157" hidden="1" spans="1:39">
      <c r="A157">
        <v>45741</v>
      </c>
      <c r="B157" t="s">
        <v>31</v>
      </c>
      <c r="C157" t="s">
        <v>115</v>
      </c>
      <c r="D157" t="s">
        <v>255</v>
      </c>
      <c r="E157" t="s">
        <v>256</v>
      </c>
      <c r="F157" t="s">
        <v>544</v>
      </c>
      <c r="G157">
        <v>0</v>
      </c>
      <c r="H157">
        <v>0</v>
      </c>
      <c r="I157" t="b">
        <f t="shared" si="33"/>
        <v>1</v>
      </c>
      <c r="J157">
        <v>0</v>
      </c>
      <c r="K157">
        <v>0</v>
      </c>
      <c r="L157" t="b">
        <f t="shared" si="24"/>
        <v>1</v>
      </c>
      <c r="M157">
        <v>0</v>
      </c>
      <c r="N157">
        <v>0</v>
      </c>
      <c r="O157" t="b">
        <f t="shared" si="25"/>
        <v>1</v>
      </c>
      <c r="P157">
        <v>0</v>
      </c>
      <c r="Q157">
        <v>0</v>
      </c>
      <c r="R157" t="b">
        <f t="shared" si="26"/>
        <v>1</v>
      </c>
      <c r="S157">
        <v>0</v>
      </c>
      <c r="T157">
        <v>0</v>
      </c>
      <c r="U157" t="b">
        <f t="shared" si="34"/>
        <v>1</v>
      </c>
      <c r="V157">
        <v>45451</v>
      </c>
      <c r="W157">
        <v>102685</v>
      </c>
      <c r="X157" t="b">
        <f t="shared" si="27"/>
        <v>0</v>
      </c>
      <c r="Y157">
        <v>102685</v>
      </c>
      <c r="Z157">
        <v>102685</v>
      </c>
      <c r="AA157" t="b">
        <f t="shared" si="28"/>
        <v>1</v>
      </c>
      <c r="AB157">
        <v>102685</v>
      </c>
      <c r="AC157">
        <v>102685</v>
      </c>
      <c r="AD157" t="b">
        <f t="shared" si="29"/>
        <v>1</v>
      </c>
      <c r="AE157">
        <v>0</v>
      </c>
      <c r="AF157">
        <v>0</v>
      </c>
      <c r="AG157" t="b">
        <f t="shared" si="30"/>
        <v>1</v>
      </c>
      <c r="AH157">
        <v>0</v>
      </c>
      <c r="AI157">
        <v>0</v>
      </c>
      <c r="AJ157" t="b">
        <f t="shared" si="31"/>
        <v>1</v>
      </c>
      <c r="AK157">
        <v>45451</v>
      </c>
      <c r="AL157">
        <v>102685</v>
      </c>
      <c r="AM157" t="b">
        <f t="shared" si="32"/>
        <v>0</v>
      </c>
    </row>
    <row r="158" spans="1:39">
      <c r="A158">
        <v>45741</v>
      </c>
      <c r="B158" t="s">
        <v>38</v>
      </c>
      <c r="C158" t="s">
        <v>130</v>
      </c>
      <c r="D158" t="s">
        <v>62</v>
      </c>
      <c r="E158" t="s">
        <v>257</v>
      </c>
      <c r="F158" t="s">
        <v>545</v>
      </c>
      <c r="G158">
        <v>0</v>
      </c>
      <c r="H158">
        <v>0</v>
      </c>
      <c r="I158" t="b">
        <f t="shared" si="33"/>
        <v>1</v>
      </c>
      <c r="J158">
        <v>0</v>
      </c>
      <c r="K158">
        <v>0</v>
      </c>
      <c r="L158" t="b">
        <f t="shared" si="24"/>
        <v>1</v>
      </c>
      <c r="M158">
        <v>0</v>
      </c>
      <c r="N158">
        <v>0</v>
      </c>
      <c r="O158" t="b">
        <f t="shared" si="25"/>
        <v>1</v>
      </c>
      <c r="P158">
        <v>0</v>
      </c>
      <c r="Q158">
        <v>0</v>
      </c>
      <c r="R158" t="b">
        <f t="shared" si="26"/>
        <v>1</v>
      </c>
      <c r="S158">
        <v>0</v>
      </c>
      <c r="T158">
        <v>0</v>
      </c>
      <c r="U158" t="b">
        <f t="shared" si="34"/>
        <v>1</v>
      </c>
      <c r="V158">
        <v>0</v>
      </c>
      <c r="W158">
        <v>0</v>
      </c>
      <c r="X158" t="b">
        <f t="shared" si="27"/>
        <v>1</v>
      </c>
      <c r="Y158">
        <v>1312055</v>
      </c>
      <c r="Z158">
        <v>1312055</v>
      </c>
      <c r="AA158" t="b">
        <f t="shared" si="28"/>
        <v>1</v>
      </c>
      <c r="AB158">
        <v>1312055</v>
      </c>
      <c r="AC158">
        <v>1312055</v>
      </c>
      <c r="AD158" t="b">
        <f t="shared" si="29"/>
        <v>1</v>
      </c>
      <c r="AE158">
        <v>0</v>
      </c>
      <c r="AF158">
        <v>0</v>
      </c>
      <c r="AG158" t="b">
        <f t="shared" si="30"/>
        <v>1</v>
      </c>
      <c r="AH158">
        <v>0</v>
      </c>
      <c r="AI158">
        <v>0</v>
      </c>
      <c r="AJ158" t="b">
        <f t="shared" si="31"/>
        <v>1</v>
      </c>
      <c r="AK158">
        <v>0</v>
      </c>
      <c r="AL158">
        <v>0</v>
      </c>
      <c r="AM158" t="b">
        <f t="shared" si="32"/>
        <v>1</v>
      </c>
    </row>
    <row r="159" spans="1:39">
      <c r="A159">
        <v>45741</v>
      </c>
      <c r="B159" t="s">
        <v>31</v>
      </c>
      <c r="C159" t="s">
        <v>115</v>
      </c>
      <c r="D159" t="s">
        <v>89</v>
      </c>
      <c r="E159" t="s">
        <v>258</v>
      </c>
      <c r="F159" t="s">
        <v>546</v>
      </c>
      <c r="G159">
        <v>0</v>
      </c>
      <c r="H159">
        <v>0</v>
      </c>
      <c r="I159" t="b">
        <f t="shared" si="33"/>
        <v>1</v>
      </c>
      <c r="J159">
        <v>0</v>
      </c>
      <c r="K159">
        <v>0</v>
      </c>
      <c r="L159" t="b">
        <f t="shared" si="24"/>
        <v>1</v>
      </c>
      <c r="M159">
        <v>0</v>
      </c>
      <c r="N159">
        <v>0</v>
      </c>
      <c r="O159" t="b">
        <f t="shared" si="25"/>
        <v>1</v>
      </c>
      <c r="P159">
        <v>0</v>
      </c>
      <c r="Q159">
        <v>0</v>
      </c>
      <c r="R159" t="b">
        <f t="shared" si="26"/>
        <v>1</v>
      </c>
      <c r="S159">
        <v>0</v>
      </c>
      <c r="T159">
        <v>0</v>
      </c>
      <c r="U159" t="b">
        <f t="shared" si="34"/>
        <v>1</v>
      </c>
      <c r="V159">
        <v>0</v>
      </c>
      <c r="W159">
        <v>0</v>
      </c>
      <c r="X159" t="b">
        <f t="shared" si="27"/>
        <v>1</v>
      </c>
      <c r="Y159">
        <v>33353</v>
      </c>
      <c r="Z159">
        <v>33353</v>
      </c>
      <c r="AA159" t="b">
        <f t="shared" si="28"/>
        <v>1</v>
      </c>
      <c r="AB159">
        <v>33353</v>
      </c>
      <c r="AC159">
        <v>33353</v>
      </c>
      <c r="AD159" t="b">
        <f t="shared" si="29"/>
        <v>1</v>
      </c>
      <c r="AE159">
        <v>0</v>
      </c>
      <c r="AF159">
        <v>0</v>
      </c>
      <c r="AG159" t="b">
        <f t="shared" si="30"/>
        <v>1</v>
      </c>
      <c r="AH159">
        <v>0</v>
      </c>
      <c r="AI159">
        <v>0</v>
      </c>
      <c r="AJ159" t="b">
        <f t="shared" si="31"/>
        <v>1</v>
      </c>
      <c r="AK159">
        <v>0</v>
      </c>
      <c r="AL159">
        <v>0</v>
      </c>
      <c r="AM159" t="b">
        <f t="shared" si="32"/>
        <v>1</v>
      </c>
    </row>
    <row r="160" hidden="1" spans="1:39">
      <c r="A160">
        <v>45741</v>
      </c>
      <c r="B160" t="s">
        <v>59</v>
      </c>
      <c r="C160" t="s">
        <v>115</v>
      </c>
      <c r="D160" t="s">
        <v>60</v>
      </c>
      <c r="E160" t="s">
        <v>259</v>
      </c>
      <c r="F160" t="s">
        <v>547</v>
      </c>
      <c r="G160">
        <v>1142097</v>
      </c>
      <c r="H160">
        <v>1142097</v>
      </c>
      <c r="I160" t="b">
        <f t="shared" si="33"/>
        <v>1</v>
      </c>
      <c r="J160">
        <v>3631001</v>
      </c>
      <c r="K160">
        <v>3631001</v>
      </c>
      <c r="L160" t="b">
        <f t="shared" si="24"/>
        <v>1</v>
      </c>
      <c r="M160">
        <v>3602429.6</v>
      </c>
      <c r="N160">
        <v>3600229.6</v>
      </c>
      <c r="O160" t="b">
        <f t="shared" si="25"/>
        <v>0</v>
      </c>
      <c r="P160">
        <v>0</v>
      </c>
      <c r="Q160">
        <v>0</v>
      </c>
      <c r="R160" t="b">
        <f t="shared" si="26"/>
        <v>1</v>
      </c>
      <c r="S160">
        <v>28571.4</v>
      </c>
      <c r="T160">
        <v>30771.4</v>
      </c>
      <c r="U160" t="b">
        <f t="shared" si="34"/>
        <v>0</v>
      </c>
      <c r="V160">
        <v>838510</v>
      </c>
      <c r="W160">
        <v>870000</v>
      </c>
      <c r="X160" t="b">
        <f t="shared" si="27"/>
        <v>0</v>
      </c>
      <c r="Y160">
        <v>2261631</v>
      </c>
      <c r="Z160">
        <v>2261631</v>
      </c>
      <c r="AA160" t="b">
        <f t="shared" si="28"/>
        <v>1</v>
      </c>
      <c r="AB160">
        <v>3090870.27</v>
      </c>
      <c r="AC160">
        <v>2261631</v>
      </c>
      <c r="AD160" t="b">
        <f t="shared" si="29"/>
        <v>0</v>
      </c>
      <c r="AE160">
        <v>0</v>
      </c>
      <c r="AF160">
        <v>0</v>
      </c>
      <c r="AG160" t="b">
        <f t="shared" si="30"/>
        <v>1</v>
      </c>
      <c r="AH160">
        <v>829239.27</v>
      </c>
      <c r="AI160">
        <v>0</v>
      </c>
      <c r="AJ160" t="b">
        <f t="shared" si="31"/>
        <v>0</v>
      </c>
      <c r="AK160">
        <v>303587</v>
      </c>
      <c r="AL160">
        <v>272097</v>
      </c>
      <c r="AM160" t="b">
        <f t="shared" si="32"/>
        <v>0</v>
      </c>
    </row>
    <row r="161" hidden="1" spans="1:39">
      <c r="A161">
        <v>45741</v>
      </c>
      <c r="B161" t="s">
        <v>27</v>
      </c>
      <c r="C161" t="s">
        <v>120</v>
      </c>
      <c r="D161" t="s">
        <v>64</v>
      </c>
      <c r="E161" t="s">
        <v>260</v>
      </c>
      <c r="F161" t="s">
        <v>548</v>
      </c>
      <c r="G161">
        <v>0</v>
      </c>
      <c r="H161">
        <v>0</v>
      </c>
      <c r="I161" t="b">
        <f t="shared" si="33"/>
        <v>1</v>
      </c>
      <c r="J161">
        <v>2500000</v>
      </c>
      <c r="K161">
        <v>2500000</v>
      </c>
      <c r="L161" t="b">
        <f t="shared" si="24"/>
        <v>1</v>
      </c>
      <c r="M161">
        <v>2500000</v>
      </c>
      <c r="N161">
        <v>2500000</v>
      </c>
      <c r="O161" t="b">
        <f t="shared" si="25"/>
        <v>1</v>
      </c>
      <c r="P161">
        <v>0</v>
      </c>
      <c r="Q161">
        <v>0</v>
      </c>
      <c r="R161" t="b">
        <f t="shared" si="26"/>
        <v>1</v>
      </c>
      <c r="S161">
        <v>0</v>
      </c>
      <c r="T161">
        <v>0</v>
      </c>
      <c r="U161" t="b">
        <f t="shared" si="34"/>
        <v>1</v>
      </c>
      <c r="V161">
        <v>0</v>
      </c>
      <c r="W161">
        <v>0</v>
      </c>
      <c r="X161" t="b">
        <f t="shared" si="27"/>
        <v>1</v>
      </c>
      <c r="Y161">
        <v>11000</v>
      </c>
      <c r="Z161">
        <v>156000</v>
      </c>
      <c r="AA161" t="b">
        <f t="shared" si="28"/>
        <v>0</v>
      </c>
      <c r="AB161">
        <v>156000</v>
      </c>
      <c r="AC161">
        <v>156000</v>
      </c>
      <c r="AD161" t="b">
        <f t="shared" si="29"/>
        <v>1</v>
      </c>
      <c r="AE161">
        <v>0</v>
      </c>
      <c r="AF161">
        <v>0</v>
      </c>
      <c r="AG161" t="b">
        <f t="shared" si="30"/>
        <v>1</v>
      </c>
      <c r="AH161">
        <v>145000</v>
      </c>
      <c r="AI161">
        <v>0</v>
      </c>
      <c r="AJ161" t="b">
        <f t="shared" si="31"/>
        <v>0</v>
      </c>
      <c r="AK161">
        <v>0</v>
      </c>
      <c r="AL161">
        <v>0</v>
      </c>
      <c r="AM161" t="b">
        <f t="shared" si="32"/>
        <v>1</v>
      </c>
    </row>
    <row r="162" spans="1:39">
      <c r="A162">
        <v>45741</v>
      </c>
      <c r="B162" t="s">
        <v>38</v>
      </c>
      <c r="C162" t="s">
        <v>130</v>
      </c>
      <c r="D162" t="s">
        <v>99</v>
      </c>
      <c r="E162" t="s">
        <v>261</v>
      </c>
      <c r="F162" t="s">
        <v>549</v>
      </c>
      <c r="G162">
        <v>0</v>
      </c>
      <c r="H162">
        <v>0</v>
      </c>
      <c r="I162" t="b">
        <f t="shared" si="33"/>
        <v>1</v>
      </c>
      <c r="J162">
        <v>0</v>
      </c>
      <c r="K162">
        <v>0</v>
      </c>
      <c r="L162" t="b">
        <f t="shared" si="24"/>
        <v>1</v>
      </c>
      <c r="M162">
        <v>0</v>
      </c>
      <c r="N162">
        <v>0</v>
      </c>
      <c r="O162" t="b">
        <f t="shared" si="25"/>
        <v>1</v>
      </c>
      <c r="P162">
        <v>0</v>
      </c>
      <c r="Q162">
        <v>0</v>
      </c>
      <c r="R162" t="b">
        <f t="shared" si="26"/>
        <v>1</v>
      </c>
      <c r="S162">
        <v>0</v>
      </c>
      <c r="T162">
        <v>0</v>
      </c>
      <c r="U162" t="b">
        <f t="shared" si="34"/>
        <v>1</v>
      </c>
      <c r="V162">
        <v>0</v>
      </c>
      <c r="W162">
        <v>0</v>
      </c>
      <c r="X162" t="b">
        <f t="shared" si="27"/>
        <v>1</v>
      </c>
      <c r="Y162">
        <v>55000</v>
      </c>
      <c r="Z162">
        <v>55000</v>
      </c>
      <c r="AA162" t="b">
        <f t="shared" si="28"/>
        <v>1</v>
      </c>
      <c r="AB162">
        <v>55000</v>
      </c>
      <c r="AC162">
        <v>55000</v>
      </c>
      <c r="AD162" t="b">
        <f t="shared" si="29"/>
        <v>1</v>
      </c>
      <c r="AE162">
        <v>0</v>
      </c>
      <c r="AF162">
        <v>0</v>
      </c>
      <c r="AG162" t="b">
        <f t="shared" si="30"/>
        <v>1</v>
      </c>
      <c r="AH162">
        <v>0</v>
      </c>
      <c r="AI162">
        <v>0</v>
      </c>
      <c r="AJ162" t="b">
        <f t="shared" si="31"/>
        <v>1</v>
      </c>
      <c r="AK162">
        <v>0</v>
      </c>
      <c r="AL162">
        <v>0</v>
      </c>
      <c r="AM162" t="b">
        <f t="shared" si="32"/>
        <v>1</v>
      </c>
    </row>
    <row r="163" hidden="1" spans="1:39">
      <c r="A163">
        <v>45741</v>
      </c>
      <c r="B163" t="s">
        <v>31</v>
      </c>
      <c r="C163" t="s">
        <v>115</v>
      </c>
      <c r="D163" t="s">
        <v>69</v>
      </c>
      <c r="E163" t="s">
        <v>262</v>
      </c>
      <c r="F163" t="s">
        <v>550</v>
      </c>
      <c r="G163">
        <v>0</v>
      </c>
      <c r="H163">
        <v>3011623.2</v>
      </c>
      <c r="I163" t="b">
        <f t="shared" si="33"/>
        <v>0</v>
      </c>
      <c r="J163">
        <v>0</v>
      </c>
      <c r="K163">
        <v>3011623.2</v>
      </c>
      <c r="L163" t="b">
        <f t="shared" si="24"/>
        <v>0</v>
      </c>
      <c r="M163">
        <v>3011623.2</v>
      </c>
      <c r="N163">
        <v>3011623.2</v>
      </c>
      <c r="O163" t="b">
        <f t="shared" si="25"/>
        <v>1</v>
      </c>
      <c r="P163">
        <v>0</v>
      </c>
      <c r="Q163">
        <v>0</v>
      </c>
      <c r="R163" t="b">
        <f t="shared" si="26"/>
        <v>1</v>
      </c>
      <c r="S163">
        <v>3011623.2</v>
      </c>
      <c r="T163">
        <v>0</v>
      </c>
      <c r="U163" t="b">
        <f t="shared" si="34"/>
        <v>0</v>
      </c>
      <c r="V163">
        <v>827000</v>
      </c>
      <c r="W163">
        <v>830100</v>
      </c>
      <c r="X163" t="b">
        <f t="shared" si="27"/>
        <v>0</v>
      </c>
      <c r="Y163">
        <v>5690525</v>
      </c>
      <c r="Z163">
        <v>5690525</v>
      </c>
      <c r="AA163" t="b">
        <f t="shared" si="28"/>
        <v>1</v>
      </c>
      <c r="AB163">
        <v>5660425</v>
      </c>
      <c r="AC163">
        <v>5660425</v>
      </c>
      <c r="AD163" t="b">
        <f t="shared" si="29"/>
        <v>1</v>
      </c>
      <c r="AE163">
        <v>6500</v>
      </c>
      <c r="AF163">
        <v>6500</v>
      </c>
      <c r="AG163" t="b">
        <f t="shared" si="30"/>
        <v>1</v>
      </c>
      <c r="AH163">
        <v>23600</v>
      </c>
      <c r="AI163">
        <v>23600</v>
      </c>
      <c r="AJ163" t="b">
        <f t="shared" si="31"/>
        <v>1</v>
      </c>
      <c r="AK163">
        <v>827000</v>
      </c>
      <c r="AL163">
        <v>2181523.2</v>
      </c>
      <c r="AM163" t="b">
        <f t="shared" si="32"/>
        <v>0</v>
      </c>
    </row>
    <row r="164" hidden="1" spans="1:39">
      <c r="A164">
        <v>45741</v>
      </c>
      <c r="B164" t="s">
        <v>38</v>
      </c>
      <c r="C164" t="s">
        <v>130</v>
      </c>
      <c r="D164" t="s">
        <v>185</v>
      </c>
      <c r="E164" t="s">
        <v>263</v>
      </c>
      <c r="F164" t="s">
        <v>551</v>
      </c>
      <c r="G164">
        <v>0</v>
      </c>
      <c r="H164">
        <v>0</v>
      </c>
      <c r="I164" t="b">
        <f t="shared" si="33"/>
        <v>1</v>
      </c>
      <c r="J164">
        <v>14000000</v>
      </c>
      <c r="K164">
        <v>14000000</v>
      </c>
      <c r="L164" t="b">
        <f t="shared" si="24"/>
        <v>1</v>
      </c>
      <c r="M164">
        <v>14000000</v>
      </c>
      <c r="N164">
        <v>14000000</v>
      </c>
      <c r="O164" t="b">
        <f t="shared" si="25"/>
        <v>1</v>
      </c>
      <c r="P164">
        <v>0</v>
      </c>
      <c r="Q164">
        <v>0</v>
      </c>
      <c r="R164" t="b">
        <f t="shared" si="26"/>
        <v>1</v>
      </c>
      <c r="S164">
        <v>0</v>
      </c>
      <c r="T164">
        <v>0</v>
      </c>
      <c r="U164" t="b">
        <f t="shared" si="34"/>
        <v>1</v>
      </c>
      <c r="V164">
        <v>150000</v>
      </c>
      <c r="W164">
        <v>550000</v>
      </c>
      <c r="X164" t="b">
        <f t="shared" si="27"/>
        <v>0</v>
      </c>
      <c r="Y164">
        <v>2044032</v>
      </c>
      <c r="Z164">
        <v>3294032</v>
      </c>
      <c r="AA164" t="b">
        <f t="shared" si="28"/>
        <v>0</v>
      </c>
      <c r="AB164">
        <v>3294032</v>
      </c>
      <c r="AC164">
        <v>3294032</v>
      </c>
      <c r="AD164" t="b">
        <f t="shared" si="29"/>
        <v>1</v>
      </c>
      <c r="AE164">
        <v>0</v>
      </c>
      <c r="AF164">
        <v>0</v>
      </c>
      <c r="AG164" t="b">
        <f t="shared" si="30"/>
        <v>1</v>
      </c>
      <c r="AH164">
        <v>1250000</v>
      </c>
      <c r="AI164">
        <v>0</v>
      </c>
      <c r="AJ164" t="b">
        <f t="shared" si="31"/>
        <v>0</v>
      </c>
      <c r="AK164">
        <v>150000</v>
      </c>
      <c r="AL164">
        <v>550000</v>
      </c>
      <c r="AM164" t="b">
        <f t="shared" si="32"/>
        <v>0</v>
      </c>
    </row>
    <row r="165" spans="1:39">
      <c r="A165">
        <v>45741</v>
      </c>
      <c r="B165" t="s">
        <v>31</v>
      </c>
      <c r="C165" t="s">
        <v>115</v>
      </c>
      <c r="D165" t="s">
        <v>87</v>
      </c>
      <c r="E165" t="s">
        <v>264</v>
      </c>
      <c r="F165" t="s">
        <v>552</v>
      </c>
      <c r="G165">
        <v>0</v>
      </c>
      <c r="H165">
        <v>0</v>
      </c>
      <c r="I165" t="b">
        <f t="shared" si="33"/>
        <v>1</v>
      </c>
      <c r="J165">
        <v>0</v>
      </c>
      <c r="K165">
        <v>0</v>
      </c>
      <c r="L165" t="b">
        <f t="shared" si="24"/>
        <v>1</v>
      </c>
      <c r="M165">
        <v>0</v>
      </c>
      <c r="N165">
        <v>0</v>
      </c>
      <c r="O165" t="b">
        <f t="shared" si="25"/>
        <v>1</v>
      </c>
      <c r="P165">
        <v>0</v>
      </c>
      <c r="Q165">
        <v>0</v>
      </c>
      <c r="R165" t="b">
        <f t="shared" si="26"/>
        <v>1</v>
      </c>
      <c r="S165">
        <v>0</v>
      </c>
      <c r="T165">
        <v>0</v>
      </c>
      <c r="U165" t="b">
        <f t="shared" si="34"/>
        <v>1</v>
      </c>
      <c r="V165">
        <v>0</v>
      </c>
      <c r="W165">
        <v>0</v>
      </c>
      <c r="X165" t="b">
        <f t="shared" si="27"/>
        <v>1</v>
      </c>
      <c r="Y165">
        <v>585000.79</v>
      </c>
      <c r="Z165">
        <v>585000.79</v>
      </c>
      <c r="AA165" t="b">
        <f t="shared" si="28"/>
        <v>1</v>
      </c>
      <c r="AB165">
        <v>585000.79</v>
      </c>
      <c r="AC165">
        <v>585000.79</v>
      </c>
      <c r="AD165" t="b">
        <f t="shared" si="29"/>
        <v>1</v>
      </c>
      <c r="AE165">
        <v>0</v>
      </c>
      <c r="AF165">
        <v>0</v>
      </c>
      <c r="AG165" t="b">
        <f t="shared" si="30"/>
        <v>1</v>
      </c>
      <c r="AH165">
        <v>0</v>
      </c>
      <c r="AI165">
        <v>0</v>
      </c>
      <c r="AJ165" t="b">
        <f t="shared" si="31"/>
        <v>1</v>
      </c>
      <c r="AK165">
        <v>0</v>
      </c>
      <c r="AL165">
        <v>0</v>
      </c>
      <c r="AM165" t="b">
        <f t="shared" si="32"/>
        <v>1</v>
      </c>
    </row>
    <row r="166" hidden="1" spans="1:39">
      <c r="A166">
        <v>45741</v>
      </c>
      <c r="B166" t="s">
        <v>38</v>
      </c>
      <c r="C166" t="s">
        <v>130</v>
      </c>
      <c r="D166" t="s">
        <v>265</v>
      </c>
      <c r="E166" t="s">
        <v>266</v>
      </c>
      <c r="F166" t="s">
        <v>553</v>
      </c>
      <c r="G166">
        <v>0</v>
      </c>
      <c r="H166">
        <v>0</v>
      </c>
      <c r="I166" t="b">
        <f t="shared" si="33"/>
        <v>1</v>
      </c>
      <c r="J166">
        <v>0</v>
      </c>
      <c r="K166">
        <v>928816</v>
      </c>
      <c r="L166" t="b">
        <f t="shared" si="24"/>
        <v>0</v>
      </c>
      <c r="M166">
        <v>928816</v>
      </c>
      <c r="N166">
        <v>928816</v>
      </c>
      <c r="O166" t="b">
        <f t="shared" si="25"/>
        <v>1</v>
      </c>
      <c r="P166">
        <v>0</v>
      </c>
      <c r="Q166">
        <v>0</v>
      </c>
      <c r="R166" t="b">
        <f t="shared" si="26"/>
        <v>1</v>
      </c>
      <c r="S166">
        <v>928816</v>
      </c>
      <c r="T166">
        <v>0</v>
      </c>
      <c r="U166" t="b">
        <f t="shared" si="34"/>
        <v>0</v>
      </c>
      <c r="V166">
        <v>0</v>
      </c>
      <c r="W166">
        <v>0</v>
      </c>
      <c r="X166" t="b">
        <f t="shared" si="27"/>
        <v>1</v>
      </c>
      <c r="Y166">
        <v>0</v>
      </c>
      <c r="Z166">
        <v>0</v>
      </c>
      <c r="AA166" t="b">
        <f t="shared" si="28"/>
        <v>1</v>
      </c>
      <c r="AB166">
        <v>0</v>
      </c>
      <c r="AC166">
        <v>0</v>
      </c>
      <c r="AD166" t="b">
        <f t="shared" si="29"/>
        <v>1</v>
      </c>
      <c r="AE166">
        <v>0</v>
      </c>
      <c r="AF166">
        <v>0</v>
      </c>
      <c r="AG166" t="b">
        <f t="shared" si="30"/>
        <v>1</v>
      </c>
      <c r="AH166">
        <v>0</v>
      </c>
      <c r="AI166">
        <v>0</v>
      </c>
      <c r="AJ166" t="b">
        <f t="shared" si="31"/>
        <v>1</v>
      </c>
      <c r="AK166">
        <v>0</v>
      </c>
      <c r="AL166">
        <v>0</v>
      </c>
      <c r="AM166" t="b">
        <f t="shared" si="32"/>
        <v>1</v>
      </c>
    </row>
    <row r="167" spans="1:39">
      <c r="A167">
        <v>45741</v>
      </c>
      <c r="B167" t="s">
        <v>27</v>
      </c>
      <c r="C167" t="s">
        <v>120</v>
      </c>
      <c r="D167" t="s">
        <v>71</v>
      </c>
      <c r="E167" t="s">
        <v>267</v>
      </c>
      <c r="F167" t="s">
        <v>554</v>
      </c>
      <c r="G167">
        <v>399072.26</v>
      </c>
      <c r="H167">
        <v>399072.26</v>
      </c>
      <c r="I167" t="b">
        <f t="shared" si="33"/>
        <v>1</v>
      </c>
      <c r="J167">
        <v>399072.26</v>
      </c>
      <c r="K167">
        <v>399072.26</v>
      </c>
      <c r="L167" t="b">
        <f t="shared" si="24"/>
        <v>1</v>
      </c>
      <c r="M167">
        <v>0</v>
      </c>
      <c r="N167">
        <v>0</v>
      </c>
      <c r="O167" t="b">
        <f t="shared" si="25"/>
        <v>1</v>
      </c>
      <c r="P167">
        <v>399072.26</v>
      </c>
      <c r="Q167">
        <v>399072.26</v>
      </c>
      <c r="R167" t="b">
        <f t="shared" si="26"/>
        <v>1</v>
      </c>
      <c r="S167">
        <v>0</v>
      </c>
      <c r="T167">
        <v>0</v>
      </c>
      <c r="U167" t="b">
        <f t="shared" si="34"/>
        <v>1</v>
      </c>
      <c r="V167">
        <v>0</v>
      </c>
      <c r="W167">
        <v>0</v>
      </c>
      <c r="X167" t="b">
        <f t="shared" si="27"/>
        <v>1</v>
      </c>
      <c r="Y167">
        <v>0</v>
      </c>
      <c r="Z167">
        <v>0</v>
      </c>
      <c r="AA167" t="b">
        <f t="shared" si="28"/>
        <v>1</v>
      </c>
      <c r="AB167">
        <v>0</v>
      </c>
      <c r="AC167">
        <v>0</v>
      </c>
      <c r="AD167" t="b">
        <f t="shared" si="29"/>
        <v>1</v>
      </c>
      <c r="AE167">
        <v>0</v>
      </c>
      <c r="AF167">
        <v>0</v>
      </c>
      <c r="AG167" t="b">
        <f t="shared" si="30"/>
        <v>1</v>
      </c>
      <c r="AH167">
        <v>0</v>
      </c>
      <c r="AI167">
        <v>0</v>
      </c>
      <c r="AJ167" t="b">
        <f t="shared" si="31"/>
        <v>1</v>
      </c>
      <c r="AK167">
        <v>399072.26</v>
      </c>
      <c r="AL167">
        <v>399072.26</v>
      </c>
      <c r="AM167" t="b">
        <f t="shared" si="32"/>
        <v>1</v>
      </c>
    </row>
    <row r="168" spans="1:39">
      <c r="A168">
        <v>45741</v>
      </c>
      <c r="B168" t="s">
        <v>59</v>
      </c>
      <c r="C168" t="s">
        <v>115</v>
      </c>
      <c r="D168" t="s">
        <v>60</v>
      </c>
      <c r="E168" t="s">
        <v>268</v>
      </c>
      <c r="F168" t="s">
        <v>555</v>
      </c>
      <c r="G168">
        <v>207625</v>
      </c>
      <c r="H168">
        <v>207625</v>
      </c>
      <c r="I168" t="b">
        <f t="shared" si="33"/>
        <v>1</v>
      </c>
      <c r="J168">
        <v>1668425</v>
      </c>
      <c r="K168">
        <v>1668425</v>
      </c>
      <c r="L168" t="b">
        <f t="shared" si="24"/>
        <v>1</v>
      </c>
      <c r="M168">
        <v>1668425</v>
      </c>
      <c r="N168">
        <v>1668425</v>
      </c>
      <c r="O168" t="b">
        <f t="shared" si="25"/>
        <v>1</v>
      </c>
      <c r="P168">
        <v>0</v>
      </c>
      <c r="Q168">
        <v>0</v>
      </c>
      <c r="R168" t="b">
        <f t="shared" si="26"/>
        <v>1</v>
      </c>
      <c r="S168">
        <v>0</v>
      </c>
      <c r="T168">
        <v>0</v>
      </c>
      <c r="U168" t="b">
        <f t="shared" si="34"/>
        <v>1</v>
      </c>
      <c r="V168">
        <v>0</v>
      </c>
      <c r="W168">
        <v>0</v>
      </c>
      <c r="X168" t="b">
        <f t="shared" si="27"/>
        <v>1</v>
      </c>
      <c r="Y168">
        <v>0</v>
      </c>
      <c r="Z168">
        <v>0</v>
      </c>
      <c r="AA168" t="b">
        <f t="shared" si="28"/>
        <v>1</v>
      </c>
      <c r="AB168">
        <v>0</v>
      </c>
      <c r="AC168">
        <v>0</v>
      </c>
      <c r="AD168" t="b">
        <f t="shared" si="29"/>
        <v>1</v>
      </c>
      <c r="AE168">
        <v>0</v>
      </c>
      <c r="AF168">
        <v>0</v>
      </c>
      <c r="AG168" t="b">
        <f t="shared" si="30"/>
        <v>1</v>
      </c>
      <c r="AH168">
        <v>0</v>
      </c>
      <c r="AI168">
        <v>0</v>
      </c>
      <c r="AJ168" t="b">
        <f t="shared" si="31"/>
        <v>1</v>
      </c>
      <c r="AK168">
        <v>207625</v>
      </c>
      <c r="AL168">
        <v>207625</v>
      </c>
      <c r="AM168" t="b">
        <f t="shared" si="32"/>
        <v>1</v>
      </c>
    </row>
    <row r="169" spans="1:39">
      <c r="A169">
        <v>45741</v>
      </c>
      <c r="B169" t="s">
        <v>59</v>
      </c>
      <c r="C169" t="s">
        <v>115</v>
      </c>
      <c r="D169" t="s">
        <v>151</v>
      </c>
      <c r="E169" t="s">
        <v>269</v>
      </c>
      <c r="F169" t="s">
        <v>556</v>
      </c>
      <c r="G169">
        <v>0</v>
      </c>
      <c r="H169">
        <v>0</v>
      </c>
      <c r="I169" t="b">
        <f t="shared" si="33"/>
        <v>1</v>
      </c>
      <c r="J169">
        <v>0</v>
      </c>
      <c r="K169">
        <v>0</v>
      </c>
      <c r="L169" t="b">
        <f t="shared" si="24"/>
        <v>1</v>
      </c>
      <c r="M169">
        <v>0</v>
      </c>
      <c r="N169">
        <v>0</v>
      </c>
      <c r="O169" t="b">
        <f t="shared" si="25"/>
        <v>1</v>
      </c>
      <c r="P169">
        <v>0</v>
      </c>
      <c r="Q169">
        <v>0</v>
      </c>
      <c r="R169" t="b">
        <f t="shared" si="26"/>
        <v>1</v>
      </c>
      <c r="S169">
        <v>0</v>
      </c>
      <c r="T169">
        <v>0</v>
      </c>
      <c r="U169" t="b">
        <f t="shared" si="34"/>
        <v>1</v>
      </c>
      <c r="V169">
        <v>0</v>
      </c>
      <c r="W169">
        <v>0</v>
      </c>
      <c r="X169" t="b">
        <f t="shared" si="27"/>
        <v>1</v>
      </c>
      <c r="Y169">
        <v>15407</v>
      </c>
      <c r="Z169">
        <v>15407</v>
      </c>
      <c r="AA169" t="b">
        <f t="shared" si="28"/>
        <v>1</v>
      </c>
      <c r="AB169">
        <v>15407</v>
      </c>
      <c r="AC169">
        <v>15407</v>
      </c>
      <c r="AD169" t="b">
        <f t="shared" si="29"/>
        <v>1</v>
      </c>
      <c r="AE169">
        <v>0</v>
      </c>
      <c r="AF169">
        <v>0</v>
      </c>
      <c r="AG169" t="b">
        <f t="shared" si="30"/>
        <v>1</v>
      </c>
      <c r="AH169">
        <v>0</v>
      </c>
      <c r="AI169">
        <v>0</v>
      </c>
      <c r="AJ169" t="b">
        <f t="shared" si="31"/>
        <v>1</v>
      </c>
      <c r="AK169">
        <v>0</v>
      </c>
      <c r="AL169">
        <v>0</v>
      </c>
      <c r="AM169" t="b">
        <f t="shared" si="32"/>
        <v>1</v>
      </c>
    </row>
    <row r="170" spans="1:39">
      <c r="A170">
        <v>45741</v>
      </c>
      <c r="B170" t="s">
        <v>27</v>
      </c>
      <c r="C170" t="s">
        <v>120</v>
      </c>
      <c r="D170" t="s">
        <v>270</v>
      </c>
      <c r="E170" t="s">
        <v>271</v>
      </c>
      <c r="F170" t="s">
        <v>557</v>
      </c>
      <c r="G170">
        <v>0</v>
      </c>
      <c r="H170">
        <v>0</v>
      </c>
      <c r="I170" t="b">
        <f t="shared" si="33"/>
        <v>1</v>
      </c>
      <c r="J170">
        <v>0</v>
      </c>
      <c r="K170">
        <v>0</v>
      </c>
      <c r="L170" t="b">
        <f t="shared" si="24"/>
        <v>1</v>
      </c>
      <c r="M170">
        <v>0</v>
      </c>
      <c r="N170">
        <v>0</v>
      </c>
      <c r="O170" t="b">
        <f t="shared" si="25"/>
        <v>1</v>
      </c>
      <c r="P170">
        <v>0</v>
      </c>
      <c r="Q170">
        <v>0</v>
      </c>
      <c r="R170" t="b">
        <f t="shared" si="26"/>
        <v>1</v>
      </c>
      <c r="S170">
        <v>0</v>
      </c>
      <c r="T170">
        <v>0</v>
      </c>
      <c r="U170" t="b">
        <f t="shared" si="34"/>
        <v>1</v>
      </c>
      <c r="V170">
        <v>0</v>
      </c>
      <c r="W170">
        <v>0</v>
      </c>
      <c r="X170" t="b">
        <f t="shared" si="27"/>
        <v>1</v>
      </c>
      <c r="Y170">
        <v>14500</v>
      </c>
      <c r="Z170">
        <v>14500</v>
      </c>
      <c r="AA170" t="b">
        <f t="shared" si="28"/>
        <v>1</v>
      </c>
      <c r="AB170">
        <v>14500</v>
      </c>
      <c r="AC170">
        <v>14500</v>
      </c>
      <c r="AD170" t="b">
        <f t="shared" si="29"/>
        <v>1</v>
      </c>
      <c r="AE170">
        <v>0</v>
      </c>
      <c r="AF170">
        <v>0</v>
      </c>
      <c r="AG170" t="b">
        <f t="shared" si="30"/>
        <v>1</v>
      </c>
      <c r="AH170">
        <v>0</v>
      </c>
      <c r="AI170">
        <v>0</v>
      </c>
      <c r="AJ170" t="b">
        <f t="shared" si="31"/>
        <v>1</v>
      </c>
      <c r="AK170">
        <v>0</v>
      </c>
      <c r="AL170">
        <v>0</v>
      </c>
      <c r="AM170" t="b">
        <f t="shared" si="32"/>
        <v>1</v>
      </c>
    </row>
    <row r="171" spans="1:39">
      <c r="A171">
        <v>45741</v>
      </c>
      <c r="B171" t="s">
        <v>31</v>
      </c>
      <c r="C171" t="s">
        <v>115</v>
      </c>
      <c r="D171" t="s">
        <v>272</v>
      </c>
      <c r="E171" t="s">
        <v>273</v>
      </c>
      <c r="F171" t="s">
        <v>558</v>
      </c>
      <c r="G171">
        <v>175142</v>
      </c>
      <c r="H171">
        <v>175142</v>
      </c>
      <c r="I171" t="b">
        <f t="shared" si="33"/>
        <v>1</v>
      </c>
      <c r="J171">
        <v>175142</v>
      </c>
      <c r="K171">
        <v>175142</v>
      </c>
      <c r="L171" t="b">
        <f t="shared" si="24"/>
        <v>1</v>
      </c>
      <c r="M171">
        <v>175142</v>
      </c>
      <c r="N171">
        <v>175142</v>
      </c>
      <c r="O171" t="b">
        <f t="shared" si="25"/>
        <v>1</v>
      </c>
      <c r="P171">
        <v>0</v>
      </c>
      <c r="Q171">
        <v>0</v>
      </c>
      <c r="R171" t="b">
        <f t="shared" si="26"/>
        <v>1</v>
      </c>
      <c r="S171">
        <v>0</v>
      </c>
      <c r="T171">
        <v>0</v>
      </c>
      <c r="U171" t="b">
        <f t="shared" si="34"/>
        <v>1</v>
      </c>
      <c r="V171">
        <v>140066</v>
      </c>
      <c r="W171">
        <v>140066</v>
      </c>
      <c r="X171" t="b">
        <f t="shared" si="27"/>
        <v>1</v>
      </c>
      <c r="Y171">
        <v>192445</v>
      </c>
      <c r="Z171">
        <v>192445</v>
      </c>
      <c r="AA171" t="b">
        <f t="shared" si="28"/>
        <v>1</v>
      </c>
      <c r="AB171">
        <v>192445</v>
      </c>
      <c r="AC171">
        <v>192445</v>
      </c>
      <c r="AD171" t="b">
        <f t="shared" si="29"/>
        <v>1</v>
      </c>
      <c r="AE171">
        <v>0</v>
      </c>
      <c r="AF171">
        <v>0</v>
      </c>
      <c r="AG171" t="b">
        <f t="shared" si="30"/>
        <v>1</v>
      </c>
      <c r="AH171">
        <v>0</v>
      </c>
      <c r="AI171">
        <v>0</v>
      </c>
      <c r="AJ171" t="b">
        <f t="shared" si="31"/>
        <v>1</v>
      </c>
      <c r="AK171">
        <v>35076</v>
      </c>
      <c r="AL171">
        <v>35076</v>
      </c>
      <c r="AM171" t="b">
        <f t="shared" si="32"/>
        <v>1</v>
      </c>
    </row>
    <row r="172" spans="1:39">
      <c r="A172">
        <v>45741</v>
      </c>
      <c r="B172" t="s">
        <v>27</v>
      </c>
      <c r="C172" t="s">
        <v>120</v>
      </c>
      <c r="D172" t="s">
        <v>47</v>
      </c>
      <c r="E172" t="s">
        <v>274</v>
      </c>
      <c r="F172" t="s">
        <v>559</v>
      </c>
      <c r="G172">
        <v>0</v>
      </c>
      <c r="H172">
        <v>0</v>
      </c>
      <c r="I172" t="b">
        <f t="shared" si="33"/>
        <v>1</v>
      </c>
      <c r="J172">
        <v>0</v>
      </c>
      <c r="K172">
        <v>0</v>
      </c>
      <c r="L172" t="b">
        <f t="shared" si="24"/>
        <v>1</v>
      </c>
      <c r="M172">
        <v>1232800</v>
      </c>
      <c r="N172">
        <v>1232800</v>
      </c>
      <c r="O172" t="b">
        <f t="shared" si="25"/>
        <v>1</v>
      </c>
      <c r="P172">
        <v>0</v>
      </c>
      <c r="Q172">
        <v>0</v>
      </c>
      <c r="R172" t="b">
        <f t="shared" si="26"/>
        <v>1</v>
      </c>
      <c r="S172">
        <v>1232800</v>
      </c>
      <c r="T172">
        <v>1232800</v>
      </c>
      <c r="U172" t="b">
        <f t="shared" si="34"/>
        <v>1</v>
      </c>
      <c r="V172">
        <v>54100</v>
      </c>
      <c r="W172">
        <v>54100</v>
      </c>
      <c r="X172" t="b">
        <f t="shared" si="27"/>
        <v>1</v>
      </c>
      <c r="Y172">
        <v>54100</v>
      </c>
      <c r="Z172">
        <v>54100</v>
      </c>
      <c r="AA172" t="b">
        <f t="shared" si="28"/>
        <v>1</v>
      </c>
      <c r="AB172">
        <v>907484</v>
      </c>
      <c r="AC172">
        <v>907484</v>
      </c>
      <c r="AD172" t="b">
        <f t="shared" si="29"/>
        <v>1</v>
      </c>
      <c r="AE172">
        <v>0</v>
      </c>
      <c r="AF172">
        <v>0</v>
      </c>
      <c r="AG172" t="b">
        <f t="shared" si="30"/>
        <v>1</v>
      </c>
      <c r="AH172">
        <v>961584</v>
      </c>
      <c r="AI172">
        <v>961584</v>
      </c>
      <c r="AJ172" t="b">
        <f t="shared" si="31"/>
        <v>1</v>
      </c>
      <c r="AK172">
        <v>54100</v>
      </c>
      <c r="AL172">
        <v>54100</v>
      </c>
      <c r="AM172" t="b">
        <f t="shared" si="32"/>
        <v>1</v>
      </c>
    </row>
    <row r="173" hidden="1" spans="1:39">
      <c r="A173">
        <v>45741</v>
      </c>
      <c r="B173" t="s">
        <v>38</v>
      </c>
      <c r="C173" t="s">
        <v>130</v>
      </c>
      <c r="D173" t="s">
        <v>275</v>
      </c>
      <c r="E173" t="s">
        <v>276</v>
      </c>
      <c r="F173" t="s">
        <v>560</v>
      </c>
      <c r="G173">
        <v>0</v>
      </c>
      <c r="H173">
        <v>1197840</v>
      </c>
      <c r="I173" t="b">
        <f t="shared" si="33"/>
        <v>0</v>
      </c>
      <c r="J173">
        <v>5855518</v>
      </c>
      <c r="K173">
        <v>7053358</v>
      </c>
      <c r="L173" t="b">
        <f t="shared" si="24"/>
        <v>0</v>
      </c>
      <c r="M173">
        <v>0</v>
      </c>
      <c r="N173">
        <v>0</v>
      </c>
      <c r="O173" t="b">
        <f t="shared" si="25"/>
        <v>1</v>
      </c>
      <c r="P173">
        <v>0</v>
      </c>
      <c r="Q173">
        <v>0</v>
      </c>
      <c r="R173" t="b">
        <f t="shared" si="26"/>
        <v>1</v>
      </c>
      <c r="S173">
        <v>5855518</v>
      </c>
      <c r="T173">
        <v>7053358</v>
      </c>
      <c r="U173" t="b">
        <f t="shared" si="34"/>
        <v>0</v>
      </c>
      <c r="V173">
        <v>944609.45</v>
      </c>
      <c r="W173">
        <v>1027945.06</v>
      </c>
      <c r="X173" t="b">
        <f t="shared" si="27"/>
        <v>0</v>
      </c>
      <c r="Y173">
        <v>1073620.06</v>
      </c>
      <c r="Z173">
        <v>1073620.06</v>
      </c>
      <c r="AA173" t="b">
        <f t="shared" si="28"/>
        <v>1</v>
      </c>
      <c r="AB173">
        <v>2932529.94</v>
      </c>
      <c r="AC173">
        <v>2932529.94</v>
      </c>
      <c r="AD173" t="b">
        <f t="shared" si="29"/>
        <v>1</v>
      </c>
      <c r="AE173">
        <v>6150</v>
      </c>
      <c r="AF173">
        <v>6150</v>
      </c>
      <c r="AG173" t="b">
        <f t="shared" si="30"/>
        <v>1</v>
      </c>
      <c r="AH173">
        <v>4000000</v>
      </c>
      <c r="AI173">
        <v>4000000</v>
      </c>
      <c r="AJ173" t="b">
        <f t="shared" si="31"/>
        <v>1</v>
      </c>
      <c r="AK173">
        <v>944609.45</v>
      </c>
      <c r="AL173">
        <v>169894.94</v>
      </c>
      <c r="AM173" t="b">
        <f t="shared" si="32"/>
        <v>0</v>
      </c>
    </row>
    <row r="174" spans="1:39">
      <c r="A174">
        <v>45741</v>
      </c>
      <c r="B174" t="s">
        <v>31</v>
      </c>
      <c r="C174" t="s">
        <v>115</v>
      </c>
      <c r="D174" t="s">
        <v>277</v>
      </c>
      <c r="E174" t="s">
        <v>278</v>
      </c>
      <c r="F174" t="s">
        <v>561</v>
      </c>
      <c r="G174">
        <v>317178.4</v>
      </c>
      <c r="H174">
        <v>317178.4</v>
      </c>
      <c r="I174" t="b">
        <f t="shared" si="33"/>
        <v>1</v>
      </c>
      <c r="J174">
        <v>317178.4</v>
      </c>
      <c r="K174">
        <v>317178.4</v>
      </c>
      <c r="L174" t="b">
        <f t="shared" si="24"/>
        <v>1</v>
      </c>
      <c r="M174">
        <v>317178</v>
      </c>
      <c r="N174">
        <v>317178</v>
      </c>
      <c r="O174" t="b">
        <f t="shared" si="25"/>
        <v>1</v>
      </c>
      <c r="P174">
        <v>0</v>
      </c>
      <c r="Q174">
        <v>0</v>
      </c>
      <c r="R174" t="b">
        <f t="shared" si="26"/>
        <v>1</v>
      </c>
      <c r="S174">
        <v>0.4</v>
      </c>
      <c r="T174">
        <v>0.4</v>
      </c>
      <c r="U174" t="b">
        <f t="shared" si="34"/>
        <v>1</v>
      </c>
      <c r="V174">
        <v>0</v>
      </c>
      <c r="W174">
        <v>0</v>
      </c>
      <c r="X174" t="b">
        <f t="shared" si="27"/>
        <v>1</v>
      </c>
      <c r="Y174">
        <v>58437.5</v>
      </c>
      <c r="Z174">
        <v>58437.5</v>
      </c>
      <c r="AA174" t="b">
        <f t="shared" si="28"/>
        <v>1</v>
      </c>
      <c r="AB174">
        <v>58437.5</v>
      </c>
      <c r="AC174">
        <v>58437.5</v>
      </c>
      <c r="AD174" t="b">
        <f t="shared" si="29"/>
        <v>1</v>
      </c>
      <c r="AE174">
        <v>0</v>
      </c>
      <c r="AF174">
        <v>0</v>
      </c>
      <c r="AG174" t="b">
        <f t="shared" si="30"/>
        <v>1</v>
      </c>
      <c r="AH174">
        <v>0</v>
      </c>
      <c r="AI174">
        <v>0</v>
      </c>
      <c r="AJ174" t="b">
        <f t="shared" si="31"/>
        <v>1</v>
      </c>
      <c r="AK174">
        <v>317178.4</v>
      </c>
      <c r="AL174">
        <v>317178.4</v>
      </c>
      <c r="AM174" t="b">
        <f t="shared" si="32"/>
        <v>1</v>
      </c>
    </row>
    <row r="175" spans="1:39">
      <c r="A175">
        <v>45741</v>
      </c>
      <c r="B175" t="s">
        <v>27</v>
      </c>
      <c r="C175" t="s">
        <v>120</v>
      </c>
      <c r="D175" t="s">
        <v>214</v>
      </c>
      <c r="E175" t="s">
        <v>279</v>
      </c>
      <c r="F175" t="s">
        <v>562</v>
      </c>
      <c r="G175">
        <v>5492385.06</v>
      </c>
      <c r="H175">
        <v>5492385.06</v>
      </c>
      <c r="I175" t="b">
        <f t="shared" si="33"/>
        <v>1</v>
      </c>
      <c r="J175">
        <v>5492385.06</v>
      </c>
      <c r="K175">
        <v>5492385.06</v>
      </c>
      <c r="L175" t="b">
        <f t="shared" si="24"/>
        <v>1</v>
      </c>
      <c r="M175">
        <v>5492385.06</v>
      </c>
      <c r="N175">
        <v>5492385.06</v>
      </c>
      <c r="O175" t="b">
        <f t="shared" si="25"/>
        <v>1</v>
      </c>
      <c r="P175">
        <v>0</v>
      </c>
      <c r="Q175">
        <v>0</v>
      </c>
      <c r="R175" t="b">
        <f t="shared" si="26"/>
        <v>1</v>
      </c>
      <c r="S175">
        <v>0</v>
      </c>
      <c r="T175">
        <v>0</v>
      </c>
      <c r="U175" t="b">
        <f t="shared" si="34"/>
        <v>1</v>
      </c>
      <c r="V175">
        <v>0</v>
      </c>
      <c r="W175">
        <v>0</v>
      </c>
      <c r="X175" t="b">
        <f t="shared" si="27"/>
        <v>1</v>
      </c>
      <c r="Y175">
        <v>350000</v>
      </c>
      <c r="Z175">
        <v>350000</v>
      </c>
      <c r="AA175" t="b">
        <f t="shared" si="28"/>
        <v>1</v>
      </c>
      <c r="AB175">
        <v>350000</v>
      </c>
      <c r="AC175">
        <v>350000</v>
      </c>
      <c r="AD175" t="b">
        <f t="shared" si="29"/>
        <v>1</v>
      </c>
      <c r="AE175">
        <v>0</v>
      </c>
      <c r="AF175">
        <v>0</v>
      </c>
      <c r="AG175" t="b">
        <f t="shared" si="30"/>
        <v>1</v>
      </c>
      <c r="AH175">
        <v>0</v>
      </c>
      <c r="AI175">
        <v>0</v>
      </c>
      <c r="AJ175" t="b">
        <f t="shared" si="31"/>
        <v>1</v>
      </c>
      <c r="AK175">
        <v>5492385.06</v>
      </c>
      <c r="AL175">
        <v>5492385.06</v>
      </c>
      <c r="AM175" t="b">
        <f t="shared" si="32"/>
        <v>1</v>
      </c>
    </row>
    <row r="176" spans="1:39">
      <c r="A176">
        <v>45741</v>
      </c>
      <c r="B176" t="s">
        <v>59</v>
      </c>
      <c r="C176" t="s">
        <v>115</v>
      </c>
      <c r="D176" t="s">
        <v>60</v>
      </c>
      <c r="E176" t="s">
        <v>280</v>
      </c>
      <c r="F176" t="s">
        <v>563</v>
      </c>
      <c r="G176">
        <v>0</v>
      </c>
      <c r="H176">
        <v>0</v>
      </c>
      <c r="I176" t="b">
        <f t="shared" si="33"/>
        <v>1</v>
      </c>
      <c r="J176">
        <v>0</v>
      </c>
      <c r="K176">
        <v>0</v>
      </c>
      <c r="L176" t="b">
        <f t="shared" si="24"/>
        <v>1</v>
      </c>
      <c r="M176">
        <v>0</v>
      </c>
      <c r="N176">
        <v>0</v>
      </c>
      <c r="O176" t="b">
        <f t="shared" si="25"/>
        <v>1</v>
      </c>
      <c r="P176">
        <v>0</v>
      </c>
      <c r="Q176">
        <v>0</v>
      </c>
      <c r="R176" t="b">
        <f t="shared" si="26"/>
        <v>1</v>
      </c>
      <c r="S176">
        <v>0</v>
      </c>
      <c r="T176">
        <v>0</v>
      </c>
      <c r="U176" t="b">
        <f t="shared" si="34"/>
        <v>1</v>
      </c>
      <c r="V176">
        <v>0</v>
      </c>
      <c r="W176">
        <v>0</v>
      </c>
      <c r="X176" t="b">
        <f t="shared" si="27"/>
        <v>1</v>
      </c>
      <c r="Y176">
        <v>0</v>
      </c>
      <c r="Z176">
        <v>0</v>
      </c>
      <c r="AA176" t="b">
        <f t="shared" si="28"/>
        <v>1</v>
      </c>
      <c r="AB176">
        <v>34233</v>
      </c>
      <c r="AC176">
        <v>34233</v>
      </c>
      <c r="AD176" t="b">
        <f t="shared" si="29"/>
        <v>1</v>
      </c>
      <c r="AE176">
        <v>126649</v>
      </c>
      <c r="AF176">
        <v>126649</v>
      </c>
      <c r="AG176" t="b">
        <f t="shared" si="30"/>
        <v>1</v>
      </c>
      <c r="AH176">
        <v>92416</v>
      </c>
      <c r="AI176">
        <v>92416</v>
      </c>
      <c r="AJ176" t="b">
        <f t="shared" si="31"/>
        <v>1</v>
      </c>
      <c r="AK176">
        <v>0</v>
      </c>
      <c r="AL176">
        <v>0</v>
      </c>
      <c r="AM176" t="b">
        <f t="shared" si="32"/>
        <v>1</v>
      </c>
    </row>
    <row r="177" spans="1:39">
      <c r="A177">
        <v>45741</v>
      </c>
      <c r="B177" t="s">
        <v>31</v>
      </c>
      <c r="C177" t="s">
        <v>115</v>
      </c>
      <c r="D177" t="s">
        <v>69</v>
      </c>
      <c r="E177" t="s">
        <v>281</v>
      </c>
      <c r="F177" t="s">
        <v>564</v>
      </c>
      <c r="G177">
        <v>0</v>
      </c>
      <c r="H177">
        <v>0</v>
      </c>
      <c r="I177" t="b">
        <f t="shared" si="33"/>
        <v>1</v>
      </c>
      <c r="J177">
        <v>0</v>
      </c>
      <c r="K177">
        <v>0</v>
      </c>
      <c r="L177" t="b">
        <f t="shared" si="24"/>
        <v>1</v>
      </c>
      <c r="M177">
        <v>0</v>
      </c>
      <c r="N177">
        <v>0</v>
      </c>
      <c r="O177" t="b">
        <f t="shared" si="25"/>
        <v>1</v>
      </c>
      <c r="P177">
        <v>0</v>
      </c>
      <c r="Q177">
        <v>0</v>
      </c>
      <c r="R177" t="b">
        <f t="shared" si="26"/>
        <v>1</v>
      </c>
      <c r="S177">
        <v>0</v>
      </c>
      <c r="T177">
        <v>0</v>
      </c>
      <c r="U177" t="b">
        <f t="shared" si="34"/>
        <v>1</v>
      </c>
      <c r="V177">
        <v>0</v>
      </c>
      <c r="W177">
        <v>0</v>
      </c>
      <c r="X177" t="b">
        <f t="shared" si="27"/>
        <v>1</v>
      </c>
      <c r="Y177">
        <v>110000</v>
      </c>
      <c r="Z177">
        <v>110000</v>
      </c>
      <c r="AA177" t="b">
        <f t="shared" si="28"/>
        <v>1</v>
      </c>
      <c r="AB177">
        <v>110000</v>
      </c>
      <c r="AC177">
        <v>110000</v>
      </c>
      <c r="AD177" t="b">
        <f t="shared" si="29"/>
        <v>1</v>
      </c>
      <c r="AE177">
        <v>0</v>
      </c>
      <c r="AF177">
        <v>0</v>
      </c>
      <c r="AG177" t="b">
        <f t="shared" si="30"/>
        <v>1</v>
      </c>
      <c r="AH177">
        <v>0</v>
      </c>
      <c r="AI177">
        <v>0</v>
      </c>
      <c r="AJ177" t="b">
        <f t="shared" si="31"/>
        <v>1</v>
      </c>
      <c r="AK177">
        <v>0</v>
      </c>
      <c r="AL177">
        <v>0</v>
      </c>
      <c r="AM177" t="b">
        <f t="shared" si="32"/>
        <v>1</v>
      </c>
    </row>
    <row r="178" spans="1:39">
      <c r="A178">
        <v>45741</v>
      </c>
      <c r="B178" t="s">
        <v>27</v>
      </c>
      <c r="C178" t="s">
        <v>120</v>
      </c>
      <c r="D178" t="s">
        <v>168</v>
      </c>
      <c r="E178" t="s">
        <v>282</v>
      </c>
      <c r="F178" t="s">
        <v>565</v>
      </c>
      <c r="G178">
        <v>0</v>
      </c>
      <c r="H178">
        <v>0</v>
      </c>
      <c r="I178" t="b">
        <f t="shared" si="33"/>
        <v>1</v>
      </c>
      <c r="J178">
        <v>0</v>
      </c>
      <c r="K178">
        <v>0</v>
      </c>
      <c r="L178" t="b">
        <f t="shared" si="24"/>
        <v>1</v>
      </c>
      <c r="M178">
        <v>0</v>
      </c>
      <c r="N178">
        <v>0</v>
      </c>
      <c r="O178" t="b">
        <f t="shared" si="25"/>
        <v>1</v>
      </c>
      <c r="P178">
        <v>0</v>
      </c>
      <c r="Q178">
        <v>0</v>
      </c>
      <c r="R178" t="b">
        <f t="shared" si="26"/>
        <v>1</v>
      </c>
      <c r="S178">
        <v>0</v>
      </c>
      <c r="T178">
        <v>0</v>
      </c>
      <c r="U178" t="b">
        <f t="shared" si="34"/>
        <v>1</v>
      </c>
      <c r="V178">
        <v>0</v>
      </c>
      <c r="W178">
        <v>0</v>
      </c>
      <c r="X178" t="b">
        <f t="shared" si="27"/>
        <v>1</v>
      </c>
      <c r="Y178">
        <v>6000</v>
      </c>
      <c r="Z178">
        <v>6000</v>
      </c>
      <c r="AA178" t="b">
        <f t="shared" si="28"/>
        <v>1</v>
      </c>
      <c r="AB178">
        <v>6000</v>
      </c>
      <c r="AC178">
        <v>6000</v>
      </c>
      <c r="AD178" t="b">
        <f t="shared" si="29"/>
        <v>1</v>
      </c>
      <c r="AE178">
        <v>0</v>
      </c>
      <c r="AF178">
        <v>0</v>
      </c>
      <c r="AG178" t="b">
        <f t="shared" si="30"/>
        <v>1</v>
      </c>
      <c r="AH178">
        <v>0</v>
      </c>
      <c r="AI178">
        <v>0</v>
      </c>
      <c r="AJ178" t="b">
        <f t="shared" si="31"/>
        <v>1</v>
      </c>
      <c r="AK178">
        <v>0</v>
      </c>
      <c r="AL178">
        <v>0</v>
      </c>
      <c r="AM178" t="b">
        <f t="shared" si="32"/>
        <v>1</v>
      </c>
    </row>
    <row r="179" spans="1:39">
      <c r="A179">
        <v>45741</v>
      </c>
      <c r="B179" t="s">
        <v>38</v>
      </c>
      <c r="C179" t="s">
        <v>130</v>
      </c>
      <c r="D179" t="s">
        <v>91</v>
      </c>
      <c r="E179" t="s">
        <v>283</v>
      </c>
      <c r="F179" t="s">
        <v>566</v>
      </c>
      <c r="G179">
        <v>250000</v>
      </c>
      <c r="H179">
        <v>250000</v>
      </c>
      <c r="I179" t="b">
        <f t="shared" si="33"/>
        <v>1</v>
      </c>
      <c r="J179">
        <v>250000</v>
      </c>
      <c r="K179">
        <v>250000</v>
      </c>
      <c r="L179" t="b">
        <f t="shared" si="24"/>
        <v>1</v>
      </c>
      <c r="M179">
        <v>250000</v>
      </c>
      <c r="N179">
        <v>250000</v>
      </c>
      <c r="O179" t="b">
        <f t="shared" si="25"/>
        <v>1</v>
      </c>
      <c r="P179">
        <v>0</v>
      </c>
      <c r="Q179">
        <v>0</v>
      </c>
      <c r="R179" t="b">
        <f t="shared" si="26"/>
        <v>1</v>
      </c>
      <c r="S179">
        <v>0</v>
      </c>
      <c r="T179">
        <v>0</v>
      </c>
      <c r="U179" t="b">
        <f t="shared" si="34"/>
        <v>1</v>
      </c>
      <c r="V179">
        <v>0</v>
      </c>
      <c r="W179">
        <v>0</v>
      </c>
      <c r="X179" t="b">
        <f t="shared" si="27"/>
        <v>1</v>
      </c>
      <c r="Y179">
        <v>1139500</v>
      </c>
      <c r="Z179">
        <v>1139500</v>
      </c>
      <c r="AA179" t="b">
        <f t="shared" si="28"/>
        <v>1</v>
      </c>
      <c r="AB179">
        <v>1139500</v>
      </c>
      <c r="AC179">
        <v>1139500</v>
      </c>
      <c r="AD179" t="b">
        <f t="shared" si="29"/>
        <v>1</v>
      </c>
      <c r="AE179">
        <v>0</v>
      </c>
      <c r="AF179">
        <v>0</v>
      </c>
      <c r="AG179" t="b">
        <f t="shared" si="30"/>
        <v>1</v>
      </c>
      <c r="AH179">
        <v>0</v>
      </c>
      <c r="AI179">
        <v>0</v>
      </c>
      <c r="AJ179" t="b">
        <f t="shared" si="31"/>
        <v>1</v>
      </c>
      <c r="AK179">
        <v>250000</v>
      </c>
      <c r="AL179">
        <v>250000</v>
      </c>
      <c r="AM179" t="b">
        <f t="shared" si="32"/>
        <v>1</v>
      </c>
    </row>
    <row r="180" spans="1:39">
      <c r="A180">
        <v>45741</v>
      </c>
      <c r="B180" t="s">
        <v>31</v>
      </c>
      <c r="C180" t="s">
        <v>115</v>
      </c>
      <c r="D180" t="s">
        <v>45</v>
      </c>
      <c r="E180" t="s">
        <v>567</v>
      </c>
      <c r="F180" t="s">
        <v>568</v>
      </c>
      <c r="G180">
        <v>0</v>
      </c>
      <c r="H180">
        <v>0</v>
      </c>
      <c r="I180" t="b">
        <f t="shared" si="33"/>
        <v>1</v>
      </c>
      <c r="J180">
        <v>0</v>
      </c>
      <c r="K180">
        <v>0</v>
      </c>
      <c r="L180" t="b">
        <f t="shared" si="24"/>
        <v>1</v>
      </c>
      <c r="M180">
        <v>0</v>
      </c>
      <c r="N180">
        <v>0</v>
      </c>
      <c r="O180" t="b">
        <f t="shared" si="25"/>
        <v>1</v>
      </c>
      <c r="P180">
        <v>0</v>
      </c>
      <c r="Q180">
        <v>0</v>
      </c>
      <c r="R180" t="b">
        <f t="shared" si="26"/>
        <v>1</v>
      </c>
      <c r="S180">
        <v>0</v>
      </c>
      <c r="T180">
        <v>0</v>
      </c>
      <c r="U180" t="b">
        <f t="shared" si="34"/>
        <v>1</v>
      </c>
      <c r="V180">
        <v>0</v>
      </c>
      <c r="W180">
        <v>0</v>
      </c>
      <c r="X180" t="b">
        <f t="shared" si="27"/>
        <v>1</v>
      </c>
      <c r="Y180">
        <v>7552</v>
      </c>
      <c r="Z180">
        <v>7552</v>
      </c>
      <c r="AA180" t="b">
        <f t="shared" si="28"/>
        <v>1</v>
      </c>
      <c r="AB180">
        <v>7552</v>
      </c>
      <c r="AC180">
        <v>7552</v>
      </c>
      <c r="AD180" t="b">
        <f t="shared" si="29"/>
        <v>1</v>
      </c>
      <c r="AE180">
        <v>0</v>
      </c>
      <c r="AF180">
        <v>0</v>
      </c>
      <c r="AG180" t="b">
        <f t="shared" si="30"/>
        <v>1</v>
      </c>
      <c r="AH180">
        <v>0</v>
      </c>
      <c r="AI180">
        <v>0</v>
      </c>
      <c r="AJ180" t="b">
        <f t="shared" si="31"/>
        <v>1</v>
      </c>
      <c r="AK180">
        <v>0</v>
      </c>
      <c r="AL180">
        <v>0</v>
      </c>
      <c r="AM180" t="b">
        <f t="shared" si="32"/>
        <v>1</v>
      </c>
    </row>
    <row r="181" spans="1:39">
      <c r="A181">
        <v>45741</v>
      </c>
      <c r="B181" t="s">
        <v>27</v>
      </c>
      <c r="C181" t="s">
        <v>120</v>
      </c>
      <c r="D181" t="s">
        <v>64</v>
      </c>
      <c r="E181" t="s">
        <v>569</v>
      </c>
      <c r="F181" t="s">
        <v>570</v>
      </c>
      <c r="G181">
        <v>0</v>
      </c>
      <c r="H181">
        <v>0</v>
      </c>
      <c r="I181" t="b">
        <f t="shared" si="33"/>
        <v>1</v>
      </c>
      <c r="J181">
        <v>0</v>
      </c>
      <c r="K181">
        <v>0</v>
      </c>
      <c r="L181" t="b">
        <f t="shared" si="24"/>
        <v>1</v>
      </c>
      <c r="M181">
        <v>0</v>
      </c>
      <c r="N181">
        <v>0</v>
      </c>
      <c r="O181" t="b">
        <f t="shared" si="25"/>
        <v>1</v>
      </c>
      <c r="P181">
        <v>0</v>
      </c>
      <c r="Q181">
        <v>0</v>
      </c>
      <c r="R181" t="b">
        <f t="shared" si="26"/>
        <v>1</v>
      </c>
      <c r="S181">
        <v>0</v>
      </c>
      <c r="T181">
        <v>0</v>
      </c>
      <c r="U181" t="b">
        <f t="shared" si="34"/>
        <v>1</v>
      </c>
      <c r="V181">
        <v>0</v>
      </c>
      <c r="W181">
        <v>0</v>
      </c>
      <c r="X181" t="b">
        <f t="shared" si="27"/>
        <v>1</v>
      </c>
      <c r="Y181">
        <v>40000</v>
      </c>
      <c r="Z181">
        <v>40000</v>
      </c>
      <c r="AA181" t="b">
        <f t="shared" si="28"/>
        <v>1</v>
      </c>
      <c r="AB181">
        <v>40000</v>
      </c>
      <c r="AC181">
        <v>40000</v>
      </c>
      <c r="AD181" t="b">
        <f t="shared" si="29"/>
        <v>1</v>
      </c>
      <c r="AE181">
        <v>0</v>
      </c>
      <c r="AF181">
        <v>0</v>
      </c>
      <c r="AG181" t="b">
        <f t="shared" si="30"/>
        <v>1</v>
      </c>
      <c r="AH181">
        <v>0</v>
      </c>
      <c r="AI181">
        <v>0</v>
      </c>
      <c r="AJ181" t="b">
        <f t="shared" si="31"/>
        <v>1</v>
      </c>
      <c r="AK181">
        <v>0</v>
      </c>
      <c r="AL181">
        <v>0</v>
      </c>
      <c r="AM181" t="b">
        <f t="shared" si="32"/>
        <v>1</v>
      </c>
    </row>
    <row r="182" spans="1:39">
      <c r="A182">
        <v>45741</v>
      </c>
      <c r="B182" t="s">
        <v>38</v>
      </c>
      <c r="C182" t="s">
        <v>130</v>
      </c>
      <c r="D182" t="s">
        <v>41</v>
      </c>
      <c r="E182" t="s">
        <v>286</v>
      </c>
      <c r="F182" t="s">
        <v>571</v>
      </c>
      <c r="G182">
        <v>0</v>
      </c>
      <c r="H182">
        <v>0</v>
      </c>
      <c r="I182" t="b">
        <f t="shared" si="33"/>
        <v>1</v>
      </c>
      <c r="J182">
        <v>5313598</v>
      </c>
      <c r="K182">
        <v>5313598</v>
      </c>
      <c r="L182" t="b">
        <f t="shared" si="24"/>
        <v>1</v>
      </c>
      <c r="M182">
        <v>5313598</v>
      </c>
      <c r="N182">
        <v>5313598</v>
      </c>
      <c r="O182" t="b">
        <f t="shared" si="25"/>
        <v>1</v>
      </c>
      <c r="P182">
        <v>0</v>
      </c>
      <c r="Q182">
        <v>0</v>
      </c>
      <c r="R182" t="b">
        <f t="shared" si="26"/>
        <v>1</v>
      </c>
      <c r="S182">
        <v>0</v>
      </c>
      <c r="T182">
        <v>0</v>
      </c>
      <c r="U182" t="b">
        <f t="shared" si="34"/>
        <v>1</v>
      </c>
      <c r="V182">
        <v>0</v>
      </c>
      <c r="W182">
        <v>0</v>
      </c>
      <c r="X182" t="b">
        <f t="shared" si="27"/>
        <v>1</v>
      </c>
      <c r="Y182">
        <v>0</v>
      </c>
      <c r="Z182">
        <v>0</v>
      </c>
      <c r="AA182" t="b">
        <f t="shared" si="28"/>
        <v>1</v>
      </c>
      <c r="AB182">
        <v>0</v>
      </c>
      <c r="AC182">
        <v>0</v>
      </c>
      <c r="AD182" t="b">
        <f t="shared" si="29"/>
        <v>1</v>
      </c>
      <c r="AE182">
        <v>0</v>
      </c>
      <c r="AF182">
        <v>0</v>
      </c>
      <c r="AG182" t="b">
        <f t="shared" si="30"/>
        <v>1</v>
      </c>
      <c r="AH182">
        <v>0</v>
      </c>
      <c r="AI182">
        <v>0</v>
      </c>
      <c r="AJ182" t="b">
        <f t="shared" si="31"/>
        <v>1</v>
      </c>
      <c r="AK182">
        <v>0</v>
      </c>
      <c r="AL182">
        <v>0</v>
      </c>
      <c r="AM182" t="b">
        <f t="shared" si="32"/>
        <v>1</v>
      </c>
    </row>
    <row r="183" spans="1:39">
      <c r="A183">
        <v>45741</v>
      </c>
      <c r="B183" t="s">
        <v>38</v>
      </c>
      <c r="C183" t="s">
        <v>130</v>
      </c>
      <c r="D183" t="s">
        <v>224</v>
      </c>
      <c r="E183" t="s">
        <v>287</v>
      </c>
      <c r="F183" t="s">
        <v>572</v>
      </c>
      <c r="G183">
        <v>0</v>
      </c>
      <c r="H183">
        <v>0</v>
      </c>
      <c r="I183" t="b">
        <f t="shared" si="33"/>
        <v>1</v>
      </c>
      <c r="J183">
        <v>0</v>
      </c>
      <c r="K183">
        <v>0</v>
      </c>
      <c r="L183" t="b">
        <f t="shared" si="24"/>
        <v>1</v>
      </c>
      <c r="M183">
        <v>0</v>
      </c>
      <c r="N183">
        <v>0</v>
      </c>
      <c r="O183" t="b">
        <f t="shared" si="25"/>
        <v>1</v>
      </c>
      <c r="P183">
        <v>0</v>
      </c>
      <c r="Q183">
        <v>0</v>
      </c>
      <c r="R183" t="b">
        <f t="shared" si="26"/>
        <v>1</v>
      </c>
      <c r="S183">
        <v>0</v>
      </c>
      <c r="T183">
        <v>0</v>
      </c>
      <c r="U183" t="b">
        <f t="shared" si="34"/>
        <v>1</v>
      </c>
      <c r="V183">
        <v>0</v>
      </c>
      <c r="W183">
        <v>0</v>
      </c>
      <c r="X183" t="b">
        <f t="shared" si="27"/>
        <v>1</v>
      </c>
      <c r="Y183">
        <v>10725</v>
      </c>
      <c r="Z183">
        <v>10725</v>
      </c>
      <c r="AA183" t="b">
        <f t="shared" si="28"/>
        <v>1</v>
      </c>
      <c r="AB183">
        <v>10725</v>
      </c>
      <c r="AC183">
        <v>10725</v>
      </c>
      <c r="AD183" t="b">
        <f t="shared" si="29"/>
        <v>1</v>
      </c>
      <c r="AE183">
        <v>0</v>
      </c>
      <c r="AF183">
        <v>0</v>
      </c>
      <c r="AG183" t="b">
        <f t="shared" si="30"/>
        <v>1</v>
      </c>
      <c r="AH183">
        <v>0</v>
      </c>
      <c r="AI183">
        <v>0</v>
      </c>
      <c r="AJ183" t="b">
        <f t="shared" si="31"/>
        <v>1</v>
      </c>
      <c r="AK183">
        <v>0</v>
      </c>
      <c r="AL183">
        <v>0</v>
      </c>
      <c r="AM183" t="b">
        <f t="shared" si="32"/>
        <v>1</v>
      </c>
    </row>
    <row r="184" spans="1:39">
      <c r="A184">
        <v>45741</v>
      </c>
      <c r="B184" t="s">
        <v>27</v>
      </c>
      <c r="C184" t="s">
        <v>120</v>
      </c>
      <c r="D184" t="s">
        <v>47</v>
      </c>
      <c r="E184" t="s">
        <v>288</v>
      </c>
      <c r="F184" t="s">
        <v>573</v>
      </c>
      <c r="G184">
        <v>0</v>
      </c>
      <c r="H184">
        <v>0</v>
      </c>
      <c r="I184" t="b">
        <f t="shared" si="33"/>
        <v>1</v>
      </c>
      <c r="J184">
        <v>0</v>
      </c>
      <c r="K184">
        <v>0</v>
      </c>
      <c r="L184" t="b">
        <f t="shared" si="24"/>
        <v>1</v>
      </c>
      <c r="M184">
        <v>0</v>
      </c>
      <c r="N184">
        <v>0</v>
      </c>
      <c r="O184" t="b">
        <f t="shared" si="25"/>
        <v>1</v>
      </c>
      <c r="P184">
        <v>0</v>
      </c>
      <c r="Q184">
        <v>0</v>
      </c>
      <c r="R184" t="b">
        <f t="shared" si="26"/>
        <v>1</v>
      </c>
      <c r="S184">
        <v>0</v>
      </c>
      <c r="T184">
        <v>0</v>
      </c>
      <c r="U184" t="b">
        <f t="shared" si="34"/>
        <v>1</v>
      </c>
      <c r="V184">
        <v>1399430</v>
      </c>
      <c r="W184">
        <v>1399430</v>
      </c>
      <c r="X184" t="b">
        <f t="shared" si="27"/>
        <v>1</v>
      </c>
      <c r="Y184">
        <v>261201</v>
      </c>
      <c r="Z184">
        <v>261201</v>
      </c>
      <c r="AA184" t="b">
        <f t="shared" si="28"/>
        <v>1</v>
      </c>
      <c r="AB184">
        <v>250771</v>
      </c>
      <c r="AC184">
        <v>250771</v>
      </c>
      <c r="AD184" t="b">
        <f t="shared" si="29"/>
        <v>1</v>
      </c>
      <c r="AE184">
        <v>0</v>
      </c>
      <c r="AF184">
        <v>0</v>
      </c>
      <c r="AG184" t="b">
        <f t="shared" si="30"/>
        <v>1</v>
      </c>
      <c r="AH184">
        <v>10430</v>
      </c>
      <c r="AI184">
        <v>10430</v>
      </c>
      <c r="AJ184" t="b">
        <f t="shared" si="31"/>
        <v>1</v>
      </c>
      <c r="AK184">
        <v>1399430</v>
      </c>
      <c r="AL184">
        <v>1399430</v>
      </c>
      <c r="AM184" t="b">
        <f t="shared" si="32"/>
        <v>1</v>
      </c>
    </row>
    <row r="185" spans="1:39">
      <c r="A185">
        <v>45741</v>
      </c>
      <c r="B185" t="s">
        <v>27</v>
      </c>
      <c r="C185" t="s">
        <v>120</v>
      </c>
      <c r="D185" t="s">
        <v>289</v>
      </c>
      <c r="E185" t="s">
        <v>290</v>
      </c>
      <c r="F185" t="s">
        <v>574</v>
      </c>
      <c r="G185">
        <v>0</v>
      </c>
      <c r="H185">
        <v>0</v>
      </c>
      <c r="I185" t="b">
        <f t="shared" si="33"/>
        <v>1</v>
      </c>
      <c r="J185">
        <v>0</v>
      </c>
      <c r="K185">
        <v>0</v>
      </c>
      <c r="L185" t="b">
        <f t="shared" si="24"/>
        <v>1</v>
      </c>
      <c r="M185">
        <v>0</v>
      </c>
      <c r="N185">
        <v>0</v>
      </c>
      <c r="O185" t="b">
        <f t="shared" si="25"/>
        <v>1</v>
      </c>
      <c r="P185">
        <v>138800</v>
      </c>
      <c r="Q185">
        <v>138800</v>
      </c>
      <c r="R185" t="b">
        <f t="shared" si="26"/>
        <v>1</v>
      </c>
      <c r="S185">
        <v>138800</v>
      </c>
      <c r="T185">
        <v>138800</v>
      </c>
      <c r="U185" t="b">
        <f t="shared" si="34"/>
        <v>1</v>
      </c>
      <c r="V185">
        <v>0</v>
      </c>
      <c r="W185">
        <v>0</v>
      </c>
      <c r="X185" t="b">
        <f t="shared" si="27"/>
        <v>1</v>
      </c>
      <c r="Y185">
        <v>0</v>
      </c>
      <c r="Z185">
        <v>0</v>
      </c>
      <c r="AA185" t="b">
        <f t="shared" si="28"/>
        <v>1</v>
      </c>
      <c r="AB185">
        <v>0</v>
      </c>
      <c r="AC185">
        <v>0</v>
      </c>
      <c r="AD185" t="b">
        <f t="shared" si="29"/>
        <v>1</v>
      </c>
      <c r="AE185">
        <v>0</v>
      </c>
      <c r="AF185">
        <v>0</v>
      </c>
      <c r="AG185" t="b">
        <f t="shared" si="30"/>
        <v>1</v>
      </c>
      <c r="AH185">
        <v>0</v>
      </c>
      <c r="AI185">
        <v>0</v>
      </c>
      <c r="AJ185" t="b">
        <f t="shared" si="31"/>
        <v>1</v>
      </c>
      <c r="AK185">
        <v>0</v>
      </c>
      <c r="AL185">
        <v>0</v>
      </c>
      <c r="AM185" t="b">
        <f t="shared" si="32"/>
        <v>1</v>
      </c>
    </row>
    <row r="186" spans="1:39">
      <c r="A186">
        <v>45741</v>
      </c>
      <c r="B186" t="s">
        <v>27</v>
      </c>
      <c r="C186" t="s">
        <v>120</v>
      </c>
      <c r="D186" t="s">
        <v>291</v>
      </c>
      <c r="E186" t="s">
        <v>292</v>
      </c>
      <c r="F186" t="s">
        <v>575</v>
      </c>
      <c r="G186">
        <v>0</v>
      </c>
      <c r="H186">
        <v>0</v>
      </c>
      <c r="I186" t="b">
        <f t="shared" si="33"/>
        <v>1</v>
      </c>
      <c r="J186">
        <v>0</v>
      </c>
      <c r="K186">
        <v>0</v>
      </c>
      <c r="L186" t="b">
        <f t="shared" si="24"/>
        <v>1</v>
      </c>
      <c r="M186">
        <v>0</v>
      </c>
      <c r="N186">
        <v>0</v>
      </c>
      <c r="O186" t="b">
        <f t="shared" si="25"/>
        <v>1</v>
      </c>
      <c r="P186">
        <v>0</v>
      </c>
      <c r="Q186">
        <v>0</v>
      </c>
      <c r="R186" t="b">
        <f t="shared" si="26"/>
        <v>1</v>
      </c>
      <c r="S186">
        <v>0</v>
      </c>
      <c r="T186">
        <v>0</v>
      </c>
      <c r="U186" t="b">
        <f t="shared" si="34"/>
        <v>1</v>
      </c>
      <c r="V186">
        <v>0</v>
      </c>
      <c r="W186">
        <v>0</v>
      </c>
      <c r="X186" t="b">
        <f t="shared" si="27"/>
        <v>1</v>
      </c>
      <c r="Y186">
        <v>12350</v>
      </c>
      <c r="Z186">
        <v>12350</v>
      </c>
      <c r="AA186" t="b">
        <f t="shared" si="28"/>
        <v>1</v>
      </c>
      <c r="AB186">
        <v>12350</v>
      </c>
      <c r="AC186">
        <v>12350</v>
      </c>
      <c r="AD186" t="b">
        <f t="shared" si="29"/>
        <v>1</v>
      </c>
      <c r="AE186">
        <v>0</v>
      </c>
      <c r="AF186">
        <v>0</v>
      </c>
      <c r="AG186" t="b">
        <f t="shared" si="30"/>
        <v>1</v>
      </c>
      <c r="AH186">
        <v>0</v>
      </c>
      <c r="AI186">
        <v>0</v>
      </c>
      <c r="AJ186" t="b">
        <f t="shared" si="31"/>
        <v>1</v>
      </c>
      <c r="AK186">
        <v>0</v>
      </c>
      <c r="AL186">
        <v>0</v>
      </c>
      <c r="AM186" t="b">
        <f t="shared" si="32"/>
        <v>1</v>
      </c>
    </row>
    <row r="187" spans="1:39">
      <c r="A187">
        <v>45741</v>
      </c>
      <c r="B187" t="s">
        <v>31</v>
      </c>
      <c r="C187" t="s">
        <v>115</v>
      </c>
      <c r="D187" t="s">
        <v>143</v>
      </c>
      <c r="E187" t="s">
        <v>293</v>
      </c>
      <c r="F187" t="s">
        <v>576</v>
      </c>
      <c r="G187">
        <v>0</v>
      </c>
      <c r="H187">
        <v>0</v>
      </c>
      <c r="I187" t="b">
        <f t="shared" si="33"/>
        <v>1</v>
      </c>
      <c r="J187">
        <v>0</v>
      </c>
      <c r="K187">
        <v>0</v>
      </c>
      <c r="L187" t="b">
        <f t="shared" si="24"/>
        <v>1</v>
      </c>
      <c r="M187">
        <v>1263051.28</v>
      </c>
      <c r="N187">
        <v>1263051.28</v>
      </c>
      <c r="O187" t="b">
        <f t="shared" si="25"/>
        <v>1</v>
      </c>
      <c r="P187">
        <v>0</v>
      </c>
      <c r="Q187">
        <v>0</v>
      </c>
      <c r="R187" t="b">
        <f t="shared" si="26"/>
        <v>1</v>
      </c>
      <c r="S187">
        <v>1263051.28</v>
      </c>
      <c r="T187">
        <v>1263051.28</v>
      </c>
      <c r="U187" t="b">
        <f t="shared" si="34"/>
        <v>1</v>
      </c>
      <c r="V187">
        <v>151500</v>
      </c>
      <c r="W187">
        <v>151500</v>
      </c>
      <c r="X187" t="b">
        <f t="shared" si="27"/>
        <v>1</v>
      </c>
      <c r="Y187">
        <v>151500</v>
      </c>
      <c r="Z187">
        <v>151500</v>
      </c>
      <c r="AA187" t="b">
        <f t="shared" si="28"/>
        <v>1</v>
      </c>
      <c r="AB187">
        <v>961551.28</v>
      </c>
      <c r="AC187">
        <v>961551.28</v>
      </c>
      <c r="AD187" t="b">
        <f t="shared" si="29"/>
        <v>1</v>
      </c>
      <c r="AE187">
        <v>0</v>
      </c>
      <c r="AF187">
        <v>0</v>
      </c>
      <c r="AG187" t="b">
        <f t="shared" si="30"/>
        <v>1</v>
      </c>
      <c r="AH187">
        <v>1113051.28</v>
      </c>
      <c r="AI187">
        <v>1113051.28</v>
      </c>
      <c r="AJ187" t="b">
        <f t="shared" si="31"/>
        <v>1</v>
      </c>
      <c r="AK187">
        <v>151500</v>
      </c>
      <c r="AL187">
        <v>151500</v>
      </c>
      <c r="AM187" t="b">
        <f t="shared" si="32"/>
        <v>1</v>
      </c>
    </row>
    <row r="188" hidden="1" spans="1:39">
      <c r="A188">
        <v>45741</v>
      </c>
      <c r="B188" t="s">
        <v>38</v>
      </c>
      <c r="C188" t="s">
        <v>130</v>
      </c>
      <c r="D188" t="s">
        <v>156</v>
      </c>
      <c r="E188" t="s">
        <v>294</v>
      </c>
      <c r="F188" t="s">
        <v>577</v>
      </c>
      <c r="G188">
        <v>3900000</v>
      </c>
      <c r="H188">
        <v>3900000</v>
      </c>
      <c r="I188" t="b">
        <f t="shared" si="33"/>
        <v>1</v>
      </c>
      <c r="J188">
        <v>0</v>
      </c>
      <c r="K188">
        <v>0</v>
      </c>
      <c r="L188" t="b">
        <f t="shared" si="24"/>
        <v>1</v>
      </c>
      <c r="M188">
        <v>0</v>
      </c>
      <c r="N188">
        <v>0</v>
      </c>
      <c r="O188" t="b">
        <f t="shared" si="25"/>
        <v>1</v>
      </c>
      <c r="P188">
        <v>0</v>
      </c>
      <c r="Q188">
        <v>0</v>
      </c>
      <c r="R188" t="b">
        <f t="shared" si="26"/>
        <v>1</v>
      </c>
      <c r="S188">
        <v>0</v>
      </c>
      <c r="T188">
        <v>0</v>
      </c>
      <c r="U188" t="b">
        <f t="shared" si="34"/>
        <v>1</v>
      </c>
      <c r="V188">
        <v>3521618</v>
      </c>
      <c r="W188">
        <v>3521802</v>
      </c>
      <c r="X188" t="b">
        <f t="shared" si="27"/>
        <v>0</v>
      </c>
      <c r="Y188">
        <v>2721802</v>
      </c>
      <c r="Z188">
        <v>2721802</v>
      </c>
      <c r="AA188" t="b">
        <f t="shared" si="28"/>
        <v>1</v>
      </c>
      <c r="AB188">
        <v>2721802</v>
      </c>
      <c r="AC188">
        <v>2721802</v>
      </c>
      <c r="AD188" t="b">
        <f t="shared" si="29"/>
        <v>1</v>
      </c>
      <c r="AE188">
        <v>0</v>
      </c>
      <c r="AF188">
        <v>0</v>
      </c>
      <c r="AG188" t="b">
        <f t="shared" si="30"/>
        <v>1</v>
      </c>
      <c r="AH188">
        <v>0</v>
      </c>
      <c r="AI188">
        <v>0</v>
      </c>
      <c r="AJ188" t="b">
        <f t="shared" si="31"/>
        <v>1</v>
      </c>
      <c r="AK188">
        <v>378382</v>
      </c>
      <c r="AL188">
        <v>378198</v>
      </c>
      <c r="AM188" t="b">
        <f t="shared" si="32"/>
        <v>0</v>
      </c>
    </row>
    <row r="189" spans="1:39">
      <c r="A189">
        <v>45741</v>
      </c>
      <c r="B189" t="s">
        <v>27</v>
      </c>
      <c r="C189" t="s">
        <v>120</v>
      </c>
      <c r="D189" t="s">
        <v>64</v>
      </c>
      <c r="E189" t="s">
        <v>295</v>
      </c>
      <c r="F189" t="s">
        <v>578</v>
      </c>
      <c r="G189">
        <v>0</v>
      </c>
      <c r="H189">
        <v>0</v>
      </c>
      <c r="I189" t="b">
        <f t="shared" si="33"/>
        <v>1</v>
      </c>
      <c r="J189">
        <v>0</v>
      </c>
      <c r="K189">
        <v>0</v>
      </c>
      <c r="L189" t="b">
        <f t="shared" si="24"/>
        <v>1</v>
      </c>
      <c r="M189">
        <v>0</v>
      </c>
      <c r="N189">
        <v>0</v>
      </c>
      <c r="O189" t="b">
        <f t="shared" si="25"/>
        <v>1</v>
      </c>
      <c r="P189">
        <v>0</v>
      </c>
      <c r="Q189">
        <v>0</v>
      </c>
      <c r="R189" t="b">
        <f t="shared" si="26"/>
        <v>1</v>
      </c>
      <c r="S189">
        <v>0</v>
      </c>
      <c r="T189">
        <v>0</v>
      </c>
      <c r="U189" t="b">
        <f t="shared" si="34"/>
        <v>1</v>
      </c>
      <c r="V189">
        <v>0</v>
      </c>
      <c r="W189">
        <v>0</v>
      </c>
      <c r="X189" t="b">
        <f t="shared" si="27"/>
        <v>1</v>
      </c>
      <c r="Y189">
        <v>49700</v>
      </c>
      <c r="Z189">
        <v>49700</v>
      </c>
      <c r="AA189" t="b">
        <f t="shared" si="28"/>
        <v>1</v>
      </c>
      <c r="AB189">
        <v>49700</v>
      </c>
      <c r="AC189">
        <v>49700</v>
      </c>
      <c r="AD189" t="b">
        <f t="shared" si="29"/>
        <v>1</v>
      </c>
      <c r="AE189">
        <v>0</v>
      </c>
      <c r="AF189">
        <v>0</v>
      </c>
      <c r="AG189" t="b">
        <f t="shared" si="30"/>
        <v>1</v>
      </c>
      <c r="AH189">
        <v>0</v>
      </c>
      <c r="AI189">
        <v>0</v>
      </c>
      <c r="AJ189" t="b">
        <f t="shared" si="31"/>
        <v>1</v>
      </c>
      <c r="AK189">
        <v>0</v>
      </c>
      <c r="AL189">
        <v>0</v>
      </c>
      <c r="AM189" t="b">
        <f t="shared" si="32"/>
        <v>1</v>
      </c>
    </row>
    <row r="190" spans="1:39">
      <c r="A190">
        <v>45741</v>
      </c>
      <c r="B190" t="s">
        <v>27</v>
      </c>
      <c r="C190" t="s">
        <v>120</v>
      </c>
      <c r="D190" t="s">
        <v>205</v>
      </c>
      <c r="E190" t="s">
        <v>579</v>
      </c>
      <c r="F190" t="s">
        <v>580</v>
      </c>
      <c r="G190">
        <v>0</v>
      </c>
      <c r="H190">
        <v>0</v>
      </c>
      <c r="I190" t="b">
        <f t="shared" si="33"/>
        <v>1</v>
      </c>
      <c r="J190">
        <v>0</v>
      </c>
      <c r="K190">
        <v>0</v>
      </c>
      <c r="L190" t="b">
        <f t="shared" si="24"/>
        <v>1</v>
      </c>
      <c r="M190">
        <v>0</v>
      </c>
      <c r="N190">
        <v>0</v>
      </c>
      <c r="O190" t="b">
        <f t="shared" si="25"/>
        <v>1</v>
      </c>
      <c r="P190">
        <v>0</v>
      </c>
      <c r="Q190">
        <v>0</v>
      </c>
      <c r="R190" t="b">
        <f t="shared" si="26"/>
        <v>1</v>
      </c>
      <c r="S190">
        <v>0</v>
      </c>
      <c r="T190">
        <v>0</v>
      </c>
      <c r="U190" t="b">
        <f t="shared" si="34"/>
        <v>1</v>
      </c>
      <c r="V190">
        <v>0</v>
      </c>
      <c r="W190">
        <v>0</v>
      </c>
      <c r="X190" t="b">
        <f t="shared" si="27"/>
        <v>1</v>
      </c>
      <c r="Y190">
        <v>26000</v>
      </c>
      <c r="Z190">
        <v>26000</v>
      </c>
      <c r="AA190" t="b">
        <f t="shared" si="28"/>
        <v>1</v>
      </c>
      <c r="AB190">
        <v>26000</v>
      </c>
      <c r="AC190">
        <v>26000</v>
      </c>
      <c r="AD190" t="b">
        <f t="shared" si="29"/>
        <v>1</v>
      </c>
      <c r="AE190">
        <v>0</v>
      </c>
      <c r="AF190">
        <v>0</v>
      </c>
      <c r="AG190" t="b">
        <f t="shared" si="30"/>
        <v>1</v>
      </c>
      <c r="AH190">
        <v>0</v>
      </c>
      <c r="AI190">
        <v>0</v>
      </c>
      <c r="AJ190" t="b">
        <f t="shared" si="31"/>
        <v>1</v>
      </c>
      <c r="AK190">
        <v>0</v>
      </c>
      <c r="AL190">
        <v>0</v>
      </c>
      <c r="AM190" t="b">
        <f t="shared" si="32"/>
        <v>1</v>
      </c>
    </row>
    <row r="191" spans="1:39">
      <c r="A191">
        <v>45741</v>
      </c>
      <c r="B191" t="s">
        <v>27</v>
      </c>
      <c r="C191" t="s">
        <v>120</v>
      </c>
      <c r="D191" t="s">
        <v>71</v>
      </c>
      <c r="E191" t="s">
        <v>297</v>
      </c>
      <c r="F191" t="s">
        <v>581</v>
      </c>
      <c r="G191">
        <v>0</v>
      </c>
      <c r="H191">
        <v>0</v>
      </c>
      <c r="I191" t="b">
        <f t="shared" si="33"/>
        <v>1</v>
      </c>
      <c r="J191">
        <v>0</v>
      </c>
      <c r="K191">
        <v>0</v>
      </c>
      <c r="L191" t="b">
        <f t="shared" si="24"/>
        <v>1</v>
      </c>
      <c r="M191">
        <v>0</v>
      </c>
      <c r="N191">
        <v>0</v>
      </c>
      <c r="O191" t="b">
        <f t="shared" si="25"/>
        <v>1</v>
      </c>
      <c r="P191">
        <v>0</v>
      </c>
      <c r="Q191">
        <v>0</v>
      </c>
      <c r="R191" t="b">
        <f t="shared" si="26"/>
        <v>1</v>
      </c>
      <c r="S191">
        <v>0</v>
      </c>
      <c r="T191">
        <v>0</v>
      </c>
      <c r="U191" t="b">
        <f t="shared" si="34"/>
        <v>1</v>
      </c>
      <c r="V191">
        <v>0</v>
      </c>
      <c r="W191">
        <v>0</v>
      </c>
      <c r="X191" t="b">
        <f t="shared" si="27"/>
        <v>1</v>
      </c>
      <c r="Y191">
        <v>39500</v>
      </c>
      <c r="Z191">
        <v>39500</v>
      </c>
      <c r="AA191" t="b">
        <f t="shared" si="28"/>
        <v>1</v>
      </c>
      <c r="AB191">
        <v>39500</v>
      </c>
      <c r="AC191">
        <v>39500</v>
      </c>
      <c r="AD191" t="b">
        <f t="shared" si="29"/>
        <v>1</v>
      </c>
      <c r="AE191">
        <v>0</v>
      </c>
      <c r="AF191">
        <v>0</v>
      </c>
      <c r="AG191" t="b">
        <f t="shared" si="30"/>
        <v>1</v>
      </c>
      <c r="AH191">
        <v>0</v>
      </c>
      <c r="AI191">
        <v>0</v>
      </c>
      <c r="AJ191" t="b">
        <f t="shared" si="31"/>
        <v>1</v>
      </c>
      <c r="AK191">
        <v>0</v>
      </c>
      <c r="AL191">
        <v>0</v>
      </c>
      <c r="AM191" t="b">
        <f t="shared" si="32"/>
        <v>1</v>
      </c>
    </row>
    <row r="192" spans="1:39">
      <c r="A192">
        <v>45741</v>
      </c>
      <c r="B192" t="s">
        <v>27</v>
      </c>
      <c r="C192" t="s">
        <v>120</v>
      </c>
      <c r="D192" t="s">
        <v>71</v>
      </c>
      <c r="E192" t="s">
        <v>582</v>
      </c>
      <c r="F192" t="s">
        <v>583</v>
      </c>
      <c r="G192">
        <v>0</v>
      </c>
      <c r="H192">
        <v>0</v>
      </c>
      <c r="I192" t="b">
        <f t="shared" si="33"/>
        <v>1</v>
      </c>
      <c r="J192">
        <v>0</v>
      </c>
      <c r="K192">
        <v>0</v>
      </c>
      <c r="L192" t="b">
        <f t="shared" si="24"/>
        <v>1</v>
      </c>
      <c r="M192">
        <v>0</v>
      </c>
      <c r="N192">
        <v>0</v>
      </c>
      <c r="O192" t="b">
        <f t="shared" si="25"/>
        <v>1</v>
      </c>
      <c r="P192">
        <v>0</v>
      </c>
      <c r="Q192">
        <v>0</v>
      </c>
      <c r="R192" t="b">
        <f t="shared" si="26"/>
        <v>1</v>
      </c>
      <c r="S192">
        <v>0</v>
      </c>
      <c r="T192">
        <v>0</v>
      </c>
      <c r="U192" t="b">
        <f t="shared" si="34"/>
        <v>1</v>
      </c>
      <c r="V192">
        <v>0</v>
      </c>
      <c r="W192">
        <v>0</v>
      </c>
      <c r="X192" t="b">
        <f t="shared" si="27"/>
        <v>1</v>
      </c>
      <c r="Y192">
        <v>3500</v>
      </c>
      <c r="Z192">
        <v>3500</v>
      </c>
      <c r="AA192" t="b">
        <f t="shared" si="28"/>
        <v>1</v>
      </c>
      <c r="AB192">
        <v>3500</v>
      </c>
      <c r="AC192">
        <v>3500</v>
      </c>
      <c r="AD192" t="b">
        <f t="shared" si="29"/>
        <v>1</v>
      </c>
      <c r="AE192">
        <v>0</v>
      </c>
      <c r="AF192">
        <v>0</v>
      </c>
      <c r="AG192" t="b">
        <f t="shared" si="30"/>
        <v>1</v>
      </c>
      <c r="AH192">
        <v>0</v>
      </c>
      <c r="AI192">
        <v>0</v>
      </c>
      <c r="AJ192" t="b">
        <f t="shared" si="31"/>
        <v>1</v>
      </c>
      <c r="AK192">
        <v>0</v>
      </c>
      <c r="AL192">
        <v>0</v>
      </c>
      <c r="AM192" t="b">
        <f t="shared" si="32"/>
        <v>1</v>
      </c>
    </row>
    <row r="193" spans="1:39">
      <c r="A193">
        <v>45741</v>
      </c>
      <c r="B193" t="s">
        <v>27</v>
      </c>
      <c r="C193" t="s">
        <v>120</v>
      </c>
      <c r="D193" t="s">
        <v>64</v>
      </c>
      <c r="E193" t="s">
        <v>299</v>
      </c>
      <c r="F193" t="s">
        <v>584</v>
      </c>
      <c r="G193">
        <v>0</v>
      </c>
      <c r="H193">
        <v>0</v>
      </c>
      <c r="I193" t="b">
        <f t="shared" si="33"/>
        <v>1</v>
      </c>
      <c r="J193">
        <v>0</v>
      </c>
      <c r="K193">
        <v>0</v>
      </c>
      <c r="L193" t="b">
        <f t="shared" si="24"/>
        <v>1</v>
      </c>
      <c r="M193">
        <v>0</v>
      </c>
      <c r="N193">
        <v>0</v>
      </c>
      <c r="O193" t="b">
        <f t="shared" si="25"/>
        <v>1</v>
      </c>
      <c r="P193">
        <v>0</v>
      </c>
      <c r="Q193">
        <v>0</v>
      </c>
      <c r="R193" t="b">
        <f t="shared" si="26"/>
        <v>1</v>
      </c>
      <c r="S193">
        <v>0</v>
      </c>
      <c r="T193">
        <v>0</v>
      </c>
      <c r="U193" t="b">
        <f t="shared" si="34"/>
        <v>1</v>
      </c>
      <c r="V193">
        <v>0</v>
      </c>
      <c r="W193">
        <v>0</v>
      </c>
      <c r="X193" t="b">
        <f t="shared" si="27"/>
        <v>1</v>
      </c>
      <c r="Y193">
        <v>3500</v>
      </c>
      <c r="Z193">
        <v>3500</v>
      </c>
      <c r="AA193" t="b">
        <f t="shared" si="28"/>
        <v>1</v>
      </c>
      <c r="AB193">
        <v>3500</v>
      </c>
      <c r="AC193">
        <v>3500</v>
      </c>
      <c r="AD193" t="b">
        <f t="shared" si="29"/>
        <v>1</v>
      </c>
      <c r="AE193">
        <v>0</v>
      </c>
      <c r="AF193">
        <v>0</v>
      </c>
      <c r="AG193" t="b">
        <f t="shared" si="30"/>
        <v>1</v>
      </c>
      <c r="AH193">
        <v>0</v>
      </c>
      <c r="AI193">
        <v>0</v>
      </c>
      <c r="AJ193" t="b">
        <f t="shared" si="31"/>
        <v>1</v>
      </c>
      <c r="AK193">
        <v>0</v>
      </c>
      <c r="AL193">
        <v>0</v>
      </c>
      <c r="AM193" t="b">
        <f t="shared" si="32"/>
        <v>1</v>
      </c>
    </row>
    <row r="194" hidden="1" spans="1:39">
      <c r="A194">
        <v>45741</v>
      </c>
      <c r="B194" t="s">
        <v>38</v>
      </c>
      <c r="C194" t="s">
        <v>130</v>
      </c>
      <c r="D194" t="s">
        <v>41</v>
      </c>
      <c r="E194" t="s">
        <v>300</v>
      </c>
      <c r="F194" t="s">
        <v>585</v>
      </c>
      <c r="G194">
        <v>0</v>
      </c>
      <c r="H194">
        <v>0</v>
      </c>
      <c r="I194" t="b">
        <f t="shared" si="33"/>
        <v>1</v>
      </c>
      <c r="J194">
        <v>0</v>
      </c>
      <c r="K194">
        <v>0</v>
      </c>
      <c r="L194" t="b">
        <f t="shared" si="24"/>
        <v>1</v>
      </c>
      <c r="M194">
        <v>6623</v>
      </c>
      <c r="N194">
        <v>0</v>
      </c>
      <c r="O194" t="b">
        <f t="shared" si="25"/>
        <v>0</v>
      </c>
      <c r="P194">
        <v>0</v>
      </c>
      <c r="Q194">
        <v>0</v>
      </c>
      <c r="R194" t="b">
        <f t="shared" si="26"/>
        <v>1</v>
      </c>
      <c r="S194">
        <v>6623</v>
      </c>
      <c r="T194">
        <v>0</v>
      </c>
      <c r="U194" t="b">
        <f t="shared" si="34"/>
        <v>0</v>
      </c>
      <c r="V194">
        <v>1153952.5</v>
      </c>
      <c r="W194">
        <v>1163442.5</v>
      </c>
      <c r="X194" t="b">
        <f t="shared" si="27"/>
        <v>0</v>
      </c>
      <c r="Y194">
        <v>3154805.5</v>
      </c>
      <c r="Z194">
        <v>3154805.5</v>
      </c>
      <c r="AA194" t="b">
        <f t="shared" si="28"/>
        <v>1</v>
      </c>
      <c r="AB194">
        <v>3154806</v>
      </c>
      <c r="AC194">
        <v>3154806</v>
      </c>
      <c r="AD194" t="b">
        <f t="shared" si="29"/>
        <v>1</v>
      </c>
      <c r="AE194">
        <v>0</v>
      </c>
      <c r="AF194">
        <v>0</v>
      </c>
      <c r="AG194" t="b">
        <f t="shared" si="30"/>
        <v>1</v>
      </c>
      <c r="AH194">
        <v>0.5</v>
      </c>
      <c r="AI194">
        <v>0.5</v>
      </c>
      <c r="AJ194" t="b">
        <f t="shared" si="31"/>
        <v>1</v>
      </c>
      <c r="AK194">
        <v>1153952.5</v>
      </c>
      <c r="AL194">
        <v>1163442.5</v>
      </c>
      <c r="AM194" t="b">
        <f t="shared" si="32"/>
        <v>0</v>
      </c>
    </row>
    <row r="195" spans="1:39">
      <c r="A195">
        <v>45741</v>
      </c>
      <c r="B195" t="s">
        <v>27</v>
      </c>
      <c r="C195" t="s">
        <v>120</v>
      </c>
      <c r="D195" t="s">
        <v>81</v>
      </c>
      <c r="E195" t="s">
        <v>301</v>
      </c>
      <c r="F195" t="s">
        <v>586</v>
      </c>
      <c r="G195">
        <v>309507</v>
      </c>
      <c r="H195">
        <v>309507</v>
      </c>
      <c r="I195" t="b">
        <f t="shared" si="33"/>
        <v>1</v>
      </c>
      <c r="J195">
        <v>309507</v>
      </c>
      <c r="K195">
        <v>309507</v>
      </c>
      <c r="L195" t="b">
        <f t="shared" ref="L195:L238" si="35">J195=K195</f>
        <v>1</v>
      </c>
      <c r="M195">
        <v>326914</v>
      </c>
      <c r="N195">
        <v>326914</v>
      </c>
      <c r="O195" t="b">
        <f t="shared" ref="O195:O238" si="36">N195=M195</f>
        <v>1</v>
      </c>
      <c r="P195">
        <v>0</v>
      </c>
      <c r="Q195">
        <v>0</v>
      </c>
      <c r="R195" t="b">
        <f t="shared" ref="R195:R238" si="37">P195=Q195</f>
        <v>1</v>
      </c>
      <c r="S195">
        <v>17407</v>
      </c>
      <c r="T195">
        <v>17407</v>
      </c>
      <c r="U195" t="b">
        <f t="shared" si="34"/>
        <v>1</v>
      </c>
      <c r="V195">
        <v>0</v>
      </c>
      <c r="W195">
        <v>0</v>
      </c>
      <c r="X195" t="b">
        <f t="shared" ref="X195:X238" si="38">V195=W195</f>
        <v>1</v>
      </c>
      <c r="Y195">
        <v>0</v>
      </c>
      <c r="Z195">
        <v>0</v>
      </c>
      <c r="AA195" t="b">
        <f t="shared" ref="AA195:AA238" si="39">Y195=Z195</f>
        <v>1</v>
      </c>
      <c r="AB195">
        <v>0</v>
      </c>
      <c r="AC195">
        <v>0</v>
      </c>
      <c r="AD195" t="b">
        <f t="shared" ref="AD195:AD238" si="40">AB195=AC195</f>
        <v>1</v>
      </c>
      <c r="AE195">
        <v>0</v>
      </c>
      <c r="AF195">
        <v>0</v>
      </c>
      <c r="AG195" t="b">
        <f t="shared" ref="AG195:AG238" si="41">AE195=AF195</f>
        <v>1</v>
      </c>
      <c r="AH195">
        <v>0</v>
      </c>
      <c r="AI195">
        <v>0</v>
      </c>
      <c r="AJ195" t="b">
        <f t="shared" ref="AJ195:AJ238" si="42">AH195=AI195</f>
        <v>1</v>
      </c>
      <c r="AK195">
        <v>309507</v>
      </c>
      <c r="AL195">
        <v>309507</v>
      </c>
      <c r="AM195" t="b">
        <f t="shared" ref="AM195:AM238" si="43">AK195=AL195</f>
        <v>1</v>
      </c>
    </row>
    <row r="196" hidden="1" spans="1:39">
      <c r="A196">
        <v>45741</v>
      </c>
      <c r="B196" t="s">
        <v>31</v>
      </c>
      <c r="C196" t="s">
        <v>115</v>
      </c>
      <c r="D196" t="s">
        <v>143</v>
      </c>
      <c r="E196" t="s">
        <v>302</v>
      </c>
      <c r="F196" t="s">
        <v>587</v>
      </c>
      <c r="G196">
        <v>522500</v>
      </c>
      <c r="H196">
        <v>522500</v>
      </c>
      <c r="I196" t="b">
        <f t="shared" si="33"/>
        <v>1</v>
      </c>
      <c r="J196">
        <v>522500</v>
      </c>
      <c r="K196">
        <v>522500</v>
      </c>
      <c r="L196" t="b">
        <f t="shared" si="35"/>
        <v>1</v>
      </c>
      <c r="M196">
        <v>0</v>
      </c>
      <c r="N196">
        <v>0</v>
      </c>
      <c r="O196" t="b">
        <f t="shared" si="36"/>
        <v>1</v>
      </c>
      <c r="P196">
        <v>0</v>
      </c>
      <c r="Q196">
        <v>0</v>
      </c>
      <c r="R196" t="b">
        <f t="shared" si="37"/>
        <v>1</v>
      </c>
      <c r="S196">
        <v>522500</v>
      </c>
      <c r="T196">
        <v>522500</v>
      </c>
      <c r="U196" t="b">
        <f t="shared" si="34"/>
        <v>1</v>
      </c>
      <c r="V196">
        <v>59205</v>
      </c>
      <c r="W196">
        <v>68559</v>
      </c>
      <c r="X196" t="b">
        <f t="shared" si="38"/>
        <v>0</v>
      </c>
      <c r="Y196">
        <v>68559</v>
      </c>
      <c r="Z196">
        <v>68559</v>
      </c>
      <c r="AA196" t="b">
        <f t="shared" si="39"/>
        <v>1</v>
      </c>
      <c r="AB196">
        <v>131441</v>
      </c>
      <c r="AC196">
        <v>131441</v>
      </c>
      <c r="AD196" t="b">
        <f t="shared" si="40"/>
        <v>1</v>
      </c>
      <c r="AE196">
        <v>0</v>
      </c>
      <c r="AF196">
        <v>0</v>
      </c>
      <c r="AG196" t="b">
        <f t="shared" si="41"/>
        <v>1</v>
      </c>
      <c r="AH196">
        <v>200000</v>
      </c>
      <c r="AI196">
        <v>200000</v>
      </c>
      <c r="AJ196" t="b">
        <f t="shared" si="42"/>
        <v>1</v>
      </c>
      <c r="AK196">
        <v>463295</v>
      </c>
      <c r="AL196">
        <v>453941</v>
      </c>
      <c r="AM196" t="b">
        <f t="shared" si="43"/>
        <v>0</v>
      </c>
    </row>
    <row r="197" spans="1:39">
      <c r="A197">
        <v>45741</v>
      </c>
      <c r="B197" t="s">
        <v>27</v>
      </c>
      <c r="C197" t="s">
        <v>120</v>
      </c>
      <c r="D197" t="s">
        <v>71</v>
      </c>
      <c r="E197" t="s">
        <v>303</v>
      </c>
      <c r="F197" t="s">
        <v>588</v>
      </c>
      <c r="G197">
        <v>0</v>
      </c>
      <c r="H197">
        <v>0</v>
      </c>
      <c r="I197" t="b">
        <f t="shared" si="33"/>
        <v>1</v>
      </c>
      <c r="J197">
        <v>292464.5</v>
      </c>
      <c r="K197">
        <v>292464.5</v>
      </c>
      <c r="L197" t="b">
        <f t="shared" si="35"/>
        <v>1</v>
      </c>
      <c r="M197">
        <v>292462</v>
      </c>
      <c r="N197">
        <v>292462</v>
      </c>
      <c r="O197" t="b">
        <f t="shared" si="36"/>
        <v>1</v>
      </c>
      <c r="P197">
        <v>0</v>
      </c>
      <c r="Q197">
        <v>0</v>
      </c>
      <c r="R197" t="b">
        <f t="shared" si="37"/>
        <v>1</v>
      </c>
      <c r="S197">
        <v>2.5</v>
      </c>
      <c r="T197">
        <v>2.5</v>
      </c>
      <c r="U197" t="b">
        <f t="shared" si="34"/>
        <v>1</v>
      </c>
      <c r="V197">
        <v>0</v>
      </c>
      <c r="W197">
        <v>0</v>
      </c>
      <c r="X197" t="b">
        <f t="shared" si="38"/>
        <v>1</v>
      </c>
      <c r="Y197">
        <v>0</v>
      </c>
      <c r="Z197">
        <v>0</v>
      </c>
      <c r="AA197" t="b">
        <f t="shared" si="39"/>
        <v>1</v>
      </c>
      <c r="AB197">
        <v>0</v>
      </c>
      <c r="AC197">
        <v>0</v>
      </c>
      <c r="AD197" t="b">
        <f t="shared" si="40"/>
        <v>1</v>
      </c>
      <c r="AE197">
        <v>0</v>
      </c>
      <c r="AF197">
        <v>0</v>
      </c>
      <c r="AG197" t="b">
        <f t="shared" si="41"/>
        <v>1</v>
      </c>
      <c r="AH197">
        <v>0</v>
      </c>
      <c r="AI197">
        <v>0</v>
      </c>
      <c r="AJ197" t="b">
        <f t="shared" si="42"/>
        <v>1</v>
      </c>
      <c r="AK197">
        <v>0</v>
      </c>
      <c r="AL197">
        <v>0</v>
      </c>
      <c r="AM197" t="b">
        <f t="shared" si="43"/>
        <v>1</v>
      </c>
    </row>
    <row r="198" spans="1:39">
      <c r="A198">
        <v>45741</v>
      </c>
      <c r="B198" t="s">
        <v>59</v>
      </c>
      <c r="C198" t="s">
        <v>115</v>
      </c>
      <c r="D198" t="s">
        <v>76</v>
      </c>
      <c r="E198" t="s">
        <v>304</v>
      </c>
      <c r="F198" t="s">
        <v>589</v>
      </c>
      <c r="G198">
        <v>0</v>
      </c>
      <c r="H198">
        <v>0</v>
      </c>
      <c r="I198" t="b">
        <f t="shared" si="33"/>
        <v>1</v>
      </c>
      <c r="J198">
        <v>308665</v>
      </c>
      <c r="K198">
        <v>308665</v>
      </c>
      <c r="L198" t="b">
        <f t="shared" si="35"/>
        <v>1</v>
      </c>
      <c r="M198">
        <v>308665</v>
      </c>
      <c r="N198">
        <v>308665</v>
      </c>
      <c r="O198" t="b">
        <f t="shared" si="36"/>
        <v>1</v>
      </c>
      <c r="P198">
        <v>0</v>
      </c>
      <c r="Q198">
        <v>0</v>
      </c>
      <c r="R198" t="b">
        <f t="shared" si="37"/>
        <v>1</v>
      </c>
      <c r="S198">
        <v>0</v>
      </c>
      <c r="T198">
        <v>0</v>
      </c>
      <c r="U198" t="b">
        <f t="shared" si="34"/>
        <v>1</v>
      </c>
      <c r="V198">
        <v>0</v>
      </c>
      <c r="W198">
        <v>0</v>
      </c>
      <c r="X198" t="b">
        <f t="shared" si="38"/>
        <v>1</v>
      </c>
      <c r="Y198">
        <v>0</v>
      </c>
      <c r="Z198">
        <v>0</v>
      </c>
      <c r="AA198" t="b">
        <f t="shared" si="39"/>
        <v>1</v>
      </c>
      <c r="AB198">
        <v>0</v>
      </c>
      <c r="AC198">
        <v>0</v>
      </c>
      <c r="AD198" t="b">
        <f t="shared" si="40"/>
        <v>1</v>
      </c>
      <c r="AE198">
        <v>0</v>
      </c>
      <c r="AF198">
        <v>0</v>
      </c>
      <c r="AG198" t="b">
        <f t="shared" si="41"/>
        <v>1</v>
      </c>
      <c r="AH198">
        <v>0</v>
      </c>
      <c r="AI198">
        <v>0</v>
      </c>
      <c r="AJ198" t="b">
        <f t="shared" si="42"/>
        <v>1</v>
      </c>
      <c r="AK198">
        <v>0</v>
      </c>
      <c r="AL198">
        <v>0</v>
      </c>
      <c r="AM198" t="b">
        <f t="shared" si="43"/>
        <v>1</v>
      </c>
    </row>
    <row r="199" hidden="1" spans="1:39">
      <c r="A199">
        <v>45741</v>
      </c>
      <c r="B199" t="s">
        <v>31</v>
      </c>
      <c r="C199" t="s">
        <v>115</v>
      </c>
      <c r="D199" t="s">
        <v>255</v>
      </c>
      <c r="E199" t="s">
        <v>305</v>
      </c>
      <c r="F199" t="s">
        <v>590</v>
      </c>
      <c r="G199">
        <v>0</v>
      </c>
      <c r="H199">
        <v>0</v>
      </c>
      <c r="I199" t="b">
        <f t="shared" si="33"/>
        <v>1</v>
      </c>
      <c r="J199">
        <v>0</v>
      </c>
      <c r="K199">
        <v>1792010</v>
      </c>
      <c r="L199" t="b">
        <f t="shared" si="35"/>
        <v>0</v>
      </c>
      <c r="M199">
        <v>1809610</v>
      </c>
      <c r="N199">
        <v>1809610</v>
      </c>
      <c r="O199" t="b">
        <f t="shared" si="36"/>
        <v>1</v>
      </c>
      <c r="P199">
        <v>0</v>
      </c>
      <c r="Q199">
        <v>0</v>
      </c>
      <c r="R199" t="b">
        <f t="shared" si="37"/>
        <v>1</v>
      </c>
      <c r="S199">
        <v>1809610</v>
      </c>
      <c r="T199">
        <v>17600</v>
      </c>
      <c r="U199" t="b">
        <f t="shared" si="34"/>
        <v>0</v>
      </c>
      <c r="V199">
        <v>0</v>
      </c>
      <c r="W199">
        <v>0</v>
      </c>
      <c r="X199" t="b">
        <f t="shared" si="38"/>
        <v>1</v>
      </c>
      <c r="Y199">
        <v>28800</v>
      </c>
      <c r="Z199">
        <v>28800</v>
      </c>
      <c r="AA199" t="b">
        <f t="shared" si="39"/>
        <v>1</v>
      </c>
      <c r="AB199">
        <v>28800</v>
      </c>
      <c r="AC199">
        <v>28800</v>
      </c>
      <c r="AD199" t="b">
        <f t="shared" si="40"/>
        <v>1</v>
      </c>
      <c r="AE199">
        <v>0</v>
      </c>
      <c r="AF199">
        <v>0</v>
      </c>
      <c r="AG199" t="b">
        <f t="shared" si="41"/>
        <v>1</v>
      </c>
      <c r="AH199">
        <v>0</v>
      </c>
      <c r="AI199">
        <v>0</v>
      </c>
      <c r="AJ199" t="b">
        <f t="shared" si="42"/>
        <v>1</v>
      </c>
      <c r="AK199">
        <v>0</v>
      </c>
      <c r="AL199">
        <v>0</v>
      </c>
      <c r="AM199" t="b">
        <f t="shared" si="43"/>
        <v>1</v>
      </c>
    </row>
    <row r="200" spans="1:39">
      <c r="A200">
        <v>45741</v>
      </c>
      <c r="B200" t="s">
        <v>59</v>
      </c>
      <c r="C200" t="s">
        <v>115</v>
      </c>
      <c r="D200" t="s">
        <v>175</v>
      </c>
      <c r="E200" t="s">
        <v>306</v>
      </c>
      <c r="F200" t="s">
        <v>591</v>
      </c>
      <c r="G200">
        <v>0</v>
      </c>
      <c r="H200">
        <v>0</v>
      </c>
      <c r="I200" t="b">
        <f t="shared" si="33"/>
        <v>1</v>
      </c>
      <c r="J200">
        <v>0</v>
      </c>
      <c r="K200">
        <v>0</v>
      </c>
      <c r="L200" t="b">
        <f t="shared" si="35"/>
        <v>1</v>
      </c>
      <c r="M200">
        <v>0</v>
      </c>
      <c r="N200">
        <v>0</v>
      </c>
      <c r="O200" t="b">
        <f t="shared" si="36"/>
        <v>1</v>
      </c>
      <c r="P200">
        <v>0</v>
      </c>
      <c r="Q200">
        <v>0</v>
      </c>
      <c r="R200" t="b">
        <f t="shared" si="37"/>
        <v>1</v>
      </c>
      <c r="S200">
        <v>0</v>
      </c>
      <c r="T200">
        <v>0</v>
      </c>
      <c r="U200" t="b">
        <f t="shared" si="34"/>
        <v>1</v>
      </c>
      <c r="V200">
        <v>0</v>
      </c>
      <c r="W200">
        <v>0</v>
      </c>
      <c r="X200" t="b">
        <f t="shared" si="38"/>
        <v>1</v>
      </c>
      <c r="Y200">
        <v>81200</v>
      </c>
      <c r="Z200">
        <v>81200</v>
      </c>
      <c r="AA200" t="b">
        <f t="shared" si="39"/>
        <v>1</v>
      </c>
      <c r="AB200">
        <v>81200</v>
      </c>
      <c r="AC200">
        <v>81200</v>
      </c>
      <c r="AD200" t="b">
        <f t="shared" si="40"/>
        <v>1</v>
      </c>
      <c r="AE200">
        <v>0</v>
      </c>
      <c r="AF200">
        <v>0</v>
      </c>
      <c r="AG200" t="b">
        <f t="shared" si="41"/>
        <v>1</v>
      </c>
      <c r="AH200">
        <v>0</v>
      </c>
      <c r="AI200">
        <v>0</v>
      </c>
      <c r="AJ200" t="b">
        <f t="shared" si="42"/>
        <v>1</v>
      </c>
      <c r="AK200">
        <v>0</v>
      </c>
      <c r="AL200">
        <v>0</v>
      </c>
      <c r="AM200" t="b">
        <f t="shared" si="43"/>
        <v>1</v>
      </c>
    </row>
    <row r="201" spans="1:39">
      <c r="A201">
        <v>45741</v>
      </c>
      <c r="B201" t="s">
        <v>27</v>
      </c>
      <c r="C201" t="s">
        <v>120</v>
      </c>
      <c r="D201" t="s">
        <v>64</v>
      </c>
      <c r="E201" t="s">
        <v>307</v>
      </c>
      <c r="F201" t="s">
        <v>592</v>
      </c>
      <c r="G201">
        <v>0</v>
      </c>
      <c r="H201">
        <v>0</v>
      </c>
      <c r="I201" t="b">
        <f t="shared" si="33"/>
        <v>1</v>
      </c>
      <c r="J201">
        <v>0</v>
      </c>
      <c r="K201">
        <v>0</v>
      </c>
      <c r="L201" t="b">
        <f t="shared" si="35"/>
        <v>1</v>
      </c>
      <c r="M201">
        <v>0</v>
      </c>
      <c r="N201">
        <v>0</v>
      </c>
      <c r="O201" t="b">
        <f t="shared" si="36"/>
        <v>1</v>
      </c>
      <c r="P201">
        <v>0</v>
      </c>
      <c r="Q201">
        <v>0</v>
      </c>
      <c r="R201" t="b">
        <f t="shared" si="37"/>
        <v>1</v>
      </c>
      <c r="S201">
        <v>0</v>
      </c>
      <c r="T201">
        <v>0</v>
      </c>
      <c r="U201" t="b">
        <f t="shared" si="34"/>
        <v>1</v>
      </c>
      <c r="V201">
        <v>0</v>
      </c>
      <c r="W201">
        <v>0</v>
      </c>
      <c r="X201" t="b">
        <f t="shared" si="38"/>
        <v>1</v>
      </c>
      <c r="Y201">
        <v>32000</v>
      </c>
      <c r="Z201">
        <v>32000</v>
      </c>
      <c r="AA201" t="b">
        <f t="shared" si="39"/>
        <v>1</v>
      </c>
      <c r="AB201">
        <v>32000</v>
      </c>
      <c r="AC201">
        <v>32000</v>
      </c>
      <c r="AD201" t="b">
        <f t="shared" si="40"/>
        <v>1</v>
      </c>
      <c r="AE201">
        <v>0</v>
      </c>
      <c r="AF201">
        <v>0</v>
      </c>
      <c r="AG201" t="b">
        <f t="shared" si="41"/>
        <v>1</v>
      </c>
      <c r="AH201">
        <v>0</v>
      </c>
      <c r="AI201">
        <v>0</v>
      </c>
      <c r="AJ201" t="b">
        <f t="shared" si="42"/>
        <v>1</v>
      </c>
      <c r="AK201">
        <v>0</v>
      </c>
      <c r="AL201">
        <v>0</v>
      </c>
      <c r="AM201" t="b">
        <f t="shared" si="43"/>
        <v>1</v>
      </c>
    </row>
    <row r="202" spans="1:39">
      <c r="A202">
        <v>45741</v>
      </c>
      <c r="B202" t="s">
        <v>27</v>
      </c>
      <c r="C202" t="s">
        <v>120</v>
      </c>
      <c r="D202" t="s">
        <v>308</v>
      </c>
      <c r="E202" t="s">
        <v>309</v>
      </c>
      <c r="F202" t="s">
        <v>593</v>
      </c>
      <c r="G202">
        <v>0</v>
      </c>
      <c r="H202">
        <v>0</v>
      </c>
      <c r="I202" t="b">
        <f t="shared" si="33"/>
        <v>1</v>
      </c>
      <c r="J202">
        <v>0</v>
      </c>
      <c r="K202">
        <v>0</v>
      </c>
      <c r="L202" t="b">
        <f t="shared" si="35"/>
        <v>1</v>
      </c>
      <c r="M202">
        <v>0</v>
      </c>
      <c r="N202">
        <v>0</v>
      </c>
      <c r="O202" t="b">
        <f t="shared" si="36"/>
        <v>1</v>
      </c>
      <c r="P202">
        <v>0</v>
      </c>
      <c r="Q202">
        <v>0</v>
      </c>
      <c r="R202" t="b">
        <f t="shared" si="37"/>
        <v>1</v>
      </c>
      <c r="S202">
        <v>0</v>
      </c>
      <c r="T202">
        <v>0</v>
      </c>
      <c r="U202" t="b">
        <f t="shared" si="34"/>
        <v>1</v>
      </c>
      <c r="V202">
        <v>0</v>
      </c>
      <c r="W202">
        <v>0</v>
      </c>
      <c r="X202" t="b">
        <f t="shared" si="38"/>
        <v>1</v>
      </c>
      <c r="Y202">
        <v>83600</v>
      </c>
      <c r="Z202">
        <v>83600</v>
      </c>
      <c r="AA202" t="b">
        <f t="shared" si="39"/>
        <v>1</v>
      </c>
      <c r="AB202">
        <v>83600</v>
      </c>
      <c r="AC202">
        <v>83600</v>
      </c>
      <c r="AD202" t="b">
        <f t="shared" si="40"/>
        <v>1</v>
      </c>
      <c r="AE202">
        <v>0</v>
      </c>
      <c r="AF202">
        <v>0</v>
      </c>
      <c r="AG202" t="b">
        <f t="shared" si="41"/>
        <v>1</v>
      </c>
      <c r="AH202">
        <v>0</v>
      </c>
      <c r="AI202">
        <v>0</v>
      </c>
      <c r="AJ202" t="b">
        <f t="shared" si="42"/>
        <v>1</v>
      </c>
      <c r="AK202">
        <v>0</v>
      </c>
      <c r="AL202">
        <v>0</v>
      </c>
      <c r="AM202" t="b">
        <f t="shared" si="43"/>
        <v>1</v>
      </c>
    </row>
    <row r="203" hidden="1" spans="1:39">
      <c r="A203">
        <v>45741</v>
      </c>
      <c r="B203" t="s">
        <v>38</v>
      </c>
      <c r="C203" t="s">
        <v>130</v>
      </c>
      <c r="D203" t="s">
        <v>224</v>
      </c>
      <c r="E203" t="s">
        <v>310</v>
      </c>
      <c r="F203" t="s">
        <v>594</v>
      </c>
      <c r="G203">
        <v>0</v>
      </c>
      <c r="H203">
        <v>0</v>
      </c>
      <c r="I203" t="b">
        <f t="shared" si="33"/>
        <v>1</v>
      </c>
      <c r="J203">
        <v>12321475</v>
      </c>
      <c r="K203">
        <v>12321475</v>
      </c>
      <c r="L203" t="b">
        <f t="shared" si="35"/>
        <v>1</v>
      </c>
      <c r="M203">
        <v>6346</v>
      </c>
      <c r="N203">
        <v>0</v>
      </c>
      <c r="O203" t="b">
        <f t="shared" si="36"/>
        <v>0</v>
      </c>
      <c r="P203">
        <v>0</v>
      </c>
      <c r="Q203">
        <v>0</v>
      </c>
      <c r="R203" t="b">
        <f t="shared" si="37"/>
        <v>1</v>
      </c>
      <c r="S203">
        <v>12327821</v>
      </c>
      <c r="T203">
        <v>12321475</v>
      </c>
      <c r="U203" t="b">
        <f t="shared" si="34"/>
        <v>0</v>
      </c>
      <c r="V203">
        <v>1441584</v>
      </c>
      <c r="W203">
        <v>1573290</v>
      </c>
      <c r="X203" t="b">
        <f t="shared" si="38"/>
        <v>0</v>
      </c>
      <c r="Y203">
        <v>4949540</v>
      </c>
      <c r="Z203">
        <v>4949540</v>
      </c>
      <c r="AA203" t="b">
        <f t="shared" si="39"/>
        <v>1</v>
      </c>
      <c r="AB203">
        <v>4987863</v>
      </c>
      <c r="AC203">
        <v>4987863</v>
      </c>
      <c r="AD203" t="b">
        <f t="shared" si="40"/>
        <v>1</v>
      </c>
      <c r="AE203">
        <v>37403</v>
      </c>
      <c r="AF203">
        <v>37403</v>
      </c>
      <c r="AG203" t="b">
        <f t="shared" si="41"/>
        <v>1</v>
      </c>
      <c r="AH203">
        <v>9900000</v>
      </c>
      <c r="AI203">
        <v>9900000</v>
      </c>
      <c r="AJ203" t="b">
        <f t="shared" si="42"/>
        <v>1</v>
      </c>
      <c r="AK203">
        <v>1441584</v>
      </c>
      <c r="AL203">
        <v>1573290</v>
      </c>
      <c r="AM203" t="b">
        <f t="shared" si="43"/>
        <v>0</v>
      </c>
    </row>
    <row r="204" spans="1:39">
      <c r="A204">
        <v>45741</v>
      </c>
      <c r="B204" t="s">
        <v>38</v>
      </c>
      <c r="C204" t="s">
        <v>130</v>
      </c>
      <c r="D204" t="s">
        <v>51</v>
      </c>
      <c r="E204" t="s">
        <v>595</v>
      </c>
      <c r="F204" t="s">
        <v>596</v>
      </c>
      <c r="G204">
        <v>0</v>
      </c>
      <c r="H204">
        <v>0</v>
      </c>
      <c r="I204" t="b">
        <f t="shared" si="33"/>
        <v>1</v>
      </c>
      <c r="J204">
        <v>0</v>
      </c>
      <c r="K204">
        <v>0</v>
      </c>
      <c r="L204" t="b">
        <f t="shared" si="35"/>
        <v>1</v>
      </c>
      <c r="M204">
        <v>0</v>
      </c>
      <c r="N204">
        <v>0</v>
      </c>
      <c r="O204" t="b">
        <f t="shared" si="36"/>
        <v>1</v>
      </c>
      <c r="P204">
        <v>0</v>
      </c>
      <c r="Q204">
        <v>0</v>
      </c>
      <c r="R204" t="b">
        <f t="shared" si="37"/>
        <v>1</v>
      </c>
      <c r="S204">
        <v>0</v>
      </c>
      <c r="T204">
        <v>0</v>
      </c>
      <c r="U204" t="b">
        <f t="shared" si="34"/>
        <v>1</v>
      </c>
      <c r="V204">
        <v>0</v>
      </c>
      <c r="W204">
        <v>0</v>
      </c>
      <c r="X204" t="b">
        <f t="shared" si="38"/>
        <v>1</v>
      </c>
      <c r="Y204">
        <v>3075000</v>
      </c>
      <c r="Z204">
        <v>3075000</v>
      </c>
      <c r="AA204" t="b">
        <f t="shared" si="39"/>
        <v>1</v>
      </c>
      <c r="AB204">
        <v>3075000</v>
      </c>
      <c r="AC204">
        <v>3075000</v>
      </c>
      <c r="AD204" t="b">
        <f t="shared" si="40"/>
        <v>1</v>
      </c>
      <c r="AE204">
        <v>0</v>
      </c>
      <c r="AF204">
        <v>0</v>
      </c>
      <c r="AG204" t="b">
        <f t="shared" si="41"/>
        <v>1</v>
      </c>
      <c r="AH204">
        <v>0</v>
      </c>
      <c r="AI204">
        <v>0</v>
      </c>
      <c r="AJ204" t="b">
        <f t="shared" si="42"/>
        <v>1</v>
      </c>
      <c r="AK204">
        <v>0</v>
      </c>
      <c r="AL204">
        <v>0</v>
      </c>
      <c r="AM204" t="b">
        <f t="shared" si="43"/>
        <v>1</v>
      </c>
    </row>
    <row r="205" hidden="1" spans="1:39">
      <c r="A205">
        <v>45741</v>
      </c>
      <c r="B205" t="s">
        <v>31</v>
      </c>
      <c r="C205" t="s">
        <v>115</v>
      </c>
      <c r="D205" t="s">
        <v>149</v>
      </c>
      <c r="E205" t="s">
        <v>312</v>
      </c>
      <c r="F205" t="s">
        <v>597</v>
      </c>
      <c r="G205">
        <v>2000000</v>
      </c>
      <c r="H205">
        <v>2000000</v>
      </c>
      <c r="I205" t="b">
        <f t="shared" si="33"/>
        <v>1</v>
      </c>
      <c r="J205">
        <v>0</v>
      </c>
      <c r="K205">
        <v>0</v>
      </c>
      <c r="L205" t="b">
        <f t="shared" si="35"/>
        <v>1</v>
      </c>
      <c r="M205">
        <v>2000000</v>
      </c>
      <c r="N205">
        <v>2000000</v>
      </c>
      <c r="O205" t="b">
        <f t="shared" si="36"/>
        <v>1</v>
      </c>
      <c r="P205">
        <v>0</v>
      </c>
      <c r="Q205">
        <v>0</v>
      </c>
      <c r="R205" t="b">
        <f t="shared" si="37"/>
        <v>1</v>
      </c>
      <c r="S205">
        <v>2000000</v>
      </c>
      <c r="T205">
        <v>2000000</v>
      </c>
      <c r="U205" t="b">
        <f t="shared" si="34"/>
        <v>1</v>
      </c>
      <c r="V205">
        <v>837893.5</v>
      </c>
      <c r="W205">
        <v>837893</v>
      </c>
      <c r="X205" t="b">
        <f t="shared" si="38"/>
        <v>0</v>
      </c>
      <c r="Y205">
        <v>205612</v>
      </c>
      <c r="Z205">
        <v>205612</v>
      </c>
      <c r="AA205" t="b">
        <f t="shared" si="39"/>
        <v>1</v>
      </c>
      <c r="AB205">
        <v>1068006</v>
      </c>
      <c r="AC205">
        <v>1068006</v>
      </c>
      <c r="AD205" t="b">
        <f t="shared" si="40"/>
        <v>1</v>
      </c>
      <c r="AE205">
        <v>0</v>
      </c>
      <c r="AF205">
        <v>0</v>
      </c>
      <c r="AG205" t="b">
        <f t="shared" si="41"/>
        <v>1</v>
      </c>
      <c r="AH205">
        <v>1273618</v>
      </c>
      <c r="AI205">
        <v>1273618</v>
      </c>
      <c r="AJ205" t="b">
        <f t="shared" si="42"/>
        <v>1</v>
      </c>
      <c r="AK205">
        <v>1162106.5</v>
      </c>
      <c r="AL205">
        <v>1162107</v>
      </c>
      <c r="AM205" t="b">
        <f t="shared" si="43"/>
        <v>0</v>
      </c>
    </row>
    <row r="206" spans="1:39">
      <c r="A206">
        <v>45741</v>
      </c>
      <c r="B206" t="s">
        <v>27</v>
      </c>
      <c r="C206" t="s">
        <v>120</v>
      </c>
      <c r="D206" t="s">
        <v>313</v>
      </c>
      <c r="E206" t="s">
        <v>314</v>
      </c>
      <c r="F206" t="s">
        <v>598</v>
      </c>
      <c r="G206">
        <v>349503</v>
      </c>
      <c r="H206">
        <v>349503</v>
      </c>
      <c r="I206" t="b">
        <f t="shared" si="33"/>
        <v>1</v>
      </c>
      <c r="J206">
        <v>349503</v>
      </c>
      <c r="K206">
        <v>349503</v>
      </c>
      <c r="L206" t="b">
        <f t="shared" si="35"/>
        <v>1</v>
      </c>
      <c r="M206">
        <v>0</v>
      </c>
      <c r="N206">
        <v>0</v>
      </c>
      <c r="O206" t="b">
        <f t="shared" si="36"/>
        <v>1</v>
      </c>
      <c r="P206">
        <v>0</v>
      </c>
      <c r="Q206">
        <v>0</v>
      </c>
      <c r="R206" t="b">
        <f t="shared" si="37"/>
        <v>1</v>
      </c>
      <c r="S206">
        <v>349503</v>
      </c>
      <c r="T206">
        <v>349503</v>
      </c>
      <c r="U206" t="b">
        <f t="shared" si="34"/>
        <v>1</v>
      </c>
      <c r="V206">
        <v>58146.67</v>
      </c>
      <c r="W206">
        <v>58146.67</v>
      </c>
      <c r="X206" t="b">
        <f t="shared" si="38"/>
        <v>1</v>
      </c>
      <c r="Y206">
        <v>58146.67</v>
      </c>
      <c r="Z206">
        <v>58146.67</v>
      </c>
      <c r="AA206" t="b">
        <f t="shared" si="39"/>
        <v>1</v>
      </c>
      <c r="AB206">
        <v>0</v>
      </c>
      <c r="AC206">
        <v>0</v>
      </c>
      <c r="AD206" t="b">
        <f t="shared" si="40"/>
        <v>1</v>
      </c>
      <c r="AE206">
        <v>89000</v>
      </c>
      <c r="AF206">
        <v>89000</v>
      </c>
      <c r="AG206" t="b">
        <f t="shared" si="41"/>
        <v>1</v>
      </c>
      <c r="AH206">
        <v>30853.33</v>
      </c>
      <c r="AI206">
        <v>30853.33</v>
      </c>
      <c r="AJ206" t="b">
        <f t="shared" si="42"/>
        <v>1</v>
      </c>
      <c r="AK206">
        <v>291356.33</v>
      </c>
      <c r="AL206">
        <v>291356.33</v>
      </c>
      <c r="AM206" t="b">
        <f t="shared" si="43"/>
        <v>1</v>
      </c>
    </row>
    <row r="207" spans="1:39">
      <c r="A207">
        <v>45741</v>
      </c>
      <c r="B207" t="s">
        <v>27</v>
      </c>
      <c r="C207" t="s">
        <v>120</v>
      </c>
      <c r="D207" t="s">
        <v>71</v>
      </c>
      <c r="E207" t="s">
        <v>315</v>
      </c>
      <c r="F207" t="s">
        <v>599</v>
      </c>
      <c r="G207">
        <v>0</v>
      </c>
      <c r="H207">
        <v>0</v>
      </c>
      <c r="I207" t="b">
        <f t="shared" si="33"/>
        <v>1</v>
      </c>
      <c r="J207">
        <v>0</v>
      </c>
      <c r="K207">
        <v>0</v>
      </c>
      <c r="L207" t="b">
        <f t="shared" si="35"/>
        <v>1</v>
      </c>
      <c r="M207">
        <v>0</v>
      </c>
      <c r="N207">
        <v>0</v>
      </c>
      <c r="O207" t="b">
        <f t="shared" si="36"/>
        <v>1</v>
      </c>
      <c r="P207">
        <v>0</v>
      </c>
      <c r="Q207">
        <v>0</v>
      </c>
      <c r="R207" t="b">
        <f t="shared" si="37"/>
        <v>1</v>
      </c>
      <c r="S207">
        <v>0</v>
      </c>
      <c r="T207">
        <v>0</v>
      </c>
      <c r="U207" t="b">
        <f t="shared" si="34"/>
        <v>1</v>
      </c>
      <c r="V207">
        <v>0</v>
      </c>
      <c r="W207">
        <v>0</v>
      </c>
      <c r="X207" t="b">
        <f t="shared" si="38"/>
        <v>1</v>
      </c>
      <c r="Y207">
        <v>461394</v>
      </c>
      <c r="Z207">
        <v>461394</v>
      </c>
      <c r="AA207" t="b">
        <f t="shared" si="39"/>
        <v>1</v>
      </c>
      <c r="AB207">
        <v>461394</v>
      </c>
      <c r="AC207">
        <v>461394</v>
      </c>
      <c r="AD207" t="b">
        <f t="shared" si="40"/>
        <v>1</v>
      </c>
      <c r="AE207">
        <v>0</v>
      </c>
      <c r="AF207">
        <v>0</v>
      </c>
      <c r="AG207" t="b">
        <f t="shared" si="41"/>
        <v>1</v>
      </c>
      <c r="AH207">
        <v>0</v>
      </c>
      <c r="AI207">
        <v>0</v>
      </c>
      <c r="AJ207" t="b">
        <f t="shared" si="42"/>
        <v>1</v>
      </c>
      <c r="AK207">
        <v>0</v>
      </c>
      <c r="AL207">
        <v>0</v>
      </c>
      <c r="AM207" t="b">
        <f t="shared" si="43"/>
        <v>1</v>
      </c>
    </row>
    <row r="208" spans="1:39">
      <c r="A208">
        <v>45741</v>
      </c>
      <c r="B208" t="s">
        <v>38</v>
      </c>
      <c r="C208" t="s">
        <v>130</v>
      </c>
      <c r="D208" t="s">
        <v>316</v>
      </c>
      <c r="E208" t="s">
        <v>317</v>
      </c>
      <c r="F208" t="s">
        <v>600</v>
      </c>
      <c r="G208">
        <v>0</v>
      </c>
      <c r="H208">
        <v>0</v>
      </c>
      <c r="I208" t="b">
        <f t="shared" si="33"/>
        <v>1</v>
      </c>
      <c r="J208">
        <v>0</v>
      </c>
      <c r="K208">
        <v>0</v>
      </c>
      <c r="L208" t="b">
        <f t="shared" si="35"/>
        <v>1</v>
      </c>
      <c r="M208">
        <v>0</v>
      </c>
      <c r="N208">
        <v>0</v>
      </c>
      <c r="O208" t="b">
        <f t="shared" si="36"/>
        <v>1</v>
      </c>
      <c r="P208">
        <v>0</v>
      </c>
      <c r="Q208">
        <v>0</v>
      </c>
      <c r="R208" t="b">
        <f t="shared" si="37"/>
        <v>1</v>
      </c>
      <c r="S208">
        <v>0</v>
      </c>
      <c r="T208">
        <v>0</v>
      </c>
      <c r="U208" t="b">
        <f t="shared" si="34"/>
        <v>1</v>
      </c>
      <c r="V208">
        <v>0</v>
      </c>
      <c r="W208">
        <v>0</v>
      </c>
      <c r="X208" t="b">
        <f t="shared" si="38"/>
        <v>1</v>
      </c>
      <c r="Y208">
        <v>541000</v>
      </c>
      <c r="Z208">
        <v>541000</v>
      </c>
      <c r="AA208" t="b">
        <f t="shared" si="39"/>
        <v>1</v>
      </c>
      <c r="AB208">
        <v>541000</v>
      </c>
      <c r="AC208">
        <v>541000</v>
      </c>
      <c r="AD208" t="b">
        <f t="shared" si="40"/>
        <v>1</v>
      </c>
      <c r="AE208">
        <v>0</v>
      </c>
      <c r="AF208">
        <v>0</v>
      </c>
      <c r="AG208" t="b">
        <f t="shared" si="41"/>
        <v>1</v>
      </c>
      <c r="AH208">
        <v>0</v>
      </c>
      <c r="AI208">
        <v>0</v>
      </c>
      <c r="AJ208" t="b">
        <f t="shared" si="42"/>
        <v>1</v>
      </c>
      <c r="AK208">
        <v>0</v>
      </c>
      <c r="AL208">
        <v>0</v>
      </c>
      <c r="AM208" t="b">
        <f t="shared" si="43"/>
        <v>1</v>
      </c>
    </row>
    <row r="209" spans="1:39">
      <c r="A209">
        <v>45741</v>
      </c>
      <c r="B209" t="s">
        <v>27</v>
      </c>
      <c r="C209" t="s">
        <v>120</v>
      </c>
      <c r="D209" t="s">
        <v>47</v>
      </c>
      <c r="E209" t="s">
        <v>601</v>
      </c>
      <c r="F209" t="s">
        <v>602</v>
      </c>
      <c r="G209">
        <v>738000</v>
      </c>
      <c r="H209">
        <v>738000</v>
      </c>
      <c r="I209" t="b">
        <f t="shared" si="33"/>
        <v>1</v>
      </c>
      <c r="J209">
        <v>738000</v>
      </c>
      <c r="K209">
        <v>738000</v>
      </c>
      <c r="L209" t="b">
        <f t="shared" si="35"/>
        <v>1</v>
      </c>
      <c r="M209">
        <v>0</v>
      </c>
      <c r="N209">
        <v>0</v>
      </c>
      <c r="O209" t="b">
        <f t="shared" si="36"/>
        <v>1</v>
      </c>
      <c r="P209">
        <v>0</v>
      </c>
      <c r="Q209">
        <v>0</v>
      </c>
      <c r="R209" t="b">
        <f t="shared" si="37"/>
        <v>1</v>
      </c>
      <c r="S209">
        <v>738000</v>
      </c>
      <c r="T209">
        <v>738000</v>
      </c>
      <c r="U209" t="b">
        <f t="shared" si="34"/>
        <v>1</v>
      </c>
      <c r="V209">
        <v>0</v>
      </c>
      <c r="W209">
        <v>0</v>
      </c>
      <c r="X209" t="b">
        <f t="shared" si="38"/>
        <v>1</v>
      </c>
      <c r="Y209">
        <v>0</v>
      </c>
      <c r="Z209">
        <v>0</v>
      </c>
      <c r="AA209" t="b">
        <f t="shared" si="39"/>
        <v>1</v>
      </c>
      <c r="AB209">
        <v>575640</v>
      </c>
      <c r="AC209">
        <v>575640</v>
      </c>
      <c r="AD209" t="b">
        <f t="shared" si="40"/>
        <v>1</v>
      </c>
      <c r="AE209">
        <v>0</v>
      </c>
      <c r="AF209">
        <v>0</v>
      </c>
      <c r="AG209" t="b">
        <f t="shared" si="41"/>
        <v>1</v>
      </c>
      <c r="AH209">
        <v>575640</v>
      </c>
      <c r="AI209">
        <v>575640</v>
      </c>
      <c r="AJ209" t="b">
        <f t="shared" si="42"/>
        <v>1</v>
      </c>
      <c r="AK209">
        <v>738000</v>
      </c>
      <c r="AL209">
        <v>738000</v>
      </c>
      <c r="AM209" t="b">
        <f t="shared" si="43"/>
        <v>1</v>
      </c>
    </row>
    <row r="210" hidden="1" spans="1:39">
      <c r="A210">
        <v>45741</v>
      </c>
      <c r="B210" t="s">
        <v>27</v>
      </c>
      <c r="C210" t="s">
        <v>120</v>
      </c>
      <c r="D210" t="s">
        <v>47</v>
      </c>
      <c r="E210" t="s">
        <v>319</v>
      </c>
      <c r="F210" t="s">
        <v>603</v>
      </c>
      <c r="G210">
        <v>0</v>
      </c>
      <c r="H210">
        <v>0</v>
      </c>
      <c r="I210" t="b">
        <f t="shared" si="33"/>
        <v>1</v>
      </c>
      <c r="J210">
        <v>0</v>
      </c>
      <c r="K210">
        <v>0</v>
      </c>
      <c r="L210" t="b">
        <f t="shared" si="35"/>
        <v>1</v>
      </c>
      <c r="M210">
        <v>0</v>
      </c>
      <c r="N210">
        <v>0</v>
      </c>
      <c r="O210" t="b">
        <f t="shared" si="36"/>
        <v>1</v>
      </c>
      <c r="P210">
        <v>0</v>
      </c>
      <c r="Q210">
        <v>0</v>
      </c>
      <c r="R210" t="b">
        <f t="shared" si="37"/>
        <v>1</v>
      </c>
      <c r="S210">
        <v>0</v>
      </c>
      <c r="T210">
        <v>0</v>
      </c>
      <c r="U210" t="b">
        <f t="shared" si="34"/>
        <v>1</v>
      </c>
      <c r="V210">
        <v>0</v>
      </c>
      <c r="W210">
        <v>0</v>
      </c>
      <c r="X210" t="b">
        <f t="shared" si="38"/>
        <v>1</v>
      </c>
      <c r="Y210">
        <v>191318</v>
      </c>
      <c r="Z210">
        <v>191318</v>
      </c>
      <c r="AA210" t="b">
        <f t="shared" si="39"/>
        <v>1</v>
      </c>
      <c r="AB210">
        <v>191318</v>
      </c>
      <c r="AC210">
        <v>193885.79</v>
      </c>
      <c r="AD210" t="b">
        <f t="shared" si="40"/>
        <v>0</v>
      </c>
      <c r="AE210">
        <v>0</v>
      </c>
      <c r="AF210">
        <v>0</v>
      </c>
      <c r="AG210" t="b">
        <f t="shared" si="41"/>
        <v>1</v>
      </c>
      <c r="AH210">
        <v>0</v>
      </c>
      <c r="AI210">
        <v>2567.79</v>
      </c>
      <c r="AJ210" t="b">
        <f t="shared" si="42"/>
        <v>0</v>
      </c>
      <c r="AK210">
        <v>0</v>
      </c>
      <c r="AL210">
        <v>0</v>
      </c>
      <c r="AM210" t="b">
        <f t="shared" si="43"/>
        <v>1</v>
      </c>
    </row>
    <row r="211" spans="1:39">
      <c r="A211">
        <v>45741</v>
      </c>
      <c r="B211" t="s">
        <v>27</v>
      </c>
      <c r="C211" t="s">
        <v>120</v>
      </c>
      <c r="D211" t="s">
        <v>64</v>
      </c>
      <c r="E211" t="s">
        <v>320</v>
      </c>
      <c r="F211" t="s">
        <v>604</v>
      </c>
      <c r="G211">
        <v>0</v>
      </c>
      <c r="H211">
        <v>0</v>
      </c>
      <c r="I211" t="b">
        <f>G211=H211</f>
        <v>1</v>
      </c>
      <c r="J211">
        <v>1440862</v>
      </c>
      <c r="K211">
        <v>1440862</v>
      </c>
      <c r="L211" t="b">
        <f t="shared" si="35"/>
        <v>1</v>
      </c>
      <c r="M211">
        <v>1301935</v>
      </c>
      <c r="N211">
        <v>1301935</v>
      </c>
      <c r="O211" t="b">
        <f t="shared" si="36"/>
        <v>1</v>
      </c>
      <c r="P211">
        <v>0</v>
      </c>
      <c r="Q211">
        <v>0</v>
      </c>
      <c r="R211" t="b">
        <f t="shared" si="37"/>
        <v>1</v>
      </c>
      <c r="S211">
        <v>138927</v>
      </c>
      <c r="T211">
        <v>138927</v>
      </c>
      <c r="U211" t="b">
        <f t="shared" si="34"/>
        <v>1</v>
      </c>
      <c r="V211">
        <v>0</v>
      </c>
      <c r="W211">
        <v>0</v>
      </c>
      <c r="X211" t="b">
        <f t="shared" si="38"/>
        <v>1</v>
      </c>
      <c r="Y211">
        <v>0</v>
      </c>
      <c r="Z211">
        <v>0</v>
      </c>
      <c r="AA211" t="b">
        <f t="shared" si="39"/>
        <v>1</v>
      </c>
      <c r="AB211">
        <v>0</v>
      </c>
      <c r="AC211">
        <v>0</v>
      </c>
      <c r="AD211" t="b">
        <f t="shared" si="40"/>
        <v>1</v>
      </c>
      <c r="AE211">
        <v>0</v>
      </c>
      <c r="AF211">
        <v>0</v>
      </c>
      <c r="AG211" t="b">
        <f t="shared" si="41"/>
        <v>1</v>
      </c>
      <c r="AH211">
        <v>0</v>
      </c>
      <c r="AI211">
        <v>0</v>
      </c>
      <c r="AJ211" t="b">
        <f t="shared" si="42"/>
        <v>1</v>
      </c>
      <c r="AK211">
        <v>0</v>
      </c>
      <c r="AL211">
        <v>0</v>
      </c>
      <c r="AM211" t="b">
        <f t="shared" si="43"/>
        <v>1</v>
      </c>
    </row>
    <row r="212" hidden="1" spans="1:39">
      <c r="A212">
        <v>45741</v>
      </c>
      <c r="B212" t="s">
        <v>38</v>
      </c>
      <c r="C212" t="s">
        <v>130</v>
      </c>
      <c r="D212" t="s">
        <v>156</v>
      </c>
      <c r="E212" t="s">
        <v>321</v>
      </c>
      <c r="F212" t="s">
        <v>605</v>
      </c>
      <c r="G212">
        <v>0</v>
      </c>
      <c r="H212">
        <v>0</v>
      </c>
      <c r="I212" t="b">
        <f>G212=H212</f>
        <v>1</v>
      </c>
      <c r="J212">
        <v>0</v>
      </c>
      <c r="K212">
        <v>10700000</v>
      </c>
      <c r="L212" t="b">
        <f t="shared" si="35"/>
        <v>0</v>
      </c>
      <c r="M212">
        <v>0</v>
      </c>
      <c r="N212">
        <v>0</v>
      </c>
      <c r="O212" t="b">
        <f t="shared" si="36"/>
        <v>1</v>
      </c>
      <c r="P212">
        <v>0</v>
      </c>
      <c r="Q212">
        <v>0</v>
      </c>
      <c r="R212" t="b">
        <f t="shared" si="37"/>
        <v>1</v>
      </c>
      <c r="S212">
        <v>0</v>
      </c>
      <c r="T212">
        <v>10700000</v>
      </c>
      <c r="U212" t="b">
        <f t="shared" si="34"/>
        <v>0</v>
      </c>
      <c r="V212">
        <v>3873219</v>
      </c>
      <c r="W212">
        <v>4425233</v>
      </c>
      <c r="X212" t="b">
        <f t="shared" si="38"/>
        <v>0</v>
      </c>
      <c r="Y212">
        <v>4364828</v>
      </c>
      <c r="Z212">
        <v>4853328</v>
      </c>
      <c r="AA212" t="b">
        <f t="shared" si="39"/>
        <v>0</v>
      </c>
      <c r="AB212">
        <v>3846672</v>
      </c>
      <c r="AC212">
        <v>3846672</v>
      </c>
      <c r="AD212" t="b">
        <f t="shared" si="40"/>
        <v>1</v>
      </c>
      <c r="AE212">
        <v>0</v>
      </c>
      <c r="AF212">
        <v>0</v>
      </c>
      <c r="AG212" t="b">
        <f t="shared" si="41"/>
        <v>1</v>
      </c>
      <c r="AH212">
        <v>8211500</v>
      </c>
      <c r="AI212">
        <v>8700000</v>
      </c>
      <c r="AJ212" t="b">
        <f t="shared" si="42"/>
        <v>0</v>
      </c>
      <c r="AK212">
        <v>3873219</v>
      </c>
      <c r="AL212">
        <v>4425233</v>
      </c>
      <c r="AM212" t="b">
        <f t="shared" si="43"/>
        <v>0</v>
      </c>
    </row>
    <row r="213" spans="1:39">
      <c r="A213">
        <v>45741</v>
      </c>
      <c r="B213" t="s">
        <v>27</v>
      </c>
      <c r="C213" t="s">
        <v>120</v>
      </c>
      <c r="D213" t="s">
        <v>104</v>
      </c>
      <c r="E213" t="s">
        <v>322</v>
      </c>
      <c r="F213" t="s">
        <v>606</v>
      </c>
      <c r="G213">
        <v>0</v>
      </c>
      <c r="H213">
        <v>0</v>
      </c>
      <c r="I213" t="b">
        <f>G213=H213</f>
        <v>1</v>
      </c>
      <c r="J213">
        <v>516000</v>
      </c>
      <c r="K213">
        <v>516000</v>
      </c>
      <c r="L213" t="b">
        <f t="shared" si="35"/>
        <v>1</v>
      </c>
      <c r="M213">
        <v>0</v>
      </c>
      <c r="N213">
        <v>0</v>
      </c>
      <c r="O213" t="b">
        <f t="shared" si="36"/>
        <v>1</v>
      </c>
      <c r="P213">
        <v>0</v>
      </c>
      <c r="Q213">
        <v>0</v>
      </c>
      <c r="R213" t="b">
        <f t="shared" si="37"/>
        <v>1</v>
      </c>
      <c r="S213">
        <v>516000</v>
      </c>
      <c r="T213">
        <v>516000</v>
      </c>
      <c r="U213" t="b">
        <f t="shared" si="34"/>
        <v>1</v>
      </c>
      <c r="V213">
        <v>0</v>
      </c>
      <c r="W213">
        <v>0</v>
      </c>
      <c r="X213" t="b">
        <f t="shared" si="38"/>
        <v>1</v>
      </c>
      <c r="Y213">
        <v>0</v>
      </c>
      <c r="Z213">
        <v>0</v>
      </c>
      <c r="AA213" t="b">
        <f t="shared" si="39"/>
        <v>1</v>
      </c>
      <c r="AB213">
        <v>500000</v>
      </c>
      <c r="AC213">
        <v>500000</v>
      </c>
      <c r="AD213" t="b">
        <f t="shared" si="40"/>
        <v>1</v>
      </c>
      <c r="AE213">
        <v>0</v>
      </c>
      <c r="AF213">
        <v>0</v>
      </c>
      <c r="AG213" t="b">
        <f t="shared" si="41"/>
        <v>1</v>
      </c>
      <c r="AH213">
        <v>500000</v>
      </c>
      <c r="AI213">
        <v>500000</v>
      </c>
      <c r="AJ213" t="b">
        <f t="shared" si="42"/>
        <v>1</v>
      </c>
      <c r="AK213">
        <v>0</v>
      </c>
      <c r="AL213">
        <v>0</v>
      </c>
      <c r="AM213" t="b">
        <f t="shared" si="43"/>
        <v>1</v>
      </c>
    </row>
    <row r="214" hidden="1" spans="1:39">
      <c r="A214">
        <v>45741</v>
      </c>
      <c r="B214" t="s">
        <v>38</v>
      </c>
      <c r="C214" t="s">
        <v>130</v>
      </c>
      <c r="D214" t="s">
        <v>156</v>
      </c>
      <c r="E214" t="s">
        <v>323</v>
      </c>
      <c r="F214" t="s">
        <v>607</v>
      </c>
      <c r="G214">
        <v>0</v>
      </c>
      <c r="H214">
        <v>0</v>
      </c>
      <c r="I214" t="b">
        <f>G214=H214</f>
        <v>1</v>
      </c>
      <c r="J214">
        <v>0</v>
      </c>
      <c r="K214">
        <v>0</v>
      </c>
      <c r="L214" t="b">
        <f t="shared" si="35"/>
        <v>1</v>
      </c>
      <c r="M214">
        <v>0</v>
      </c>
      <c r="N214">
        <v>0</v>
      </c>
      <c r="O214" t="b">
        <f t="shared" si="36"/>
        <v>1</v>
      </c>
      <c r="P214">
        <v>0</v>
      </c>
      <c r="Q214">
        <v>0</v>
      </c>
      <c r="R214" t="b">
        <f t="shared" si="37"/>
        <v>1</v>
      </c>
      <c r="S214">
        <v>0</v>
      </c>
      <c r="T214">
        <v>0</v>
      </c>
      <c r="U214" t="b">
        <f t="shared" si="34"/>
        <v>1</v>
      </c>
      <c r="V214">
        <v>0</v>
      </c>
      <c r="W214">
        <v>0</v>
      </c>
      <c r="X214" t="b">
        <f t="shared" si="38"/>
        <v>1</v>
      </c>
      <c r="Y214">
        <v>319500</v>
      </c>
      <c r="Z214">
        <v>329500</v>
      </c>
      <c r="AA214" t="b">
        <f t="shared" si="39"/>
        <v>0</v>
      </c>
      <c r="AB214">
        <v>329500</v>
      </c>
      <c r="AC214">
        <v>329500</v>
      </c>
      <c r="AD214" t="b">
        <f t="shared" si="40"/>
        <v>1</v>
      </c>
      <c r="AE214">
        <v>0</v>
      </c>
      <c r="AF214">
        <v>0</v>
      </c>
      <c r="AG214" t="b">
        <f t="shared" si="41"/>
        <v>1</v>
      </c>
      <c r="AH214">
        <v>10000</v>
      </c>
      <c r="AI214">
        <v>0</v>
      </c>
      <c r="AJ214" t="b">
        <f t="shared" si="42"/>
        <v>0</v>
      </c>
      <c r="AK214">
        <v>0</v>
      </c>
      <c r="AL214">
        <v>0</v>
      </c>
      <c r="AM214" t="b">
        <f t="shared" si="43"/>
        <v>1</v>
      </c>
    </row>
    <row r="215" hidden="1" spans="1:39">
      <c r="A215">
        <v>45741</v>
      </c>
      <c r="B215" t="s">
        <v>38</v>
      </c>
      <c r="C215" t="s">
        <v>130</v>
      </c>
      <c r="D215" t="s">
        <v>156</v>
      </c>
      <c r="E215" t="s">
        <v>324</v>
      </c>
      <c r="F215" t="s">
        <v>608</v>
      </c>
      <c r="G215">
        <v>0</v>
      </c>
      <c r="H215">
        <v>0</v>
      </c>
      <c r="I215" t="b">
        <f>G215=H215</f>
        <v>1</v>
      </c>
      <c r="J215">
        <v>0</v>
      </c>
      <c r="K215">
        <v>0</v>
      </c>
      <c r="L215" t="b">
        <f t="shared" si="35"/>
        <v>1</v>
      </c>
      <c r="M215">
        <v>190438.5</v>
      </c>
      <c r="N215">
        <v>0</v>
      </c>
      <c r="O215" t="b">
        <f t="shared" si="36"/>
        <v>0</v>
      </c>
      <c r="P215">
        <v>0</v>
      </c>
      <c r="Q215">
        <v>0</v>
      </c>
      <c r="R215" t="b">
        <f t="shared" si="37"/>
        <v>1</v>
      </c>
      <c r="S215">
        <v>190438.5</v>
      </c>
      <c r="T215">
        <v>0</v>
      </c>
      <c r="U215" t="b">
        <f t="shared" si="34"/>
        <v>0</v>
      </c>
      <c r="V215">
        <v>77239.69</v>
      </c>
      <c r="W215">
        <v>77239.69</v>
      </c>
      <c r="X215" t="b">
        <f t="shared" si="38"/>
        <v>1</v>
      </c>
      <c r="Y215">
        <v>1930784.69</v>
      </c>
      <c r="Z215">
        <v>1930784.69</v>
      </c>
      <c r="AA215" t="b">
        <f t="shared" si="39"/>
        <v>1</v>
      </c>
      <c r="AB215">
        <v>1930784.5</v>
      </c>
      <c r="AC215">
        <v>1930784.5</v>
      </c>
      <c r="AD215" t="b">
        <f t="shared" si="40"/>
        <v>1</v>
      </c>
      <c r="AE215">
        <v>0</v>
      </c>
      <c r="AF215">
        <v>0</v>
      </c>
      <c r="AG215" t="b">
        <f t="shared" si="41"/>
        <v>1</v>
      </c>
      <c r="AH215">
        <v>0.19</v>
      </c>
      <c r="AI215">
        <v>0.19</v>
      </c>
      <c r="AJ215" t="b">
        <f t="shared" si="42"/>
        <v>1</v>
      </c>
      <c r="AK215">
        <v>77239.69</v>
      </c>
      <c r="AL215">
        <v>77239.69</v>
      </c>
      <c r="AM215" t="b">
        <f t="shared" si="43"/>
        <v>1</v>
      </c>
    </row>
    <row r="216" spans="1:39">
      <c r="A216">
        <v>45741</v>
      </c>
      <c r="B216" t="s">
        <v>27</v>
      </c>
      <c r="C216" t="s">
        <v>120</v>
      </c>
      <c r="D216" t="s">
        <v>325</v>
      </c>
      <c r="E216" t="s">
        <v>326</v>
      </c>
      <c r="F216" t="s">
        <v>609</v>
      </c>
      <c r="G216">
        <v>0</v>
      </c>
      <c r="H216">
        <v>0</v>
      </c>
      <c r="I216" t="b">
        <f>G216=H216</f>
        <v>1</v>
      </c>
      <c r="J216">
        <v>0</v>
      </c>
      <c r="K216">
        <v>0</v>
      </c>
      <c r="L216" t="b">
        <f t="shared" si="35"/>
        <v>1</v>
      </c>
      <c r="M216">
        <v>0</v>
      </c>
      <c r="N216">
        <v>0</v>
      </c>
      <c r="O216" t="b">
        <f t="shared" si="36"/>
        <v>1</v>
      </c>
      <c r="P216">
        <v>0</v>
      </c>
      <c r="Q216">
        <v>0</v>
      </c>
      <c r="R216" t="b">
        <f t="shared" si="37"/>
        <v>1</v>
      </c>
      <c r="S216">
        <v>0</v>
      </c>
      <c r="T216">
        <v>0</v>
      </c>
      <c r="U216" t="b">
        <f>S216=T216</f>
        <v>1</v>
      </c>
      <c r="V216">
        <v>42750</v>
      </c>
      <c r="W216">
        <v>42750</v>
      </c>
      <c r="X216" t="b">
        <f t="shared" si="38"/>
        <v>1</v>
      </c>
      <c r="Y216">
        <v>46313</v>
      </c>
      <c r="Z216">
        <v>46313</v>
      </c>
      <c r="AA216" t="b">
        <f t="shared" si="39"/>
        <v>1</v>
      </c>
      <c r="AB216">
        <v>46313</v>
      </c>
      <c r="AC216">
        <v>46313</v>
      </c>
      <c r="AD216" t="b">
        <f t="shared" si="40"/>
        <v>1</v>
      </c>
      <c r="AE216">
        <v>0</v>
      </c>
      <c r="AF216">
        <v>0</v>
      </c>
      <c r="AG216" t="b">
        <f t="shared" si="41"/>
        <v>1</v>
      </c>
      <c r="AH216">
        <v>0</v>
      </c>
      <c r="AI216">
        <v>0</v>
      </c>
      <c r="AJ216" t="b">
        <f t="shared" si="42"/>
        <v>1</v>
      </c>
      <c r="AK216">
        <v>42750</v>
      </c>
      <c r="AL216">
        <v>42750</v>
      </c>
      <c r="AM216" t="b">
        <f t="shared" si="43"/>
        <v>1</v>
      </c>
    </row>
    <row r="217" spans="1:39">
      <c r="A217">
        <v>45741</v>
      </c>
      <c r="B217" t="s">
        <v>38</v>
      </c>
      <c r="C217" t="s">
        <v>130</v>
      </c>
      <c r="D217" t="s">
        <v>327</v>
      </c>
      <c r="E217" t="s">
        <v>328</v>
      </c>
      <c r="F217" t="s">
        <v>610</v>
      </c>
      <c r="G217">
        <v>0</v>
      </c>
      <c r="H217">
        <v>0</v>
      </c>
      <c r="I217" t="b">
        <f>G217=H217</f>
        <v>1</v>
      </c>
      <c r="J217">
        <v>0</v>
      </c>
      <c r="K217">
        <v>0</v>
      </c>
      <c r="L217" t="b">
        <f t="shared" si="35"/>
        <v>1</v>
      </c>
      <c r="M217">
        <v>0</v>
      </c>
      <c r="N217">
        <v>0</v>
      </c>
      <c r="O217" t="b">
        <f t="shared" si="36"/>
        <v>1</v>
      </c>
      <c r="P217">
        <v>0</v>
      </c>
      <c r="Q217">
        <v>0</v>
      </c>
      <c r="R217" t="b">
        <f t="shared" si="37"/>
        <v>1</v>
      </c>
      <c r="S217">
        <v>0</v>
      </c>
      <c r="T217">
        <v>0</v>
      </c>
      <c r="U217" t="b">
        <f>S217=T217</f>
        <v>1</v>
      </c>
      <c r="V217">
        <v>0</v>
      </c>
      <c r="W217">
        <v>0</v>
      </c>
      <c r="X217" t="b">
        <f t="shared" si="38"/>
        <v>1</v>
      </c>
      <c r="Y217">
        <v>1553200</v>
      </c>
      <c r="Z217">
        <v>1553200</v>
      </c>
      <c r="AA217" t="b">
        <f t="shared" si="39"/>
        <v>1</v>
      </c>
      <c r="AB217">
        <v>1553200</v>
      </c>
      <c r="AC217">
        <v>1553200</v>
      </c>
      <c r="AD217" t="b">
        <f t="shared" si="40"/>
        <v>1</v>
      </c>
      <c r="AE217">
        <v>0</v>
      </c>
      <c r="AF217">
        <v>0</v>
      </c>
      <c r="AG217" t="b">
        <f t="shared" si="41"/>
        <v>1</v>
      </c>
      <c r="AH217">
        <v>0</v>
      </c>
      <c r="AI217">
        <v>0</v>
      </c>
      <c r="AJ217" t="b">
        <f t="shared" si="42"/>
        <v>1</v>
      </c>
      <c r="AK217">
        <v>0</v>
      </c>
      <c r="AL217">
        <v>0</v>
      </c>
      <c r="AM217" t="b">
        <f t="shared" si="43"/>
        <v>1</v>
      </c>
    </row>
    <row r="218" spans="1:39">
      <c r="A218">
        <v>45741</v>
      </c>
      <c r="B218" t="s">
        <v>31</v>
      </c>
      <c r="C218" t="s">
        <v>115</v>
      </c>
      <c r="D218" t="s">
        <v>329</v>
      </c>
      <c r="E218" t="s">
        <v>330</v>
      </c>
      <c r="F218" t="s">
        <v>611</v>
      </c>
      <c r="G218">
        <v>0</v>
      </c>
      <c r="H218">
        <v>0</v>
      </c>
      <c r="I218" t="b">
        <f>G218=H218</f>
        <v>1</v>
      </c>
      <c r="J218">
        <v>0</v>
      </c>
      <c r="K218">
        <v>0</v>
      </c>
      <c r="L218" t="b">
        <f t="shared" si="35"/>
        <v>1</v>
      </c>
      <c r="M218">
        <v>0</v>
      </c>
      <c r="N218">
        <v>0</v>
      </c>
      <c r="O218" t="b">
        <f t="shared" si="36"/>
        <v>1</v>
      </c>
      <c r="P218">
        <v>0</v>
      </c>
      <c r="Q218">
        <v>0</v>
      </c>
      <c r="R218" t="b">
        <f t="shared" si="37"/>
        <v>1</v>
      </c>
      <c r="S218">
        <v>0</v>
      </c>
      <c r="T218">
        <v>0</v>
      </c>
      <c r="U218" t="b">
        <f>S218=T218</f>
        <v>1</v>
      </c>
      <c r="V218">
        <v>0</v>
      </c>
      <c r="W218">
        <v>0</v>
      </c>
      <c r="X218" t="b">
        <f t="shared" si="38"/>
        <v>1</v>
      </c>
      <c r="Y218">
        <v>4000</v>
      </c>
      <c r="Z218">
        <v>4000</v>
      </c>
      <c r="AA218" t="b">
        <f t="shared" si="39"/>
        <v>1</v>
      </c>
      <c r="AB218">
        <v>4000</v>
      </c>
      <c r="AC218">
        <v>4000</v>
      </c>
      <c r="AD218" t="b">
        <f t="shared" si="40"/>
        <v>1</v>
      </c>
      <c r="AE218">
        <v>0</v>
      </c>
      <c r="AF218">
        <v>0</v>
      </c>
      <c r="AG218" t="b">
        <f t="shared" si="41"/>
        <v>1</v>
      </c>
      <c r="AH218">
        <v>0</v>
      </c>
      <c r="AI218">
        <v>0</v>
      </c>
      <c r="AJ218" t="b">
        <f t="shared" si="42"/>
        <v>1</v>
      </c>
      <c r="AK218">
        <v>0</v>
      </c>
      <c r="AL218">
        <v>0</v>
      </c>
      <c r="AM218" t="b">
        <f t="shared" si="43"/>
        <v>1</v>
      </c>
    </row>
    <row r="219" hidden="1" spans="1:39">
      <c r="A219">
        <v>45741</v>
      </c>
      <c r="B219" t="s">
        <v>38</v>
      </c>
      <c r="C219" t="s">
        <v>130</v>
      </c>
      <c r="D219" t="s">
        <v>156</v>
      </c>
      <c r="E219" t="s">
        <v>331</v>
      </c>
      <c r="F219" t="s">
        <v>612</v>
      </c>
      <c r="G219">
        <v>0</v>
      </c>
      <c r="H219">
        <v>0</v>
      </c>
      <c r="I219" t="b">
        <f>G219=H219</f>
        <v>1</v>
      </c>
      <c r="J219">
        <v>0</v>
      </c>
      <c r="K219">
        <v>0</v>
      </c>
      <c r="L219" t="b">
        <f t="shared" si="35"/>
        <v>1</v>
      </c>
      <c r="M219">
        <v>0</v>
      </c>
      <c r="N219">
        <v>0</v>
      </c>
      <c r="O219" t="b">
        <f t="shared" si="36"/>
        <v>1</v>
      </c>
      <c r="P219">
        <v>0</v>
      </c>
      <c r="Q219">
        <v>0</v>
      </c>
      <c r="R219" t="b">
        <f t="shared" si="37"/>
        <v>1</v>
      </c>
      <c r="S219">
        <v>0</v>
      </c>
      <c r="T219">
        <v>0</v>
      </c>
      <c r="U219" t="b">
        <f>S219=T219</f>
        <v>1</v>
      </c>
      <c r="V219">
        <v>223282.35</v>
      </c>
      <c r="W219">
        <v>228043.35</v>
      </c>
      <c r="X219" t="b">
        <f t="shared" si="38"/>
        <v>0</v>
      </c>
      <c r="Y219">
        <v>1860395.71</v>
      </c>
      <c r="Z219">
        <v>1799035.11</v>
      </c>
      <c r="AA219" t="b">
        <f t="shared" si="39"/>
        <v>0</v>
      </c>
      <c r="AB219">
        <v>1728084.76</v>
      </c>
      <c r="AC219">
        <v>1799034.76</v>
      </c>
      <c r="AD219" t="b">
        <f t="shared" si="40"/>
        <v>0</v>
      </c>
      <c r="AE219">
        <v>0</v>
      </c>
      <c r="AF219">
        <v>0</v>
      </c>
      <c r="AG219" t="b">
        <f t="shared" si="41"/>
        <v>1</v>
      </c>
      <c r="AH219">
        <v>132310.95</v>
      </c>
      <c r="AI219">
        <v>0.35</v>
      </c>
      <c r="AJ219" t="b">
        <f t="shared" si="42"/>
        <v>0</v>
      </c>
      <c r="AK219">
        <v>223282.35</v>
      </c>
      <c r="AL219">
        <v>228043.35</v>
      </c>
      <c r="AM219" t="b">
        <f t="shared" si="43"/>
        <v>0</v>
      </c>
    </row>
    <row r="220" hidden="1" spans="1:39">
      <c r="A220">
        <v>45741</v>
      </c>
      <c r="B220" t="s">
        <v>38</v>
      </c>
      <c r="C220" t="s">
        <v>130</v>
      </c>
      <c r="D220" t="s">
        <v>156</v>
      </c>
      <c r="E220" t="s">
        <v>332</v>
      </c>
      <c r="F220" t="s">
        <v>613</v>
      </c>
      <c r="G220">
        <v>0</v>
      </c>
      <c r="H220">
        <v>0</v>
      </c>
      <c r="I220" t="b">
        <f>G220=H220</f>
        <v>1</v>
      </c>
      <c r="J220">
        <v>19482480</v>
      </c>
      <c r="K220">
        <v>23332480</v>
      </c>
      <c r="L220" t="b">
        <f t="shared" si="35"/>
        <v>0</v>
      </c>
      <c r="M220">
        <v>1650000</v>
      </c>
      <c r="N220">
        <v>1650000</v>
      </c>
      <c r="O220" t="b">
        <f t="shared" si="36"/>
        <v>1</v>
      </c>
      <c r="P220">
        <v>0</v>
      </c>
      <c r="Q220">
        <v>0</v>
      </c>
      <c r="R220" t="b">
        <f t="shared" si="37"/>
        <v>1</v>
      </c>
      <c r="S220">
        <v>21132480</v>
      </c>
      <c r="T220">
        <v>24982480</v>
      </c>
      <c r="U220" t="b">
        <f>S220=T220</f>
        <v>0</v>
      </c>
      <c r="V220">
        <v>9528706.46</v>
      </c>
      <c r="W220">
        <v>9728235.71</v>
      </c>
      <c r="X220" t="b">
        <f t="shared" si="38"/>
        <v>0</v>
      </c>
      <c r="Y220">
        <v>14011335.51</v>
      </c>
      <c r="Z220">
        <v>14050951.51</v>
      </c>
      <c r="AA220" t="b">
        <f t="shared" si="39"/>
        <v>0</v>
      </c>
      <c r="AB220">
        <v>3761666.49</v>
      </c>
      <c r="AC220">
        <v>3761666.49</v>
      </c>
      <c r="AD220" t="b">
        <f t="shared" si="40"/>
        <v>1</v>
      </c>
      <c r="AE220">
        <v>12618</v>
      </c>
      <c r="AF220">
        <v>12618</v>
      </c>
      <c r="AG220" t="b">
        <f t="shared" si="41"/>
        <v>1</v>
      </c>
      <c r="AH220">
        <v>17760384</v>
      </c>
      <c r="AI220">
        <v>17800000</v>
      </c>
      <c r="AJ220" t="b">
        <f t="shared" si="42"/>
        <v>0</v>
      </c>
      <c r="AK220">
        <v>9528706.46</v>
      </c>
      <c r="AL220">
        <v>9728235.71</v>
      </c>
      <c r="AM220" t="b">
        <f t="shared" si="43"/>
        <v>0</v>
      </c>
    </row>
    <row r="221" spans="1:39">
      <c r="A221">
        <v>45741</v>
      </c>
      <c r="B221" t="s">
        <v>31</v>
      </c>
      <c r="C221" t="s">
        <v>115</v>
      </c>
      <c r="D221" t="s">
        <v>333</v>
      </c>
      <c r="E221" t="s">
        <v>334</v>
      </c>
      <c r="F221" t="s">
        <v>614</v>
      </c>
      <c r="G221">
        <v>0</v>
      </c>
      <c r="H221">
        <v>0</v>
      </c>
      <c r="I221" t="b">
        <f>G221=H221</f>
        <v>1</v>
      </c>
      <c r="J221">
        <v>0</v>
      </c>
      <c r="K221">
        <v>0</v>
      </c>
      <c r="L221" t="b">
        <f t="shared" si="35"/>
        <v>1</v>
      </c>
      <c r="M221">
        <v>0</v>
      </c>
      <c r="N221">
        <v>0</v>
      </c>
      <c r="O221" t="b">
        <f t="shared" si="36"/>
        <v>1</v>
      </c>
      <c r="P221">
        <v>0</v>
      </c>
      <c r="Q221">
        <v>0</v>
      </c>
      <c r="R221" t="b">
        <f t="shared" si="37"/>
        <v>1</v>
      </c>
      <c r="S221">
        <v>0</v>
      </c>
      <c r="T221">
        <v>0</v>
      </c>
      <c r="U221" t="b">
        <f>S221=T221</f>
        <v>1</v>
      </c>
      <c r="V221">
        <v>0</v>
      </c>
      <c r="W221">
        <v>0</v>
      </c>
      <c r="X221" t="b">
        <f t="shared" si="38"/>
        <v>1</v>
      </c>
      <c r="Y221">
        <v>133500</v>
      </c>
      <c r="Z221">
        <v>133500</v>
      </c>
      <c r="AA221" t="b">
        <f t="shared" si="39"/>
        <v>1</v>
      </c>
      <c r="AB221">
        <v>133500</v>
      </c>
      <c r="AC221">
        <v>133500</v>
      </c>
      <c r="AD221" t="b">
        <f t="shared" si="40"/>
        <v>1</v>
      </c>
      <c r="AE221">
        <v>0</v>
      </c>
      <c r="AF221">
        <v>0</v>
      </c>
      <c r="AG221" t="b">
        <f t="shared" si="41"/>
        <v>1</v>
      </c>
      <c r="AH221">
        <v>0</v>
      </c>
      <c r="AI221">
        <v>0</v>
      </c>
      <c r="AJ221" t="b">
        <f t="shared" si="42"/>
        <v>1</v>
      </c>
      <c r="AK221">
        <v>0</v>
      </c>
      <c r="AL221">
        <v>0</v>
      </c>
      <c r="AM221" t="b">
        <f t="shared" si="43"/>
        <v>1</v>
      </c>
    </row>
    <row r="222" spans="1:39">
      <c r="A222">
        <v>45741</v>
      </c>
      <c r="B222" t="s">
        <v>59</v>
      </c>
      <c r="C222" t="s">
        <v>115</v>
      </c>
      <c r="D222" t="s">
        <v>60</v>
      </c>
      <c r="E222" t="s">
        <v>335</v>
      </c>
      <c r="F222" t="s">
        <v>615</v>
      </c>
      <c r="G222">
        <v>0</v>
      </c>
      <c r="H222">
        <v>0</v>
      </c>
      <c r="I222" t="b">
        <f>G222=H222</f>
        <v>1</v>
      </c>
      <c r="J222">
        <v>0</v>
      </c>
      <c r="K222">
        <v>0</v>
      </c>
      <c r="L222" t="b">
        <f t="shared" si="35"/>
        <v>1</v>
      </c>
      <c r="M222">
        <v>0</v>
      </c>
      <c r="N222">
        <v>0</v>
      </c>
      <c r="O222" t="b">
        <f t="shared" si="36"/>
        <v>1</v>
      </c>
      <c r="P222">
        <v>0</v>
      </c>
      <c r="Q222">
        <v>0</v>
      </c>
      <c r="R222" t="b">
        <f t="shared" si="37"/>
        <v>1</v>
      </c>
      <c r="S222">
        <v>0</v>
      </c>
      <c r="T222">
        <v>0</v>
      </c>
      <c r="U222" t="b">
        <f>S222=T222</f>
        <v>1</v>
      </c>
      <c r="V222">
        <v>0</v>
      </c>
      <c r="W222">
        <v>0</v>
      </c>
      <c r="X222" t="b">
        <f t="shared" si="38"/>
        <v>1</v>
      </c>
      <c r="Y222">
        <v>11500</v>
      </c>
      <c r="Z222">
        <v>11500</v>
      </c>
      <c r="AA222" t="b">
        <f t="shared" si="39"/>
        <v>1</v>
      </c>
      <c r="AB222">
        <v>11500</v>
      </c>
      <c r="AC222">
        <v>11500</v>
      </c>
      <c r="AD222" t="b">
        <f t="shared" si="40"/>
        <v>1</v>
      </c>
      <c r="AE222">
        <v>0</v>
      </c>
      <c r="AF222">
        <v>0</v>
      </c>
      <c r="AG222" t="b">
        <f t="shared" si="41"/>
        <v>1</v>
      </c>
      <c r="AH222">
        <v>0</v>
      </c>
      <c r="AI222">
        <v>0</v>
      </c>
      <c r="AJ222" t="b">
        <f t="shared" si="42"/>
        <v>1</v>
      </c>
      <c r="AK222">
        <v>0</v>
      </c>
      <c r="AL222">
        <v>0</v>
      </c>
      <c r="AM222" t="b">
        <f t="shared" si="43"/>
        <v>1</v>
      </c>
    </row>
    <row r="223" spans="1:39">
      <c r="A223">
        <v>45741</v>
      </c>
      <c r="B223" t="s">
        <v>38</v>
      </c>
      <c r="C223" t="s">
        <v>130</v>
      </c>
      <c r="D223" t="s">
        <v>336</v>
      </c>
      <c r="E223" t="s">
        <v>337</v>
      </c>
      <c r="F223" t="s">
        <v>616</v>
      </c>
      <c r="G223">
        <v>2917310</v>
      </c>
      <c r="H223">
        <v>2917310</v>
      </c>
      <c r="I223" t="b">
        <f>G223=H223</f>
        <v>1</v>
      </c>
      <c r="J223">
        <v>2917310</v>
      </c>
      <c r="K223">
        <v>2917310</v>
      </c>
      <c r="L223" t="b">
        <f t="shared" si="35"/>
        <v>1</v>
      </c>
      <c r="M223">
        <v>2917310</v>
      </c>
      <c r="N223">
        <v>2917310</v>
      </c>
      <c r="O223" t="b">
        <f t="shared" si="36"/>
        <v>1</v>
      </c>
      <c r="P223">
        <v>0</v>
      </c>
      <c r="Q223">
        <v>0</v>
      </c>
      <c r="R223" t="b">
        <f t="shared" si="37"/>
        <v>1</v>
      </c>
      <c r="S223">
        <v>0</v>
      </c>
      <c r="T223">
        <v>0</v>
      </c>
      <c r="U223" t="b">
        <f>S223=T223</f>
        <v>1</v>
      </c>
      <c r="V223">
        <v>0</v>
      </c>
      <c r="W223">
        <v>0</v>
      </c>
      <c r="X223" t="b">
        <f t="shared" si="38"/>
        <v>1</v>
      </c>
      <c r="Y223">
        <v>191040</v>
      </c>
      <c r="Z223">
        <v>191040</v>
      </c>
      <c r="AA223" t="b">
        <f t="shared" si="39"/>
        <v>1</v>
      </c>
      <c r="AB223">
        <v>191040</v>
      </c>
      <c r="AC223">
        <v>191040</v>
      </c>
      <c r="AD223" t="b">
        <f t="shared" si="40"/>
        <v>1</v>
      </c>
      <c r="AE223">
        <v>0</v>
      </c>
      <c r="AF223">
        <v>0</v>
      </c>
      <c r="AG223" t="b">
        <f t="shared" si="41"/>
        <v>1</v>
      </c>
      <c r="AH223">
        <v>0</v>
      </c>
      <c r="AI223">
        <v>0</v>
      </c>
      <c r="AJ223" t="b">
        <f t="shared" si="42"/>
        <v>1</v>
      </c>
      <c r="AK223">
        <v>2917310</v>
      </c>
      <c r="AL223">
        <v>2917310</v>
      </c>
      <c r="AM223" t="b">
        <f t="shared" si="43"/>
        <v>1</v>
      </c>
    </row>
    <row r="224" spans="1:39">
      <c r="A224">
        <v>45741</v>
      </c>
      <c r="B224" t="s">
        <v>38</v>
      </c>
      <c r="C224" t="s">
        <v>130</v>
      </c>
      <c r="D224" t="s">
        <v>338</v>
      </c>
      <c r="E224" t="s">
        <v>339</v>
      </c>
      <c r="F224" t="s">
        <v>617</v>
      </c>
      <c r="G224">
        <v>484950</v>
      </c>
      <c r="H224">
        <v>484950</v>
      </c>
      <c r="I224" t="b">
        <f>G224=H224</f>
        <v>1</v>
      </c>
      <c r="J224">
        <v>484950</v>
      </c>
      <c r="K224">
        <v>484950</v>
      </c>
      <c r="L224" t="b">
        <f t="shared" si="35"/>
        <v>1</v>
      </c>
      <c r="M224">
        <v>480693</v>
      </c>
      <c r="N224">
        <v>480693</v>
      </c>
      <c r="O224" t="b">
        <f t="shared" si="36"/>
        <v>1</v>
      </c>
      <c r="P224">
        <v>0</v>
      </c>
      <c r="Q224">
        <v>0</v>
      </c>
      <c r="R224" t="b">
        <f t="shared" si="37"/>
        <v>1</v>
      </c>
      <c r="S224">
        <v>4257</v>
      </c>
      <c r="T224">
        <v>4257</v>
      </c>
      <c r="U224" t="b">
        <f>S224=T224</f>
        <v>1</v>
      </c>
      <c r="V224">
        <v>0</v>
      </c>
      <c r="W224">
        <v>0</v>
      </c>
      <c r="X224" t="b">
        <f t="shared" si="38"/>
        <v>1</v>
      </c>
      <c r="Y224">
        <v>0</v>
      </c>
      <c r="Z224">
        <v>0</v>
      </c>
      <c r="AA224" t="b">
        <f t="shared" si="39"/>
        <v>1</v>
      </c>
      <c r="AB224">
        <v>0</v>
      </c>
      <c r="AC224">
        <v>0</v>
      </c>
      <c r="AD224" t="b">
        <f t="shared" si="40"/>
        <v>1</v>
      </c>
      <c r="AE224">
        <v>0</v>
      </c>
      <c r="AF224">
        <v>0</v>
      </c>
      <c r="AG224" t="b">
        <f t="shared" si="41"/>
        <v>1</v>
      </c>
      <c r="AH224">
        <v>0</v>
      </c>
      <c r="AI224">
        <v>0</v>
      </c>
      <c r="AJ224" t="b">
        <f t="shared" si="42"/>
        <v>1</v>
      </c>
      <c r="AK224">
        <v>484950</v>
      </c>
      <c r="AL224">
        <v>484950</v>
      </c>
      <c r="AM224" t="b">
        <f t="shared" si="43"/>
        <v>1</v>
      </c>
    </row>
    <row r="225" hidden="1" spans="1:39">
      <c r="A225">
        <v>45741</v>
      </c>
      <c r="B225" t="s">
        <v>27</v>
      </c>
      <c r="C225" t="s">
        <v>120</v>
      </c>
      <c r="D225" t="s">
        <v>104</v>
      </c>
      <c r="E225" t="s">
        <v>618</v>
      </c>
      <c r="F225" t="s">
        <v>619</v>
      </c>
      <c r="G225">
        <v>0</v>
      </c>
      <c r="H225">
        <v>0</v>
      </c>
      <c r="I225" t="b">
        <f>G225=H225</f>
        <v>1</v>
      </c>
      <c r="J225">
        <v>0</v>
      </c>
      <c r="K225">
        <v>0</v>
      </c>
      <c r="L225" t="b">
        <f t="shared" si="35"/>
        <v>1</v>
      </c>
      <c r="M225">
        <v>0</v>
      </c>
      <c r="N225">
        <v>0</v>
      </c>
      <c r="O225" t="b">
        <f t="shared" si="36"/>
        <v>1</v>
      </c>
      <c r="P225">
        <v>0</v>
      </c>
      <c r="Q225">
        <v>0</v>
      </c>
      <c r="R225" t="b">
        <f t="shared" si="37"/>
        <v>1</v>
      </c>
      <c r="S225">
        <v>0</v>
      </c>
      <c r="T225">
        <v>0</v>
      </c>
      <c r="U225" t="b">
        <f>S225=T225</f>
        <v>1</v>
      </c>
      <c r="V225">
        <v>195431</v>
      </c>
      <c r="W225">
        <v>195431.2</v>
      </c>
      <c r="X225" t="b">
        <f t="shared" si="38"/>
        <v>0</v>
      </c>
      <c r="Y225">
        <v>128360</v>
      </c>
      <c r="Z225">
        <v>128360</v>
      </c>
      <c r="AA225" t="b">
        <f t="shared" si="39"/>
        <v>1</v>
      </c>
      <c r="AB225">
        <v>128360</v>
      </c>
      <c r="AC225">
        <v>128360</v>
      </c>
      <c r="AD225" t="b">
        <f t="shared" si="40"/>
        <v>1</v>
      </c>
      <c r="AE225">
        <v>0</v>
      </c>
      <c r="AF225">
        <v>0</v>
      </c>
      <c r="AG225" t="b">
        <f t="shared" si="41"/>
        <v>1</v>
      </c>
      <c r="AH225">
        <v>0</v>
      </c>
      <c r="AI225">
        <v>0</v>
      </c>
      <c r="AJ225" t="b">
        <f t="shared" si="42"/>
        <v>1</v>
      </c>
      <c r="AK225">
        <v>195431</v>
      </c>
      <c r="AL225">
        <v>195431.2</v>
      </c>
      <c r="AM225" t="b">
        <f t="shared" si="43"/>
        <v>0</v>
      </c>
    </row>
    <row r="226" hidden="1" spans="1:39">
      <c r="A226">
        <v>45741</v>
      </c>
      <c r="B226" t="s">
        <v>38</v>
      </c>
      <c r="C226" t="s">
        <v>130</v>
      </c>
      <c r="D226" t="s">
        <v>49</v>
      </c>
      <c r="E226" t="s">
        <v>341</v>
      </c>
      <c r="F226" t="s">
        <v>620</v>
      </c>
      <c r="G226">
        <v>0</v>
      </c>
      <c r="H226">
        <v>0</v>
      </c>
      <c r="I226" t="b">
        <f>G226=H226</f>
        <v>1</v>
      </c>
      <c r="J226">
        <v>0</v>
      </c>
      <c r="K226">
        <v>0</v>
      </c>
      <c r="L226" t="b">
        <f t="shared" si="35"/>
        <v>1</v>
      </c>
      <c r="M226">
        <v>6890903</v>
      </c>
      <c r="N226">
        <v>6890903</v>
      </c>
      <c r="O226" t="b">
        <f t="shared" si="36"/>
        <v>1</v>
      </c>
      <c r="P226">
        <v>0</v>
      </c>
      <c r="Q226">
        <v>0</v>
      </c>
      <c r="R226" t="b">
        <f t="shared" si="37"/>
        <v>1</v>
      </c>
      <c r="S226">
        <v>6890903</v>
      </c>
      <c r="T226">
        <v>6890903</v>
      </c>
      <c r="U226" t="b">
        <f>S226=T226</f>
        <v>1</v>
      </c>
      <c r="V226">
        <v>7358823.6</v>
      </c>
      <c r="W226">
        <v>7489269.6</v>
      </c>
      <c r="X226" t="b">
        <f t="shared" si="38"/>
        <v>0</v>
      </c>
      <c r="Y226">
        <v>3651490.6</v>
      </c>
      <c r="Z226">
        <v>3695140.6</v>
      </c>
      <c r="AA226" t="b">
        <f t="shared" si="39"/>
        <v>0</v>
      </c>
      <c r="AB226">
        <v>2077155.4</v>
      </c>
      <c r="AC226">
        <v>2077155.4</v>
      </c>
      <c r="AD226" t="b">
        <f t="shared" si="40"/>
        <v>1</v>
      </c>
      <c r="AE226">
        <v>0</v>
      </c>
      <c r="AF226">
        <v>0</v>
      </c>
      <c r="AG226" t="b">
        <f t="shared" si="41"/>
        <v>1</v>
      </c>
      <c r="AH226">
        <v>5728646</v>
      </c>
      <c r="AI226">
        <v>5772296</v>
      </c>
      <c r="AJ226" t="b">
        <f t="shared" si="42"/>
        <v>0</v>
      </c>
      <c r="AK226">
        <v>7358823.6</v>
      </c>
      <c r="AL226">
        <v>7489269.6</v>
      </c>
      <c r="AM226" t="b">
        <f t="shared" si="43"/>
        <v>0</v>
      </c>
    </row>
    <row r="227" spans="1:39">
      <c r="A227">
        <v>45741</v>
      </c>
      <c r="B227" t="s">
        <v>38</v>
      </c>
      <c r="C227" t="s">
        <v>130</v>
      </c>
      <c r="D227" t="s">
        <v>39</v>
      </c>
      <c r="E227" t="s">
        <v>342</v>
      </c>
      <c r="F227" t="s">
        <v>621</v>
      </c>
      <c r="G227">
        <v>0</v>
      </c>
      <c r="H227">
        <v>0</v>
      </c>
      <c r="I227" t="b">
        <f>G227=H227</f>
        <v>1</v>
      </c>
      <c r="J227">
        <v>0</v>
      </c>
      <c r="K227">
        <v>0</v>
      </c>
      <c r="L227" t="b">
        <f t="shared" si="35"/>
        <v>1</v>
      </c>
      <c r="M227">
        <v>0</v>
      </c>
      <c r="N227">
        <v>0</v>
      </c>
      <c r="O227" t="b">
        <f t="shared" si="36"/>
        <v>1</v>
      </c>
      <c r="P227">
        <v>0</v>
      </c>
      <c r="Q227">
        <v>0</v>
      </c>
      <c r="R227" t="b">
        <f t="shared" si="37"/>
        <v>1</v>
      </c>
      <c r="S227">
        <v>0</v>
      </c>
      <c r="T227">
        <v>0</v>
      </c>
      <c r="U227" t="b">
        <f>S227=T227</f>
        <v>1</v>
      </c>
      <c r="V227">
        <v>0</v>
      </c>
      <c r="W227">
        <v>0</v>
      </c>
      <c r="X227" t="b">
        <f t="shared" si="38"/>
        <v>1</v>
      </c>
      <c r="Y227">
        <v>30000</v>
      </c>
      <c r="Z227">
        <v>30000</v>
      </c>
      <c r="AA227" t="b">
        <f t="shared" si="39"/>
        <v>1</v>
      </c>
      <c r="AB227">
        <v>30000</v>
      </c>
      <c r="AC227">
        <v>30000</v>
      </c>
      <c r="AD227" t="b">
        <f t="shared" si="40"/>
        <v>1</v>
      </c>
      <c r="AE227">
        <v>0</v>
      </c>
      <c r="AF227">
        <v>0</v>
      </c>
      <c r="AG227" t="b">
        <f t="shared" si="41"/>
        <v>1</v>
      </c>
      <c r="AH227">
        <v>0</v>
      </c>
      <c r="AI227">
        <v>0</v>
      </c>
      <c r="AJ227" t="b">
        <f t="shared" si="42"/>
        <v>1</v>
      </c>
      <c r="AK227">
        <v>0</v>
      </c>
      <c r="AL227">
        <v>0</v>
      </c>
      <c r="AM227" t="b">
        <f t="shared" si="43"/>
        <v>1</v>
      </c>
    </row>
    <row r="228" spans="1:39">
      <c r="A228">
        <v>45741</v>
      </c>
      <c r="B228" t="s">
        <v>27</v>
      </c>
      <c r="C228" t="s">
        <v>120</v>
      </c>
      <c r="D228" t="s">
        <v>104</v>
      </c>
      <c r="E228" t="s">
        <v>343</v>
      </c>
      <c r="F228" t="s">
        <v>622</v>
      </c>
      <c r="G228">
        <v>0</v>
      </c>
      <c r="H228">
        <v>0</v>
      </c>
      <c r="I228" t="b">
        <f>G228=H228</f>
        <v>1</v>
      </c>
      <c r="J228">
        <v>0</v>
      </c>
      <c r="K228">
        <v>0</v>
      </c>
      <c r="L228" t="b">
        <f t="shared" si="35"/>
        <v>1</v>
      </c>
      <c r="M228">
        <v>0</v>
      </c>
      <c r="N228">
        <v>0</v>
      </c>
      <c r="O228" t="b">
        <f t="shared" si="36"/>
        <v>1</v>
      </c>
      <c r="P228">
        <v>0</v>
      </c>
      <c r="Q228">
        <v>0</v>
      </c>
      <c r="R228" t="b">
        <f t="shared" si="37"/>
        <v>1</v>
      </c>
      <c r="S228">
        <v>0</v>
      </c>
      <c r="T228">
        <v>0</v>
      </c>
      <c r="U228" t="b">
        <f>S228=T228</f>
        <v>1</v>
      </c>
      <c r="V228">
        <v>0</v>
      </c>
      <c r="W228">
        <v>0</v>
      </c>
      <c r="X228" t="b">
        <f t="shared" si="38"/>
        <v>1</v>
      </c>
      <c r="Y228">
        <v>142488</v>
      </c>
      <c r="Z228">
        <v>142488</v>
      </c>
      <c r="AA228" t="b">
        <f t="shared" si="39"/>
        <v>1</v>
      </c>
      <c r="AB228">
        <v>142488</v>
      </c>
      <c r="AC228">
        <v>142488</v>
      </c>
      <c r="AD228" t="b">
        <f t="shared" si="40"/>
        <v>1</v>
      </c>
      <c r="AE228">
        <v>0</v>
      </c>
      <c r="AF228">
        <v>0</v>
      </c>
      <c r="AG228" t="b">
        <f t="shared" si="41"/>
        <v>1</v>
      </c>
      <c r="AH228">
        <v>0</v>
      </c>
      <c r="AI228">
        <v>0</v>
      </c>
      <c r="AJ228" t="b">
        <f t="shared" si="42"/>
        <v>1</v>
      </c>
      <c r="AK228">
        <v>0</v>
      </c>
      <c r="AL228">
        <v>0</v>
      </c>
      <c r="AM228" t="b">
        <f t="shared" si="43"/>
        <v>1</v>
      </c>
    </row>
    <row r="229" spans="1:39">
      <c r="A229">
        <v>45741</v>
      </c>
      <c r="B229" t="s">
        <v>38</v>
      </c>
      <c r="C229" t="s">
        <v>130</v>
      </c>
      <c r="D229" t="s">
        <v>99</v>
      </c>
      <c r="E229" t="s">
        <v>344</v>
      </c>
      <c r="F229" t="s">
        <v>623</v>
      </c>
      <c r="G229">
        <v>0</v>
      </c>
      <c r="H229">
        <v>0</v>
      </c>
      <c r="I229" t="b">
        <f>G229=H229</f>
        <v>1</v>
      </c>
      <c r="J229">
        <v>0</v>
      </c>
      <c r="K229">
        <v>0</v>
      </c>
      <c r="L229" t="b">
        <f t="shared" si="35"/>
        <v>1</v>
      </c>
      <c r="M229">
        <v>0</v>
      </c>
      <c r="N229">
        <v>0</v>
      </c>
      <c r="O229" t="b">
        <f t="shared" si="36"/>
        <v>1</v>
      </c>
      <c r="P229">
        <v>54004</v>
      </c>
      <c r="Q229">
        <v>54004</v>
      </c>
      <c r="R229" t="b">
        <f t="shared" si="37"/>
        <v>1</v>
      </c>
      <c r="S229">
        <v>54004</v>
      </c>
      <c r="T229">
        <v>54004</v>
      </c>
      <c r="U229" t="b">
        <f>S229=T229</f>
        <v>1</v>
      </c>
      <c r="V229">
        <v>0</v>
      </c>
      <c r="W229">
        <v>0</v>
      </c>
      <c r="X229" t="b">
        <f t="shared" si="38"/>
        <v>1</v>
      </c>
      <c r="Y229">
        <v>0</v>
      </c>
      <c r="Z229">
        <v>0</v>
      </c>
      <c r="AA229" t="b">
        <f t="shared" si="39"/>
        <v>1</v>
      </c>
      <c r="AB229">
        <v>0</v>
      </c>
      <c r="AC229">
        <v>0</v>
      </c>
      <c r="AD229" t="b">
        <f t="shared" si="40"/>
        <v>1</v>
      </c>
      <c r="AE229">
        <v>0</v>
      </c>
      <c r="AF229">
        <v>0</v>
      </c>
      <c r="AG229" t="b">
        <f t="shared" si="41"/>
        <v>1</v>
      </c>
      <c r="AH229">
        <v>0</v>
      </c>
      <c r="AI229">
        <v>0</v>
      </c>
      <c r="AJ229" t="b">
        <f t="shared" si="42"/>
        <v>1</v>
      </c>
      <c r="AK229">
        <v>0</v>
      </c>
      <c r="AL229">
        <v>0</v>
      </c>
      <c r="AM229" t="b">
        <f t="shared" si="43"/>
        <v>1</v>
      </c>
    </row>
    <row r="230" hidden="1" spans="1:39">
      <c r="A230">
        <v>45741</v>
      </c>
      <c r="B230" t="s">
        <v>31</v>
      </c>
      <c r="C230" t="s">
        <v>115</v>
      </c>
      <c r="D230" t="s">
        <v>45</v>
      </c>
      <c r="E230" t="s">
        <v>345</v>
      </c>
      <c r="F230" t="s">
        <v>624</v>
      </c>
      <c r="G230">
        <v>0</v>
      </c>
      <c r="H230">
        <v>0</v>
      </c>
      <c r="I230" t="b">
        <f>G230=H230</f>
        <v>1</v>
      </c>
      <c r="J230">
        <v>0</v>
      </c>
      <c r="K230">
        <v>0</v>
      </c>
      <c r="L230" t="b">
        <f t="shared" si="35"/>
        <v>1</v>
      </c>
      <c r="M230">
        <v>0</v>
      </c>
      <c r="N230">
        <v>0</v>
      </c>
      <c r="O230" t="b">
        <f t="shared" si="36"/>
        <v>1</v>
      </c>
      <c r="P230">
        <v>0</v>
      </c>
      <c r="Q230">
        <v>0</v>
      </c>
      <c r="R230" t="b">
        <f t="shared" si="37"/>
        <v>1</v>
      </c>
      <c r="S230">
        <v>0</v>
      </c>
      <c r="T230">
        <v>0</v>
      </c>
      <c r="U230" t="b">
        <f>S230=T230</f>
        <v>1</v>
      </c>
      <c r="V230">
        <v>0</v>
      </c>
      <c r="W230">
        <v>0</v>
      </c>
      <c r="X230" t="b">
        <f t="shared" si="38"/>
        <v>1</v>
      </c>
      <c r="Y230">
        <v>0</v>
      </c>
      <c r="Z230">
        <v>37050</v>
      </c>
      <c r="AA230" t="b">
        <f t="shared" si="39"/>
        <v>0</v>
      </c>
      <c r="AB230">
        <v>37050</v>
      </c>
      <c r="AC230">
        <v>37050</v>
      </c>
      <c r="AD230" t="b">
        <f t="shared" si="40"/>
        <v>1</v>
      </c>
      <c r="AE230">
        <v>0</v>
      </c>
      <c r="AF230">
        <v>0</v>
      </c>
      <c r="AG230" t="b">
        <f t="shared" si="41"/>
        <v>1</v>
      </c>
      <c r="AH230">
        <v>37050</v>
      </c>
      <c r="AI230">
        <v>0</v>
      </c>
      <c r="AJ230" t="b">
        <f t="shared" si="42"/>
        <v>0</v>
      </c>
      <c r="AK230">
        <v>0</v>
      </c>
      <c r="AL230">
        <v>0</v>
      </c>
      <c r="AM230" t="b">
        <f t="shared" si="43"/>
        <v>1</v>
      </c>
    </row>
    <row r="231" hidden="1" spans="1:39">
      <c r="A231">
        <v>45741</v>
      </c>
      <c r="B231" t="s">
        <v>31</v>
      </c>
      <c r="C231" t="s">
        <v>115</v>
      </c>
      <c r="D231" t="s">
        <v>255</v>
      </c>
      <c r="E231" t="s">
        <v>346</v>
      </c>
      <c r="F231" t="s">
        <v>625</v>
      </c>
      <c r="G231">
        <v>0</v>
      </c>
      <c r="H231">
        <v>660000</v>
      </c>
      <c r="I231" t="b">
        <f>G231=H231</f>
        <v>0</v>
      </c>
      <c r="J231">
        <v>0</v>
      </c>
      <c r="K231">
        <v>660000</v>
      </c>
      <c r="L231" t="b">
        <f t="shared" si="35"/>
        <v>0</v>
      </c>
      <c r="M231">
        <v>660000</v>
      </c>
      <c r="N231">
        <v>660000</v>
      </c>
      <c r="O231" t="b">
        <f t="shared" si="36"/>
        <v>1</v>
      </c>
      <c r="P231">
        <v>0</v>
      </c>
      <c r="Q231">
        <v>0</v>
      </c>
      <c r="R231" t="b">
        <f t="shared" si="37"/>
        <v>1</v>
      </c>
      <c r="S231">
        <v>660000</v>
      </c>
      <c r="T231">
        <v>0</v>
      </c>
      <c r="U231" t="b">
        <f>S231=T231</f>
        <v>0</v>
      </c>
      <c r="V231">
        <v>0</v>
      </c>
      <c r="W231">
        <v>0</v>
      </c>
      <c r="X231" t="b">
        <f t="shared" si="38"/>
        <v>1</v>
      </c>
      <c r="Y231">
        <v>0</v>
      </c>
      <c r="Z231">
        <v>0</v>
      </c>
      <c r="AA231" t="b">
        <f t="shared" si="39"/>
        <v>1</v>
      </c>
      <c r="AB231">
        <v>0</v>
      </c>
      <c r="AC231">
        <v>0</v>
      </c>
      <c r="AD231" t="b">
        <f t="shared" si="40"/>
        <v>1</v>
      </c>
      <c r="AE231">
        <v>0</v>
      </c>
      <c r="AF231">
        <v>0</v>
      </c>
      <c r="AG231" t="b">
        <f t="shared" si="41"/>
        <v>1</v>
      </c>
      <c r="AH231">
        <v>0</v>
      </c>
      <c r="AI231">
        <v>0</v>
      </c>
      <c r="AJ231" t="b">
        <f t="shared" si="42"/>
        <v>1</v>
      </c>
      <c r="AK231">
        <v>0</v>
      </c>
      <c r="AL231">
        <v>660000</v>
      </c>
      <c r="AM231" t="b">
        <f t="shared" si="43"/>
        <v>0</v>
      </c>
    </row>
    <row r="232" hidden="1" spans="1:39">
      <c r="A232">
        <v>45741</v>
      </c>
      <c r="B232" t="s">
        <v>38</v>
      </c>
      <c r="C232" t="s">
        <v>130</v>
      </c>
      <c r="D232" t="s">
        <v>347</v>
      </c>
      <c r="E232" t="s">
        <v>348</v>
      </c>
      <c r="F232" t="s">
        <v>626</v>
      </c>
      <c r="G232">
        <v>0</v>
      </c>
      <c r="H232">
        <v>0</v>
      </c>
      <c r="I232" t="b">
        <f>G232=H232</f>
        <v>1</v>
      </c>
      <c r="J232">
        <v>0</v>
      </c>
      <c r="K232">
        <v>0</v>
      </c>
      <c r="L232" t="b">
        <f t="shared" si="35"/>
        <v>1</v>
      </c>
      <c r="M232">
        <v>0</v>
      </c>
      <c r="N232">
        <v>0</v>
      </c>
      <c r="O232" t="b">
        <f t="shared" si="36"/>
        <v>1</v>
      </c>
      <c r="P232">
        <v>0</v>
      </c>
      <c r="Q232">
        <v>0</v>
      </c>
      <c r="R232" t="b">
        <f t="shared" si="37"/>
        <v>1</v>
      </c>
      <c r="S232">
        <v>0</v>
      </c>
      <c r="T232">
        <v>0</v>
      </c>
      <c r="U232" t="b">
        <f>S232=T232</f>
        <v>1</v>
      </c>
      <c r="V232">
        <v>0</v>
      </c>
      <c r="W232">
        <v>0</v>
      </c>
      <c r="X232" t="b">
        <f t="shared" si="38"/>
        <v>1</v>
      </c>
      <c r="Y232">
        <v>692150</v>
      </c>
      <c r="Z232">
        <v>692150</v>
      </c>
      <c r="AA232" t="b">
        <f t="shared" si="39"/>
        <v>1</v>
      </c>
      <c r="AB232">
        <v>181650</v>
      </c>
      <c r="AC232">
        <v>692150</v>
      </c>
      <c r="AD232" t="b">
        <f t="shared" si="40"/>
        <v>0</v>
      </c>
      <c r="AE232">
        <v>0</v>
      </c>
      <c r="AF232">
        <v>0</v>
      </c>
      <c r="AG232" t="b">
        <f t="shared" si="41"/>
        <v>1</v>
      </c>
      <c r="AH232">
        <v>510500</v>
      </c>
      <c r="AI232">
        <v>0</v>
      </c>
      <c r="AJ232" t="b">
        <f t="shared" si="42"/>
        <v>0</v>
      </c>
      <c r="AK232">
        <v>0</v>
      </c>
      <c r="AL232">
        <v>0</v>
      </c>
      <c r="AM232" t="b">
        <f t="shared" si="43"/>
        <v>1</v>
      </c>
    </row>
    <row r="233" spans="1:39">
      <c r="A233">
        <v>45741</v>
      </c>
      <c r="B233" t="s">
        <v>38</v>
      </c>
      <c r="C233" t="s">
        <v>130</v>
      </c>
      <c r="D233" t="s">
        <v>107</v>
      </c>
      <c r="E233" t="s">
        <v>349</v>
      </c>
      <c r="F233" t="s">
        <v>627</v>
      </c>
      <c r="G233">
        <v>9178650</v>
      </c>
      <c r="H233">
        <v>9178650</v>
      </c>
      <c r="I233" t="b">
        <f>G233=H233</f>
        <v>1</v>
      </c>
      <c r="J233">
        <v>9178650</v>
      </c>
      <c r="K233">
        <v>9178650</v>
      </c>
      <c r="L233" t="b">
        <f t="shared" si="35"/>
        <v>1</v>
      </c>
      <c r="M233">
        <v>11025023</v>
      </c>
      <c r="N233">
        <v>11025023</v>
      </c>
      <c r="O233" t="b">
        <f t="shared" si="36"/>
        <v>1</v>
      </c>
      <c r="P233">
        <v>0</v>
      </c>
      <c r="Q233">
        <v>0</v>
      </c>
      <c r="R233" t="b">
        <f t="shared" si="37"/>
        <v>1</v>
      </c>
      <c r="S233">
        <v>1846373</v>
      </c>
      <c r="T233">
        <v>1846373</v>
      </c>
      <c r="U233" t="b">
        <f>S233=T233</f>
        <v>1</v>
      </c>
      <c r="V233">
        <v>0</v>
      </c>
      <c r="W233">
        <v>0</v>
      </c>
      <c r="X233" t="b">
        <f t="shared" si="38"/>
        <v>1</v>
      </c>
      <c r="Y233">
        <v>0</v>
      </c>
      <c r="Z233">
        <v>0</v>
      </c>
      <c r="AA233" t="b">
        <f t="shared" si="39"/>
        <v>1</v>
      </c>
      <c r="AB233">
        <v>0</v>
      </c>
      <c r="AC233">
        <v>0</v>
      </c>
      <c r="AD233" t="b">
        <f t="shared" si="40"/>
        <v>1</v>
      </c>
      <c r="AE233">
        <v>0</v>
      </c>
      <c r="AF233">
        <v>0</v>
      </c>
      <c r="AG233" t="b">
        <f t="shared" si="41"/>
        <v>1</v>
      </c>
      <c r="AH233">
        <v>0</v>
      </c>
      <c r="AI233">
        <v>0</v>
      </c>
      <c r="AJ233" t="b">
        <f t="shared" si="42"/>
        <v>1</v>
      </c>
      <c r="AK233">
        <v>9178650</v>
      </c>
      <c r="AL233">
        <v>9178650</v>
      </c>
      <c r="AM233" t="b">
        <f t="shared" si="43"/>
        <v>1</v>
      </c>
    </row>
    <row r="234" spans="1:39">
      <c r="A234">
        <v>45741</v>
      </c>
      <c r="B234" t="s">
        <v>27</v>
      </c>
      <c r="C234" t="s">
        <v>120</v>
      </c>
      <c r="D234" t="s">
        <v>214</v>
      </c>
      <c r="E234" t="s">
        <v>350</v>
      </c>
      <c r="F234" t="s">
        <v>628</v>
      </c>
      <c r="G234">
        <v>0</v>
      </c>
      <c r="H234">
        <v>0</v>
      </c>
      <c r="I234" t="b">
        <f>G234=H234</f>
        <v>1</v>
      </c>
      <c r="J234">
        <v>0</v>
      </c>
      <c r="K234">
        <v>0</v>
      </c>
      <c r="L234" t="b">
        <f t="shared" si="35"/>
        <v>1</v>
      </c>
      <c r="M234">
        <v>0</v>
      </c>
      <c r="N234">
        <v>0</v>
      </c>
      <c r="O234" t="b">
        <f t="shared" si="36"/>
        <v>1</v>
      </c>
      <c r="P234">
        <v>0</v>
      </c>
      <c r="Q234">
        <v>0</v>
      </c>
      <c r="R234" t="b">
        <f t="shared" si="37"/>
        <v>1</v>
      </c>
      <c r="S234">
        <v>0</v>
      </c>
      <c r="T234">
        <v>0</v>
      </c>
      <c r="U234" t="b">
        <f>S234=T234</f>
        <v>1</v>
      </c>
      <c r="V234">
        <v>0</v>
      </c>
      <c r="W234">
        <v>0</v>
      </c>
      <c r="X234" t="b">
        <f t="shared" si="38"/>
        <v>1</v>
      </c>
      <c r="Y234">
        <v>1545455</v>
      </c>
      <c r="Z234">
        <v>1545455</v>
      </c>
      <c r="AA234" t="b">
        <f t="shared" si="39"/>
        <v>1</v>
      </c>
      <c r="AB234">
        <v>1545455</v>
      </c>
      <c r="AC234">
        <v>1545455</v>
      </c>
      <c r="AD234" t="b">
        <f t="shared" si="40"/>
        <v>1</v>
      </c>
      <c r="AE234">
        <v>0</v>
      </c>
      <c r="AF234">
        <v>0</v>
      </c>
      <c r="AG234" t="b">
        <f t="shared" si="41"/>
        <v>1</v>
      </c>
      <c r="AH234">
        <v>0</v>
      </c>
      <c r="AI234">
        <v>0</v>
      </c>
      <c r="AJ234" t="b">
        <f t="shared" si="42"/>
        <v>1</v>
      </c>
      <c r="AK234">
        <v>0</v>
      </c>
      <c r="AL234">
        <v>0</v>
      </c>
      <c r="AM234" t="b">
        <f t="shared" si="43"/>
        <v>1</v>
      </c>
    </row>
    <row r="235" spans="1:39">
      <c r="A235">
        <v>45741</v>
      </c>
      <c r="B235" t="s">
        <v>38</v>
      </c>
      <c r="C235" t="s">
        <v>130</v>
      </c>
      <c r="D235" t="s">
        <v>351</v>
      </c>
      <c r="E235" t="s">
        <v>352</v>
      </c>
      <c r="F235" t="s">
        <v>629</v>
      </c>
      <c r="G235">
        <v>0</v>
      </c>
      <c r="H235">
        <v>0</v>
      </c>
      <c r="I235" t="b">
        <f>G235=H235</f>
        <v>1</v>
      </c>
      <c r="J235">
        <v>0</v>
      </c>
      <c r="K235">
        <v>0</v>
      </c>
      <c r="L235" t="b">
        <f t="shared" si="35"/>
        <v>1</v>
      </c>
      <c r="M235">
        <v>0</v>
      </c>
      <c r="N235">
        <v>0</v>
      </c>
      <c r="O235" t="b">
        <f t="shared" si="36"/>
        <v>1</v>
      </c>
      <c r="P235">
        <v>0</v>
      </c>
      <c r="Q235">
        <v>0</v>
      </c>
      <c r="R235" t="b">
        <f t="shared" si="37"/>
        <v>1</v>
      </c>
      <c r="S235">
        <v>0</v>
      </c>
      <c r="T235">
        <v>0</v>
      </c>
      <c r="U235" t="b">
        <f>S235=T235</f>
        <v>1</v>
      </c>
      <c r="V235">
        <v>198000</v>
      </c>
      <c r="W235">
        <v>198000</v>
      </c>
      <c r="X235" t="b">
        <f t="shared" si="38"/>
        <v>1</v>
      </c>
      <c r="Y235">
        <v>45000</v>
      </c>
      <c r="Z235">
        <v>45000</v>
      </c>
      <c r="AA235" t="b">
        <f t="shared" si="39"/>
        <v>1</v>
      </c>
      <c r="AB235">
        <v>45000</v>
      </c>
      <c r="AC235">
        <v>45000</v>
      </c>
      <c r="AD235" t="b">
        <f t="shared" si="40"/>
        <v>1</v>
      </c>
      <c r="AE235">
        <v>0</v>
      </c>
      <c r="AF235">
        <v>0</v>
      </c>
      <c r="AG235" t="b">
        <f t="shared" si="41"/>
        <v>1</v>
      </c>
      <c r="AH235">
        <v>0</v>
      </c>
      <c r="AI235">
        <v>0</v>
      </c>
      <c r="AJ235" t="b">
        <f t="shared" si="42"/>
        <v>1</v>
      </c>
      <c r="AK235">
        <v>198000</v>
      </c>
      <c r="AL235">
        <v>198000</v>
      </c>
      <c r="AM235" t="b">
        <f t="shared" si="43"/>
        <v>1</v>
      </c>
    </row>
    <row r="236" spans="1:39">
      <c r="A236">
        <v>45741</v>
      </c>
      <c r="B236" t="s">
        <v>31</v>
      </c>
      <c r="C236" t="s">
        <v>115</v>
      </c>
      <c r="D236" t="s">
        <v>149</v>
      </c>
      <c r="E236" t="s">
        <v>353</v>
      </c>
      <c r="F236" t="s">
        <v>630</v>
      </c>
      <c r="G236">
        <v>0</v>
      </c>
      <c r="H236">
        <v>0</v>
      </c>
      <c r="I236" t="b">
        <f>G236=H236</f>
        <v>1</v>
      </c>
      <c r="J236">
        <v>0</v>
      </c>
      <c r="K236">
        <v>0</v>
      </c>
      <c r="L236" t="b">
        <f t="shared" si="35"/>
        <v>1</v>
      </c>
      <c r="M236">
        <v>0</v>
      </c>
      <c r="N236">
        <v>0</v>
      </c>
      <c r="O236" t="b">
        <f t="shared" si="36"/>
        <v>1</v>
      </c>
      <c r="P236">
        <v>0</v>
      </c>
      <c r="Q236">
        <v>0</v>
      </c>
      <c r="R236" t="b">
        <f t="shared" si="37"/>
        <v>1</v>
      </c>
      <c r="S236">
        <v>0</v>
      </c>
      <c r="T236">
        <v>0</v>
      </c>
      <c r="U236" t="b">
        <f>S236=T236</f>
        <v>1</v>
      </c>
      <c r="V236">
        <v>0</v>
      </c>
      <c r="W236">
        <v>0</v>
      </c>
      <c r="X236" t="b">
        <f t="shared" si="38"/>
        <v>1</v>
      </c>
      <c r="Y236">
        <v>70000</v>
      </c>
      <c r="Z236">
        <v>70000</v>
      </c>
      <c r="AA236" t="b">
        <f t="shared" si="39"/>
        <v>1</v>
      </c>
      <c r="AB236">
        <v>70000</v>
      </c>
      <c r="AC236">
        <v>70000</v>
      </c>
      <c r="AD236" t="b">
        <f t="shared" si="40"/>
        <v>1</v>
      </c>
      <c r="AE236">
        <v>0</v>
      </c>
      <c r="AF236">
        <v>0</v>
      </c>
      <c r="AG236" t="b">
        <f t="shared" si="41"/>
        <v>1</v>
      </c>
      <c r="AH236">
        <v>0</v>
      </c>
      <c r="AI236">
        <v>0</v>
      </c>
      <c r="AJ236" t="b">
        <f t="shared" si="42"/>
        <v>1</v>
      </c>
      <c r="AK236">
        <v>0</v>
      </c>
      <c r="AL236">
        <v>0</v>
      </c>
      <c r="AM236" t="b">
        <f t="shared" si="43"/>
        <v>1</v>
      </c>
    </row>
    <row r="237" spans="1:39">
      <c r="A237">
        <v>45741</v>
      </c>
      <c r="B237" t="s">
        <v>31</v>
      </c>
      <c r="C237" t="s">
        <v>115</v>
      </c>
      <c r="D237" t="s">
        <v>248</v>
      </c>
      <c r="E237" t="s">
        <v>354</v>
      </c>
      <c r="F237" t="s">
        <v>631</v>
      </c>
      <c r="G237">
        <v>0</v>
      </c>
      <c r="H237">
        <v>0</v>
      </c>
      <c r="I237" t="b">
        <f>G237=H237</f>
        <v>1</v>
      </c>
      <c r="J237">
        <v>0</v>
      </c>
      <c r="K237">
        <v>0</v>
      </c>
      <c r="L237" t="b">
        <f t="shared" si="35"/>
        <v>1</v>
      </c>
      <c r="M237">
        <v>0</v>
      </c>
      <c r="N237">
        <v>0</v>
      </c>
      <c r="O237" t="b">
        <f t="shared" si="36"/>
        <v>1</v>
      </c>
      <c r="P237">
        <v>0</v>
      </c>
      <c r="Q237">
        <v>0</v>
      </c>
      <c r="R237" t="b">
        <f t="shared" si="37"/>
        <v>1</v>
      </c>
      <c r="S237">
        <v>0</v>
      </c>
      <c r="T237">
        <v>0</v>
      </c>
      <c r="U237" t="b">
        <f>S237=T237</f>
        <v>1</v>
      </c>
      <c r="V237">
        <v>0</v>
      </c>
      <c r="W237">
        <v>0</v>
      </c>
      <c r="X237" t="b">
        <f t="shared" si="38"/>
        <v>1</v>
      </c>
      <c r="Y237">
        <v>0</v>
      </c>
      <c r="Z237">
        <v>0</v>
      </c>
      <c r="AA237" t="b">
        <f t="shared" si="39"/>
        <v>1</v>
      </c>
      <c r="AB237">
        <v>4350</v>
      </c>
      <c r="AC237">
        <v>4350</v>
      </c>
      <c r="AD237" t="b">
        <f t="shared" si="40"/>
        <v>1</v>
      </c>
      <c r="AE237">
        <v>0</v>
      </c>
      <c r="AF237">
        <v>0</v>
      </c>
      <c r="AG237" t="b">
        <f t="shared" si="41"/>
        <v>1</v>
      </c>
      <c r="AH237">
        <v>4350</v>
      </c>
      <c r="AI237">
        <v>4350</v>
      </c>
      <c r="AJ237" t="b">
        <f t="shared" si="42"/>
        <v>1</v>
      </c>
      <c r="AK237">
        <v>0</v>
      </c>
      <c r="AL237">
        <v>0</v>
      </c>
      <c r="AM237" t="b">
        <f t="shared" si="43"/>
        <v>1</v>
      </c>
    </row>
    <row r="238" spans="1:39">
      <c r="A238">
        <v>45741</v>
      </c>
      <c r="B238" t="s">
        <v>27</v>
      </c>
      <c r="C238" t="s">
        <v>120</v>
      </c>
      <c r="D238" t="s">
        <v>234</v>
      </c>
      <c r="E238" t="s">
        <v>632</v>
      </c>
      <c r="F238" t="s">
        <v>633</v>
      </c>
      <c r="G238">
        <v>0</v>
      </c>
      <c r="H238">
        <v>0</v>
      </c>
      <c r="I238" t="b">
        <f>G238=H238</f>
        <v>1</v>
      </c>
      <c r="J238">
        <v>0</v>
      </c>
      <c r="K238">
        <v>0</v>
      </c>
      <c r="L238" t="b">
        <f t="shared" si="35"/>
        <v>1</v>
      </c>
      <c r="M238">
        <v>0</v>
      </c>
      <c r="N238">
        <v>0</v>
      </c>
      <c r="O238" t="b">
        <f t="shared" si="36"/>
        <v>1</v>
      </c>
      <c r="P238">
        <v>0</v>
      </c>
      <c r="Q238">
        <v>0</v>
      </c>
      <c r="R238" t="b">
        <f t="shared" si="37"/>
        <v>1</v>
      </c>
      <c r="S238">
        <v>0</v>
      </c>
      <c r="T238">
        <v>0</v>
      </c>
      <c r="U238" t="b">
        <f>S238=T238</f>
        <v>1</v>
      </c>
      <c r="V238">
        <v>0</v>
      </c>
      <c r="W238">
        <v>0</v>
      </c>
      <c r="X238" t="b">
        <f t="shared" si="38"/>
        <v>1</v>
      </c>
      <c r="Y238">
        <v>0</v>
      </c>
      <c r="Z238">
        <v>0</v>
      </c>
      <c r="AA238" t="b">
        <f t="shared" si="39"/>
        <v>1</v>
      </c>
      <c r="AB238">
        <v>15793.06</v>
      </c>
      <c r="AC238">
        <v>15793.06</v>
      </c>
      <c r="AD238" t="b">
        <f t="shared" si="40"/>
        <v>1</v>
      </c>
      <c r="AE238">
        <v>0</v>
      </c>
      <c r="AF238">
        <v>0</v>
      </c>
      <c r="AG238" t="b">
        <f t="shared" si="41"/>
        <v>1</v>
      </c>
      <c r="AH238">
        <v>15793.06</v>
      </c>
      <c r="AI238">
        <v>15793.06</v>
      </c>
      <c r="AJ238" t="b">
        <f t="shared" si="42"/>
        <v>1</v>
      </c>
      <c r="AK238">
        <v>0</v>
      </c>
      <c r="AL238">
        <v>0</v>
      </c>
      <c r="AM238" t="b">
        <f t="shared" si="43"/>
        <v>1</v>
      </c>
    </row>
  </sheetData>
  <autoFilter xmlns:etc="http://www.wps.cn/officeDocument/2017/etCustomData" ref="A1:AM238" etc:filterBottomFollowUsedRange="0">
    <filterColumn colId="8">
      <filters>
        <filter val="TRUE"/>
      </filters>
    </filterColumn>
    <filterColumn colId="11">
      <filters>
        <filter val="TRUE"/>
      </filters>
    </filterColumn>
    <filterColumn colId="14">
      <filters>
        <filter val="TRUE"/>
      </filters>
    </filterColumn>
    <filterColumn colId="23">
      <filters>
        <filter val="TRUE"/>
      </filters>
    </filterColumn>
    <filterColumn colId="26">
      <filters>
        <filter val="TRUE"/>
      </filters>
    </filterColumn>
    <filterColumn colId="29">
      <filters>
        <filter val="TRUE"/>
      </filters>
    </filterColumn>
    <filterColumn colId="35">
      <filters>
        <filter val="TRUE"/>
      </filters>
    </filterColumn>
    <extLst/>
  </autoFilter>
  <sortState ref="A1:C32">
    <sortCondition ref="C1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23"/>
  <sheetViews>
    <sheetView tabSelected="1" workbookViewId="0">
      <selection activeCell="H10" sqref="H10"/>
    </sheetView>
  </sheetViews>
  <sheetFormatPr defaultColWidth="8.88888888888889" defaultRowHeight="10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9</v>
      </c>
      <c r="K1" t="s">
        <v>10</v>
      </c>
      <c r="M1" t="s">
        <v>11</v>
      </c>
      <c r="N1" t="s">
        <v>12</v>
      </c>
      <c r="P1" t="s">
        <v>13</v>
      </c>
      <c r="Q1" t="s">
        <v>14</v>
      </c>
      <c r="S1" t="s">
        <v>15</v>
      </c>
      <c r="T1" t="s">
        <v>16</v>
      </c>
      <c r="V1" t="s">
        <v>17</v>
      </c>
      <c r="W1" t="s">
        <v>18</v>
      </c>
      <c r="Y1" t="s">
        <v>19</v>
      </c>
      <c r="Z1" t="s">
        <v>20</v>
      </c>
      <c r="AB1" t="s">
        <v>21</v>
      </c>
      <c r="AC1" t="s">
        <v>12</v>
      </c>
      <c r="AE1" t="s">
        <v>22</v>
      </c>
      <c r="AF1" t="s">
        <v>23</v>
      </c>
      <c r="AH1" t="s">
        <v>24</v>
      </c>
      <c r="AI1" t="s">
        <v>25</v>
      </c>
      <c r="AK1" t="s">
        <v>26</v>
      </c>
    </row>
    <row r="2" spans="1:39">
      <c r="A2">
        <v>45780</v>
      </c>
      <c r="B2" t="s">
        <v>27</v>
      </c>
      <c r="C2" t="s">
        <v>356</v>
      </c>
      <c r="D2" t="s">
        <v>29</v>
      </c>
      <c r="E2" t="s">
        <v>357</v>
      </c>
      <c r="F2" t="s">
        <v>358</v>
      </c>
      <c r="G2">
        <v>198375</v>
      </c>
      <c r="H2">
        <v>198375</v>
      </c>
      <c r="I2" t="b">
        <v>1</v>
      </c>
      <c r="J2">
        <v>198375</v>
      </c>
      <c r="K2">
        <v>198375</v>
      </c>
      <c r="L2" t="b">
        <v>1</v>
      </c>
      <c r="M2">
        <v>0</v>
      </c>
      <c r="N2">
        <v>0</v>
      </c>
      <c r="O2" t="b">
        <v>1</v>
      </c>
      <c r="P2">
        <v>0</v>
      </c>
      <c r="Q2">
        <v>0</v>
      </c>
      <c r="R2" t="b">
        <v>1</v>
      </c>
      <c r="S2">
        <v>198375</v>
      </c>
      <c r="T2">
        <v>198375</v>
      </c>
      <c r="U2" t="b">
        <v>1</v>
      </c>
      <c r="V2">
        <v>141550</v>
      </c>
      <c r="W2">
        <v>141550</v>
      </c>
      <c r="X2" t="b">
        <v>1</v>
      </c>
      <c r="Y2">
        <v>141550</v>
      </c>
      <c r="Z2">
        <v>141550</v>
      </c>
      <c r="AA2" t="b">
        <v>1</v>
      </c>
      <c r="AB2">
        <v>13450</v>
      </c>
      <c r="AC2">
        <v>13450</v>
      </c>
      <c r="AD2" t="b">
        <v>1</v>
      </c>
      <c r="AE2">
        <v>0</v>
      </c>
      <c r="AF2">
        <v>0</v>
      </c>
      <c r="AG2" t="b">
        <v>1</v>
      </c>
      <c r="AH2">
        <v>155000</v>
      </c>
      <c r="AI2">
        <v>155000</v>
      </c>
      <c r="AJ2" t="b">
        <v>1</v>
      </c>
      <c r="AK2">
        <v>56825</v>
      </c>
      <c r="AL2">
        <v>56825</v>
      </c>
      <c r="AM2" t="b">
        <v>1</v>
      </c>
    </row>
    <row r="3" spans="1:39">
      <c r="A3">
        <v>45780</v>
      </c>
      <c r="B3" t="s">
        <v>31</v>
      </c>
      <c r="C3" t="s">
        <v>356</v>
      </c>
      <c r="D3" t="s">
        <v>360</v>
      </c>
      <c r="E3" t="s">
        <v>35</v>
      </c>
      <c r="F3" t="s">
        <v>361</v>
      </c>
      <c r="G3">
        <v>0</v>
      </c>
      <c r="H3">
        <v>0</v>
      </c>
      <c r="I3" t="b">
        <v>1</v>
      </c>
      <c r="J3">
        <v>0</v>
      </c>
      <c r="K3">
        <v>0</v>
      </c>
      <c r="L3" t="b">
        <v>1</v>
      </c>
      <c r="M3">
        <v>97440</v>
      </c>
      <c r="N3">
        <v>97440</v>
      </c>
      <c r="O3" t="b">
        <v>1</v>
      </c>
      <c r="P3">
        <v>0</v>
      </c>
      <c r="Q3">
        <v>0</v>
      </c>
      <c r="R3" t="b">
        <v>1</v>
      </c>
      <c r="S3">
        <v>97440</v>
      </c>
      <c r="T3">
        <v>97440</v>
      </c>
      <c r="U3" t="b">
        <v>1</v>
      </c>
      <c r="V3">
        <v>0</v>
      </c>
      <c r="W3">
        <v>0</v>
      </c>
      <c r="X3" t="b">
        <v>1</v>
      </c>
      <c r="Y3">
        <v>0</v>
      </c>
      <c r="Z3">
        <v>0</v>
      </c>
      <c r="AA3" t="b">
        <v>1</v>
      </c>
      <c r="AB3">
        <v>65000</v>
      </c>
      <c r="AC3">
        <v>65000</v>
      </c>
      <c r="AD3" t="b">
        <v>1</v>
      </c>
      <c r="AE3">
        <v>0</v>
      </c>
      <c r="AF3">
        <v>0</v>
      </c>
      <c r="AG3" t="b">
        <v>1</v>
      </c>
      <c r="AH3">
        <v>65000</v>
      </c>
      <c r="AI3">
        <v>65000</v>
      </c>
      <c r="AJ3" t="b">
        <v>1</v>
      </c>
      <c r="AK3">
        <v>0</v>
      </c>
      <c r="AL3">
        <v>0</v>
      </c>
      <c r="AM3" t="b">
        <v>1</v>
      </c>
    </row>
    <row r="4" spans="1:39">
      <c r="A4">
        <v>45780</v>
      </c>
      <c r="B4" t="s">
        <v>31</v>
      </c>
      <c r="C4" t="s">
        <v>356</v>
      </c>
      <c r="D4" t="s">
        <v>45</v>
      </c>
      <c r="E4" t="s">
        <v>46</v>
      </c>
      <c r="F4" t="s">
        <v>367</v>
      </c>
      <c r="G4">
        <v>178178</v>
      </c>
      <c r="H4">
        <v>178178</v>
      </c>
      <c r="I4" t="b">
        <v>1</v>
      </c>
      <c r="J4">
        <v>0</v>
      </c>
      <c r="K4">
        <v>0</v>
      </c>
      <c r="L4" t="b">
        <v>1</v>
      </c>
      <c r="M4">
        <v>178178</v>
      </c>
      <c r="N4">
        <v>178178</v>
      </c>
      <c r="O4" t="b">
        <v>1</v>
      </c>
      <c r="P4">
        <v>0</v>
      </c>
      <c r="Q4">
        <v>0</v>
      </c>
      <c r="R4" t="b">
        <v>1</v>
      </c>
      <c r="S4">
        <v>178178</v>
      </c>
      <c r="T4">
        <v>178178</v>
      </c>
      <c r="U4" t="b">
        <v>1</v>
      </c>
      <c r="V4">
        <v>0</v>
      </c>
      <c r="W4">
        <v>0</v>
      </c>
      <c r="X4" t="b">
        <v>1</v>
      </c>
      <c r="Y4">
        <v>0</v>
      </c>
      <c r="Z4">
        <v>0</v>
      </c>
      <c r="AA4" t="b">
        <v>1</v>
      </c>
      <c r="AB4">
        <v>140000</v>
      </c>
      <c r="AC4">
        <v>140000</v>
      </c>
      <c r="AD4" t="b">
        <v>1</v>
      </c>
      <c r="AE4">
        <v>0</v>
      </c>
      <c r="AF4">
        <v>0</v>
      </c>
      <c r="AG4" t="b">
        <v>1</v>
      </c>
      <c r="AH4">
        <v>140000</v>
      </c>
      <c r="AI4">
        <v>140000</v>
      </c>
      <c r="AJ4" t="b">
        <v>1</v>
      </c>
      <c r="AK4">
        <v>178178</v>
      </c>
      <c r="AL4">
        <v>178178</v>
      </c>
      <c r="AM4" t="b">
        <v>1</v>
      </c>
    </row>
    <row r="5" spans="1:39">
      <c r="A5">
        <v>45780</v>
      </c>
      <c r="B5" t="s">
        <v>27</v>
      </c>
      <c r="C5" t="s">
        <v>356</v>
      </c>
      <c r="D5" t="s">
        <v>47</v>
      </c>
      <c r="E5" t="s">
        <v>48</v>
      </c>
      <c r="F5" t="s">
        <v>368</v>
      </c>
      <c r="G5">
        <v>453325</v>
      </c>
      <c r="H5">
        <v>453325</v>
      </c>
      <c r="I5" t="b">
        <v>1</v>
      </c>
      <c r="J5">
        <v>0</v>
      </c>
      <c r="K5">
        <v>0</v>
      </c>
      <c r="L5" t="b">
        <v>1</v>
      </c>
      <c r="M5">
        <v>0</v>
      </c>
      <c r="N5">
        <v>0</v>
      </c>
      <c r="O5" t="b">
        <v>1</v>
      </c>
      <c r="P5">
        <v>0</v>
      </c>
      <c r="Q5">
        <v>0</v>
      </c>
      <c r="R5" t="b">
        <v>1</v>
      </c>
      <c r="S5">
        <v>0</v>
      </c>
      <c r="T5">
        <v>0</v>
      </c>
      <c r="U5" t="b">
        <v>1</v>
      </c>
      <c r="V5">
        <v>0</v>
      </c>
      <c r="W5">
        <v>0</v>
      </c>
      <c r="X5" t="b">
        <v>1</v>
      </c>
      <c r="Y5">
        <v>0</v>
      </c>
      <c r="Z5">
        <v>0</v>
      </c>
      <c r="AA5" t="b">
        <v>1</v>
      </c>
      <c r="AB5">
        <v>0</v>
      </c>
      <c r="AC5">
        <v>0</v>
      </c>
      <c r="AD5" t="b">
        <v>1</v>
      </c>
      <c r="AE5">
        <v>0</v>
      </c>
      <c r="AF5">
        <v>0</v>
      </c>
      <c r="AG5" t="b">
        <v>1</v>
      </c>
      <c r="AH5">
        <v>0</v>
      </c>
      <c r="AI5">
        <v>0</v>
      </c>
      <c r="AJ5" t="b">
        <v>1</v>
      </c>
      <c r="AK5">
        <v>453325</v>
      </c>
      <c r="AL5">
        <v>453325</v>
      </c>
      <c r="AM5" t="b">
        <v>1</v>
      </c>
    </row>
    <row r="6" spans="1:39">
      <c r="A6">
        <v>45780</v>
      </c>
      <c r="B6" t="s">
        <v>38</v>
      </c>
      <c r="C6" t="s">
        <v>356</v>
      </c>
      <c r="D6" t="s">
        <v>51</v>
      </c>
      <c r="E6" t="s">
        <v>52</v>
      </c>
      <c r="F6" t="s">
        <v>370</v>
      </c>
      <c r="G6">
        <v>717723</v>
      </c>
      <c r="H6">
        <v>717723</v>
      </c>
      <c r="I6" t="b">
        <v>1</v>
      </c>
      <c r="J6">
        <v>0</v>
      </c>
      <c r="K6">
        <v>0</v>
      </c>
      <c r="L6" t="b">
        <v>1</v>
      </c>
      <c r="M6">
        <v>725537</v>
      </c>
      <c r="N6">
        <v>725537</v>
      </c>
      <c r="O6" t="b">
        <v>1</v>
      </c>
      <c r="P6">
        <v>0</v>
      </c>
      <c r="Q6">
        <v>0</v>
      </c>
      <c r="R6" t="b">
        <v>1</v>
      </c>
      <c r="S6">
        <v>725537</v>
      </c>
      <c r="T6">
        <v>725537</v>
      </c>
      <c r="U6" t="b">
        <v>1</v>
      </c>
      <c r="V6">
        <v>249250</v>
      </c>
      <c r="W6">
        <v>249250</v>
      </c>
      <c r="X6" t="b">
        <v>1</v>
      </c>
      <c r="Y6">
        <v>0</v>
      </c>
      <c r="Z6">
        <v>0</v>
      </c>
      <c r="AA6" t="b">
        <v>1</v>
      </c>
      <c r="AB6">
        <v>575537</v>
      </c>
      <c r="AC6">
        <v>575537</v>
      </c>
      <c r="AD6" t="b">
        <v>1</v>
      </c>
      <c r="AE6">
        <v>0</v>
      </c>
      <c r="AF6">
        <v>0</v>
      </c>
      <c r="AG6" t="b">
        <v>1</v>
      </c>
      <c r="AH6">
        <v>575537</v>
      </c>
      <c r="AI6">
        <v>575537</v>
      </c>
      <c r="AJ6" t="b">
        <v>1</v>
      </c>
      <c r="AK6">
        <v>468473</v>
      </c>
      <c r="AL6">
        <v>468473</v>
      </c>
      <c r="AM6" t="b">
        <v>1</v>
      </c>
    </row>
    <row r="7" spans="1:39">
      <c r="A7">
        <v>45780</v>
      </c>
      <c r="B7" t="s">
        <v>31</v>
      </c>
      <c r="C7" t="s">
        <v>356</v>
      </c>
      <c r="D7" t="s">
        <v>45</v>
      </c>
      <c r="E7" t="s">
        <v>54</v>
      </c>
      <c r="F7" t="s">
        <v>373</v>
      </c>
      <c r="G7">
        <v>0</v>
      </c>
      <c r="H7">
        <v>0</v>
      </c>
      <c r="I7" t="b">
        <v>1</v>
      </c>
      <c r="J7">
        <v>0</v>
      </c>
      <c r="K7">
        <v>0</v>
      </c>
      <c r="L7" t="b">
        <v>1</v>
      </c>
      <c r="M7">
        <v>209293</v>
      </c>
      <c r="N7">
        <v>209293</v>
      </c>
      <c r="O7" t="b">
        <v>1</v>
      </c>
      <c r="P7">
        <v>0</v>
      </c>
      <c r="Q7">
        <v>0</v>
      </c>
      <c r="R7" t="b">
        <v>1</v>
      </c>
      <c r="S7">
        <v>209293</v>
      </c>
      <c r="T7">
        <v>209293</v>
      </c>
      <c r="U7" t="b">
        <v>1</v>
      </c>
      <c r="V7">
        <v>0</v>
      </c>
      <c r="W7">
        <v>0</v>
      </c>
      <c r="X7" t="b">
        <v>1</v>
      </c>
      <c r="Y7">
        <v>0</v>
      </c>
      <c r="Z7">
        <v>0</v>
      </c>
      <c r="AA7" t="b">
        <v>1</v>
      </c>
      <c r="AB7">
        <v>150000</v>
      </c>
      <c r="AC7">
        <v>150000</v>
      </c>
      <c r="AD7" t="b">
        <v>1</v>
      </c>
      <c r="AE7">
        <v>0</v>
      </c>
      <c r="AF7">
        <v>0</v>
      </c>
      <c r="AG7" t="b">
        <v>1</v>
      </c>
      <c r="AH7">
        <v>150000</v>
      </c>
      <c r="AI7">
        <v>150000</v>
      </c>
      <c r="AJ7" t="b">
        <v>1</v>
      </c>
      <c r="AK7">
        <v>0</v>
      </c>
      <c r="AL7">
        <v>0</v>
      </c>
      <c r="AM7" t="b">
        <v>1</v>
      </c>
    </row>
    <row r="8" spans="1:39">
      <c r="A8">
        <v>45780</v>
      </c>
      <c r="B8" t="s">
        <v>31</v>
      </c>
      <c r="C8" t="s">
        <v>356</v>
      </c>
      <c r="D8" t="s">
        <v>45</v>
      </c>
      <c r="E8" t="s">
        <v>55</v>
      </c>
      <c r="F8" t="s">
        <v>374</v>
      </c>
      <c r="G8">
        <v>0</v>
      </c>
      <c r="H8">
        <v>0</v>
      </c>
      <c r="I8" t="b">
        <v>1</v>
      </c>
      <c r="J8">
        <v>0</v>
      </c>
      <c r="K8">
        <v>0</v>
      </c>
      <c r="L8" t="b">
        <v>1</v>
      </c>
      <c r="M8">
        <v>10010</v>
      </c>
      <c r="N8">
        <v>10010</v>
      </c>
      <c r="O8" t="b">
        <v>1</v>
      </c>
      <c r="P8">
        <v>0</v>
      </c>
      <c r="Q8">
        <v>0</v>
      </c>
      <c r="R8" t="b">
        <v>1</v>
      </c>
      <c r="S8">
        <v>10010</v>
      </c>
      <c r="T8">
        <v>10010</v>
      </c>
      <c r="U8" t="b">
        <v>1</v>
      </c>
      <c r="V8">
        <v>0</v>
      </c>
      <c r="W8">
        <v>0</v>
      </c>
      <c r="X8" t="b">
        <v>1</v>
      </c>
      <c r="Y8">
        <v>0</v>
      </c>
      <c r="Z8">
        <v>0</v>
      </c>
      <c r="AA8" t="b">
        <v>1</v>
      </c>
      <c r="AB8">
        <v>7500</v>
      </c>
      <c r="AC8">
        <v>7500</v>
      </c>
      <c r="AD8" t="b">
        <v>1</v>
      </c>
      <c r="AE8">
        <v>0</v>
      </c>
      <c r="AF8">
        <v>0</v>
      </c>
      <c r="AG8" t="b">
        <v>1</v>
      </c>
      <c r="AH8">
        <v>7500</v>
      </c>
      <c r="AI8">
        <v>7500</v>
      </c>
      <c r="AJ8" t="b">
        <v>1</v>
      </c>
      <c r="AK8">
        <v>0</v>
      </c>
      <c r="AL8">
        <v>0</v>
      </c>
      <c r="AM8" t="b">
        <v>1</v>
      </c>
    </row>
    <row r="9" spans="1:39">
      <c r="A9">
        <v>45780</v>
      </c>
      <c r="B9" t="s">
        <v>31</v>
      </c>
      <c r="C9" t="s">
        <v>356</v>
      </c>
      <c r="D9" t="s">
        <v>45</v>
      </c>
      <c r="E9" t="s">
        <v>58</v>
      </c>
      <c r="F9" t="s">
        <v>376</v>
      </c>
      <c r="G9">
        <v>437059.04</v>
      </c>
      <c r="H9">
        <v>437059.04</v>
      </c>
      <c r="I9" t="b">
        <v>1</v>
      </c>
      <c r="J9">
        <v>0</v>
      </c>
      <c r="K9">
        <v>0</v>
      </c>
      <c r="L9" t="b">
        <v>1</v>
      </c>
      <c r="M9">
        <v>437059</v>
      </c>
      <c r="N9">
        <v>437059</v>
      </c>
      <c r="O9" t="b">
        <v>1</v>
      </c>
      <c r="P9">
        <v>0</v>
      </c>
      <c r="Q9">
        <v>0</v>
      </c>
      <c r="R9" t="b">
        <v>1</v>
      </c>
      <c r="S9">
        <v>437059</v>
      </c>
      <c r="T9">
        <v>437059</v>
      </c>
      <c r="U9" t="b">
        <v>1</v>
      </c>
      <c r="V9">
        <v>0</v>
      </c>
      <c r="W9">
        <v>0</v>
      </c>
      <c r="X9" t="b">
        <v>1</v>
      </c>
      <c r="Y9">
        <v>0</v>
      </c>
      <c r="Z9">
        <v>0</v>
      </c>
      <c r="AA9" t="b">
        <v>1</v>
      </c>
      <c r="AB9">
        <v>310000</v>
      </c>
      <c r="AC9">
        <v>310000</v>
      </c>
      <c r="AD9" t="b">
        <v>1</v>
      </c>
      <c r="AE9">
        <v>0</v>
      </c>
      <c r="AF9">
        <v>0</v>
      </c>
      <c r="AG9" t="b">
        <v>1</v>
      </c>
      <c r="AH9">
        <v>310000</v>
      </c>
      <c r="AI9">
        <v>310000</v>
      </c>
      <c r="AJ9" t="b">
        <v>1</v>
      </c>
      <c r="AK9">
        <v>437059.04</v>
      </c>
      <c r="AL9">
        <v>437059.04</v>
      </c>
      <c r="AM9" t="b">
        <v>1</v>
      </c>
    </row>
    <row r="10" spans="1:39">
      <c r="A10">
        <v>45780</v>
      </c>
      <c r="B10" t="s">
        <v>59</v>
      </c>
      <c r="C10" t="s">
        <v>356</v>
      </c>
      <c r="D10" t="s">
        <v>60</v>
      </c>
      <c r="E10" t="s">
        <v>61</v>
      </c>
      <c r="F10" t="s">
        <v>377</v>
      </c>
      <c r="G10">
        <v>100100</v>
      </c>
      <c r="H10">
        <v>100100</v>
      </c>
      <c r="I10" t="b">
        <v>1</v>
      </c>
      <c r="J10">
        <v>0</v>
      </c>
      <c r="K10">
        <v>0</v>
      </c>
      <c r="L10" t="b">
        <v>1</v>
      </c>
      <c r="M10">
        <v>100100</v>
      </c>
      <c r="N10">
        <v>100100</v>
      </c>
      <c r="O10" t="b">
        <v>1</v>
      </c>
      <c r="P10">
        <v>0</v>
      </c>
      <c r="Q10">
        <v>0</v>
      </c>
      <c r="R10" t="b">
        <v>1</v>
      </c>
      <c r="S10">
        <v>100100</v>
      </c>
      <c r="T10">
        <v>100100</v>
      </c>
      <c r="U10" t="b">
        <v>1</v>
      </c>
      <c r="V10">
        <v>85000</v>
      </c>
      <c r="W10">
        <v>85000</v>
      </c>
      <c r="X10" t="b">
        <v>1</v>
      </c>
      <c r="Y10">
        <v>0</v>
      </c>
      <c r="Z10">
        <v>0</v>
      </c>
      <c r="AA10" t="b">
        <v>1</v>
      </c>
      <c r="AB10">
        <v>85000</v>
      </c>
      <c r="AC10">
        <v>85000</v>
      </c>
      <c r="AD10" t="b">
        <v>1</v>
      </c>
      <c r="AE10">
        <v>0</v>
      </c>
      <c r="AF10">
        <v>0</v>
      </c>
      <c r="AG10" t="b">
        <v>1</v>
      </c>
      <c r="AH10">
        <v>85000</v>
      </c>
      <c r="AI10">
        <v>85000</v>
      </c>
      <c r="AJ10" t="b">
        <v>1</v>
      </c>
      <c r="AK10">
        <v>15100</v>
      </c>
      <c r="AL10">
        <v>15100</v>
      </c>
      <c r="AM10" t="b">
        <v>1</v>
      </c>
    </row>
    <row r="11" spans="1:39">
      <c r="A11">
        <v>45780</v>
      </c>
      <c r="B11" t="s">
        <v>31</v>
      </c>
      <c r="C11" t="s">
        <v>356</v>
      </c>
      <c r="D11" t="s">
        <v>66</v>
      </c>
      <c r="E11" t="s">
        <v>67</v>
      </c>
      <c r="F11" t="s">
        <v>381</v>
      </c>
      <c r="G11">
        <v>0</v>
      </c>
      <c r="H11">
        <v>0</v>
      </c>
      <c r="I11" t="b">
        <v>1</v>
      </c>
      <c r="J11">
        <v>0</v>
      </c>
      <c r="K11">
        <v>0</v>
      </c>
      <c r="L11" t="b">
        <v>1</v>
      </c>
      <c r="M11">
        <v>1784284</v>
      </c>
      <c r="N11">
        <v>1784284</v>
      </c>
      <c r="O11" t="b">
        <v>1</v>
      </c>
      <c r="P11">
        <v>0</v>
      </c>
      <c r="Q11">
        <v>0</v>
      </c>
      <c r="R11" t="b">
        <v>1</v>
      </c>
      <c r="S11">
        <v>1784284</v>
      </c>
      <c r="T11">
        <v>1784284</v>
      </c>
      <c r="U11" t="b">
        <v>1</v>
      </c>
      <c r="V11">
        <v>0</v>
      </c>
      <c r="W11">
        <v>0</v>
      </c>
      <c r="X11" t="b">
        <v>1</v>
      </c>
      <c r="Y11">
        <v>0</v>
      </c>
      <c r="Z11">
        <v>0</v>
      </c>
      <c r="AA11" t="b">
        <v>1</v>
      </c>
      <c r="AB11">
        <v>1418704</v>
      </c>
      <c r="AC11">
        <v>1418704</v>
      </c>
      <c r="AD11" t="b">
        <v>1</v>
      </c>
      <c r="AE11">
        <v>0</v>
      </c>
      <c r="AF11">
        <v>0</v>
      </c>
      <c r="AG11" t="b">
        <v>1</v>
      </c>
      <c r="AH11">
        <v>1418704</v>
      </c>
      <c r="AI11">
        <v>1418704</v>
      </c>
      <c r="AJ11" t="b">
        <v>1</v>
      </c>
      <c r="AK11">
        <v>0</v>
      </c>
      <c r="AL11">
        <v>0</v>
      </c>
      <c r="AM11" t="b">
        <v>1</v>
      </c>
    </row>
    <row r="12" spans="1:39">
      <c r="A12">
        <v>45780</v>
      </c>
      <c r="B12" t="s">
        <v>38</v>
      </c>
      <c r="C12" t="s">
        <v>356</v>
      </c>
      <c r="D12" t="s">
        <v>49</v>
      </c>
      <c r="E12" t="s">
        <v>382</v>
      </c>
      <c r="F12" t="s">
        <v>383</v>
      </c>
      <c r="G12">
        <v>10901297</v>
      </c>
      <c r="H12">
        <v>10901297</v>
      </c>
      <c r="I12" t="b">
        <v>1</v>
      </c>
      <c r="J12">
        <v>0</v>
      </c>
      <c r="K12">
        <v>0</v>
      </c>
      <c r="L12" t="b">
        <v>1</v>
      </c>
      <c r="M12">
        <v>0</v>
      </c>
      <c r="N12">
        <v>0</v>
      </c>
      <c r="O12" t="b">
        <v>1</v>
      </c>
      <c r="P12">
        <v>0</v>
      </c>
      <c r="Q12">
        <v>0</v>
      </c>
      <c r="R12" t="b">
        <v>1</v>
      </c>
      <c r="S12">
        <v>0</v>
      </c>
      <c r="T12">
        <v>0</v>
      </c>
      <c r="U12" t="b">
        <v>1</v>
      </c>
      <c r="V12">
        <v>1133800</v>
      </c>
      <c r="W12">
        <v>1133800</v>
      </c>
      <c r="X12" t="b">
        <v>1</v>
      </c>
      <c r="Y12">
        <v>0</v>
      </c>
      <c r="Z12">
        <v>0</v>
      </c>
      <c r="AA12" t="b">
        <v>1</v>
      </c>
      <c r="AB12">
        <v>0</v>
      </c>
      <c r="AC12">
        <v>0</v>
      </c>
      <c r="AD12" t="b">
        <v>1</v>
      </c>
      <c r="AE12">
        <v>0</v>
      </c>
      <c r="AF12">
        <v>0</v>
      </c>
      <c r="AG12" t="b">
        <v>1</v>
      </c>
      <c r="AH12">
        <v>0</v>
      </c>
      <c r="AI12">
        <v>0</v>
      </c>
      <c r="AJ12" t="b">
        <v>1</v>
      </c>
      <c r="AK12">
        <v>9767497</v>
      </c>
      <c r="AL12">
        <v>9767497</v>
      </c>
      <c r="AM12" t="b">
        <v>1</v>
      </c>
    </row>
    <row r="13" spans="1:39">
      <c r="A13">
        <v>45780</v>
      </c>
      <c r="B13" t="s">
        <v>31</v>
      </c>
      <c r="C13" t="s">
        <v>356</v>
      </c>
      <c r="D13" t="s">
        <v>45</v>
      </c>
      <c r="E13" t="s">
        <v>73</v>
      </c>
      <c r="F13" t="s">
        <v>386</v>
      </c>
      <c r="G13">
        <v>80014</v>
      </c>
      <c r="H13">
        <v>80014</v>
      </c>
      <c r="I13" t="b">
        <v>1</v>
      </c>
      <c r="J13">
        <v>0</v>
      </c>
      <c r="K13">
        <v>0</v>
      </c>
      <c r="L13" t="b">
        <v>1</v>
      </c>
      <c r="M13">
        <v>80014</v>
      </c>
      <c r="N13">
        <v>80014</v>
      </c>
      <c r="O13" t="b">
        <v>1</v>
      </c>
      <c r="P13">
        <v>0</v>
      </c>
      <c r="Q13">
        <v>0</v>
      </c>
      <c r="R13" t="b">
        <v>1</v>
      </c>
      <c r="S13">
        <v>80014</v>
      </c>
      <c r="T13">
        <v>80014</v>
      </c>
      <c r="U13" t="b">
        <v>1</v>
      </c>
      <c r="V13">
        <v>0</v>
      </c>
      <c r="W13">
        <v>0</v>
      </c>
      <c r="X13" t="b">
        <v>1</v>
      </c>
      <c r="Y13">
        <v>0</v>
      </c>
      <c r="Z13">
        <v>0</v>
      </c>
      <c r="AA13" t="b">
        <v>1</v>
      </c>
      <c r="AB13">
        <v>55014</v>
      </c>
      <c r="AC13">
        <v>55014</v>
      </c>
      <c r="AD13" t="b">
        <v>1</v>
      </c>
      <c r="AE13">
        <v>0</v>
      </c>
      <c r="AF13">
        <v>0</v>
      </c>
      <c r="AG13" t="b">
        <v>1</v>
      </c>
      <c r="AH13">
        <v>55014</v>
      </c>
      <c r="AI13">
        <v>55014</v>
      </c>
      <c r="AJ13" t="b">
        <v>1</v>
      </c>
      <c r="AK13">
        <v>80014</v>
      </c>
      <c r="AL13">
        <v>80014</v>
      </c>
      <c r="AM13" t="b">
        <v>1</v>
      </c>
    </row>
    <row r="14" spans="1:39">
      <c r="A14">
        <v>45780</v>
      </c>
      <c r="B14" t="s">
        <v>27</v>
      </c>
      <c r="C14" t="s">
        <v>356</v>
      </c>
      <c r="D14" t="s">
        <v>47</v>
      </c>
      <c r="E14" t="s">
        <v>74</v>
      </c>
      <c r="F14" t="s">
        <v>387</v>
      </c>
      <c r="G14">
        <v>0</v>
      </c>
      <c r="H14">
        <v>0</v>
      </c>
      <c r="I14" t="b">
        <v>1</v>
      </c>
      <c r="J14">
        <v>0</v>
      </c>
      <c r="K14">
        <v>0</v>
      </c>
      <c r="L14" t="b">
        <v>1</v>
      </c>
      <c r="M14">
        <v>46575</v>
      </c>
      <c r="N14">
        <v>46575</v>
      </c>
      <c r="O14" t="b">
        <v>1</v>
      </c>
      <c r="P14">
        <v>0</v>
      </c>
      <c r="Q14">
        <v>0</v>
      </c>
      <c r="R14" t="b">
        <v>1</v>
      </c>
      <c r="S14">
        <v>46575</v>
      </c>
      <c r="T14">
        <v>46575</v>
      </c>
      <c r="U14" t="b">
        <v>1</v>
      </c>
      <c r="V14">
        <v>0</v>
      </c>
      <c r="W14">
        <v>0</v>
      </c>
      <c r="X14" t="b">
        <v>1</v>
      </c>
      <c r="Y14">
        <v>0</v>
      </c>
      <c r="Z14">
        <v>0</v>
      </c>
      <c r="AA14" t="b">
        <v>1</v>
      </c>
      <c r="AB14">
        <v>36329</v>
      </c>
      <c r="AC14">
        <v>36329</v>
      </c>
      <c r="AD14" t="b">
        <v>1</v>
      </c>
      <c r="AE14">
        <v>0</v>
      </c>
      <c r="AF14">
        <v>0</v>
      </c>
      <c r="AG14" t="b">
        <v>1</v>
      </c>
      <c r="AH14">
        <v>36329</v>
      </c>
      <c r="AI14">
        <v>36329</v>
      </c>
      <c r="AJ14" t="b">
        <v>1</v>
      </c>
      <c r="AK14">
        <v>0</v>
      </c>
      <c r="AL14">
        <v>0</v>
      </c>
      <c r="AM14" t="b">
        <v>1</v>
      </c>
    </row>
    <row r="15" spans="1:39">
      <c r="A15">
        <v>45780</v>
      </c>
      <c r="B15" t="s">
        <v>31</v>
      </c>
      <c r="C15" t="s">
        <v>356</v>
      </c>
      <c r="D15" t="s">
        <v>66</v>
      </c>
      <c r="E15" t="s">
        <v>75</v>
      </c>
      <c r="F15" t="s">
        <v>388</v>
      </c>
      <c r="G15">
        <v>0</v>
      </c>
      <c r="H15">
        <v>0</v>
      </c>
      <c r="I15" t="b">
        <v>1</v>
      </c>
      <c r="J15">
        <v>0</v>
      </c>
      <c r="K15">
        <v>0</v>
      </c>
      <c r="L15" t="b">
        <v>1</v>
      </c>
      <c r="M15">
        <v>535700</v>
      </c>
      <c r="N15">
        <v>535700</v>
      </c>
      <c r="O15" t="b">
        <v>1</v>
      </c>
      <c r="P15">
        <v>0</v>
      </c>
      <c r="Q15">
        <v>0</v>
      </c>
      <c r="R15" t="b">
        <v>1</v>
      </c>
      <c r="S15">
        <v>535700</v>
      </c>
      <c r="T15">
        <v>535700</v>
      </c>
      <c r="U15" t="b">
        <v>1</v>
      </c>
      <c r="V15">
        <v>0</v>
      </c>
      <c r="W15">
        <v>0</v>
      </c>
      <c r="X15" t="b">
        <v>1</v>
      </c>
      <c r="Y15">
        <v>0</v>
      </c>
      <c r="Z15">
        <v>0</v>
      </c>
      <c r="AA15" t="b">
        <v>1</v>
      </c>
      <c r="AB15">
        <v>425700</v>
      </c>
      <c r="AC15">
        <v>425700</v>
      </c>
      <c r="AD15" t="b">
        <v>1</v>
      </c>
      <c r="AE15">
        <v>0</v>
      </c>
      <c r="AF15">
        <v>0</v>
      </c>
      <c r="AG15" t="b">
        <v>1</v>
      </c>
      <c r="AH15">
        <v>425700</v>
      </c>
      <c r="AI15">
        <v>425700</v>
      </c>
      <c r="AJ15" t="b">
        <v>1</v>
      </c>
      <c r="AK15">
        <v>0</v>
      </c>
      <c r="AL15">
        <v>0</v>
      </c>
      <c r="AM15" t="b">
        <v>1</v>
      </c>
    </row>
    <row r="16" spans="1:39">
      <c r="A16">
        <v>45780</v>
      </c>
      <c r="B16" t="s">
        <v>59</v>
      </c>
      <c r="C16" t="s">
        <v>356</v>
      </c>
      <c r="D16" t="s">
        <v>60</v>
      </c>
      <c r="E16" t="s">
        <v>390</v>
      </c>
      <c r="F16" t="s">
        <v>391</v>
      </c>
      <c r="G16">
        <v>25300</v>
      </c>
      <c r="H16">
        <v>25300</v>
      </c>
      <c r="I16" t="b">
        <v>1</v>
      </c>
      <c r="J16">
        <v>25300</v>
      </c>
      <c r="K16">
        <v>25300</v>
      </c>
      <c r="L16" t="b">
        <v>1</v>
      </c>
      <c r="M16">
        <v>0</v>
      </c>
      <c r="N16">
        <v>0</v>
      </c>
      <c r="O16" t="b">
        <v>1</v>
      </c>
      <c r="P16">
        <v>0</v>
      </c>
      <c r="Q16">
        <v>0</v>
      </c>
      <c r="R16" t="b">
        <v>1</v>
      </c>
      <c r="S16">
        <v>25300</v>
      </c>
      <c r="T16">
        <v>25300</v>
      </c>
      <c r="U16" t="b">
        <v>1</v>
      </c>
      <c r="V16">
        <v>18000</v>
      </c>
      <c r="W16">
        <v>18000</v>
      </c>
      <c r="X16" t="b">
        <v>1</v>
      </c>
      <c r="Y16">
        <v>18000</v>
      </c>
      <c r="Z16">
        <v>18000</v>
      </c>
      <c r="AA16" t="b">
        <v>1</v>
      </c>
      <c r="AB16">
        <v>1734</v>
      </c>
      <c r="AC16">
        <v>1734</v>
      </c>
      <c r="AD16" t="b">
        <v>1</v>
      </c>
      <c r="AE16">
        <v>0</v>
      </c>
      <c r="AF16">
        <v>0</v>
      </c>
      <c r="AG16" t="b">
        <v>1</v>
      </c>
      <c r="AH16">
        <v>19734</v>
      </c>
      <c r="AI16">
        <v>19734</v>
      </c>
      <c r="AJ16" t="b">
        <v>1</v>
      </c>
      <c r="AK16">
        <v>7300</v>
      </c>
      <c r="AL16">
        <v>7300</v>
      </c>
      <c r="AM16" t="b">
        <v>1</v>
      </c>
    </row>
    <row r="17" spans="1:39">
      <c r="A17">
        <v>45780</v>
      </c>
      <c r="B17" t="s">
        <v>31</v>
      </c>
      <c r="C17" t="s">
        <v>356</v>
      </c>
      <c r="D17" t="s">
        <v>45</v>
      </c>
      <c r="E17" t="s">
        <v>80</v>
      </c>
      <c r="F17" t="s">
        <v>394</v>
      </c>
      <c r="G17">
        <v>0</v>
      </c>
      <c r="H17">
        <v>0</v>
      </c>
      <c r="I17" t="b">
        <v>1</v>
      </c>
      <c r="J17">
        <v>0</v>
      </c>
      <c r="K17">
        <v>0</v>
      </c>
      <c r="L17" t="b">
        <v>1</v>
      </c>
      <c r="M17">
        <v>179520</v>
      </c>
      <c r="N17">
        <v>179520</v>
      </c>
      <c r="O17" t="b">
        <v>1</v>
      </c>
      <c r="P17">
        <v>0</v>
      </c>
      <c r="Q17">
        <v>0</v>
      </c>
      <c r="R17" t="b">
        <v>1</v>
      </c>
      <c r="S17">
        <v>179520</v>
      </c>
      <c r="T17">
        <v>179520</v>
      </c>
      <c r="U17" t="b">
        <v>1</v>
      </c>
      <c r="V17">
        <v>0</v>
      </c>
      <c r="W17">
        <v>0</v>
      </c>
      <c r="X17" t="b">
        <v>1</v>
      </c>
      <c r="Y17">
        <v>0</v>
      </c>
      <c r="Z17">
        <v>0</v>
      </c>
      <c r="AA17" t="b">
        <v>1</v>
      </c>
      <c r="AB17">
        <v>120000</v>
      </c>
      <c r="AC17">
        <v>120000</v>
      </c>
      <c r="AD17" t="b">
        <v>1</v>
      </c>
      <c r="AE17">
        <v>0</v>
      </c>
      <c r="AF17">
        <v>0</v>
      </c>
      <c r="AG17" t="b">
        <v>1</v>
      </c>
      <c r="AH17">
        <v>120000</v>
      </c>
      <c r="AI17">
        <v>120000</v>
      </c>
      <c r="AJ17" t="b">
        <v>1</v>
      </c>
      <c r="AK17">
        <v>0</v>
      </c>
      <c r="AL17">
        <v>0</v>
      </c>
      <c r="AM17" t="b">
        <v>1</v>
      </c>
    </row>
    <row r="18" spans="1:39">
      <c r="A18">
        <v>45780</v>
      </c>
      <c r="B18" t="s">
        <v>27</v>
      </c>
      <c r="C18" t="s">
        <v>356</v>
      </c>
      <c r="D18" t="s">
        <v>47</v>
      </c>
      <c r="E18" t="s">
        <v>83</v>
      </c>
      <c r="F18" t="s">
        <v>396</v>
      </c>
      <c r="G18">
        <v>822404</v>
      </c>
      <c r="H18">
        <v>822404</v>
      </c>
      <c r="I18" t="b">
        <v>1</v>
      </c>
      <c r="J18">
        <v>0</v>
      </c>
      <c r="K18">
        <v>0</v>
      </c>
      <c r="L18" t="b">
        <v>1</v>
      </c>
      <c r="M18">
        <v>0</v>
      </c>
      <c r="N18">
        <v>0</v>
      </c>
      <c r="O18" t="b">
        <v>1</v>
      </c>
      <c r="P18">
        <v>0</v>
      </c>
      <c r="Q18">
        <v>0</v>
      </c>
      <c r="R18" t="b">
        <v>1</v>
      </c>
      <c r="S18">
        <v>0</v>
      </c>
      <c r="T18">
        <v>0</v>
      </c>
      <c r="U18" t="b">
        <v>1</v>
      </c>
      <c r="V18">
        <v>0</v>
      </c>
      <c r="W18">
        <v>0</v>
      </c>
      <c r="X18" t="b">
        <v>1</v>
      </c>
      <c r="Y18">
        <v>0</v>
      </c>
      <c r="Z18">
        <v>0</v>
      </c>
      <c r="AA18" t="b">
        <v>1</v>
      </c>
      <c r="AB18">
        <v>0</v>
      </c>
      <c r="AC18">
        <v>0</v>
      </c>
      <c r="AD18" t="b">
        <v>1</v>
      </c>
      <c r="AE18">
        <v>0</v>
      </c>
      <c r="AF18">
        <v>0</v>
      </c>
      <c r="AG18" t="b">
        <v>1</v>
      </c>
      <c r="AH18">
        <v>0</v>
      </c>
      <c r="AI18">
        <v>0</v>
      </c>
      <c r="AJ18" t="b">
        <v>1</v>
      </c>
      <c r="AK18">
        <v>822404</v>
      </c>
      <c r="AL18">
        <v>822404</v>
      </c>
      <c r="AM18" t="b">
        <v>1</v>
      </c>
    </row>
    <row r="19" spans="1:39">
      <c r="A19">
        <v>45780</v>
      </c>
      <c r="B19" t="s">
        <v>31</v>
      </c>
      <c r="C19" t="s">
        <v>356</v>
      </c>
      <c r="D19" t="s">
        <v>85</v>
      </c>
      <c r="E19" t="s">
        <v>86</v>
      </c>
      <c r="F19" t="s">
        <v>398</v>
      </c>
      <c r="G19">
        <v>11232890</v>
      </c>
      <c r="H19">
        <v>11232890</v>
      </c>
      <c r="I19" t="b">
        <v>1</v>
      </c>
      <c r="J19">
        <v>0</v>
      </c>
      <c r="K19">
        <v>0</v>
      </c>
      <c r="L19" t="b">
        <v>1</v>
      </c>
      <c r="M19">
        <v>0</v>
      </c>
      <c r="N19">
        <v>0</v>
      </c>
      <c r="O19" t="b">
        <v>1</v>
      </c>
      <c r="P19">
        <v>0</v>
      </c>
      <c r="Q19">
        <v>0</v>
      </c>
      <c r="R19" t="b">
        <v>1</v>
      </c>
      <c r="S19">
        <v>0</v>
      </c>
      <c r="T19">
        <v>0</v>
      </c>
      <c r="U19" t="b">
        <v>1</v>
      </c>
      <c r="V19">
        <v>4000</v>
      </c>
      <c r="W19">
        <v>4000</v>
      </c>
      <c r="X19" t="b">
        <v>1</v>
      </c>
      <c r="Y19">
        <v>4000</v>
      </c>
      <c r="Z19">
        <v>4000</v>
      </c>
      <c r="AA19" t="b">
        <v>1</v>
      </c>
      <c r="AB19">
        <v>4000</v>
      </c>
      <c r="AC19">
        <v>4000</v>
      </c>
      <c r="AD19" t="b">
        <v>1</v>
      </c>
      <c r="AE19">
        <v>0</v>
      </c>
      <c r="AF19">
        <v>0</v>
      </c>
      <c r="AG19" t="b">
        <v>1</v>
      </c>
      <c r="AH19">
        <v>0</v>
      </c>
      <c r="AI19">
        <v>0</v>
      </c>
      <c r="AJ19" t="b">
        <v>1</v>
      </c>
      <c r="AK19">
        <v>11228890</v>
      </c>
      <c r="AL19">
        <v>11228890</v>
      </c>
      <c r="AM19" t="b">
        <v>1</v>
      </c>
    </row>
    <row r="20" spans="1:39">
      <c r="A20">
        <v>45780</v>
      </c>
      <c r="B20" t="s">
        <v>31</v>
      </c>
      <c r="C20" t="s">
        <v>356</v>
      </c>
      <c r="D20" t="s">
        <v>89</v>
      </c>
      <c r="E20" t="s">
        <v>90</v>
      </c>
      <c r="F20" t="s">
        <v>401</v>
      </c>
      <c r="G20">
        <v>30800</v>
      </c>
      <c r="H20">
        <v>30800</v>
      </c>
      <c r="I20" t="b">
        <v>1</v>
      </c>
      <c r="J20">
        <v>0</v>
      </c>
      <c r="K20">
        <v>0</v>
      </c>
      <c r="L20" t="b">
        <v>1</v>
      </c>
      <c r="M20">
        <v>30800</v>
      </c>
      <c r="N20">
        <v>30800</v>
      </c>
      <c r="O20" t="b">
        <v>1</v>
      </c>
      <c r="P20">
        <v>0</v>
      </c>
      <c r="Q20">
        <v>0</v>
      </c>
      <c r="R20" t="b">
        <v>1</v>
      </c>
      <c r="S20">
        <v>30800</v>
      </c>
      <c r="T20">
        <v>30800</v>
      </c>
      <c r="U20" t="b">
        <v>1</v>
      </c>
      <c r="V20">
        <v>0</v>
      </c>
      <c r="W20">
        <v>0</v>
      </c>
      <c r="X20" t="b">
        <v>1</v>
      </c>
      <c r="Y20">
        <v>0</v>
      </c>
      <c r="Z20">
        <v>0</v>
      </c>
      <c r="AA20" t="b">
        <v>1</v>
      </c>
      <c r="AB20">
        <v>24000</v>
      </c>
      <c r="AC20">
        <v>24000</v>
      </c>
      <c r="AD20" t="b">
        <v>1</v>
      </c>
      <c r="AE20">
        <v>0</v>
      </c>
      <c r="AF20">
        <v>0</v>
      </c>
      <c r="AG20" t="b">
        <v>1</v>
      </c>
      <c r="AH20">
        <v>24000</v>
      </c>
      <c r="AI20">
        <v>24000</v>
      </c>
      <c r="AJ20" t="b">
        <v>1</v>
      </c>
      <c r="AK20">
        <v>30800</v>
      </c>
      <c r="AL20">
        <v>30800</v>
      </c>
      <c r="AM20" t="b">
        <v>1</v>
      </c>
    </row>
    <row r="21" spans="1:39">
      <c r="A21">
        <v>45780</v>
      </c>
      <c r="B21" t="s">
        <v>38</v>
      </c>
      <c r="C21" t="s">
        <v>356</v>
      </c>
      <c r="D21" t="s">
        <v>93</v>
      </c>
      <c r="E21" t="s">
        <v>94</v>
      </c>
      <c r="F21" t="s">
        <v>403</v>
      </c>
      <c r="G21">
        <v>437265</v>
      </c>
      <c r="H21">
        <v>437265</v>
      </c>
      <c r="I21" t="b">
        <v>1</v>
      </c>
      <c r="J21">
        <v>0</v>
      </c>
      <c r="K21">
        <v>0</v>
      </c>
      <c r="L21" t="b">
        <v>1</v>
      </c>
      <c r="M21">
        <v>437265</v>
      </c>
      <c r="N21">
        <v>437265</v>
      </c>
      <c r="O21" t="b">
        <v>1</v>
      </c>
      <c r="P21">
        <v>0</v>
      </c>
      <c r="Q21">
        <v>0</v>
      </c>
      <c r="R21" t="b">
        <v>1</v>
      </c>
      <c r="S21">
        <v>437265</v>
      </c>
      <c r="T21">
        <v>437265</v>
      </c>
      <c r="U21" t="b">
        <v>1</v>
      </c>
      <c r="V21">
        <v>0</v>
      </c>
      <c r="W21">
        <v>0</v>
      </c>
      <c r="X21" t="b">
        <v>1</v>
      </c>
      <c r="Y21">
        <v>0</v>
      </c>
      <c r="Z21">
        <v>0</v>
      </c>
      <c r="AA21" t="b">
        <v>1</v>
      </c>
      <c r="AB21">
        <v>337265</v>
      </c>
      <c r="AC21">
        <v>337265</v>
      </c>
      <c r="AD21" t="b">
        <v>1</v>
      </c>
      <c r="AE21">
        <v>0</v>
      </c>
      <c r="AF21">
        <v>0</v>
      </c>
      <c r="AG21" t="b">
        <v>1</v>
      </c>
      <c r="AH21">
        <v>337265</v>
      </c>
      <c r="AI21">
        <v>337265</v>
      </c>
      <c r="AJ21" t="b">
        <v>1</v>
      </c>
      <c r="AK21">
        <v>437265</v>
      </c>
      <c r="AL21">
        <v>437265</v>
      </c>
      <c r="AM21" t="b">
        <v>1</v>
      </c>
    </row>
    <row r="22" spans="1:39">
      <c r="A22">
        <v>45780</v>
      </c>
      <c r="B22" t="s">
        <v>31</v>
      </c>
      <c r="C22" t="s">
        <v>356</v>
      </c>
      <c r="D22" t="s">
        <v>102</v>
      </c>
      <c r="E22" t="s">
        <v>103</v>
      </c>
      <c r="F22" t="s">
        <v>410</v>
      </c>
      <c r="G22">
        <v>4884790.86</v>
      </c>
      <c r="H22">
        <v>4884790.86</v>
      </c>
      <c r="I22" t="b">
        <v>1</v>
      </c>
      <c r="J22">
        <v>0</v>
      </c>
      <c r="K22">
        <v>0</v>
      </c>
      <c r="L22" t="b">
        <v>1</v>
      </c>
      <c r="M22">
        <v>4949340</v>
      </c>
      <c r="N22">
        <v>4949340</v>
      </c>
      <c r="O22" t="b">
        <v>1</v>
      </c>
      <c r="P22">
        <v>0</v>
      </c>
      <c r="Q22">
        <v>0</v>
      </c>
      <c r="R22" t="b">
        <v>1</v>
      </c>
      <c r="S22">
        <v>4949340</v>
      </c>
      <c r="T22">
        <v>4949340</v>
      </c>
      <c r="U22" t="b">
        <v>1</v>
      </c>
      <c r="V22">
        <v>2135500</v>
      </c>
      <c r="W22">
        <v>2135500</v>
      </c>
      <c r="X22" t="b">
        <v>1</v>
      </c>
      <c r="Y22">
        <v>1650000</v>
      </c>
      <c r="Z22">
        <v>1650000</v>
      </c>
      <c r="AA22" t="b">
        <v>1</v>
      </c>
      <c r="AB22">
        <v>2299340</v>
      </c>
      <c r="AC22">
        <v>2299340</v>
      </c>
      <c r="AD22" t="b">
        <v>1</v>
      </c>
      <c r="AE22">
        <v>0</v>
      </c>
      <c r="AF22">
        <v>0</v>
      </c>
      <c r="AG22" t="b">
        <v>1</v>
      </c>
      <c r="AH22">
        <v>3949340</v>
      </c>
      <c r="AI22">
        <v>3949340</v>
      </c>
      <c r="AJ22" t="b">
        <v>1</v>
      </c>
      <c r="AK22">
        <v>2749290.86</v>
      </c>
      <c r="AL22">
        <v>2749290.86</v>
      </c>
      <c r="AM22" t="b">
        <v>1</v>
      </c>
    </row>
    <row r="23" spans="1:39">
      <c r="A23">
        <v>45780</v>
      </c>
      <c r="B23" t="s">
        <v>38</v>
      </c>
      <c r="C23" t="s">
        <v>356</v>
      </c>
      <c r="D23" t="s">
        <v>107</v>
      </c>
      <c r="E23" t="s">
        <v>108</v>
      </c>
      <c r="F23" t="s">
        <v>413</v>
      </c>
      <c r="G23">
        <v>6873500</v>
      </c>
      <c r="H23">
        <v>6873500</v>
      </c>
      <c r="I23" t="b">
        <v>1</v>
      </c>
      <c r="J23">
        <v>6873500</v>
      </c>
      <c r="K23">
        <v>6873500</v>
      </c>
      <c r="L23" t="b">
        <v>1</v>
      </c>
      <c r="M23">
        <v>0</v>
      </c>
      <c r="N23">
        <v>0</v>
      </c>
      <c r="O23" t="b">
        <v>1</v>
      </c>
      <c r="P23">
        <v>0</v>
      </c>
      <c r="Q23">
        <v>0</v>
      </c>
      <c r="R23" t="b">
        <v>1</v>
      </c>
      <c r="S23">
        <v>6873500</v>
      </c>
      <c r="T23">
        <v>6873500</v>
      </c>
      <c r="U23" t="b">
        <v>1</v>
      </c>
      <c r="V23">
        <v>0</v>
      </c>
      <c r="W23">
        <v>0</v>
      </c>
      <c r="X23" t="b">
        <v>1</v>
      </c>
      <c r="Y23">
        <v>0</v>
      </c>
      <c r="Z23">
        <v>0</v>
      </c>
      <c r="AA23" t="b">
        <v>1</v>
      </c>
      <c r="AB23">
        <v>6873500</v>
      </c>
      <c r="AC23">
        <v>6873500</v>
      </c>
      <c r="AD23" t="b">
        <v>1</v>
      </c>
      <c r="AE23">
        <v>0</v>
      </c>
      <c r="AF23">
        <v>0</v>
      </c>
      <c r="AG23" t="b">
        <v>1</v>
      </c>
      <c r="AH23">
        <v>6873500</v>
      </c>
      <c r="AI23">
        <v>6873500</v>
      </c>
      <c r="AJ23" t="b">
        <v>1</v>
      </c>
      <c r="AK23">
        <v>6873500</v>
      </c>
      <c r="AL23">
        <v>6873500</v>
      </c>
      <c r="AM23" t="b">
        <v>1</v>
      </c>
    </row>
    <row r="24" spans="1:39">
      <c r="A24">
        <v>45780</v>
      </c>
      <c r="B24" t="s">
        <v>38</v>
      </c>
      <c r="C24" t="s">
        <v>356</v>
      </c>
      <c r="D24" t="s">
        <v>112</v>
      </c>
      <c r="E24" t="s">
        <v>113</v>
      </c>
      <c r="F24" t="s">
        <v>416</v>
      </c>
      <c r="G24">
        <v>1662370</v>
      </c>
      <c r="H24">
        <v>1662370</v>
      </c>
      <c r="I24" t="b">
        <v>1</v>
      </c>
      <c r="J24">
        <v>0</v>
      </c>
      <c r="K24">
        <v>0</v>
      </c>
      <c r="L24" t="b">
        <v>1</v>
      </c>
      <c r="M24">
        <v>1610670</v>
      </c>
      <c r="N24">
        <v>1610670</v>
      </c>
      <c r="O24" t="b">
        <v>1</v>
      </c>
      <c r="P24">
        <v>0</v>
      </c>
      <c r="Q24">
        <v>0</v>
      </c>
      <c r="R24" t="b">
        <v>1</v>
      </c>
      <c r="S24">
        <v>1610670</v>
      </c>
      <c r="T24">
        <v>1610670</v>
      </c>
      <c r="U24" t="b">
        <v>1</v>
      </c>
      <c r="V24">
        <v>5188</v>
      </c>
      <c r="W24">
        <v>5188</v>
      </c>
      <c r="X24" t="b">
        <v>1</v>
      </c>
      <c r="Y24">
        <v>5188</v>
      </c>
      <c r="Z24">
        <v>5188</v>
      </c>
      <c r="AA24" t="b">
        <v>1</v>
      </c>
      <c r="AB24">
        <v>994812</v>
      </c>
      <c r="AC24">
        <v>994812</v>
      </c>
      <c r="AD24" t="b">
        <v>1</v>
      </c>
      <c r="AE24">
        <v>0</v>
      </c>
      <c r="AF24">
        <v>0</v>
      </c>
      <c r="AG24" t="b">
        <v>1</v>
      </c>
      <c r="AH24">
        <v>1000000</v>
      </c>
      <c r="AI24">
        <v>1000000</v>
      </c>
      <c r="AJ24" t="b">
        <v>1</v>
      </c>
      <c r="AK24">
        <v>1657182</v>
      </c>
      <c r="AL24">
        <v>1657182</v>
      </c>
      <c r="AM24" t="b">
        <v>1</v>
      </c>
    </row>
    <row r="25" spans="1:39">
      <c r="A25">
        <v>45761</v>
      </c>
      <c r="B25" t="s">
        <v>31</v>
      </c>
      <c r="C25" t="s">
        <v>115</v>
      </c>
      <c r="D25" t="s">
        <v>118</v>
      </c>
      <c r="E25" t="s">
        <v>119</v>
      </c>
      <c r="F25" t="s">
        <v>420</v>
      </c>
      <c r="G25">
        <v>72600</v>
      </c>
      <c r="H25">
        <v>72600</v>
      </c>
      <c r="I25" t="b">
        <v>1</v>
      </c>
      <c r="J25">
        <v>72600</v>
      </c>
      <c r="K25">
        <v>72600</v>
      </c>
      <c r="L25" t="b">
        <v>1</v>
      </c>
      <c r="M25">
        <v>0</v>
      </c>
      <c r="N25">
        <v>0</v>
      </c>
      <c r="O25" t="b">
        <v>1</v>
      </c>
      <c r="P25">
        <v>0</v>
      </c>
      <c r="Q25">
        <v>0</v>
      </c>
      <c r="R25" t="b">
        <v>1</v>
      </c>
      <c r="S25">
        <v>72600</v>
      </c>
      <c r="T25">
        <v>72600</v>
      </c>
      <c r="U25" t="b">
        <v>1</v>
      </c>
      <c r="V25">
        <v>0</v>
      </c>
      <c r="W25">
        <v>0</v>
      </c>
      <c r="X25" t="b">
        <v>1</v>
      </c>
      <c r="Y25">
        <v>0</v>
      </c>
      <c r="Z25">
        <v>0</v>
      </c>
      <c r="AA25" t="b">
        <v>1</v>
      </c>
      <c r="AB25">
        <v>25000</v>
      </c>
      <c r="AC25">
        <v>25000</v>
      </c>
      <c r="AD25" t="b">
        <v>1</v>
      </c>
      <c r="AE25">
        <v>0</v>
      </c>
      <c r="AF25">
        <v>0</v>
      </c>
      <c r="AG25" t="b">
        <v>1</v>
      </c>
      <c r="AH25">
        <v>25000</v>
      </c>
      <c r="AI25">
        <v>25000</v>
      </c>
      <c r="AJ25" t="b">
        <v>1</v>
      </c>
      <c r="AK25">
        <v>72600</v>
      </c>
      <c r="AL25">
        <v>72600</v>
      </c>
      <c r="AM25" t="b">
        <v>1</v>
      </c>
    </row>
    <row r="26" spans="1:39">
      <c r="A26">
        <v>45761</v>
      </c>
      <c r="B26" t="s">
        <v>31</v>
      </c>
      <c r="C26" t="s">
        <v>115</v>
      </c>
      <c r="D26" t="s">
        <v>123</v>
      </c>
      <c r="E26" t="s">
        <v>124</v>
      </c>
      <c r="F26" t="s">
        <v>422</v>
      </c>
      <c r="G26">
        <v>0</v>
      </c>
      <c r="H26">
        <v>0</v>
      </c>
      <c r="I26" t="b">
        <v>1</v>
      </c>
      <c r="J26">
        <v>0</v>
      </c>
      <c r="K26">
        <v>0</v>
      </c>
      <c r="L26" t="b">
        <v>1</v>
      </c>
      <c r="M26">
        <v>0</v>
      </c>
      <c r="N26">
        <v>0</v>
      </c>
      <c r="O26" t="b">
        <v>1</v>
      </c>
      <c r="P26">
        <v>0</v>
      </c>
      <c r="Q26">
        <v>0</v>
      </c>
      <c r="R26" t="b">
        <v>1</v>
      </c>
      <c r="S26">
        <v>0</v>
      </c>
      <c r="T26">
        <v>0</v>
      </c>
      <c r="U26" t="b">
        <v>1</v>
      </c>
      <c r="V26">
        <v>0</v>
      </c>
      <c r="W26">
        <v>0</v>
      </c>
      <c r="X26" t="b">
        <v>1</v>
      </c>
      <c r="Y26">
        <v>1691</v>
      </c>
      <c r="Z26">
        <v>1691</v>
      </c>
      <c r="AA26" t="b">
        <v>1</v>
      </c>
      <c r="AB26">
        <v>1691</v>
      </c>
      <c r="AC26">
        <v>1691</v>
      </c>
      <c r="AD26" t="b">
        <v>1</v>
      </c>
      <c r="AE26">
        <v>0</v>
      </c>
      <c r="AF26">
        <v>0</v>
      </c>
      <c r="AG26" t="b">
        <v>1</v>
      </c>
      <c r="AH26">
        <v>0</v>
      </c>
      <c r="AI26">
        <v>0</v>
      </c>
      <c r="AJ26" t="b">
        <v>1</v>
      </c>
      <c r="AK26">
        <v>0</v>
      </c>
      <c r="AL26">
        <v>0</v>
      </c>
      <c r="AM26" t="b">
        <v>1</v>
      </c>
    </row>
    <row r="27" spans="1:39">
      <c r="A27">
        <v>45761</v>
      </c>
      <c r="B27" t="s">
        <v>27</v>
      </c>
      <c r="C27" t="s">
        <v>120</v>
      </c>
      <c r="D27" t="s">
        <v>126</v>
      </c>
      <c r="E27" t="s">
        <v>127</v>
      </c>
      <c r="F27" t="s">
        <v>424</v>
      </c>
      <c r="G27">
        <v>3087345.8</v>
      </c>
      <c r="H27">
        <v>3087345.8</v>
      </c>
      <c r="I27" t="b">
        <v>1</v>
      </c>
      <c r="J27">
        <v>3087345.8</v>
      </c>
      <c r="K27">
        <v>3087345.8</v>
      </c>
      <c r="L27" t="b">
        <v>1</v>
      </c>
      <c r="M27">
        <v>2855245.4</v>
      </c>
      <c r="N27">
        <v>2855245.4</v>
      </c>
      <c r="O27" t="b">
        <v>1</v>
      </c>
      <c r="P27">
        <v>0</v>
      </c>
      <c r="Q27">
        <v>0</v>
      </c>
      <c r="R27" t="b">
        <v>1</v>
      </c>
      <c r="S27">
        <v>232100.4</v>
      </c>
      <c r="T27">
        <v>232100.4</v>
      </c>
      <c r="U27" t="b">
        <v>1</v>
      </c>
      <c r="V27">
        <v>210000</v>
      </c>
      <c r="W27">
        <v>210000</v>
      </c>
      <c r="X27" t="b">
        <v>1</v>
      </c>
      <c r="Y27">
        <v>878028</v>
      </c>
      <c r="Z27">
        <v>878028</v>
      </c>
      <c r="AA27" t="b">
        <v>1</v>
      </c>
      <c r="AB27">
        <v>665511</v>
      </c>
      <c r="AC27">
        <v>665511</v>
      </c>
      <c r="AD27" t="b">
        <v>1</v>
      </c>
      <c r="AE27">
        <v>0</v>
      </c>
      <c r="AF27">
        <v>0</v>
      </c>
      <c r="AG27" t="b">
        <v>1</v>
      </c>
      <c r="AH27">
        <v>212517</v>
      </c>
      <c r="AI27">
        <v>212517</v>
      </c>
      <c r="AJ27" t="b">
        <v>1</v>
      </c>
      <c r="AK27">
        <v>2877345.8</v>
      </c>
      <c r="AL27">
        <v>2877345.8</v>
      </c>
      <c r="AM27" t="b">
        <v>1</v>
      </c>
    </row>
    <row r="28" spans="1:39">
      <c r="A28">
        <v>45761</v>
      </c>
      <c r="B28" t="s">
        <v>27</v>
      </c>
      <c r="C28" t="s">
        <v>120</v>
      </c>
      <c r="D28" t="s">
        <v>128</v>
      </c>
      <c r="E28" t="s">
        <v>129</v>
      </c>
      <c r="F28" t="s">
        <v>425</v>
      </c>
      <c r="G28">
        <v>0</v>
      </c>
      <c r="H28">
        <v>0</v>
      </c>
      <c r="I28" t="b">
        <v>1</v>
      </c>
      <c r="J28">
        <v>0</v>
      </c>
      <c r="K28">
        <v>0</v>
      </c>
      <c r="L28" t="b">
        <v>1</v>
      </c>
      <c r="M28">
        <v>0</v>
      </c>
      <c r="N28">
        <v>0</v>
      </c>
      <c r="O28" t="b">
        <v>1</v>
      </c>
      <c r="P28">
        <v>0</v>
      </c>
      <c r="Q28">
        <v>0</v>
      </c>
      <c r="R28" t="b">
        <v>1</v>
      </c>
      <c r="S28">
        <v>0</v>
      </c>
      <c r="T28">
        <v>0</v>
      </c>
      <c r="U28" t="b">
        <v>1</v>
      </c>
      <c r="V28">
        <v>0</v>
      </c>
      <c r="W28">
        <v>0</v>
      </c>
      <c r="X28" t="b">
        <v>1</v>
      </c>
      <c r="Y28">
        <v>6000</v>
      </c>
      <c r="Z28">
        <v>6000</v>
      </c>
      <c r="AA28" t="b">
        <v>1</v>
      </c>
      <c r="AB28">
        <v>6000</v>
      </c>
      <c r="AC28">
        <v>6000</v>
      </c>
      <c r="AD28" t="b">
        <v>1</v>
      </c>
      <c r="AE28">
        <v>0</v>
      </c>
      <c r="AF28">
        <v>0</v>
      </c>
      <c r="AG28" t="b">
        <v>1</v>
      </c>
      <c r="AH28">
        <v>0</v>
      </c>
      <c r="AI28">
        <v>0</v>
      </c>
      <c r="AJ28" t="b">
        <v>1</v>
      </c>
      <c r="AK28">
        <v>0</v>
      </c>
      <c r="AL28">
        <v>0</v>
      </c>
      <c r="AM28" t="b">
        <v>1</v>
      </c>
    </row>
    <row r="29" spans="1:39">
      <c r="A29">
        <v>45761</v>
      </c>
      <c r="B29" t="s">
        <v>38</v>
      </c>
      <c r="C29" t="s">
        <v>130</v>
      </c>
      <c r="D29" t="s">
        <v>131</v>
      </c>
      <c r="E29" t="s">
        <v>132</v>
      </c>
      <c r="F29" t="s">
        <v>426</v>
      </c>
      <c r="G29">
        <v>0</v>
      </c>
      <c r="H29">
        <v>0</v>
      </c>
      <c r="I29" t="b">
        <v>1</v>
      </c>
      <c r="J29">
        <v>0</v>
      </c>
      <c r="K29">
        <v>0</v>
      </c>
      <c r="L29" t="b">
        <v>1</v>
      </c>
      <c r="M29">
        <v>0</v>
      </c>
      <c r="N29">
        <v>0</v>
      </c>
      <c r="O29" t="b">
        <v>1</v>
      </c>
      <c r="P29">
        <v>0</v>
      </c>
      <c r="Q29">
        <v>0</v>
      </c>
      <c r="R29" t="b">
        <v>1</v>
      </c>
      <c r="S29">
        <v>0</v>
      </c>
      <c r="T29">
        <v>0</v>
      </c>
      <c r="U29" t="b">
        <v>1</v>
      </c>
      <c r="V29">
        <v>0</v>
      </c>
      <c r="W29">
        <v>0</v>
      </c>
      <c r="X29" t="b">
        <v>1</v>
      </c>
      <c r="Y29">
        <v>8898</v>
      </c>
      <c r="Z29">
        <v>8898</v>
      </c>
      <c r="AA29" t="b">
        <v>1</v>
      </c>
      <c r="AB29">
        <v>8898</v>
      </c>
      <c r="AC29">
        <v>8898</v>
      </c>
      <c r="AD29" t="b">
        <v>1</v>
      </c>
      <c r="AE29">
        <v>0</v>
      </c>
      <c r="AF29">
        <v>0</v>
      </c>
      <c r="AG29" t="b">
        <v>1</v>
      </c>
      <c r="AH29">
        <v>0</v>
      </c>
      <c r="AI29">
        <v>0</v>
      </c>
      <c r="AJ29" t="b">
        <v>1</v>
      </c>
      <c r="AK29">
        <v>0</v>
      </c>
      <c r="AL29">
        <v>0</v>
      </c>
      <c r="AM29" t="b">
        <v>1</v>
      </c>
    </row>
    <row r="30" spans="1:39">
      <c r="A30">
        <v>45758</v>
      </c>
      <c r="B30" t="s">
        <v>27</v>
      </c>
      <c r="C30" t="s">
        <v>120</v>
      </c>
      <c r="D30" t="s">
        <v>140</v>
      </c>
      <c r="E30" t="s">
        <v>141</v>
      </c>
      <c r="F30" t="s">
        <v>433</v>
      </c>
      <c r="G30">
        <v>336450</v>
      </c>
      <c r="H30">
        <v>336450</v>
      </c>
      <c r="I30" t="b">
        <v>1</v>
      </c>
      <c r="J30">
        <v>336450</v>
      </c>
      <c r="K30">
        <v>336450</v>
      </c>
      <c r="L30" t="b">
        <v>1</v>
      </c>
      <c r="M30">
        <v>0</v>
      </c>
      <c r="N30">
        <v>0</v>
      </c>
      <c r="O30" t="b">
        <v>1</v>
      </c>
      <c r="P30">
        <v>0</v>
      </c>
      <c r="Q30">
        <v>0</v>
      </c>
      <c r="R30" t="b">
        <v>1</v>
      </c>
      <c r="S30">
        <v>336450</v>
      </c>
      <c r="T30">
        <v>336450</v>
      </c>
      <c r="U30" t="b">
        <v>1</v>
      </c>
      <c r="V30">
        <v>227815</v>
      </c>
      <c r="W30">
        <v>227815</v>
      </c>
      <c r="X30" t="b">
        <v>1</v>
      </c>
      <c r="Y30">
        <v>227815</v>
      </c>
      <c r="Z30">
        <v>227815</v>
      </c>
      <c r="AA30" t="b">
        <v>1</v>
      </c>
      <c r="AB30">
        <v>34616</v>
      </c>
      <c r="AC30">
        <v>34616</v>
      </c>
      <c r="AD30" t="b">
        <v>1</v>
      </c>
      <c r="AE30">
        <v>0</v>
      </c>
      <c r="AF30">
        <v>0</v>
      </c>
      <c r="AG30" t="b">
        <v>1</v>
      </c>
      <c r="AH30">
        <v>262431</v>
      </c>
      <c r="AI30">
        <v>262431</v>
      </c>
      <c r="AJ30" t="b">
        <v>1</v>
      </c>
      <c r="AK30">
        <v>108635</v>
      </c>
      <c r="AL30">
        <v>108635</v>
      </c>
      <c r="AM30" t="b">
        <v>1</v>
      </c>
    </row>
    <row r="31" spans="1:39">
      <c r="A31">
        <v>45758</v>
      </c>
      <c r="B31" t="s">
        <v>31</v>
      </c>
      <c r="C31" t="s">
        <v>115</v>
      </c>
      <c r="D31" t="s">
        <v>143</v>
      </c>
      <c r="E31" t="s">
        <v>144</v>
      </c>
      <c r="F31" t="s">
        <v>435</v>
      </c>
      <c r="G31">
        <v>13492.5</v>
      </c>
      <c r="H31">
        <v>13492.5</v>
      </c>
      <c r="I31" t="b">
        <v>1</v>
      </c>
      <c r="J31">
        <v>13492.5</v>
      </c>
      <c r="K31">
        <v>13492.5</v>
      </c>
      <c r="L31" t="b">
        <v>1</v>
      </c>
      <c r="M31">
        <v>0</v>
      </c>
      <c r="N31">
        <v>0</v>
      </c>
      <c r="O31" t="b">
        <v>1</v>
      </c>
      <c r="P31">
        <v>0</v>
      </c>
      <c r="Q31">
        <v>0</v>
      </c>
      <c r="R31" t="b">
        <v>1</v>
      </c>
      <c r="S31">
        <v>13492.5</v>
      </c>
      <c r="T31">
        <v>13492.5</v>
      </c>
      <c r="U31" t="b">
        <v>1</v>
      </c>
      <c r="V31">
        <v>9400</v>
      </c>
      <c r="W31">
        <v>9400</v>
      </c>
      <c r="X31" t="b">
        <v>1</v>
      </c>
      <c r="Y31">
        <v>9400</v>
      </c>
      <c r="Z31">
        <v>9400</v>
      </c>
      <c r="AA31" t="b">
        <v>1</v>
      </c>
      <c r="AB31">
        <v>0</v>
      </c>
      <c r="AC31">
        <v>0</v>
      </c>
      <c r="AD31" t="b">
        <v>1</v>
      </c>
      <c r="AE31">
        <v>0</v>
      </c>
      <c r="AF31">
        <v>0</v>
      </c>
      <c r="AG31" t="b">
        <v>1</v>
      </c>
      <c r="AH31">
        <v>9400</v>
      </c>
      <c r="AI31">
        <v>9400</v>
      </c>
      <c r="AJ31" t="b">
        <v>1</v>
      </c>
      <c r="AK31">
        <v>4092.5</v>
      </c>
      <c r="AL31">
        <v>4092.5</v>
      </c>
      <c r="AM31" t="b">
        <v>1</v>
      </c>
    </row>
    <row r="32" spans="1:39">
      <c r="A32">
        <v>45758</v>
      </c>
      <c r="B32" t="s">
        <v>27</v>
      </c>
      <c r="C32" t="s">
        <v>120</v>
      </c>
      <c r="D32" t="s">
        <v>81</v>
      </c>
      <c r="E32" t="s">
        <v>147</v>
      </c>
      <c r="F32" t="s">
        <v>439</v>
      </c>
      <c r="G32">
        <v>192016</v>
      </c>
      <c r="H32">
        <v>192016</v>
      </c>
      <c r="I32" t="b">
        <v>1</v>
      </c>
      <c r="J32">
        <v>0</v>
      </c>
      <c r="K32">
        <v>0</v>
      </c>
      <c r="L32" t="b">
        <v>1</v>
      </c>
      <c r="M32">
        <v>192016</v>
      </c>
      <c r="N32">
        <v>192016</v>
      </c>
      <c r="O32" t="b">
        <v>1</v>
      </c>
      <c r="P32">
        <v>0</v>
      </c>
      <c r="Q32">
        <v>0</v>
      </c>
      <c r="R32" t="b">
        <v>1</v>
      </c>
      <c r="S32">
        <v>192016</v>
      </c>
      <c r="T32">
        <v>192016</v>
      </c>
      <c r="U32" t="b">
        <v>1</v>
      </c>
      <c r="V32">
        <v>600</v>
      </c>
      <c r="W32">
        <v>600</v>
      </c>
      <c r="X32" t="b">
        <v>1</v>
      </c>
      <c r="Y32">
        <v>600</v>
      </c>
      <c r="Z32">
        <v>600</v>
      </c>
      <c r="AA32" t="b">
        <v>1</v>
      </c>
      <c r="AB32">
        <v>149100</v>
      </c>
      <c r="AC32">
        <v>149100</v>
      </c>
      <c r="AD32" t="b">
        <v>1</v>
      </c>
      <c r="AE32">
        <v>0</v>
      </c>
      <c r="AF32">
        <v>0</v>
      </c>
      <c r="AG32" t="b">
        <v>1</v>
      </c>
      <c r="AH32">
        <v>149700</v>
      </c>
      <c r="AI32">
        <v>149700</v>
      </c>
      <c r="AJ32" t="b">
        <v>1</v>
      </c>
      <c r="AK32">
        <v>191416</v>
      </c>
      <c r="AL32">
        <v>191416</v>
      </c>
      <c r="AM32" t="b">
        <v>1</v>
      </c>
    </row>
    <row r="33" spans="1:39">
      <c r="A33">
        <v>45758</v>
      </c>
      <c r="B33" t="s">
        <v>59</v>
      </c>
      <c r="C33" t="s">
        <v>115</v>
      </c>
      <c r="D33" t="s">
        <v>151</v>
      </c>
      <c r="E33" t="s">
        <v>152</v>
      </c>
      <c r="F33" t="s">
        <v>442</v>
      </c>
      <c r="G33">
        <v>16125</v>
      </c>
      <c r="H33">
        <v>16125</v>
      </c>
      <c r="I33" t="b">
        <v>1</v>
      </c>
      <c r="J33">
        <v>16125</v>
      </c>
      <c r="K33">
        <v>16125</v>
      </c>
      <c r="L33" t="b">
        <v>1</v>
      </c>
      <c r="M33">
        <v>0</v>
      </c>
      <c r="N33">
        <v>0</v>
      </c>
      <c r="O33" t="b">
        <v>1</v>
      </c>
      <c r="P33">
        <v>0</v>
      </c>
      <c r="Q33">
        <v>0</v>
      </c>
      <c r="R33" t="b">
        <v>1</v>
      </c>
      <c r="S33">
        <v>16125</v>
      </c>
      <c r="T33">
        <v>16125</v>
      </c>
      <c r="U33" t="b">
        <v>1</v>
      </c>
      <c r="V33">
        <v>15150</v>
      </c>
      <c r="W33">
        <v>15150</v>
      </c>
      <c r="X33" t="b">
        <v>1</v>
      </c>
      <c r="Y33">
        <v>15150</v>
      </c>
      <c r="Z33">
        <v>15150</v>
      </c>
      <c r="AA33" t="b">
        <v>1</v>
      </c>
      <c r="AB33">
        <v>0</v>
      </c>
      <c r="AC33">
        <v>0</v>
      </c>
      <c r="AD33" t="b">
        <v>1</v>
      </c>
      <c r="AE33">
        <v>0</v>
      </c>
      <c r="AF33">
        <v>0</v>
      </c>
      <c r="AG33" t="b">
        <v>1</v>
      </c>
      <c r="AH33">
        <v>15150</v>
      </c>
      <c r="AI33">
        <v>15150</v>
      </c>
      <c r="AJ33" t="b">
        <v>1</v>
      </c>
      <c r="AK33">
        <v>975</v>
      </c>
      <c r="AL33">
        <v>975</v>
      </c>
      <c r="AM33" t="b">
        <v>1</v>
      </c>
    </row>
    <row r="34" spans="1:39">
      <c r="A34">
        <v>45758</v>
      </c>
      <c r="B34" t="s">
        <v>38</v>
      </c>
      <c r="C34" t="s">
        <v>130</v>
      </c>
      <c r="D34" t="s">
        <v>156</v>
      </c>
      <c r="E34" t="s">
        <v>159</v>
      </c>
      <c r="F34" t="s">
        <v>449</v>
      </c>
      <c r="G34">
        <v>11903320</v>
      </c>
      <c r="H34">
        <v>11903320</v>
      </c>
      <c r="I34" t="b">
        <v>1</v>
      </c>
      <c r="J34">
        <v>0</v>
      </c>
      <c r="K34">
        <v>0</v>
      </c>
      <c r="L34" t="b">
        <v>1</v>
      </c>
      <c r="M34">
        <v>0</v>
      </c>
      <c r="N34">
        <v>0</v>
      </c>
      <c r="O34" t="b">
        <v>1</v>
      </c>
      <c r="P34">
        <v>0</v>
      </c>
      <c r="Q34">
        <v>0</v>
      </c>
      <c r="R34" t="b">
        <v>1</v>
      </c>
      <c r="S34">
        <v>0</v>
      </c>
      <c r="T34">
        <v>0</v>
      </c>
      <c r="U34" t="b">
        <v>1</v>
      </c>
      <c r="V34">
        <v>2955196</v>
      </c>
      <c r="W34">
        <v>2955196</v>
      </c>
      <c r="X34" t="b">
        <v>1</v>
      </c>
      <c r="Y34">
        <v>0</v>
      </c>
      <c r="Z34">
        <v>0</v>
      </c>
      <c r="AA34" t="b">
        <v>1</v>
      </c>
      <c r="AB34">
        <v>0</v>
      </c>
      <c r="AC34">
        <v>0</v>
      </c>
      <c r="AD34" t="b">
        <v>1</v>
      </c>
      <c r="AE34">
        <v>0</v>
      </c>
      <c r="AF34">
        <v>0</v>
      </c>
      <c r="AG34" t="b">
        <v>1</v>
      </c>
      <c r="AH34">
        <v>0</v>
      </c>
      <c r="AI34">
        <v>0</v>
      </c>
      <c r="AJ34" t="b">
        <v>1</v>
      </c>
      <c r="AK34">
        <v>8948124</v>
      </c>
      <c r="AL34">
        <v>8948124</v>
      </c>
      <c r="AM34" t="b">
        <v>1</v>
      </c>
    </row>
    <row r="35" spans="1:39">
      <c r="A35">
        <v>45758</v>
      </c>
      <c r="B35" t="s">
        <v>31</v>
      </c>
      <c r="C35" t="s">
        <v>115</v>
      </c>
      <c r="D35" t="s">
        <v>45</v>
      </c>
      <c r="E35" t="s">
        <v>450</v>
      </c>
      <c r="F35" t="s">
        <v>451</v>
      </c>
      <c r="G35">
        <v>34100</v>
      </c>
      <c r="H35">
        <v>34100</v>
      </c>
      <c r="I35" t="b">
        <v>1</v>
      </c>
      <c r="J35">
        <v>34100</v>
      </c>
      <c r="K35">
        <v>34100</v>
      </c>
      <c r="L35" t="b">
        <v>1</v>
      </c>
      <c r="M35">
        <v>0</v>
      </c>
      <c r="N35">
        <v>0</v>
      </c>
      <c r="O35" t="b">
        <v>1</v>
      </c>
      <c r="P35">
        <v>0</v>
      </c>
      <c r="Q35">
        <v>0</v>
      </c>
      <c r="R35" t="b">
        <v>1</v>
      </c>
      <c r="S35">
        <v>34100</v>
      </c>
      <c r="T35">
        <v>34100</v>
      </c>
      <c r="U35" t="b">
        <v>1</v>
      </c>
      <c r="V35">
        <v>0</v>
      </c>
      <c r="W35">
        <v>0</v>
      </c>
      <c r="X35" t="b">
        <v>1</v>
      </c>
      <c r="Y35">
        <v>0</v>
      </c>
      <c r="Z35">
        <v>0</v>
      </c>
      <c r="AA35" t="b">
        <v>1</v>
      </c>
      <c r="AB35">
        <v>23000</v>
      </c>
      <c r="AC35">
        <v>23000</v>
      </c>
      <c r="AD35" t="b">
        <v>1</v>
      </c>
      <c r="AE35">
        <v>0</v>
      </c>
      <c r="AF35">
        <v>0</v>
      </c>
      <c r="AG35" t="b">
        <v>1</v>
      </c>
      <c r="AH35">
        <v>23000</v>
      </c>
      <c r="AI35">
        <v>23000</v>
      </c>
      <c r="AJ35" t="b">
        <v>1</v>
      </c>
      <c r="AK35">
        <v>34100</v>
      </c>
      <c r="AL35">
        <v>34100</v>
      </c>
      <c r="AM35" t="b">
        <v>1</v>
      </c>
    </row>
    <row r="36" spans="1:39">
      <c r="A36">
        <v>45758</v>
      </c>
      <c r="B36" t="s">
        <v>27</v>
      </c>
      <c r="C36" t="s">
        <v>120</v>
      </c>
      <c r="D36" t="s">
        <v>140</v>
      </c>
      <c r="E36" t="s">
        <v>161</v>
      </c>
      <c r="F36" t="s">
        <v>452</v>
      </c>
      <c r="G36">
        <v>29835</v>
      </c>
      <c r="H36">
        <v>29835</v>
      </c>
      <c r="I36" t="b">
        <v>1</v>
      </c>
      <c r="J36">
        <v>29835</v>
      </c>
      <c r="K36">
        <v>29835</v>
      </c>
      <c r="L36" t="b">
        <v>1</v>
      </c>
      <c r="M36">
        <v>0</v>
      </c>
      <c r="N36">
        <v>0</v>
      </c>
      <c r="O36" t="b">
        <v>1</v>
      </c>
      <c r="P36">
        <v>0</v>
      </c>
      <c r="Q36">
        <v>0</v>
      </c>
      <c r="R36" t="b">
        <v>1</v>
      </c>
      <c r="S36">
        <v>29835</v>
      </c>
      <c r="T36">
        <v>29835</v>
      </c>
      <c r="U36" t="b">
        <v>1</v>
      </c>
      <c r="V36">
        <v>0</v>
      </c>
      <c r="W36">
        <v>0</v>
      </c>
      <c r="X36" t="b">
        <v>1</v>
      </c>
      <c r="Y36">
        <v>0</v>
      </c>
      <c r="Z36">
        <v>0</v>
      </c>
      <c r="AA36" t="b">
        <v>1</v>
      </c>
      <c r="AB36">
        <v>23270</v>
      </c>
      <c r="AC36">
        <v>23270</v>
      </c>
      <c r="AD36" t="b">
        <v>1</v>
      </c>
      <c r="AE36">
        <v>0</v>
      </c>
      <c r="AF36">
        <v>0</v>
      </c>
      <c r="AG36" t="b">
        <v>1</v>
      </c>
      <c r="AH36">
        <v>23270</v>
      </c>
      <c r="AI36">
        <v>23270</v>
      </c>
      <c r="AJ36" t="b">
        <v>1</v>
      </c>
      <c r="AK36">
        <v>29835</v>
      </c>
      <c r="AL36">
        <v>29835</v>
      </c>
      <c r="AM36" t="b">
        <v>1</v>
      </c>
    </row>
    <row r="37" spans="1:39">
      <c r="A37">
        <v>45758</v>
      </c>
      <c r="B37" t="s">
        <v>27</v>
      </c>
      <c r="C37" t="s">
        <v>120</v>
      </c>
      <c r="D37" t="s">
        <v>166</v>
      </c>
      <c r="E37" t="s">
        <v>167</v>
      </c>
      <c r="F37" t="s">
        <v>456</v>
      </c>
      <c r="G37">
        <v>138448</v>
      </c>
      <c r="H37">
        <v>138448</v>
      </c>
      <c r="I37" t="b">
        <v>1</v>
      </c>
      <c r="J37">
        <v>0</v>
      </c>
      <c r="K37">
        <v>0</v>
      </c>
      <c r="L37" t="b">
        <v>1</v>
      </c>
      <c r="M37">
        <v>138448</v>
      </c>
      <c r="N37">
        <v>138448</v>
      </c>
      <c r="O37" t="b">
        <v>1</v>
      </c>
      <c r="P37">
        <v>0</v>
      </c>
      <c r="Q37">
        <v>0</v>
      </c>
      <c r="R37" t="b">
        <v>1</v>
      </c>
      <c r="S37">
        <v>138448</v>
      </c>
      <c r="T37">
        <v>138448</v>
      </c>
      <c r="U37" t="b">
        <v>1</v>
      </c>
      <c r="V37">
        <v>43200</v>
      </c>
      <c r="W37">
        <v>43200</v>
      </c>
      <c r="X37" t="b">
        <v>1</v>
      </c>
      <c r="Y37">
        <v>43200</v>
      </c>
      <c r="Z37">
        <v>43200</v>
      </c>
      <c r="AA37" t="b">
        <v>1</v>
      </c>
      <c r="AB37">
        <v>45248</v>
      </c>
      <c r="AC37">
        <v>45248</v>
      </c>
      <c r="AD37" t="b">
        <v>1</v>
      </c>
      <c r="AE37">
        <v>0</v>
      </c>
      <c r="AF37">
        <v>0</v>
      </c>
      <c r="AG37" t="b">
        <v>1</v>
      </c>
      <c r="AH37">
        <v>88448</v>
      </c>
      <c r="AI37">
        <v>88448</v>
      </c>
      <c r="AJ37" t="b">
        <v>1</v>
      </c>
      <c r="AK37">
        <v>95248</v>
      </c>
      <c r="AL37">
        <v>95248</v>
      </c>
      <c r="AM37" t="b">
        <v>1</v>
      </c>
    </row>
    <row r="38" spans="1:39">
      <c r="A38">
        <v>45758</v>
      </c>
      <c r="B38" t="s">
        <v>59</v>
      </c>
      <c r="C38" t="s">
        <v>115</v>
      </c>
      <c r="D38" t="s">
        <v>60</v>
      </c>
      <c r="E38" t="s">
        <v>196</v>
      </c>
      <c r="F38" t="s">
        <v>484</v>
      </c>
      <c r="G38">
        <v>224730</v>
      </c>
      <c r="H38">
        <v>224730</v>
      </c>
      <c r="I38" t="b">
        <v>1</v>
      </c>
      <c r="J38">
        <v>224730</v>
      </c>
      <c r="K38">
        <v>224730</v>
      </c>
      <c r="L38" t="b">
        <v>1</v>
      </c>
      <c r="M38">
        <v>0</v>
      </c>
      <c r="N38">
        <v>0</v>
      </c>
      <c r="O38" t="b">
        <v>1</v>
      </c>
      <c r="P38">
        <v>0</v>
      </c>
      <c r="Q38">
        <v>0</v>
      </c>
      <c r="R38" t="b">
        <v>1</v>
      </c>
      <c r="S38">
        <v>224730</v>
      </c>
      <c r="T38">
        <v>224730</v>
      </c>
      <c r="U38" t="b">
        <v>1</v>
      </c>
      <c r="V38">
        <v>180250</v>
      </c>
      <c r="W38">
        <v>180250</v>
      </c>
      <c r="X38" t="b">
        <v>1</v>
      </c>
      <c r="Y38">
        <v>180250</v>
      </c>
      <c r="Z38">
        <v>180250</v>
      </c>
      <c r="AA38" t="b">
        <v>1</v>
      </c>
      <c r="AB38">
        <v>0</v>
      </c>
      <c r="AC38">
        <v>0</v>
      </c>
      <c r="AD38" t="b">
        <v>1</v>
      </c>
      <c r="AE38">
        <v>0</v>
      </c>
      <c r="AF38">
        <v>0</v>
      </c>
      <c r="AG38" t="b">
        <v>1</v>
      </c>
      <c r="AH38">
        <v>180250</v>
      </c>
      <c r="AI38">
        <v>180250</v>
      </c>
      <c r="AJ38" t="b">
        <v>1</v>
      </c>
      <c r="AK38">
        <v>44480</v>
      </c>
      <c r="AL38">
        <v>44480</v>
      </c>
      <c r="AM38" t="b">
        <v>1</v>
      </c>
    </row>
    <row r="39" spans="1:39">
      <c r="A39">
        <v>45758</v>
      </c>
      <c r="B39" t="s">
        <v>38</v>
      </c>
      <c r="C39" t="s">
        <v>130</v>
      </c>
      <c r="D39" t="s">
        <v>51</v>
      </c>
      <c r="E39" t="s">
        <v>197</v>
      </c>
      <c r="F39" t="s">
        <v>485</v>
      </c>
      <c r="G39">
        <v>0</v>
      </c>
      <c r="H39">
        <v>0</v>
      </c>
      <c r="I39" t="b">
        <v>1</v>
      </c>
      <c r="J39">
        <v>0</v>
      </c>
      <c r="K39">
        <v>0</v>
      </c>
      <c r="L39" t="b">
        <v>1</v>
      </c>
      <c r="M39">
        <v>0</v>
      </c>
      <c r="N39">
        <v>0</v>
      </c>
      <c r="O39" t="b">
        <v>1</v>
      </c>
      <c r="P39">
        <v>0</v>
      </c>
      <c r="Q39">
        <v>0</v>
      </c>
      <c r="R39" t="b">
        <v>1</v>
      </c>
      <c r="S39">
        <v>0</v>
      </c>
      <c r="T39">
        <v>0</v>
      </c>
      <c r="U39" t="b">
        <v>1</v>
      </c>
      <c r="V39">
        <v>0</v>
      </c>
      <c r="W39">
        <v>0</v>
      </c>
      <c r="X39" t="b">
        <v>1</v>
      </c>
      <c r="Y39">
        <v>138700</v>
      </c>
      <c r="Z39">
        <v>138700</v>
      </c>
      <c r="AA39" t="b">
        <v>1</v>
      </c>
      <c r="AB39">
        <v>138700</v>
      </c>
      <c r="AC39">
        <v>138700</v>
      </c>
      <c r="AD39" t="b">
        <v>1</v>
      </c>
      <c r="AE39">
        <v>0</v>
      </c>
      <c r="AF39">
        <v>0</v>
      </c>
      <c r="AG39" t="b">
        <v>1</v>
      </c>
      <c r="AH39">
        <v>0</v>
      </c>
      <c r="AI39">
        <v>0</v>
      </c>
      <c r="AJ39" t="b">
        <v>1</v>
      </c>
      <c r="AK39">
        <v>0</v>
      </c>
      <c r="AL39">
        <v>0</v>
      </c>
      <c r="AM39" t="b">
        <v>1</v>
      </c>
    </row>
    <row r="40" spans="1:39">
      <c r="A40">
        <v>45758</v>
      </c>
      <c r="B40" t="s">
        <v>31</v>
      </c>
      <c r="C40" t="s">
        <v>115</v>
      </c>
      <c r="D40" t="s">
        <v>45</v>
      </c>
      <c r="E40" t="s">
        <v>198</v>
      </c>
      <c r="F40" t="s">
        <v>486</v>
      </c>
      <c r="G40">
        <v>0</v>
      </c>
      <c r="H40">
        <v>0</v>
      </c>
      <c r="I40" t="b">
        <v>1</v>
      </c>
      <c r="J40">
        <v>0</v>
      </c>
      <c r="K40">
        <v>0</v>
      </c>
      <c r="L40" t="b">
        <v>1</v>
      </c>
      <c r="M40">
        <v>0</v>
      </c>
      <c r="N40">
        <v>0</v>
      </c>
      <c r="O40" t="b">
        <v>1</v>
      </c>
      <c r="P40">
        <v>0</v>
      </c>
      <c r="Q40">
        <v>0</v>
      </c>
      <c r="R40" t="b">
        <v>1</v>
      </c>
      <c r="S40">
        <v>0</v>
      </c>
      <c r="T40">
        <v>0</v>
      </c>
      <c r="U40" t="b">
        <v>1</v>
      </c>
      <c r="V40">
        <v>0</v>
      </c>
      <c r="W40">
        <v>0</v>
      </c>
      <c r="X40" t="b">
        <v>1</v>
      </c>
      <c r="Y40">
        <v>15000</v>
      </c>
      <c r="Z40">
        <v>15000</v>
      </c>
      <c r="AA40" t="b">
        <v>1</v>
      </c>
      <c r="AB40">
        <v>15000</v>
      </c>
      <c r="AC40">
        <v>15000</v>
      </c>
      <c r="AD40" t="b">
        <v>1</v>
      </c>
      <c r="AE40">
        <v>0</v>
      </c>
      <c r="AF40">
        <v>0</v>
      </c>
      <c r="AG40" t="b">
        <v>1</v>
      </c>
      <c r="AH40">
        <v>0</v>
      </c>
      <c r="AI40">
        <v>0</v>
      </c>
      <c r="AJ40" t="b">
        <v>1</v>
      </c>
      <c r="AK40">
        <v>0</v>
      </c>
      <c r="AL40">
        <v>0</v>
      </c>
      <c r="AM40" t="b">
        <v>1</v>
      </c>
    </row>
    <row r="41" spans="1:39">
      <c r="A41">
        <v>45758</v>
      </c>
      <c r="B41" t="s">
        <v>31</v>
      </c>
      <c r="C41" t="s">
        <v>115</v>
      </c>
      <c r="D41" t="s">
        <v>45</v>
      </c>
      <c r="E41" t="s">
        <v>199</v>
      </c>
      <c r="F41" t="s">
        <v>487</v>
      </c>
      <c r="G41">
        <v>0</v>
      </c>
      <c r="H41">
        <v>0</v>
      </c>
      <c r="I41" t="b">
        <v>1</v>
      </c>
      <c r="J41">
        <v>0</v>
      </c>
      <c r="K41">
        <v>0</v>
      </c>
      <c r="L41" t="b">
        <v>1</v>
      </c>
      <c r="M41">
        <v>0</v>
      </c>
      <c r="N41">
        <v>0</v>
      </c>
      <c r="O41" t="b">
        <v>1</v>
      </c>
      <c r="P41">
        <v>0</v>
      </c>
      <c r="Q41">
        <v>0</v>
      </c>
      <c r="R41" t="b">
        <v>1</v>
      </c>
      <c r="S41">
        <v>0</v>
      </c>
      <c r="T41">
        <v>0</v>
      </c>
      <c r="U41" t="b">
        <v>1</v>
      </c>
      <c r="V41">
        <v>0</v>
      </c>
      <c r="W41">
        <v>0</v>
      </c>
      <c r="X41" t="b">
        <v>1</v>
      </c>
      <c r="Y41">
        <v>52056</v>
      </c>
      <c r="Z41">
        <v>52056</v>
      </c>
      <c r="AA41" t="b">
        <v>1</v>
      </c>
      <c r="AB41">
        <v>52056</v>
      </c>
      <c r="AC41">
        <v>52056</v>
      </c>
      <c r="AD41" t="b">
        <v>1</v>
      </c>
      <c r="AE41">
        <v>0</v>
      </c>
      <c r="AF41">
        <v>0</v>
      </c>
      <c r="AG41" t="b">
        <v>1</v>
      </c>
      <c r="AH41">
        <v>0</v>
      </c>
      <c r="AI41">
        <v>0</v>
      </c>
      <c r="AJ41" t="b">
        <v>1</v>
      </c>
      <c r="AK41">
        <v>0</v>
      </c>
      <c r="AL41">
        <v>0</v>
      </c>
      <c r="AM41" t="b">
        <v>1</v>
      </c>
    </row>
    <row r="42" spans="1:39">
      <c r="A42">
        <v>45758</v>
      </c>
      <c r="B42" t="s">
        <v>27</v>
      </c>
      <c r="C42" t="s">
        <v>120</v>
      </c>
      <c r="D42" t="s">
        <v>71</v>
      </c>
      <c r="E42" t="s">
        <v>202</v>
      </c>
      <c r="F42" t="s">
        <v>491</v>
      </c>
      <c r="G42">
        <v>0</v>
      </c>
      <c r="H42">
        <v>0</v>
      </c>
      <c r="I42" t="b">
        <v>1</v>
      </c>
      <c r="J42">
        <v>286859.98</v>
      </c>
      <c r="K42">
        <v>286859.98</v>
      </c>
      <c r="L42" t="b">
        <v>1</v>
      </c>
      <c r="M42">
        <v>301859.98</v>
      </c>
      <c r="N42">
        <v>301859.98</v>
      </c>
      <c r="O42" t="b">
        <v>1</v>
      </c>
      <c r="P42">
        <v>0</v>
      </c>
      <c r="Q42">
        <v>0</v>
      </c>
      <c r="R42" t="b">
        <v>1</v>
      </c>
      <c r="S42">
        <v>15000</v>
      </c>
      <c r="T42">
        <v>15000</v>
      </c>
      <c r="U42" t="b">
        <v>1</v>
      </c>
      <c r="V42">
        <v>0</v>
      </c>
      <c r="W42">
        <v>0</v>
      </c>
      <c r="X42" t="b">
        <v>1</v>
      </c>
      <c r="Y42">
        <v>94000</v>
      </c>
      <c r="Z42">
        <v>94000</v>
      </c>
      <c r="AA42" t="b">
        <v>1</v>
      </c>
      <c r="AB42">
        <v>94000</v>
      </c>
      <c r="AC42">
        <v>94000</v>
      </c>
      <c r="AD42" t="b">
        <v>1</v>
      </c>
      <c r="AE42">
        <v>0</v>
      </c>
      <c r="AF42">
        <v>0</v>
      </c>
      <c r="AG42" t="b">
        <v>1</v>
      </c>
      <c r="AH42">
        <v>0</v>
      </c>
      <c r="AI42">
        <v>0</v>
      </c>
      <c r="AJ42" t="b">
        <v>1</v>
      </c>
      <c r="AK42">
        <v>0</v>
      </c>
      <c r="AL42">
        <v>0</v>
      </c>
      <c r="AM42" t="b">
        <v>1</v>
      </c>
    </row>
    <row r="43" spans="1:39">
      <c r="A43">
        <v>45758</v>
      </c>
      <c r="B43" t="s">
        <v>27</v>
      </c>
      <c r="C43" t="s">
        <v>120</v>
      </c>
      <c r="D43" t="s">
        <v>205</v>
      </c>
      <c r="E43" t="s">
        <v>494</v>
      </c>
      <c r="F43" t="s">
        <v>495</v>
      </c>
      <c r="G43">
        <v>581460</v>
      </c>
      <c r="H43">
        <v>581460</v>
      </c>
      <c r="I43" t="b">
        <v>1</v>
      </c>
      <c r="J43">
        <v>581460</v>
      </c>
      <c r="K43">
        <v>581460</v>
      </c>
      <c r="L43" t="b">
        <v>1</v>
      </c>
      <c r="M43">
        <v>0</v>
      </c>
      <c r="N43">
        <v>0</v>
      </c>
      <c r="O43" t="b">
        <v>1</v>
      </c>
      <c r="P43">
        <v>581460</v>
      </c>
      <c r="Q43">
        <v>581460</v>
      </c>
      <c r="R43" t="b">
        <v>1</v>
      </c>
      <c r="S43">
        <v>0</v>
      </c>
      <c r="T43">
        <v>0</v>
      </c>
      <c r="U43" t="b">
        <v>1</v>
      </c>
      <c r="V43">
        <v>83363</v>
      </c>
      <c r="W43">
        <v>83363</v>
      </c>
      <c r="X43" t="b">
        <v>1</v>
      </c>
      <c r="Y43">
        <v>197038</v>
      </c>
      <c r="Z43">
        <v>197038</v>
      </c>
      <c r="AA43" t="b">
        <v>1</v>
      </c>
      <c r="AB43">
        <v>243675</v>
      </c>
      <c r="AC43">
        <v>243675</v>
      </c>
      <c r="AD43" t="b">
        <v>1</v>
      </c>
      <c r="AE43">
        <v>0</v>
      </c>
      <c r="AF43">
        <v>0</v>
      </c>
      <c r="AG43" t="b">
        <v>1</v>
      </c>
      <c r="AH43">
        <v>46637</v>
      </c>
      <c r="AI43">
        <v>46637</v>
      </c>
      <c r="AJ43" t="b">
        <v>1</v>
      </c>
      <c r="AK43">
        <v>498097</v>
      </c>
      <c r="AL43">
        <v>498097</v>
      </c>
      <c r="AM43" t="b">
        <v>1</v>
      </c>
    </row>
    <row r="44" spans="1:39">
      <c r="A44">
        <v>45758</v>
      </c>
      <c r="B44" t="s">
        <v>31</v>
      </c>
      <c r="C44" t="s">
        <v>115</v>
      </c>
      <c r="D44" t="s">
        <v>45</v>
      </c>
      <c r="E44" t="s">
        <v>496</v>
      </c>
      <c r="F44" t="s">
        <v>497</v>
      </c>
      <c r="G44">
        <v>0</v>
      </c>
      <c r="H44">
        <v>0</v>
      </c>
      <c r="I44" t="b">
        <v>1</v>
      </c>
      <c r="J44">
        <v>0</v>
      </c>
      <c r="K44">
        <v>0</v>
      </c>
      <c r="L44" t="b">
        <v>1</v>
      </c>
      <c r="M44">
        <v>0</v>
      </c>
      <c r="N44">
        <v>0</v>
      </c>
      <c r="O44" t="b">
        <v>1</v>
      </c>
      <c r="P44">
        <v>0</v>
      </c>
      <c r="Q44">
        <v>0</v>
      </c>
      <c r="R44" t="b">
        <v>1</v>
      </c>
      <c r="S44">
        <v>0</v>
      </c>
      <c r="T44">
        <v>0</v>
      </c>
      <c r="U44" t="b">
        <v>1</v>
      </c>
      <c r="V44">
        <v>0</v>
      </c>
      <c r="W44">
        <v>0</v>
      </c>
      <c r="X44" t="b">
        <v>1</v>
      </c>
      <c r="Y44">
        <v>42110</v>
      </c>
      <c r="Z44">
        <v>42110</v>
      </c>
      <c r="AA44" t="b">
        <v>1</v>
      </c>
      <c r="AB44">
        <v>42110</v>
      </c>
      <c r="AC44">
        <v>42110</v>
      </c>
      <c r="AD44" t="b">
        <v>1</v>
      </c>
      <c r="AE44">
        <v>0</v>
      </c>
      <c r="AF44">
        <v>0</v>
      </c>
      <c r="AG44" t="b">
        <v>1</v>
      </c>
      <c r="AH44">
        <v>0</v>
      </c>
      <c r="AI44">
        <v>0</v>
      </c>
      <c r="AJ44" t="b">
        <v>1</v>
      </c>
      <c r="AK44">
        <v>0</v>
      </c>
      <c r="AL44">
        <v>0</v>
      </c>
      <c r="AM44" t="b">
        <v>1</v>
      </c>
    </row>
    <row r="45" spans="1:39">
      <c r="A45">
        <v>45758</v>
      </c>
      <c r="B45" t="s">
        <v>59</v>
      </c>
      <c r="C45" t="s">
        <v>115</v>
      </c>
      <c r="D45" t="s">
        <v>60</v>
      </c>
      <c r="E45" t="s">
        <v>208</v>
      </c>
      <c r="F45" t="s">
        <v>498</v>
      </c>
      <c r="G45">
        <v>0</v>
      </c>
      <c r="H45">
        <v>0</v>
      </c>
      <c r="I45" t="b">
        <v>1</v>
      </c>
      <c r="J45">
        <v>0</v>
      </c>
      <c r="K45">
        <v>0</v>
      </c>
      <c r="L45" t="b">
        <v>1</v>
      </c>
      <c r="M45">
        <v>0</v>
      </c>
      <c r="N45">
        <v>0</v>
      </c>
      <c r="O45" t="b">
        <v>1</v>
      </c>
      <c r="P45">
        <v>0</v>
      </c>
      <c r="Q45">
        <v>0</v>
      </c>
      <c r="R45" t="b">
        <v>1</v>
      </c>
      <c r="S45">
        <v>0</v>
      </c>
      <c r="T45">
        <v>0</v>
      </c>
      <c r="U45" t="b">
        <v>1</v>
      </c>
      <c r="V45">
        <v>0</v>
      </c>
      <c r="W45">
        <v>0</v>
      </c>
      <c r="X45" t="b">
        <v>1</v>
      </c>
      <c r="Y45">
        <v>330740</v>
      </c>
      <c r="Z45">
        <v>330740</v>
      </c>
      <c r="AA45" t="b">
        <v>1</v>
      </c>
      <c r="AB45">
        <v>330740</v>
      </c>
      <c r="AC45">
        <v>330740</v>
      </c>
      <c r="AD45" t="b">
        <v>1</v>
      </c>
      <c r="AE45">
        <v>0</v>
      </c>
      <c r="AF45">
        <v>0</v>
      </c>
      <c r="AG45" t="b">
        <v>1</v>
      </c>
      <c r="AH45">
        <v>0</v>
      </c>
      <c r="AI45">
        <v>0</v>
      </c>
      <c r="AJ45" t="b">
        <v>1</v>
      </c>
      <c r="AK45">
        <v>0</v>
      </c>
      <c r="AL45">
        <v>0</v>
      </c>
      <c r="AM45" t="b">
        <v>1</v>
      </c>
    </row>
    <row r="46" spans="1:39">
      <c r="A46">
        <v>45758</v>
      </c>
      <c r="B46" t="s">
        <v>27</v>
      </c>
      <c r="C46" t="s">
        <v>120</v>
      </c>
      <c r="D46" t="s">
        <v>140</v>
      </c>
      <c r="E46" t="s">
        <v>210</v>
      </c>
      <c r="F46" t="s">
        <v>500</v>
      </c>
      <c r="G46">
        <v>2929136.25</v>
      </c>
      <c r="H46">
        <v>2929136.25</v>
      </c>
      <c r="I46" t="b">
        <v>1</v>
      </c>
      <c r="J46">
        <v>4753266.25</v>
      </c>
      <c r="K46">
        <v>4753266.25</v>
      </c>
      <c r="L46" t="b">
        <v>1</v>
      </c>
      <c r="M46">
        <v>0</v>
      </c>
      <c r="N46">
        <v>0</v>
      </c>
      <c r="O46" t="b">
        <v>1</v>
      </c>
      <c r="P46">
        <v>0</v>
      </c>
      <c r="Q46">
        <v>0</v>
      </c>
      <c r="R46" t="b">
        <v>1</v>
      </c>
      <c r="S46">
        <v>4753266.25</v>
      </c>
      <c r="T46">
        <v>4753266.25</v>
      </c>
      <c r="U46" t="b">
        <v>1</v>
      </c>
      <c r="V46">
        <v>924455</v>
      </c>
      <c r="W46">
        <v>924455</v>
      </c>
      <c r="X46" t="b">
        <v>1</v>
      </c>
      <c r="Y46">
        <v>924455</v>
      </c>
      <c r="Z46">
        <v>924455</v>
      </c>
      <c r="AA46" t="b">
        <v>1</v>
      </c>
      <c r="AB46">
        <v>3115821.31</v>
      </c>
      <c r="AC46">
        <v>3115821.31</v>
      </c>
      <c r="AD46" t="b">
        <v>1</v>
      </c>
      <c r="AE46">
        <v>0</v>
      </c>
      <c r="AF46">
        <v>0</v>
      </c>
      <c r="AG46" t="b">
        <v>1</v>
      </c>
      <c r="AH46">
        <v>4040276.31</v>
      </c>
      <c r="AI46">
        <v>4040276.31</v>
      </c>
      <c r="AJ46" t="b">
        <v>1</v>
      </c>
      <c r="AK46">
        <v>2004681.25</v>
      </c>
      <c r="AL46">
        <v>2004681.25</v>
      </c>
      <c r="AM46" t="b">
        <v>1</v>
      </c>
    </row>
    <row r="47" spans="1:39">
      <c r="A47">
        <v>45758</v>
      </c>
      <c r="B47" t="s">
        <v>27</v>
      </c>
      <c r="C47" t="s">
        <v>120</v>
      </c>
      <c r="D47" t="s">
        <v>71</v>
      </c>
      <c r="E47" t="s">
        <v>219</v>
      </c>
      <c r="F47" t="s">
        <v>508</v>
      </c>
      <c r="G47">
        <v>0</v>
      </c>
      <c r="H47">
        <v>0</v>
      </c>
      <c r="I47" t="b">
        <v>1</v>
      </c>
      <c r="J47">
        <v>0</v>
      </c>
      <c r="K47">
        <v>0</v>
      </c>
      <c r="L47" t="b">
        <v>1</v>
      </c>
      <c r="M47">
        <v>0</v>
      </c>
      <c r="N47">
        <v>0</v>
      </c>
      <c r="O47" t="b">
        <v>1</v>
      </c>
      <c r="P47">
        <v>0</v>
      </c>
      <c r="Q47">
        <v>0</v>
      </c>
      <c r="R47" t="b">
        <v>1</v>
      </c>
      <c r="S47">
        <v>0</v>
      </c>
      <c r="T47">
        <v>0</v>
      </c>
      <c r="U47" t="b">
        <v>1</v>
      </c>
      <c r="V47">
        <v>0</v>
      </c>
      <c r="W47">
        <v>0</v>
      </c>
      <c r="X47" t="b">
        <v>1</v>
      </c>
      <c r="Y47">
        <v>330000</v>
      </c>
      <c r="Z47">
        <v>330000</v>
      </c>
      <c r="AA47" t="b">
        <v>1</v>
      </c>
      <c r="AB47">
        <v>330000</v>
      </c>
      <c r="AC47">
        <v>330000</v>
      </c>
      <c r="AD47" t="b">
        <v>1</v>
      </c>
      <c r="AE47">
        <v>0</v>
      </c>
      <c r="AF47">
        <v>0</v>
      </c>
      <c r="AG47" t="b">
        <v>1</v>
      </c>
      <c r="AH47">
        <v>0</v>
      </c>
      <c r="AI47">
        <v>0</v>
      </c>
      <c r="AJ47" t="b">
        <v>1</v>
      </c>
      <c r="AK47">
        <v>0</v>
      </c>
      <c r="AL47">
        <v>0</v>
      </c>
      <c r="AM47" t="b">
        <v>1</v>
      </c>
    </row>
    <row r="48" spans="1:39">
      <c r="A48">
        <v>45758</v>
      </c>
      <c r="B48" t="s">
        <v>59</v>
      </c>
      <c r="C48" t="s">
        <v>115</v>
      </c>
      <c r="D48" t="s">
        <v>76</v>
      </c>
      <c r="E48" t="s">
        <v>221</v>
      </c>
      <c r="F48" t="s">
        <v>510</v>
      </c>
      <c r="G48">
        <v>0</v>
      </c>
      <c r="H48">
        <v>0</v>
      </c>
      <c r="I48" t="b">
        <v>1</v>
      </c>
      <c r="J48">
        <v>337700</v>
      </c>
      <c r="K48">
        <v>337700</v>
      </c>
      <c r="L48" t="b">
        <v>1</v>
      </c>
      <c r="M48">
        <v>337700</v>
      </c>
      <c r="N48">
        <v>337700</v>
      </c>
      <c r="O48" t="b">
        <v>1</v>
      </c>
      <c r="P48">
        <v>0</v>
      </c>
      <c r="Q48">
        <v>0</v>
      </c>
      <c r="R48" t="b">
        <v>1</v>
      </c>
      <c r="S48">
        <v>0</v>
      </c>
      <c r="T48">
        <v>0</v>
      </c>
      <c r="U48" t="b">
        <v>1</v>
      </c>
      <c r="V48">
        <v>0</v>
      </c>
      <c r="W48">
        <v>0</v>
      </c>
      <c r="X48" t="b">
        <v>1</v>
      </c>
      <c r="Y48">
        <v>255000</v>
      </c>
      <c r="Z48">
        <v>255000</v>
      </c>
      <c r="AA48" t="b">
        <v>1</v>
      </c>
      <c r="AB48">
        <v>255000</v>
      </c>
      <c r="AC48">
        <v>255000</v>
      </c>
      <c r="AD48" t="b">
        <v>1</v>
      </c>
      <c r="AE48">
        <v>0</v>
      </c>
      <c r="AF48">
        <v>0</v>
      </c>
      <c r="AG48" t="b">
        <v>1</v>
      </c>
      <c r="AH48">
        <v>0</v>
      </c>
      <c r="AI48">
        <v>0</v>
      </c>
      <c r="AJ48" t="b">
        <v>1</v>
      </c>
      <c r="AK48">
        <v>0</v>
      </c>
      <c r="AL48">
        <v>0</v>
      </c>
      <c r="AM48" t="b">
        <v>1</v>
      </c>
    </row>
    <row r="49" spans="1:39">
      <c r="A49">
        <v>45758</v>
      </c>
      <c r="B49" t="s">
        <v>59</v>
      </c>
      <c r="C49" t="s">
        <v>115</v>
      </c>
      <c r="D49" t="s">
        <v>60</v>
      </c>
      <c r="E49" t="s">
        <v>222</v>
      </c>
      <c r="F49" t="s">
        <v>511</v>
      </c>
      <c r="G49">
        <v>86020</v>
      </c>
      <c r="H49">
        <v>86020</v>
      </c>
      <c r="I49" t="b">
        <v>1</v>
      </c>
      <c r="J49">
        <v>656271</v>
      </c>
      <c r="K49">
        <v>656271</v>
      </c>
      <c r="L49" t="b">
        <v>1</v>
      </c>
      <c r="M49">
        <v>656271</v>
      </c>
      <c r="N49">
        <v>656271</v>
      </c>
      <c r="O49" t="b">
        <v>1</v>
      </c>
      <c r="P49">
        <v>0</v>
      </c>
      <c r="Q49">
        <v>0</v>
      </c>
      <c r="R49" t="b">
        <v>1</v>
      </c>
      <c r="S49">
        <v>0</v>
      </c>
      <c r="T49">
        <v>0</v>
      </c>
      <c r="U49" t="b">
        <v>1</v>
      </c>
      <c r="V49">
        <v>0</v>
      </c>
      <c r="W49">
        <v>0</v>
      </c>
      <c r="X49" t="b">
        <v>1</v>
      </c>
      <c r="Y49">
        <v>490814</v>
      </c>
      <c r="Z49">
        <v>490814</v>
      </c>
      <c r="AA49" t="b">
        <v>1</v>
      </c>
      <c r="AB49">
        <v>490814</v>
      </c>
      <c r="AC49">
        <v>490814</v>
      </c>
      <c r="AD49" t="b">
        <v>1</v>
      </c>
      <c r="AE49">
        <v>0</v>
      </c>
      <c r="AF49">
        <v>0</v>
      </c>
      <c r="AG49" t="b">
        <v>1</v>
      </c>
      <c r="AH49">
        <v>0</v>
      </c>
      <c r="AI49">
        <v>0</v>
      </c>
      <c r="AJ49" t="b">
        <v>1</v>
      </c>
      <c r="AK49">
        <v>86020</v>
      </c>
      <c r="AL49">
        <v>86020</v>
      </c>
      <c r="AM49" t="b">
        <v>1</v>
      </c>
    </row>
    <row r="50" spans="1:39">
      <c r="A50">
        <v>45758</v>
      </c>
      <c r="B50" t="s">
        <v>27</v>
      </c>
      <c r="C50" t="s">
        <v>120</v>
      </c>
      <c r="D50" t="s">
        <v>81</v>
      </c>
      <c r="E50" t="s">
        <v>223</v>
      </c>
      <c r="F50" t="s">
        <v>512</v>
      </c>
      <c r="G50">
        <v>121792</v>
      </c>
      <c r="H50">
        <v>121792</v>
      </c>
      <c r="I50" t="b">
        <v>1</v>
      </c>
      <c r="J50">
        <v>121792</v>
      </c>
      <c r="K50">
        <v>121792</v>
      </c>
      <c r="L50" t="b">
        <v>1</v>
      </c>
      <c r="M50">
        <v>115008</v>
      </c>
      <c r="N50">
        <v>115008</v>
      </c>
      <c r="O50" t="b">
        <v>1</v>
      </c>
      <c r="P50">
        <v>0</v>
      </c>
      <c r="Q50">
        <v>0</v>
      </c>
      <c r="R50" t="b">
        <v>1</v>
      </c>
      <c r="S50">
        <v>6784</v>
      </c>
      <c r="T50">
        <v>6784</v>
      </c>
      <c r="U50" t="b">
        <v>1</v>
      </c>
      <c r="V50">
        <v>0</v>
      </c>
      <c r="W50">
        <v>0</v>
      </c>
      <c r="X50" t="b">
        <v>1</v>
      </c>
      <c r="Y50">
        <v>0</v>
      </c>
      <c r="Z50">
        <v>0</v>
      </c>
      <c r="AA50" t="b">
        <v>1</v>
      </c>
      <c r="AB50">
        <v>0</v>
      </c>
      <c r="AC50">
        <v>0</v>
      </c>
      <c r="AD50" t="b">
        <v>1</v>
      </c>
      <c r="AE50">
        <v>0</v>
      </c>
      <c r="AF50">
        <v>0</v>
      </c>
      <c r="AG50" t="b">
        <v>1</v>
      </c>
      <c r="AH50">
        <v>0</v>
      </c>
      <c r="AI50">
        <v>0</v>
      </c>
      <c r="AJ50" t="b">
        <v>1</v>
      </c>
      <c r="AK50">
        <v>121792</v>
      </c>
      <c r="AL50">
        <v>121792</v>
      </c>
      <c r="AM50" t="b">
        <v>1</v>
      </c>
    </row>
    <row r="51" spans="1:39">
      <c r="A51">
        <v>45758</v>
      </c>
      <c r="B51" t="s">
        <v>38</v>
      </c>
      <c r="C51" t="s">
        <v>130</v>
      </c>
      <c r="D51" t="s">
        <v>224</v>
      </c>
      <c r="E51" t="s">
        <v>513</v>
      </c>
      <c r="F51" t="s">
        <v>514</v>
      </c>
      <c r="G51">
        <v>0</v>
      </c>
      <c r="H51">
        <v>0</v>
      </c>
      <c r="I51" t="b">
        <v>1</v>
      </c>
      <c r="J51">
        <v>284211</v>
      </c>
      <c r="K51">
        <v>284211</v>
      </c>
      <c r="L51" t="b">
        <v>1</v>
      </c>
      <c r="M51">
        <v>284211</v>
      </c>
      <c r="N51">
        <v>284211</v>
      </c>
      <c r="O51" t="b">
        <v>1</v>
      </c>
      <c r="P51">
        <v>0</v>
      </c>
      <c r="Q51">
        <v>0</v>
      </c>
      <c r="R51" t="b">
        <v>1</v>
      </c>
      <c r="S51">
        <v>0</v>
      </c>
      <c r="T51">
        <v>0</v>
      </c>
      <c r="U51" t="b">
        <v>1</v>
      </c>
      <c r="V51">
        <v>175000</v>
      </c>
      <c r="W51">
        <v>175000</v>
      </c>
      <c r="X51" t="b">
        <v>1</v>
      </c>
      <c r="Y51">
        <v>0</v>
      </c>
      <c r="Z51">
        <v>0</v>
      </c>
      <c r="AA51" t="b">
        <v>1</v>
      </c>
      <c r="AB51">
        <v>0</v>
      </c>
      <c r="AC51">
        <v>0</v>
      </c>
      <c r="AD51" t="b">
        <v>1</v>
      </c>
      <c r="AE51">
        <v>0</v>
      </c>
      <c r="AF51">
        <v>0</v>
      </c>
      <c r="AG51" t="b">
        <v>1</v>
      </c>
      <c r="AH51">
        <v>0</v>
      </c>
      <c r="AI51">
        <v>0</v>
      </c>
      <c r="AJ51" t="b">
        <v>1</v>
      </c>
      <c r="AK51">
        <v>175000</v>
      </c>
      <c r="AL51">
        <v>175000</v>
      </c>
      <c r="AM51" t="b">
        <v>1</v>
      </c>
    </row>
    <row r="52" spans="1:39">
      <c r="A52">
        <v>45758</v>
      </c>
      <c r="B52" t="s">
        <v>31</v>
      </c>
      <c r="C52" t="s">
        <v>115</v>
      </c>
      <c r="D52" t="s">
        <v>45</v>
      </c>
      <c r="E52" t="s">
        <v>515</v>
      </c>
      <c r="F52" t="s">
        <v>516</v>
      </c>
      <c r="G52">
        <v>0</v>
      </c>
      <c r="H52">
        <v>0</v>
      </c>
      <c r="I52" t="b">
        <v>1</v>
      </c>
      <c r="J52">
        <v>0</v>
      </c>
      <c r="K52">
        <v>0</v>
      </c>
      <c r="L52" t="b">
        <v>1</v>
      </c>
      <c r="M52">
        <v>0</v>
      </c>
      <c r="N52">
        <v>0</v>
      </c>
      <c r="O52" t="b">
        <v>1</v>
      </c>
      <c r="P52">
        <v>0</v>
      </c>
      <c r="Q52">
        <v>0</v>
      </c>
      <c r="R52" t="b">
        <v>1</v>
      </c>
      <c r="S52">
        <v>0</v>
      </c>
      <c r="T52">
        <v>0</v>
      </c>
      <c r="U52" t="b">
        <v>1</v>
      </c>
      <c r="V52">
        <v>0</v>
      </c>
      <c r="W52">
        <v>0</v>
      </c>
      <c r="X52" t="b">
        <v>1</v>
      </c>
      <c r="Y52">
        <v>22800</v>
      </c>
      <c r="Z52">
        <v>22800</v>
      </c>
      <c r="AA52" t="b">
        <v>1</v>
      </c>
      <c r="AB52">
        <v>22800</v>
      </c>
      <c r="AC52">
        <v>22800</v>
      </c>
      <c r="AD52" t="b">
        <v>1</v>
      </c>
      <c r="AE52">
        <v>0</v>
      </c>
      <c r="AF52">
        <v>0</v>
      </c>
      <c r="AG52" t="b">
        <v>1</v>
      </c>
      <c r="AH52">
        <v>0</v>
      </c>
      <c r="AI52">
        <v>0</v>
      </c>
      <c r="AJ52" t="b">
        <v>1</v>
      </c>
      <c r="AK52">
        <v>0</v>
      </c>
      <c r="AL52">
        <v>0</v>
      </c>
      <c r="AM52" t="b">
        <v>1</v>
      </c>
    </row>
    <row r="53" spans="1:39">
      <c r="A53">
        <v>45758</v>
      </c>
      <c r="B53" t="s">
        <v>59</v>
      </c>
      <c r="C53" t="s">
        <v>115</v>
      </c>
      <c r="D53" t="s">
        <v>175</v>
      </c>
      <c r="E53" t="s">
        <v>227</v>
      </c>
      <c r="F53" t="s">
        <v>517</v>
      </c>
      <c r="G53">
        <v>186450</v>
      </c>
      <c r="H53">
        <v>186450</v>
      </c>
      <c r="I53" t="b">
        <v>1</v>
      </c>
      <c r="J53">
        <v>186450</v>
      </c>
      <c r="K53">
        <v>186450</v>
      </c>
      <c r="L53" t="b">
        <v>1</v>
      </c>
      <c r="M53">
        <v>186450</v>
      </c>
      <c r="N53">
        <v>186450</v>
      </c>
      <c r="O53" t="b">
        <v>1</v>
      </c>
      <c r="P53">
        <v>0</v>
      </c>
      <c r="Q53">
        <v>0</v>
      </c>
      <c r="R53" t="b">
        <v>1</v>
      </c>
      <c r="S53">
        <v>0</v>
      </c>
      <c r="T53">
        <v>0</v>
      </c>
      <c r="U53" t="b">
        <v>1</v>
      </c>
      <c r="V53">
        <v>0</v>
      </c>
      <c r="W53">
        <v>0</v>
      </c>
      <c r="X53" t="b">
        <v>1</v>
      </c>
      <c r="Y53">
        <v>15000</v>
      </c>
      <c r="Z53">
        <v>15000</v>
      </c>
      <c r="AA53" t="b">
        <v>1</v>
      </c>
      <c r="AB53">
        <v>15000</v>
      </c>
      <c r="AC53">
        <v>15000</v>
      </c>
      <c r="AD53" t="b">
        <v>1</v>
      </c>
      <c r="AE53">
        <v>0</v>
      </c>
      <c r="AF53">
        <v>0</v>
      </c>
      <c r="AG53" t="b">
        <v>1</v>
      </c>
      <c r="AH53">
        <v>0</v>
      </c>
      <c r="AI53">
        <v>0</v>
      </c>
      <c r="AJ53" t="b">
        <v>1</v>
      </c>
      <c r="AK53">
        <v>186450</v>
      </c>
      <c r="AL53">
        <v>186450</v>
      </c>
      <c r="AM53" t="b">
        <v>1</v>
      </c>
    </row>
    <row r="54" spans="1:39">
      <c r="A54">
        <v>45758</v>
      </c>
      <c r="B54" t="s">
        <v>27</v>
      </c>
      <c r="C54" t="s">
        <v>120</v>
      </c>
      <c r="D54" t="s">
        <v>228</v>
      </c>
      <c r="E54" t="s">
        <v>518</v>
      </c>
      <c r="F54" t="s">
        <v>519</v>
      </c>
      <c r="G54">
        <v>0</v>
      </c>
      <c r="H54">
        <v>0</v>
      </c>
      <c r="I54" t="b">
        <v>1</v>
      </c>
      <c r="J54">
        <v>197144</v>
      </c>
      <c r="K54">
        <v>197144</v>
      </c>
      <c r="L54" t="b">
        <v>1</v>
      </c>
      <c r="M54">
        <v>0</v>
      </c>
      <c r="N54">
        <v>0</v>
      </c>
      <c r="O54" t="b">
        <v>1</v>
      </c>
      <c r="P54">
        <v>0</v>
      </c>
      <c r="Q54">
        <v>0</v>
      </c>
      <c r="R54" t="b">
        <v>1</v>
      </c>
      <c r="S54">
        <v>197144</v>
      </c>
      <c r="T54">
        <v>197144</v>
      </c>
      <c r="U54" t="b">
        <v>1</v>
      </c>
      <c r="V54">
        <v>88880</v>
      </c>
      <c r="W54">
        <v>88880</v>
      </c>
      <c r="X54" t="b">
        <v>1</v>
      </c>
      <c r="Y54">
        <v>126380</v>
      </c>
      <c r="Z54">
        <v>126380</v>
      </c>
      <c r="AA54" t="b">
        <v>1</v>
      </c>
      <c r="AB54">
        <v>27392.32</v>
      </c>
      <c r="AC54">
        <v>27392.32</v>
      </c>
      <c r="AD54" t="b">
        <v>1</v>
      </c>
      <c r="AE54">
        <v>0</v>
      </c>
      <c r="AF54">
        <v>0</v>
      </c>
      <c r="AG54" t="b">
        <v>1</v>
      </c>
      <c r="AH54">
        <v>153772.32</v>
      </c>
      <c r="AI54">
        <v>153772.32</v>
      </c>
      <c r="AJ54" t="b">
        <v>1</v>
      </c>
      <c r="AK54">
        <v>88880</v>
      </c>
      <c r="AL54">
        <v>88880</v>
      </c>
      <c r="AM54" t="b">
        <v>1</v>
      </c>
    </row>
    <row r="55" spans="1:39">
      <c r="A55">
        <v>45758</v>
      </c>
      <c r="B55" t="s">
        <v>27</v>
      </c>
      <c r="C55" t="s">
        <v>120</v>
      </c>
      <c r="D55" t="s">
        <v>104</v>
      </c>
      <c r="E55" t="s">
        <v>230</v>
      </c>
      <c r="F55" t="s">
        <v>520</v>
      </c>
      <c r="G55">
        <v>1200000</v>
      </c>
      <c r="H55">
        <v>1200000</v>
      </c>
      <c r="I55" t="b">
        <v>1</v>
      </c>
      <c r="J55">
        <v>0</v>
      </c>
      <c r="K55">
        <v>0</v>
      </c>
      <c r="L55" t="b">
        <v>1</v>
      </c>
      <c r="M55">
        <v>0</v>
      </c>
      <c r="N55">
        <v>0</v>
      </c>
      <c r="O55" t="b">
        <v>1</v>
      </c>
      <c r="P55">
        <v>0</v>
      </c>
      <c r="Q55">
        <v>0</v>
      </c>
      <c r="R55" t="b">
        <v>1</v>
      </c>
      <c r="S55">
        <v>0</v>
      </c>
      <c r="T55">
        <v>0</v>
      </c>
      <c r="U55" t="b">
        <v>1</v>
      </c>
      <c r="V55">
        <v>1200000</v>
      </c>
      <c r="W55">
        <v>1200000</v>
      </c>
      <c r="X55" t="b">
        <v>1</v>
      </c>
      <c r="Y55">
        <v>0</v>
      </c>
      <c r="Z55">
        <v>0</v>
      </c>
      <c r="AA55" t="b">
        <v>1</v>
      </c>
      <c r="AB55">
        <v>0</v>
      </c>
      <c r="AC55">
        <v>0</v>
      </c>
      <c r="AD55" t="b">
        <v>1</v>
      </c>
      <c r="AE55">
        <v>0</v>
      </c>
      <c r="AF55">
        <v>0</v>
      </c>
      <c r="AG55" t="b">
        <v>1</v>
      </c>
      <c r="AH55">
        <v>0</v>
      </c>
      <c r="AI55">
        <v>0</v>
      </c>
      <c r="AJ55" t="b">
        <v>1</v>
      </c>
      <c r="AK55">
        <v>0</v>
      </c>
      <c r="AL55">
        <v>0</v>
      </c>
      <c r="AM55" t="b">
        <v>1</v>
      </c>
    </row>
    <row r="56" spans="1:39">
      <c r="A56">
        <v>45758</v>
      </c>
      <c r="B56" t="s">
        <v>27</v>
      </c>
      <c r="C56" t="s">
        <v>120</v>
      </c>
      <c r="D56" t="s">
        <v>138</v>
      </c>
      <c r="E56" t="s">
        <v>231</v>
      </c>
      <c r="F56" t="s">
        <v>521</v>
      </c>
      <c r="G56">
        <v>0</v>
      </c>
      <c r="H56">
        <v>0</v>
      </c>
      <c r="I56" t="b">
        <v>1</v>
      </c>
      <c r="J56">
        <v>17248</v>
      </c>
      <c r="K56">
        <v>17248</v>
      </c>
      <c r="L56" t="b">
        <v>1</v>
      </c>
      <c r="M56">
        <v>17248</v>
      </c>
      <c r="N56">
        <v>17248</v>
      </c>
      <c r="O56" t="b">
        <v>1</v>
      </c>
      <c r="P56">
        <v>0</v>
      </c>
      <c r="Q56">
        <v>0</v>
      </c>
      <c r="R56" t="b">
        <v>1</v>
      </c>
      <c r="S56">
        <v>0</v>
      </c>
      <c r="T56">
        <v>0</v>
      </c>
      <c r="U56" t="b">
        <v>1</v>
      </c>
      <c r="V56">
        <v>0</v>
      </c>
      <c r="W56">
        <v>0</v>
      </c>
      <c r="X56" t="b">
        <v>1</v>
      </c>
      <c r="Y56">
        <v>0</v>
      </c>
      <c r="Z56">
        <v>0</v>
      </c>
      <c r="AA56" t="b">
        <v>1</v>
      </c>
      <c r="AB56">
        <v>0</v>
      </c>
      <c r="AC56">
        <v>0</v>
      </c>
      <c r="AD56" t="b">
        <v>1</v>
      </c>
      <c r="AE56">
        <v>0</v>
      </c>
      <c r="AF56">
        <v>0</v>
      </c>
      <c r="AG56" t="b">
        <v>1</v>
      </c>
      <c r="AH56">
        <v>0</v>
      </c>
      <c r="AI56">
        <v>0</v>
      </c>
      <c r="AJ56" t="b">
        <v>1</v>
      </c>
      <c r="AK56">
        <v>0</v>
      </c>
      <c r="AL56">
        <v>0</v>
      </c>
      <c r="AM56" t="b">
        <v>1</v>
      </c>
    </row>
    <row r="57" spans="1:39">
      <c r="A57">
        <v>45758</v>
      </c>
      <c r="B57" t="s">
        <v>27</v>
      </c>
      <c r="C57" t="s">
        <v>120</v>
      </c>
      <c r="D57" t="s">
        <v>64</v>
      </c>
      <c r="E57" t="s">
        <v>239</v>
      </c>
      <c r="F57" t="s">
        <v>528</v>
      </c>
      <c r="G57">
        <v>500000</v>
      </c>
      <c r="H57">
        <v>500000</v>
      </c>
      <c r="I57" t="b">
        <v>1</v>
      </c>
      <c r="J57">
        <v>2500043</v>
      </c>
      <c r="K57">
        <v>2500043</v>
      </c>
      <c r="L57" t="b">
        <v>1</v>
      </c>
      <c r="M57">
        <v>2500000</v>
      </c>
      <c r="N57">
        <v>2500000</v>
      </c>
      <c r="O57" t="b">
        <v>1</v>
      </c>
      <c r="P57">
        <v>0</v>
      </c>
      <c r="Q57">
        <v>0</v>
      </c>
      <c r="R57" t="b">
        <v>1</v>
      </c>
      <c r="S57">
        <v>43</v>
      </c>
      <c r="T57">
        <v>43</v>
      </c>
      <c r="U57" t="b">
        <v>1</v>
      </c>
      <c r="V57">
        <v>0</v>
      </c>
      <c r="W57">
        <v>0</v>
      </c>
      <c r="X57" t="b">
        <v>1</v>
      </c>
      <c r="Y57">
        <v>1100000</v>
      </c>
      <c r="Z57">
        <v>1100000</v>
      </c>
      <c r="AA57" t="b">
        <v>1</v>
      </c>
      <c r="AB57">
        <v>1100000</v>
      </c>
      <c r="AC57">
        <v>1100000</v>
      </c>
      <c r="AD57" t="b">
        <v>1</v>
      </c>
      <c r="AE57">
        <v>0</v>
      </c>
      <c r="AF57">
        <v>0</v>
      </c>
      <c r="AG57" t="b">
        <v>1</v>
      </c>
      <c r="AH57">
        <v>0</v>
      </c>
      <c r="AI57">
        <v>0</v>
      </c>
      <c r="AJ57" t="b">
        <v>1</v>
      </c>
      <c r="AK57">
        <v>500000</v>
      </c>
      <c r="AL57">
        <v>500000</v>
      </c>
      <c r="AM57" t="b">
        <v>1</v>
      </c>
    </row>
    <row r="58" spans="1:39">
      <c r="A58">
        <v>45758</v>
      </c>
      <c r="B58" t="s">
        <v>27</v>
      </c>
      <c r="C58" t="s">
        <v>120</v>
      </c>
      <c r="D58" t="s">
        <v>71</v>
      </c>
      <c r="E58" t="s">
        <v>240</v>
      </c>
      <c r="F58" t="s">
        <v>529</v>
      </c>
      <c r="G58">
        <v>0</v>
      </c>
      <c r="H58">
        <v>0</v>
      </c>
      <c r="I58" t="b">
        <v>1</v>
      </c>
      <c r="J58">
        <v>0</v>
      </c>
      <c r="K58">
        <v>0</v>
      </c>
      <c r="L58" t="b">
        <v>1</v>
      </c>
      <c r="M58">
        <v>0</v>
      </c>
      <c r="N58">
        <v>0</v>
      </c>
      <c r="O58" t="b">
        <v>1</v>
      </c>
      <c r="P58">
        <v>0</v>
      </c>
      <c r="Q58">
        <v>0</v>
      </c>
      <c r="R58" t="b">
        <v>1</v>
      </c>
      <c r="S58">
        <v>0</v>
      </c>
      <c r="T58">
        <v>0</v>
      </c>
      <c r="U58" t="b">
        <v>1</v>
      </c>
      <c r="V58">
        <v>0</v>
      </c>
      <c r="W58">
        <v>0</v>
      </c>
      <c r="X58" t="b">
        <v>1</v>
      </c>
      <c r="Y58">
        <v>180000</v>
      </c>
      <c r="Z58">
        <v>180000</v>
      </c>
      <c r="AA58" t="b">
        <v>1</v>
      </c>
      <c r="AB58">
        <v>180000</v>
      </c>
      <c r="AC58">
        <v>180000</v>
      </c>
      <c r="AD58" t="b">
        <v>1</v>
      </c>
      <c r="AE58">
        <v>0</v>
      </c>
      <c r="AF58">
        <v>0</v>
      </c>
      <c r="AG58" t="b">
        <v>1</v>
      </c>
      <c r="AH58">
        <v>0</v>
      </c>
      <c r="AI58">
        <v>0</v>
      </c>
      <c r="AJ58" t="b">
        <v>1</v>
      </c>
      <c r="AK58">
        <v>0</v>
      </c>
      <c r="AL58">
        <v>0</v>
      </c>
      <c r="AM58" t="b">
        <v>1</v>
      </c>
    </row>
    <row r="59" spans="1:39">
      <c r="A59">
        <v>45758</v>
      </c>
      <c r="B59" t="s">
        <v>38</v>
      </c>
      <c r="C59" t="s">
        <v>130</v>
      </c>
      <c r="D59" t="s">
        <v>51</v>
      </c>
      <c r="E59" t="s">
        <v>532</v>
      </c>
      <c r="F59" t="s">
        <v>533</v>
      </c>
      <c r="G59">
        <v>0</v>
      </c>
      <c r="H59">
        <v>0</v>
      </c>
      <c r="I59" t="b">
        <v>1</v>
      </c>
      <c r="J59">
        <v>0</v>
      </c>
      <c r="K59">
        <v>0</v>
      </c>
      <c r="L59" t="b">
        <v>1</v>
      </c>
      <c r="M59">
        <v>0</v>
      </c>
      <c r="N59">
        <v>0</v>
      </c>
      <c r="O59" t="b">
        <v>1</v>
      </c>
      <c r="P59">
        <v>0</v>
      </c>
      <c r="Q59">
        <v>0</v>
      </c>
      <c r="R59" t="b">
        <v>1</v>
      </c>
      <c r="S59">
        <v>0</v>
      </c>
      <c r="T59">
        <v>0</v>
      </c>
      <c r="U59" t="b">
        <v>1</v>
      </c>
      <c r="V59">
        <v>99741.6</v>
      </c>
      <c r="W59">
        <v>99741.6</v>
      </c>
      <c r="X59" t="b">
        <v>1</v>
      </c>
      <c r="Y59">
        <v>119741.6</v>
      </c>
      <c r="Z59">
        <v>119741.6</v>
      </c>
      <c r="AA59" t="b">
        <v>1</v>
      </c>
      <c r="AB59">
        <v>119741</v>
      </c>
      <c r="AC59">
        <v>119741</v>
      </c>
      <c r="AD59" t="b">
        <v>1</v>
      </c>
      <c r="AE59">
        <v>0</v>
      </c>
      <c r="AF59">
        <v>0</v>
      </c>
      <c r="AG59" t="b">
        <v>1</v>
      </c>
      <c r="AH59">
        <v>0.6</v>
      </c>
      <c r="AI59">
        <v>0.6</v>
      </c>
      <c r="AJ59" t="b">
        <v>1</v>
      </c>
      <c r="AK59">
        <v>99741.6</v>
      </c>
      <c r="AL59">
        <v>99741.6</v>
      </c>
      <c r="AM59" t="b">
        <v>1</v>
      </c>
    </row>
    <row r="60" spans="1:39">
      <c r="A60">
        <v>45758</v>
      </c>
      <c r="B60" t="s">
        <v>27</v>
      </c>
      <c r="C60" t="s">
        <v>120</v>
      </c>
      <c r="D60" t="s">
        <v>64</v>
      </c>
      <c r="E60" t="s">
        <v>244</v>
      </c>
      <c r="F60" t="s">
        <v>534</v>
      </c>
      <c r="G60">
        <v>2741972</v>
      </c>
      <c r="H60">
        <v>2741972</v>
      </c>
      <c r="I60" t="b">
        <v>1</v>
      </c>
      <c r="J60">
        <v>0</v>
      </c>
      <c r="K60">
        <v>0</v>
      </c>
      <c r="L60" t="b">
        <v>1</v>
      </c>
      <c r="M60">
        <v>0</v>
      </c>
      <c r="N60">
        <v>0</v>
      </c>
      <c r="O60" t="b">
        <v>1</v>
      </c>
      <c r="P60">
        <v>0</v>
      </c>
      <c r="Q60">
        <v>0</v>
      </c>
      <c r="R60" t="b">
        <v>1</v>
      </c>
      <c r="S60">
        <v>0</v>
      </c>
      <c r="T60">
        <v>0</v>
      </c>
      <c r="U60" t="b">
        <v>1</v>
      </c>
      <c r="V60">
        <v>0</v>
      </c>
      <c r="W60">
        <v>0</v>
      </c>
      <c r="X60" t="b">
        <v>1</v>
      </c>
      <c r="Y60">
        <v>658382</v>
      </c>
      <c r="Z60">
        <v>658382</v>
      </c>
      <c r="AA60" t="b">
        <v>1</v>
      </c>
      <c r="AB60">
        <v>657910</v>
      </c>
      <c r="AC60">
        <v>657910</v>
      </c>
      <c r="AD60" t="b">
        <v>1</v>
      </c>
      <c r="AE60">
        <v>0</v>
      </c>
      <c r="AF60">
        <v>0</v>
      </c>
      <c r="AG60" t="b">
        <v>1</v>
      </c>
      <c r="AH60">
        <v>472</v>
      </c>
      <c r="AI60">
        <v>472</v>
      </c>
      <c r="AJ60" t="b">
        <v>1</v>
      </c>
      <c r="AK60">
        <v>2741972</v>
      </c>
      <c r="AL60">
        <v>2741972</v>
      </c>
      <c r="AM60" t="b">
        <v>1</v>
      </c>
    </row>
    <row r="61" spans="1:39">
      <c r="A61">
        <v>45758</v>
      </c>
      <c r="B61" t="s">
        <v>27</v>
      </c>
      <c r="C61" t="s">
        <v>120</v>
      </c>
      <c r="D61" t="s">
        <v>71</v>
      </c>
      <c r="E61" t="s">
        <v>246</v>
      </c>
      <c r="F61" t="s">
        <v>536</v>
      </c>
      <c r="G61">
        <v>0</v>
      </c>
      <c r="H61">
        <v>0</v>
      </c>
      <c r="I61" t="b">
        <v>1</v>
      </c>
      <c r="J61">
        <v>0</v>
      </c>
      <c r="K61">
        <v>0</v>
      </c>
      <c r="L61" t="b">
        <v>1</v>
      </c>
      <c r="M61">
        <v>0</v>
      </c>
      <c r="N61">
        <v>0</v>
      </c>
      <c r="O61" t="b">
        <v>1</v>
      </c>
      <c r="P61">
        <v>0</v>
      </c>
      <c r="Q61">
        <v>0</v>
      </c>
      <c r="R61" t="b">
        <v>1</v>
      </c>
      <c r="S61">
        <v>0</v>
      </c>
      <c r="T61">
        <v>0</v>
      </c>
      <c r="U61" t="b">
        <v>1</v>
      </c>
      <c r="V61">
        <v>0</v>
      </c>
      <c r="W61">
        <v>0</v>
      </c>
      <c r="X61" t="b">
        <v>1</v>
      </c>
      <c r="Y61">
        <v>26000</v>
      </c>
      <c r="Z61">
        <v>26000</v>
      </c>
      <c r="AA61" t="b">
        <v>1</v>
      </c>
      <c r="AB61">
        <v>26000</v>
      </c>
      <c r="AC61">
        <v>26000</v>
      </c>
      <c r="AD61" t="b">
        <v>1</v>
      </c>
      <c r="AE61">
        <v>0</v>
      </c>
      <c r="AF61">
        <v>0</v>
      </c>
      <c r="AG61" t="b">
        <v>1</v>
      </c>
      <c r="AH61">
        <v>0</v>
      </c>
      <c r="AI61">
        <v>0</v>
      </c>
      <c r="AJ61" t="b">
        <v>1</v>
      </c>
      <c r="AK61">
        <v>0</v>
      </c>
      <c r="AL61">
        <v>0</v>
      </c>
      <c r="AM61" t="b">
        <v>1</v>
      </c>
    </row>
    <row r="62" spans="1:39">
      <c r="A62">
        <v>45758</v>
      </c>
      <c r="B62" t="s">
        <v>31</v>
      </c>
      <c r="C62" t="s">
        <v>115</v>
      </c>
      <c r="D62" t="s">
        <v>248</v>
      </c>
      <c r="E62" t="s">
        <v>249</v>
      </c>
      <c r="F62" t="s">
        <v>538</v>
      </c>
      <c r="G62">
        <v>0</v>
      </c>
      <c r="H62">
        <v>0</v>
      </c>
      <c r="I62" t="b">
        <v>1</v>
      </c>
      <c r="J62">
        <v>339093</v>
      </c>
      <c r="K62">
        <v>339093</v>
      </c>
      <c r="L62" t="b">
        <v>1</v>
      </c>
      <c r="M62">
        <v>339093</v>
      </c>
      <c r="N62">
        <v>339093</v>
      </c>
      <c r="O62" t="b">
        <v>1</v>
      </c>
      <c r="P62">
        <v>0</v>
      </c>
      <c r="Q62">
        <v>0</v>
      </c>
      <c r="R62" t="b">
        <v>1</v>
      </c>
      <c r="S62">
        <v>0</v>
      </c>
      <c r="T62">
        <v>0</v>
      </c>
      <c r="U62" t="b">
        <v>1</v>
      </c>
      <c r="V62">
        <v>0</v>
      </c>
      <c r="W62">
        <v>0</v>
      </c>
      <c r="X62" t="b">
        <v>1</v>
      </c>
      <c r="Y62">
        <v>58820</v>
      </c>
      <c r="Z62">
        <v>58820</v>
      </c>
      <c r="AA62" t="b">
        <v>1</v>
      </c>
      <c r="AB62">
        <v>58820</v>
      </c>
      <c r="AC62">
        <v>58820</v>
      </c>
      <c r="AD62" t="b">
        <v>1</v>
      </c>
      <c r="AE62">
        <v>0</v>
      </c>
      <c r="AF62">
        <v>0</v>
      </c>
      <c r="AG62" t="b">
        <v>1</v>
      </c>
      <c r="AH62">
        <v>0</v>
      </c>
      <c r="AI62">
        <v>0</v>
      </c>
      <c r="AJ62" t="b">
        <v>1</v>
      </c>
      <c r="AK62">
        <v>0</v>
      </c>
      <c r="AL62">
        <v>0</v>
      </c>
      <c r="AM62" t="b">
        <v>1</v>
      </c>
    </row>
    <row r="63" spans="1:39">
      <c r="A63">
        <v>45758</v>
      </c>
      <c r="B63" t="s">
        <v>31</v>
      </c>
      <c r="C63" t="s">
        <v>115</v>
      </c>
      <c r="D63" t="s">
        <v>45</v>
      </c>
      <c r="E63" t="s">
        <v>250</v>
      </c>
      <c r="F63" t="s">
        <v>539</v>
      </c>
      <c r="G63">
        <v>0</v>
      </c>
      <c r="H63">
        <v>0</v>
      </c>
      <c r="I63" t="b">
        <v>1</v>
      </c>
      <c r="J63">
        <v>0</v>
      </c>
      <c r="K63">
        <v>0</v>
      </c>
      <c r="L63" t="b">
        <v>1</v>
      </c>
      <c r="M63">
        <v>0</v>
      </c>
      <c r="N63">
        <v>0</v>
      </c>
      <c r="O63" t="b">
        <v>1</v>
      </c>
      <c r="P63">
        <v>0</v>
      </c>
      <c r="Q63">
        <v>0</v>
      </c>
      <c r="R63" t="b">
        <v>1</v>
      </c>
      <c r="S63">
        <v>0</v>
      </c>
      <c r="T63">
        <v>0</v>
      </c>
      <c r="U63" t="b">
        <v>1</v>
      </c>
      <c r="V63">
        <v>0</v>
      </c>
      <c r="W63">
        <v>0</v>
      </c>
      <c r="X63" t="b">
        <v>1</v>
      </c>
      <c r="Y63">
        <v>36830</v>
      </c>
      <c r="Z63">
        <v>36830</v>
      </c>
      <c r="AA63" t="b">
        <v>1</v>
      </c>
      <c r="AB63">
        <v>36830</v>
      </c>
      <c r="AC63">
        <v>36830</v>
      </c>
      <c r="AD63" t="b">
        <v>1</v>
      </c>
      <c r="AE63">
        <v>0</v>
      </c>
      <c r="AF63">
        <v>0</v>
      </c>
      <c r="AG63" t="b">
        <v>1</v>
      </c>
      <c r="AH63">
        <v>0</v>
      </c>
      <c r="AI63">
        <v>0</v>
      </c>
      <c r="AJ63" t="b">
        <v>1</v>
      </c>
      <c r="AK63">
        <v>0</v>
      </c>
      <c r="AL63">
        <v>0</v>
      </c>
      <c r="AM63" t="b">
        <v>1</v>
      </c>
    </row>
    <row r="64" spans="1:39">
      <c r="A64">
        <v>45758</v>
      </c>
      <c r="B64" t="s">
        <v>38</v>
      </c>
      <c r="C64" t="s">
        <v>130</v>
      </c>
      <c r="D64" t="s">
        <v>62</v>
      </c>
      <c r="E64" t="s">
        <v>251</v>
      </c>
      <c r="F64" t="s">
        <v>540</v>
      </c>
      <c r="G64">
        <v>0</v>
      </c>
      <c r="H64">
        <v>0</v>
      </c>
      <c r="I64" t="b">
        <v>1</v>
      </c>
      <c r="J64">
        <v>2475150</v>
      </c>
      <c r="K64">
        <v>2475150</v>
      </c>
      <c r="L64" t="b">
        <v>1</v>
      </c>
      <c r="M64">
        <v>2475150</v>
      </c>
      <c r="N64">
        <v>2475150</v>
      </c>
      <c r="O64" t="b">
        <v>1</v>
      </c>
      <c r="P64">
        <v>0</v>
      </c>
      <c r="Q64">
        <v>0</v>
      </c>
      <c r="R64" t="b">
        <v>1</v>
      </c>
      <c r="S64">
        <v>0</v>
      </c>
      <c r="T64">
        <v>0</v>
      </c>
      <c r="U64" t="b">
        <v>1</v>
      </c>
      <c r="V64">
        <v>0</v>
      </c>
      <c r="W64">
        <v>0</v>
      </c>
      <c r="X64" t="b">
        <v>1</v>
      </c>
      <c r="Y64">
        <v>187950</v>
      </c>
      <c r="Z64">
        <v>187950</v>
      </c>
      <c r="AA64" t="b">
        <v>1</v>
      </c>
      <c r="AB64">
        <v>187950</v>
      </c>
      <c r="AC64">
        <v>187950</v>
      </c>
      <c r="AD64" t="b">
        <v>1</v>
      </c>
      <c r="AE64">
        <v>0</v>
      </c>
      <c r="AF64">
        <v>0</v>
      </c>
      <c r="AG64" t="b">
        <v>1</v>
      </c>
      <c r="AH64">
        <v>0</v>
      </c>
      <c r="AI64">
        <v>0</v>
      </c>
      <c r="AJ64" t="b">
        <v>1</v>
      </c>
      <c r="AK64">
        <v>0</v>
      </c>
      <c r="AL64">
        <v>0</v>
      </c>
      <c r="AM64" t="b">
        <v>1</v>
      </c>
    </row>
    <row r="65" spans="1:39">
      <c r="A65">
        <v>45758</v>
      </c>
      <c r="B65" t="s">
        <v>27</v>
      </c>
      <c r="C65" t="s">
        <v>120</v>
      </c>
      <c r="D65" t="s">
        <v>140</v>
      </c>
      <c r="E65" t="s">
        <v>252</v>
      </c>
      <c r="F65" t="s">
        <v>541</v>
      </c>
      <c r="G65">
        <v>0</v>
      </c>
      <c r="H65">
        <v>0</v>
      </c>
      <c r="I65" t="b">
        <v>1</v>
      </c>
      <c r="J65">
        <v>0</v>
      </c>
      <c r="K65">
        <v>0</v>
      </c>
      <c r="L65" t="b">
        <v>1</v>
      </c>
      <c r="M65">
        <v>0</v>
      </c>
      <c r="N65">
        <v>0</v>
      </c>
      <c r="O65" t="b">
        <v>1</v>
      </c>
      <c r="P65">
        <v>0</v>
      </c>
      <c r="Q65">
        <v>0</v>
      </c>
      <c r="R65" t="b">
        <v>1</v>
      </c>
      <c r="S65">
        <v>0</v>
      </c>
      <c r="T65">
        <v>0</v>
      </c>
      <c r="U65" t="b">
        <v>1</v>
      </c>
      <c r="V65">
        <v>0</v>
      </c>
      <c r="W65">
        <v>0</v>
      </c>
      <c r="X65" t="b">
        <v>1</v>
      </c>
      <c r="Y65">
        <v>263100</v>
      </c>
      <c r="Z65">
        <v>263100</v>
      </c>
      <c r="AA65" t="b">
        <v>1</v>
      </c>
      <c r="AB65">
        <v>263100</v>
      </c>
      <c r="AC65">
        <v>263100</v>
      </c>
      <c r="AD65" t="b">
        <v>1</v>
      </c>
      <c r="AE65">
        <v>0</v>
      </c>
      <c r="AF65">
        <v>0</v>
      </c>
      <c r="AG65" t="b">
        <v>1</v>
      </c>
      <c r="AH65">
        <v>0</v>
      </c>
      <c r="AI65">
        <v>0</v>
      </c>
      <c r="AJ65" t="b">
        <v>1</v>
      </c>
      <c r="AK65">
        <v>0</v>
      </c>
      <c r="AL65">
        <v>0</v>
      </c>
      <c r="AM65" t="b">
        <v>1</v>
      </c>
    </row>
    <row r="66" spans="1:39">
      <c r="A66">
        <v>45741</v>
      </c>
      <c r="B66" t="s">
        <v>38</v>
      </c>
      <c r="C66" t="s">
        <v>130</v>
      </c>
      <c r="D66" t="s">
        <v>62</v>
      </c>
      <c r="E66" t="s">
        <v>257</v>
      </c>
      <c r="F66" t="s">
        <v>545</v>
      </c>
      <c r="G66">
        <v>0</v>
      </c>
      <c r="H66">
        <v>0</v>
      </c>
      <c r="I66" t="b">
        <v>1</v>
      </c>
      <c r="J66">
        <v>0</v>
      </c>
      <c r="K66">
        <v>0</v>
      </c>
      <c r="L66" t="b">
        <v>1</v>
      </c>
      <c r="M66">
        <v>0</v>
      </c>
      <c r="N66">
        <v>0</v>
      </c>
      <c r="O66" t="b">
        <v>1</v>
      </c>
      <c r="P66">
        <v>0</v>
      </c>
      <c r="Q66">
        <v>0</v>
      </c>
      <c r="R66" t="b">
        <v>1</v>
      </c>
      <c r="S66">
        <v>0</v>
      </c>
      <c r="T66">
        <v>0</v>
      </c>
      <c r="U66" t="b">
        <v>1</v>
      </c>
      <c r="V66">
        <v>0</v>
      </c>
      <c r="W66">
        <v>0</v>
      </c>
      <c r="X66" t="b">
        <v>1</v>
      </c>
      <c r="Y66">
        <v>1312055</v>
      </c>
      <c r="Z66">
        <v>1312055</v>
      </c>
      <c r="AA66" t="b">
        <v>1</v>
      </c>
      <c r="AB66">
        <v>1312055</v>
      </c>
      <c r="AC66">
        <v>1312055</v>
      </c>
      <c r="AD66" t="b">
        <v>1</v>
      </c>
      <c r="AE66">
        <v>0</v>
      </c>
      <c r="AF66">
        <v>0</v>
      </c>
      <c r="AG66" t="b">
        <v>1</v>
      </c>
      <c r="AH66">
        <v>0</v>
      </c>
      <c r="AI66">
        <v>0</v>
      </c>
      <c r="AJ66" t="b">
        <v>1</v>
      </c>
      <c r="AK66">
        <v>0</v>
      </c>
      <c r="AL66">
        <v>0</v>
      </c>
      <c r="AM66" t="b">
        <v>1</v>
      </c>
    </row>
    <row r="67" spans="1:39">
      <c r="A67">
        <v>45741</v>
      </c>
      <c r="B67" t="s">
        <v>31</v>
      </c>
      <c r="C67" t="s">
        <v>115</v>
      </c>
      <c r="D67" t="s">
        <v>89</v>
      </c>
      <c r="E67" t="s">
        <v>258</v>
      </c>
      <c r="F67" t="s">
        <v>546</v>
      </c>
      <c r="G67">
        <v>0</v>
      </c>
      <c r="H67">
        <v>0</v>
      </c>
      <c r="I67" t="b">
        <v>1</v>
      </c>
      <c r="J67">
        <v>0</v>
      </c>
      <c r="K67">
        <v>0</v>
      </c>
      <c r="L67" t="b">
        <v>1</v>
      </c>
      <c r="M67">
        <v>0</v>
      </c>
      <c r="N67">
        <v>0</v>
      </c>
      <c r="O67" t="b">
        <v>1</v>
      </c>
      <c r="P67">
        <v>0</v>
      </c>
      <c r="Q67">
        <v>0</v>
      </c>
      <c r="R67" t="b">
        <v>1</v>
      </c>
      <c r="S67">
        <v>0</v>
      </c>
      <c r="T67">
        <v>0</v>
      </c>
      <c r="U67" t="b">
        <v>1</v>
      </c>
      <c r="V67">
        <v>0</v>
      </c>
      <c r="W67">
        <v>0</v>
      </c>
      <c r="X67" t="b">
        <v>1</v>
      </c>
      <c r="Y67">
        <v>33353</v>
      </c>
      <c r="Z67">
        <v>33353</v>
      </c>
      <c r="AA67" t="b">
        <v>1</v>
      </c>
      <c r="AB67">
        <v>33353</v>
      </c>
      <c r="AC67">
        <v>33353</v>
      </c>
      <c r="AD67" t="b">
        <v>1</v>
      </c>
      <c r="AE67">
        <v>0</v>
      </c>
      <c r="AF67">
        <v>0</v>
      </c>
      <c r="AG67" t="b">
        <v>1</v>
      </c>
      <c r="AH67">
        <v>0</v>
      </c>
      <c r="AI67">
        <v>0</v>
      </c>
      <c r="AJ67" t="b">
        <v>1</v>
      </c>
      <c r="AK67">
        <v>0</v>
      </c>
      <c r="AL67">
        <v>0</v>
      </c>
      <c r="AM67" t="b">
        <v>1</v>
      </c>
    </row>
    <row r="68" spans="1:39">
      <c r="A68">
        <v>45741</v>
      </c>
      <c r="B68" t="s">
        <v>38</v>
      </c>
      <c r="C68" t="s">
        <v>130</v>
      </c>
      <c r="D68" t="s">
        <v>99</v>
      </c>
      <c r="E68" t="s">
        <v>261</v>
      </c>
      <c r="F68" t="s">
        <v>549</v>
      </c>
      <c r="G68">
        <v>0</v>
      </c>
      <c r="H68">
        <v>0</v>
      </c>
      <c r="I68" t="b">
        <v>1</v>
      </c>
      <c r="J68">
        <v>0</v>
      </c>
      <c r="K68">
        <v>0</v>
      </c>
      <c r="L68" t="b">
        <v>1</v>
      </c>
      <c r="M68">
        <v>0</v>
      </c>
      <c r="N68">
        <v>0</v>
      </c>
      <c r="O68" t="b">
        <v>1</v>
      </c>
      <c r="P68">
        <v>0</v>
      </c>
      <c r="Q68">
        <v>0</v>
      </c>
      <c r="R68" t="b">
        <v>1</v>
      </c>
      <c r="S68">
        <v>0</v>
      </c>
      <c r="T68">
        <v>0</v>
      </c>
      <c r="U68" t="b">
        <v>1</v>
      </c>
      <c r="V68">
        <v>0</v>
      </c>
      <c r="W68">
        <v>0</v>
      </c>
      <c r="X68" t="b">
        <v>1</v>
      </c>
      <c r="Y68">
        <v>55000</v>
      </c>
      <c r="Z68">
        <v>55000</v>
      </c>
      <c r="AA68" t="b">
        <v>1</v>
      </c>
      <c r="AB68">
        <v>55000</v>
      </c>
      <c r="AC68">
        <v>55000</v>
      </c>
      <c r="AD68" t="b">
        <v>1</v>
      </c>
      <c r="AE68">
        <v>0</v>
      </c>
      <c r="AF68">
        <v>0</v>
      </c>
      <c r="AG68" t="b">
        <v>1</v>
      </c>
      <c r="AH68">
        <v>0</v>
      </c>
      <c r="AI68">
        <v>0</v>
      </c>
      <c r="AJ68" t="b">
        <v>1</v>
      </c>
      <c r="AK68">
        <v>0</v>
      </c>
      <c r="AL68">
        <v>0</v>
      </c>
      <c r="AM68" t="b">
        <v>1</v>
      </c>
    </row>
    <row r="69" spans="1:39">
      <c r="A69">
        <v>45741</v>
      </c>
      <c r="B69" t="s">
        <v>31</v>
      </c>
      <c r="C69" t="s">
        <v>115</v>
      </c>
      <c r="D69" t="s">
        <v>87</v>
      </c>
      <c r="E69" t="s">
        <v>264</v>
      </c>
      <c r="F69" t="s">
        <v>552</v>
      </c>
      <c r="G69">
        <v>0</v>
      </c>
      <c r="H69">
        <v>0</v>
      </c>
      <c r="I69" t="b">
        <v>1</v>
      </c>
      <c r="J69">
        <v>0</v>
      </c>
      <c r="K69">
        <v>0</v>
      </c>
      <c r="L69" t="b">
        <v>1</v>
      </c>
      <c r="M69">
        <v>0</v>
      </c>
      <c r="N69">
        <v>0</v>
      </c>
      <c r="O69" t="b">
        <v>1</v>
      </c>
      <c r="P69">
        <v>0</v>
      </c>
      <c r="Q69">
        <v>0</v>
      </c>
      <c r="R69" t="b">
        <v>1</v>
      </c>
      <c r="S69">
        <v>0</v>
      </c>
      <c r="T69">
        <v>0</v>
      </c>
      <c r="U69" t="b">
        <v>1</v>
      </c>
      <c r="V69">
        <v>0</v>
      </c>
      <c r="W69">
        <v>0</v>
      </c>
      <c r="X69" t="b">
        <v>1</v>
      </c>
      <c r="Y69">
        <v>585000.79</v>
      </c>
      <c r="Z69">
        <v>585000.79</v>
      </c>
      <c r="AA69" t="b">
        <v>1</v>
      </c>
      <c r="AB69">
        <v>585000.79</v>
      </c>
      <c r="AC69">
        <v>585000.79</v>
      </c>
      <c r="AD69" t="b">
        <v>1</v>
      </c>
      <c r="AE69">
        <v>0</v>
      </c>
      <c r="AF69">
        <v>0</v>
      </c>
      <c r="AG69" t="b">
        <v>1</v>
      </c>
      <c r="AH69">
        <v>0</v>
      </c>
      <c r="AI69">
        <v>0</v>
      </c>
      <c r="AJ69" t="b">
        <v>1</v>
      </c>
      <c r="AK69">
        <v>0</v>
      </c>
      <c r="AL69">
        <v>0</v>
      </c>
      <c r="AM69" t="b">
        <v>1</v>
      </c>
    </row>
    <row r="70" spans="1:39">
      <c r="A70">
        <v>45741</v>
      </c>
      <c r="B70" t="s">
        <v>27</v>
      </c>
      <c r="C70" t="s">
        <v>120</v>
      </c>
      <c r="D70" t="s">
        <v>71</v>
      </c>
      <c r="E70" t="s">
        <v>267</v>
      </c>
      <c r="F70" t="s">
        <v>554</v>
      </c>
      <c r="G70">
        <v>399072.26</v>
      </c>
      <c r="H70">
        <v>399072.26</v>
      </c>
      <c r="I70" t="b">
        <v>1</v>
      </c>
      <c r="J70">
        <v>399072.26</v>
      </c>
      <c r="K70">
        <v>399072.26</v>
      </c>
      <c r="L70" t="b">
        <v>1</v>
      </c>
      <c r="M70">
        <v>0</v>
      </c>
      <c r="N70">
        <v>0</v>
      </c>
      <c r="O70" t="b">
        <v>1</v>
      </c>
      <c r="P70">
        <v>399072.26</v>
      </c>
      <c r="Q70">
        <v>399072.26</v>
      </c>
      <c r="R70" t="b">
        <v>1</v>
      </c>
      <c r="S70">
        <v>0</v>
      </c>
      <c r="T70">
        <v>0</v>
      </c>
      <c r="U70" t="b">
        <v>1</v>
      </c>
      <c r="V70">
        <v>0</v>
      </c>
      <c r="W70">
        <v>0</v>
      </c>
      <c r="X70" t="b">
        <v>1</v>
      </c>
      <c r="Y70">
        <v>0</v>
      </c>
      <c r="Z70">
        <v>0</v>
      </c>
      <c r="AA70" t="b">
        <v>1</v>
      </c>
      <c r="AB70">
        <v>0</v>
      </c>
      <c r="AC70">
        <v>0</v>
      </c>
      <c r="AD70" t="b">
        <v>1</v>
      </c>
      <c r="AE70">
        <v>0</v>
      </c>
      <c r="AF70">
        <v>0</v>
      </c>
      <c r="AG70" t="b">
        <v>1</v>
      </c>
      <c r="AH70">
        <v>0</v>
      </c>
      <c r="AI70">
        <v>0</v>
      </c>
      <c r="AJ70" t="b">
        <v>1</v>
      </c>
      <c r="AK70">
        <v>399072.26</v>
      </c>
      <c r="AL70">
        <v>399072.26</v>
      </c>
      <c r="AM70" t="b">
        <v>1</v>
      </c>
    </row>
    <row r="71" spans="1:39">
      <c r="A71">
        <v>45741</v>
      </c>
      <c r="B71" t="s">
        <v>59</v>
      </c>
      <c r="C71" t="s">
        <v>115</v>
      </c>
      <c r="D71" t="s">
        <v>60</v>
      </c>
      <c r="E71" t="s">
        <v>268</v>
      </c>
      <c r="F71" t="s">
        <v>555</v>
      </c>
      <c r="G71">
        <v>207625</v>
      </c>
      <c r="H71">
        <v>207625</v>
      </c>
      <c r="I71" t="b">
        <v>1</v>
      </c>
      <c r="J71">
        <v>1668425</v>
      </c>
      <c r="K71">
        <v>1668425</v>
      </c>
      <c r="L71" t="b">
        <v>1</v>
      </c>
      <c r="M71">
        <v>1668425</v>
      </c>
      <c r="N71">
        <v>1668425</v>
      </c>
      <c r="O71" t="b">
        <v>1</v>
      </c>
      <c r="P71">
        <v>0</v>
      </c>
      <c r="Q71">
        <v>0</v>
      </c>
      <c r="R71" t="b">
        <v>1</v>
      </c>
      <c r="S71">
        <v>0</v>
      </c>
      <c r="T71">
        <v>0</v>
      </c>
      <c r="U71" t="b">
        <v>1</v>
      </c>
      <c r="V71">
        <v>0</v>
      </c>
      <c r="W71">
        <v>0</v>
      </c>
      <c r="X71" t="b">
        <v>1</v>
      </c>
      <c r="Y71">
        <v>0</v>
      </c>
      <c r="Z71">
        <v>0</v>
      </c>
      <c r="AA71" t="b">
        <v>1</v>
      </c>
      <c r="AB71">
        <v>0</v>
      </c>
      <c r="AC71">
        <v>0</v>
      </c>
      <c r="AD71" t="b">
        <v>1</v>
      </c>
      <c r="AE71">
        <v>0</v>
      </c>
      <c r="AF71">
        <v>0</v>
      </c>
      <c r="AG71" t="b">
        <v>1</v>
      </c>
      <c r="AH71">
        <v>0</v>
      </c>
      <c r="AI71">
        <v>0</v>
      </c>
      <c r="AJ71" t="b">
        <v>1</v>
      </c>
      <c r="AK71">
        <v>207625</v>
      </c>
      <c r="AL71">
        <v>207625</v>
      </c>
      <c r="AM71" t="b">
        <v>1</v>
      </c>
    </row>
    <row r="72" spans="1:39">
      <c r="A72">
        <v>45741</v>
      </c>
      <c r="B72" t="s">
        <v>59</v>
      </c>
      <c r="C72" t="s">
        <v>115</v>
      </c>
      <c r="D72" t="s">
        <v>151</v>
      </c>
      <c r="E72" t="s">
        <v>269</v>
      </c>
      <c r="F72" t="s">
        <v>556</v>
      </c>
      <c r="G72">
        <v>0</v>
      </c>
      <c r="H72">
        <v>0</v>
      </c>
      <c r="I72" t="b">
        <v>1</v>
      </c>
      <c r="J72">
        <v>0</v>
      </c>
      <c r="K72">
        <v>0</v>
      </c>
      <c r="L72" t="b">
        <v>1</v>
      </c>
      <c r="M72">
        <v>0</v>
      </c>
      <c r="N72">
        <v>0</v>
      </c>
      <c r="O72" t="b">
        <v>1</v>
      </c>
      <c r="P72">
        <v>0</v>
      </c>
      <c r="Q72">
        <v>0</v>
      </c>
      <c r="R72" t="b">
        <v>1</v>
      </c>
      <c r="S72">
        <v>0</v>
      </c>
      <c r="T72">
        <v>0</v>
      </c>
      <c r="U72" t="b">
        <v>1</v>
      </c>
      <c r="V72">
        <v>0</v>
      </c>
      <c r="W72">
        <v>0</v>
      </c>
      <c r="X72" t="b">
        <v>1</v>
      </c>
      <c r="Y72">
        <v>15407</v>
      </c>
      <c r="Z72">
        <v>15407</v>
      </c>
      <c r="AA72" t="b">
        <v>1</v>
      </c>
      <c r="AB72">
        <v>15407</v>
      </c>
      <c r="AC72">
        <v>15407</v>
      </c>
      <c r="AD72" t="b">
        <v>1</v>
      </c>
      <c r="AE72">
        <v>0</v>
      </c>
      <c r="AF72">
        <v>0</v>
      </c>
      <c r="AG72" t="b">
        <v>1</v>
      </c>
      <c r="AH72">
        <v>0</v>
      </c>
      <c r="AI72">
        <v>0</v>
      </c>
      <c r="AJ72" t="b">
        <v>1</v>
      </c>
      <c r="AK72">
        <v>0</v>
      </c>
      <c r="AL72">
        <v>0</v>
      </c>
      <c r="AM72" t="b">
        <v>1</v>
      </c>
    </row>
    <row r="73" spans="1:39">
      <c r="A73">
        <v>45741</v>
      </c>
      <c r="B73" t="s">
        <v>27</v>
      </c>
      <c r="C73" t="s">
        <v>120</v>
      </c>
      <c r="D73" t="s">
        <v>270</v>
      </c>
      <c r="E73" t="s">
        <v>271</v>
      </c>
      <c r="F73" t="s">
        <v>557</v>
      </c>
      <c r="G73">
        <v>0</v>
      </c>
      <c r="H73">
        <v>0</v>
      </c>
      <c r="I73" t="b">
        <v>1</v>
      </c>
      <c r="J73">
        <v>0</v>
      </c>
      <c r="K73">
        <v>0</v>
      </c>
      <c r="L73" t="b">
        <v>1</v>
      </c>
      <c r="M73">
        <v>0</v>
      </c>
      <c r="N73">
        <v>0</v>
      </c>
      <c r="O73" t="b">
        <v>1</v>
      </c>
      <c r="P73">
        <v>0</v>
      </c>
      <c r="Q73">
        <v>0</v>
      </c>
      <c r="R73" t="b">
        <v>1</v>
      </c>
      <c r="S73">
        <v>0</v>
      </c>
      <c r="T73">
        <v>0</v>
      </c>
      <c r="U73" t="b">
        <v>1</v>
      </c>
      <c r="V73">
        <v>0</v>
      </c>
      <c r="W73">
        <v>0</v>
      </c>
      <c r="X73" t="b">
        <v>1</v>
      </c>
      <c r="Y73">
        <v>14500</v>
      </c>
      <c r="Z73">
        <v>14500</v>
      </c>
      <c r="AA73" t="b">
        <v>1</v>
      </c>
      <c r="AB73">
        <v>14500</v>
      </c>
      <c r="AC73">
        <v>14500</v>
      </c>
      <c r="AD73" t="b">
        <v>1</v>
      </c>
      <c r="AE73">
        <v>0</v>
      </c>
      <c r="AF73">
        <v>0</v>
      </c>
      <c r="AG73" t="b">
        <v>1</v>
      </c>
      <c r="AH73">
        <v>0</v>
      </c>
      <c r="AI73">
        <v>0</v>
      </c>
      <c r="AJ73" t="b">
        <v>1</v>
      </c>
      <c r="AK73">
        <v>0</v>
      </c>
      <c r="AL73">
        <v>0</v>
      </c>
      <c r="AM73" t="b">
        <v>1</v>
      </c>
    </row>
    <row r="74" spans="1:39">
      <c r="A74">
        <v>45741</v>
      </c>
      <c r="B74" t="s">
        <v>31</v>
      </c>
      <c r="C74" t="s">
        <v>115</v>
      </c>
      <c r="D74" t="s">
        <v>272</v>
      </c>
      <c r="E74" t="s">
        <v>273</v>
      </c>
      <c r="F74" t="s">
        <v>558</v>
      </c>
      <c r="G74">
        <v>175142</v>
      </c>
      <c r="H74">
        <v>175142</v>
      </c>
      <c r="I74" t="b">
        <v>1</v>
      </c>
      <c r="J74">
        <v>175142</v>
      </c>
      <c r="K74">
        <v>175142</v>
      </c>
      <c r="L74" t="b">
        <v>1</v>
      </c>
      <c r="M74">
        <v>175142</v>
      </c>
      <c r="N74">
        <v>175142</v>
      </c>
      <c r="O74" t="b">
        <v>1</v>
      </c>
      <c r="P74">
        <v>0</v>
      </c>
      <c r="Q74">
        <v>0</v>
      </c>
      <c r="R74" t="b">
        <v>1</v>
      </c>
      <c r="S74">
        <v>0</v>
      </c>
      <c r="T74">
        <v>0</v>
      </c>
      <c r="U74" t="b">
        <v>1</v>
      </c>
      <c r="V74">
        <v>140066</v>
      </c>
      <c r="W74">
        <v>140066</v>
      </c>
      <c r="X74" t="b">
        <v>1</v>
      </c>
      <c r="Y74">
        <v>192445</v>
      </c>
      <c r="Z74">
        <v>192445</v>
      </c>
      <c r="AA74" t="b">
        <v>1</v>
      </c>
      <c r="AB74">
        <v>192445</v>
      </c>
      <c r="AC74">
        <v>192445</v>
      </c>
      <c r="AD74" t="b">
        <v>1</v>
      </c>
      <c r="AE74">
        <v>0</v>
      </c>
      <c r="AF74">
        <v>0</v>
      </c>
      <c r="AG74" t="b">
        <v>1</v>
      </c>
      <c r="AH74">
        <v>0</v>
      </c>
      <c r="AI74">
        <v>0</v>
      </c>
      <c r="AJ74" t="b">
        <v>1</v>
      </c>
      <c r="AK74">
        <v>35076</v>
      </c>
      <c r="AL74">
        <v>35076</v>
      </c>
      <c r="AM74" t="b">
        <v>1</v>
      </c>
    </row>
    <row r="75" spans="1:39">
      <c r="A75">
        <v>45741</v>
      </c>
      <c r="B75" t="s">
        <v>27</v>
      </c>
      <c r="C75" t="s">
        <v>120</v>
      </c>
      <c r="D75" t="s">
        <v>47</v>
      </c>
      <c r="E75" t="s">
        <v>274</v>
      </c>
      <c r="F75" t="s">
        <v>559</v>
      </c>
      <c r="G75">
        <v>0</v>
      </c>
      <c r="H75">
        <v>0</v>
      </c>
      <c r="I75" t="b">
        <v>1</v>
      </c>
      <c r="J75">
        <v>0</v>
      </c>
      <c r="K75">
        <v>0</v>
      </c>
      <c r="L75" t="b">
        <v>1</v>
      </c>
      <c r="M75">
        <v>1232800</v>
      </c>
      <c r="N75">
        <v>1232800</v>
      </c>
      <c r="O75" t="b">
        <v>1</v>
      </c>
      <c r="P75">
        <v>0</v>
      </c>
      <c r="Q75">
        <v>0</v>
      </c>
      <c r="R75" t="b">
        <v>1</v>
      </c>
      <c r="S75">
        <v>1232800</v>
      </c>
      <c r="T75">
        <v>1232800</v>
      </c>
      <c r="U75" t="b">
        <v>1</v>
      </c>
      <c r="V75">
        <v>54100</v>
      </c>
      <c r="W75">
        <v>54100</v>
      </c>
      <c r="X75" t="b">
        <v>1</v>
      </c>
      <c r="Y75">
        <v>54100</v>
      </c>
      <c r="Z75">
        <v>54100</v>
      </c>
      <c r="AA75" t="b">
        <v>1</v>
      </c>
      <c r="AB75">
        <v>907484</v>
      </c>
      <c r="AC75">
        <v>907484</v>
      </c>
      <c r="AD75" t="b">
        <v>1</v>
      </c>
      <c r="AE75">
        <v>0</v>
      </c>
      <c r="AF75">
        <v>0</v>
      </c>
      <c r="AG75" t="b">
        <v>1</v>
      </c>
      <c r="AH75">
        <v>961584</v>
      </c>
      <c r="AI75">
        <v>961584</v>
      </c>
      <c r="AJ75" t="b">
        <v>1</v>
      </c>
      <c r="AK75">
        <v>54100</v>
      </c>
      <c r="AL75">
        <v>54100</v>
      </c>
      <c r="AM75" t="b">
        <v>1</v>
      </c>
    </row>
    <row r="76" spans="1:39">
      <c r="A76">
        <v>45741</v>
      </c>
      <c r="B76" t="s">
        <v>31</v>
      </c>
      <c r="C76" t="s">
        <v>115</v>
      </c>
      <c r="D76" t="s">
        <v>277</v>
      </c>
      <c r="E76" t="s">
        <v>278</v>
      </c>
      <c r="F76" t="s">
        <v>561</v>
      </c>
      <c r="G76">
        <v>317178.4</v>
      </c>
      <c r="H76">
        <v>317178.4</v>
      </c>
      <c r="I76" t="b">
        <v>1</v>
      </c>
      <c r="J76">
        <v>317178.4</v>
      </c>
      <c r="K76">
        <v>317178.4</v>
      </c>
      <c r="L76" t="b">
        <v>1</v>
      </c>
      <c r="M76">
        <v>317178</v>
      </c>
      <c r="N76">
        <v>317178</v>
      </c>
      <c r="O76" t="b">
        <v>1</v>
      </c>
      <c r="P76">
        <v>0</v>
      </c>
      <c r="Q76">
        <v>0</v>
      </c>
      <c r="R76" t="b">
        <v>1</v>
      </c>
      <c r="S76">
        <v>0.4</v>
      </c>
      <c r="T76">
        <v>0.4</v>
      </c>
      <c r="U76" t="b">
        <v>1</v>
      </c>
      <c r="V76">
        <v>0</v>
      </c>
      <c r="W76">
        <v>0</v>
      </c>
      <c r="X76" t="b">
        <v>1</v>
      </c>
      <c r="Y76">
        <v>58437.5</v>
      </c>
      <c r="Z76">
        <v>58437.5</v>
      </c>
      <c r="AA76" t="b">
        <v>1</v>
      </c>
      <c r="AB76">
        <v>58437.5</v>
      </c>
      <c r="AC76">
        <v>58437.5</v>
      </c>
      <c r="AD76" t="b">
        <v>1</v>
      </c>
      <c r="AE76">
        <v>0</v>
      </c>
      <c r="AF76">
        <v>0</v>
      </c>
      <c r="AG76" t="b">
        <v>1</v>
      </c>
      <c r="AH76">
        <v>0</v>
      </c>
      <c r="AI76">
        <v>0</v>
      </c>
      <c r="AJ76" t="b">
        <v>1</v>
      </c>
      <c r="AK76">
        <v>317178.4</v>
      </c>
      <c r="AL76">
        <v>317178.4</v>
      </c>
      <c r="AM76" t="b">
        <v>1</v>
      </c>
    </row>
    <row r="77" spans="1:39">
      <c r="A77">
        <v>45741</v>
      </c>
      <c r="B77" t="s">
        <v>27</v>
      </c>
      <c r="C77" t="s">
        <v>120</v>
      </c>
      <c r="D77" t="s">
        <v>214</v>
      </c>
      <c r="E77" t="s">
        <v>279</v>
      </c>
      <c r="F77" t="s">
        <v>562</v>
      </c>
      <c r="G77">
        <v>5492385.06</v>
      </c>
      <c r="H77">
        <v>5492385.06</v>
      </c>
      <c r="I77" t="b">
        <v>1</v>
      </c>
      <c r="J77">
        <v>5492385.06</v>
      </c>
      <c r="K77">
        <v>5492385.06</v>
      </c>
      <c r="L77" t="b">
        <v>1</v>
      </c>
      <c r="M77">
        <v>5492385.06</v>
      </c>
      <c r="N77">
        <v>5492385.06</v>
      </c>
      <c r="O77" t="b">
        <v>1</v>
      </c>
      <c r="P77">
        <v>0</v>
      </c>
      <c r="Q77">
        <v>0</v>
      </c>
      <c r="R77" t="b">
        <v>1</v>
      </c>
      <c r="S77">
        <v>0</v>
      </c>
      <c r="T77">
        <v>0</v>
      </c>
      <c r="U77" t="b">
        <v>1</v>
      </c>
      <c r="V77">
        <v>0</v>
      </c>
      <c r="W77">
        <v>0</v>
      </c>
      <c r="X77" t="b">
        <v>1</v>
      </c>
      <c r="Y77">
        <v>350000</v>
      </c>
      <c r="Z77">
        <v>350000</v>
      </c>
      <c r="AA77" t="b">
        <v>1</v>
      </c>
      <c r="AB77">
        <v>350000</v>
      </c>
      <c r="AC77">
        <v>350000</v>
      </c>
      <c r="AD77" t="b">
        <v>1</v>
      </c>
      <c r="AE77">
        <v>0</v>
      </c>
      <c r="AF77">
        <v>0</v>
      </c>
      <c r="AG77" t="b">
        <v>1</v>
      </c>
      <c r="AH77">
        <v>0</v>
      </c>
      <c r="AI77">
        <v>0</v>
      </c>
      <c r="AJ77" t="b">
        <v>1</v>
      </c>
      <c r="AK77">
        <v>5492385.06</v>
      </c>
      <c r="AL77">
        <v>5492385.06</v>
      </c>
      <c r="AM77" t="b">
        <v>1</v>
      </c>
    </row>
    <row r="78" spans="1:39">
      <c r="A78">
        <v>45741</v>
      </c>
      <c r="B78" t="s">
        <v>59</v>
      </c>
      <c r="C78" t="s">
        <v>115</v>
      </c>
      <c r="D78" t="s">
        <v>60</v>
      </c>
      <c r="E78" t="s">
        <v>280</v>
      </c>
      <c r="F78" t="s">
        <v>563</v>
      </c>
      <c r="G78">
        <v>0</v>
      </c>
      <c r="H78">
        <v>0</v>
      </c>
      <c r="I78" t="b">
        <v>1</v>
      </c>
      <c r="J78">
        <v>0</v>
      </c>
      <c r="K78">
        <v>0</v>
      </c>
      <c r="L78" t="b">
        <v>1</v>
      </c>
      <c r="M78">
        <v>0</v>
      </c>
      <c r="N78">
        <v>0</v>
      </c>
      <c r="O78" t="b">
        <v>1</v>
      </c>
      <c r="P78">
        <v>0</v>
      </c>
      <c r="Q78">
        <v>0</v>
      </c>
      <c r="R78" t="b">
        <v>1</v>
      </c>
      <c r="S78">
        <v>0</v>
      </c>
      <c r="T78">
        <v>0</v>
      </c>
      <c r="U78" t="b">
        <v>1</v>
      </c>
      <c r="V78">
        <v>0</v>
      </c>
      <c r="W78">
        <v>0</v>
      </c>
      <c r="X78" t="b">
        <v>1</v>
      </c>
      <c r="Y78">
        <v>0</v>
      </c>
      <c r="Z78">
        <v>0</v>
      </c>
      <c r="AA78" t="b">
        <v>1</v>
      </c>
      <c r="AB78">
        <v>34233</v>
      </c>
      <c r="AC78">
        <v>34233</v>
      </c>
      <c r="AD78" t="b">
        <v>1</v>
      </c>
      <c r="AE78">
        <v>126649</v>
      </c>
      <c r="AF78">
        <v>126649</v>
      </c>
      <c r="AG78" t="b">
        <v>1</v>
      </c>
      <c r="AH78">
        <v>92416</v>
      </c>
      <c r="AI78">
        <v>92416</v>
      </c>
      <c r="AJ78" t="b">
        <v>1</v>
      </c>
      <c r="AK78">
        <v>0</v>
      </c>
      <c r="AL78">
        <v>0</v>
      </c>
      <c r="AM78" t="b">
        <v>1</v>
      </c>
    </row>
    <row r="79" spans="1:39">
      <c r="A79">
        <v>45741</v>
      </c>
      <c r="B79" t="s">
        <v>31</v>
      </c>
      <c r="C79" t="s">
        <v>115</v>
      </c>
      <c r="D79" t="s">
        <v>69</v>
      </c>
      <c r="E79" t="s">
        <v>281</v>
      </c>
      <c r="F79" t="s">
        <v>564</v>
      </c>
      <c r="G79">
        <v>0</v>
      </c>
      <c r="H79">
        <v>0</v>
      </c>
      <c r="I79" t="b">
        <v>1</v>
      </c>
      <c r="J79">
        <v>0</v>
      </c>
      <c r="K79">
        <v>0</v>
      </c>
      <c r="L79" t="b">
        <v>1</v>
      </c>
      <c r="M79">
        <v>0</v>
      </c>
      <c r="N79">
        <v>0</v>
      </c>
      <c r="O79" t="b">
        <v>1</v>
      </c>
      <c r="P79">
        <v>0</v>
      </c>
      <c r="Q79">
        <v>0</v>
      </c>
      <c r="R79" t="b">
        <v>1</v>
      </c>
      <c r="S79">
        <v>0</v>
      </c>
      <c r="T79">
        <v>0</v>
      </c>
      <c r="U79" t="b">
        <v>1</v>
      </c>
      <c r="V79">
        <v>0</v>
      </c>
      <c r="W79">
        <v>0</v>
      </c>
      <c r="X79" t="b">
        <v>1</v>
      </c>
      <c r="Y79">
        <v>110000</v>
      </c>
      <c r="Z79">
        <v>110000</v>
      </c>
      <c r="AA79" t="b">
        <v>1</v>
      </c>
      <c r="AB79">
        <v>110000</v>
      </c>
      <c r="AC79">
        <v>110000</v>
      </c>
      <c r="AD79" t="b">
        <v>1</v>
      </c>
      <c r="AE79">
        <v>0</v>
      </c>
      <c r="AF79">
        <v>0</v>
      </c>
      <c r="AG79" t="b">
        <v>1</v>
      </c>
      <c r="AH79">
        <v>0</v>
      </c>
      <c r="AI79">
        <v>0</v>
      </c>
      <c r="AJ79" t="b">
        <v>1</v>
      </c>
      <c r="AK79">
        <v>0</v>
      </c>
      <c r="AL79">
        <v>0</v>
      </c>
      <c r="AM79" t="b">
        <v>1</v>
      </c>
    </row>
    <row r="80" spans="1:39">
      <c r="A80">
        <v>45741</v>
      </c>
      <c r="B80" t="s">
        <v>27</v>
      </c>
      <c r="C80" t="s">
        <v>120</v>
      </c>
      <c r="D80" t="s">
        <v>168</v>
      </c>
      <c r="E80" t="s">
        <v>282</v>
      </c>
      <c r="F80" t="s">
        <v>565</v>
      </c>
      <c r="G80">
        <v>0</v>
      </c>
      <c r="H80">
        <v>0</v>
      </c>
      <c r="I80" t="b">
        <v>1</v>
      </c>
      <c r="J80">
        <v>0</v>
      </c>
      <c r="K80">
        <v>0</v>
      </c>
      <c r="L80" t="b">
        <v>1</v>
      </c>
      <c r="M80">
        <v>0</v>
      </c>
      <c r="N80">
        <v>0</v>
      </c>
      <c r="O80" t="b">
        <v>1</v>
      </c>
      <c r="P80">
        <v>0</v>
      </c>
      <c r="Q80">
        <v>0</v>
      </c>
      <c r="R80" t="b">
        <v>1</v>
      </c>
      <c r="S80">
        <v>0</v>
      </c>
      <c r="T80">
        <v>0</v>
      </c>
      <c r="U80" t="b">
        <v>1</v>
      </c>
      <c r="V80">
        <v>0</v>
      </c>
      <c r="W80">
        <v>0</v>
      </c>
      <c r="X80" t="b">
        <v>1</v>
      </c>
      <c r="Y80">
        <v>6000</v>
      </c>
      <c r="Z80">
        <v>6000</v>
      </c>
      <c r="AA80" t="b">
        <v>1</v>
      </c>
      <c r="AB80">
        <v>6000</v>
      </c>
      <c r="AC80">
        <v>6000</v>
      </c>
      <c r="AD80" t="b">
        <v>1</v>
      </c>
      <c r="AE80">
        <v>0</v>
      </c>
      <c r="AF80">
        <v>0</v>
      </c>
      <c r="AG80" t="b">
        <v>1</v>
      </c>
      <c r="AH80">
        <v>0</v>
      </c>
      <c r="AI80">
        <v>0</v>
      </c>
      <c r="AJ80" t="b">
        <v>1</v>
      </c>
      <c r="AK80">
        <v>0</v>
      </c>
      <c r="AL80">
        <v>0</v>
      </c>
      <c r="AM80" t="b">
        <v>1</v>
      </c>
    </row>
    <row r="81" spans="1:39">
      <c r="A81">
        <v>45741</v>
      </c>
      <c r="B81" t="s">
        <v>38</v>
      </c>
      <c r="C81" t="s">
        <v>130</v>
      </c>
      <c r="D81" t="s">
        <v>91</v>
      </c>
      <c r="E81" t="s">
        <v>283</v>
      </c>
      <c r="F81" t="s">
        <v>566</v>
      </c>
      <c r="G81">
        <v>250000</v>
      </c>
      <c r="H81">
        <v>250000</v>
      </c>
      <c r="I81" t="b">
        <v>1</v>
      </c>
      <c r="J81">
        <v>250000</v>
      </c>
      <c r="K81">
        <v>250000</v>
      </c>
      <c r="L81" t="b">
        <v>1</v>
      </c>
      <c r="M81">
        <v>250000</v>
      </c>
      <c r="N81">
        <v>250000</v>
      </c>
      <c r="O81" t="b">
        <v>1</v>
      </c>
      <c r="P81">
        <v>0</v>
      </c>
      <c r="Q81">
        <v>0</v>
      </c>
      <c r="R81" t="b">
        <v>1</v>
      </c>
      <c r="S81">
        <v>0</v>
      </c>
      <c r="T81">
        <v>0</v>
      </c>
      <c r="U81" t="b">
        <v>1</v>
      </c>
      <c r="V81">
        <v>0</v>
      </c>
      <c r="W81">
        <v>0</v>
      </c>
      <c r="X81" t="b">
        <v>1</v>
      </c>
      <c r="Y81">
        <v>1139500</v>
      </c>
      <c r="Z81">
        <v>1139500</v>
      </c>
      <c r="AA81" t="b">
        <v>1</v>
      </c>
      <c r="AB81">
        <v>1139500</v>
      </c>
      <c r="AC81">
        <v>1139500</v>
      </c>
      <c r="AD81" t="b">
        <v>1</v>
      </c>
      <c r="AE81">
        <v>0</v>
      </c>
      <c r="AF81">
        <v>0</v>
      </c>
      <c r="AG81" t="b">
        <v>1</v>
      </c>
      <c r="AH81">
        <v>0</v>
      </c>
      <c r="AI81">
        <v>0</v>
      </c>
      <c r="AJ81" t="b">
        <v>1</v>
      </c>
      <c r="AK81">
        <v>250000</v>
      </c>
      <c r="AL81">
        <v>250000</v>
      </c>
      <c r="AM81" t="b">
        <v>1</v>
      </c>
    </row>
    <row r="82" spans="1:39">
      <c r="A82">
        <v>45741</v>
      </c>
      <c r="B82" t="s">
        <v>31</v>
      </c>
      <c r="C82" t="s">
        <v>115</v>
      </c>
      <c r="D82" t="s">
        <v>45</v>
      </c>
      <c r="E82" t="s">
        <v>567</v>
      </c>
      <c r="F82" t="s">
        <v>568</v>
      </c>
      <c r="G82">
        <v>0</v>
      </c>
      <c r="H82">
        <v>0</v>
      </c>
      <c r="I82" t="b">
        <v>1</v>
      </c>
      <c r="J82">
        <v>0</v>
      </c>
      <c r="K82">
        <v>0</v>
      </c>
      <c r="L82" t="b">
        <v>1</v>
      </c>
      <c r="M82">
        <v>0</v>
      </c>
      <c r="N82">
        <v>0</v>
      </c>
      <c r="O82" t="b">
        <v>1</v>
      </c>
      <c r="P82">
        <v>0</v>
      </c>
      <c r="Q82">
        <v>0</v>
      </c>
      <c r="R82" t="b">
        <v>1</v>
      </c>
      <c r="S82">
        <v>0</v>
      </c>
      <c r="T82">
        <v>0</v>
      </c>
      <c r="U82" t="b">
        <v>1</v>
      </c>
      <c r="V82">
        <v>0</v>
      </c>
      <c r="W82">
        <v>0</v>
      </c>
      <c r="X82" t="b">
        <v>1</v>
      </c>
      <c r="Y82">
        <v>7552</v>
      </c>
      <c r="Z82">
        <v>7552</v>
      </c>
      <c r="AA82" t="b">
        <v>1</v>
      </c>
      <c r="AB82">
        <v>7552</v>
      </c>
      <c r="AC82">
        <v>7552</v>
      </c>
      <c r="AD82" t="b">
        <v>1</v>
      </c>
      <c r="AE82">
        <v>0</v>
      </c>
      <c r="AF82">
        <v>0</v>
      </c>
      <c r="AG82" t="b">
        <v>1</v>
      </c>
      <c r="AH82">
        <v>0</v>
      </c>
      <c r="AI82">
        <v>0</v>
      </c>
      <c r="AJ82" t="b">
        <v>1</v>
      </c>
      <c r="AK82">
        <v>0</v>
      </c>
      <c r="AL82">
        <v>0</v>
      </c>
      <c r="AM82" t="b">
        <v>1</v>
      </c>
    </row>
    <row r="83" spans="1:39">
      <c r="A83">
        <v>45741</v>
      </c>
      <c r="B83" t="s">
        <v>27</v>
      </c>
      <c r="C83" t="s">
        <v>120</v>
      </c>
      <c r="D83" t="s">
        <v>64</v>
      </c>
      <c r="E83" t="s">
        <v>569</v>
      </c>
      <c r="F83" t="s">
        <v>570</v>
      </c>
      <c r="G83">
        <v>0</v>
      </c>
      <c r="H83">
        <v>0</v>
      </c>
      <c r="I83" t="b">
        <v>1</v>
      </c>
      <c r="J83">
        <v>0</v>
      </c>
      <c r="K83">
        <v>0</v>
      </c>
      <c r="L83" t="b">
        <v>1</v>
      </c>
      <c r="M83">
        <v>0</v>
      </c>
      <c r="N83">
        <v>0</v>
      </c>
      <c r="O83" t="b">
        <v>1</v>
      </c>
      <c r="P83">
        <v>0</v>
      </c>
      <c r="Q83">
        <v>0</v>
      </c>
      <c r="R83" t="b">
        <v>1</v>
      </c>
      <c r="S83">
        <v>0</v>
      </c>
      <c r="T83">
        <v>0</v>
      </c>
      <c r="U83" t="b">
        <v>1</v>
      </c>
      <c r="V83">
        <v>0</v>
      </c>
      <c r="W83">
        <v>0</v>
      </c>
      <c r="X83" t="b">
        <v>1</v>
      </c>
      <c r="Y83">
        <v>40000</v>
      </c>
      <c r="Z83">
        <v>40000</v>
      </c>
      <c r="AA83" t="b">
        <v>1</v>
      </c>
      <c r="AB83">
        <v>40000</v>
      </c>
      <c r="AC83">
        <v>40000</v>
      </c>
      <c r="AD83" t="b">
        <v>1</v>
      </c>
      <c r="AE83">
        <v>0</v>
      </c>
      <c r="AF83">
        <v>0</v>
      </c>
      <c r="AG83" t="b">
        <v>1</v>
      </c>
      <c r="AH83">
        <v>0</v>
      </c>
      <c r="AI83">
        <v>0</v>
      </c>
      <c r="AJ83" t="b">
        <v>1</v>
      </c>
      <c r="AK83">
        <v>0</v>
      </c>
      <c r="AL83">
        <v>0</v>
      </c>
      <c r="AM83" t="b">
        <v>1</v>
      </c>
    </row>
    <row r="84" spans="1:39">
      <c r="A84">
        <v>45741</v>
      </c>
      <c r="B84" t="s">
        <v>38</v>
      </c>
      <c r="C84" t="s">
        <v>130</v>
      </c>
      <c r="D84" t="s">
        <v>41</v>
      </c>
      <c r="E84" t="s">
        <v>286</v>
      </c>
      <c r="F84" t="s">
        <v>571</v>
      </c>
      <c r="G84">
        <v>0</v>
      </c>
      <c r="H84">
        <v>0</v>
      </c>
      <c r="I84" t="b">
        <v>1</v>
      </c>
      <c r="J84">
        <v>5313598</v>
      </c>
      <c r="K84">
        <v>5313598</v>
      </c>
      <c r="L84" t="b">
        <v>1</v>
      </c>
      <c r="M84">
        <v>5313598</v>
      </c>
      <c r="N84">
        <v>5313598</v>
      </c>
      <c r="O84" t="b">
        <v>1</v>
      </c>
      <c r="P84">
        <v>0</v>
      </c>
      <c r="Q84">
        <v>0</v>
      </c>
      <c r="R84" t="b">
        <v>1</v>
      </c>
      <c r="S84">
        <v>0</v>
      </c>
      <c r="T84">
        <v>0</v>
      </c>
      <c r="U84" t="b">
        <v>1</v>
      </c>
      <c r="V84">
        <v>0</v>
      </c>
      <c r="W84">
        <v>0</v>
      </c>
      <c r="X84" t="b">
        <v>1</v>
      </c>
      <c r="Y84">
        <v>0</v>
      </c>
      <c r="Z84">
        <v>0</v>
      </c>
      <c r="AA84" t="b">
        <v>1</v>
      </c>
      <c r="AB84">
        <v>0</v>
      </c>
      <c r="AC84">
        <v>0</v>
      </c>
      <c r="AD84" t="b">
        <v>1</v>
      </c>
      <c r="AE84">
        <v>0</v>
      </c>
      <c r="AF84">
        <v>0</v>
      </c>
      <c r="AG84" t="b">
        <v>1</v>
      </c>
      <c r="AH84">
        <v>0</v>
      </c>
      <c r="AI84">
        <v>0</v>
      </c>
      <c r="AJ84" t="b">
        <v>1</v>
      </c>
      <c r="AK84">
        <v>0</v>
      </c>
      <c r="AL84">
        <v>0</v>
      </c>
      <c r="AM84" t="b">
        <v>1</v>
      </c>
    </row>
    <row r="85" spans="1:39">
      <c r="A85">
        <v>45741</v>
      </c>
      <c r="B85" t="s">
        <v>38</v>
      </c>
      <c r="C85" t="s">
        <v>130</v>
      </c>
      <c r="D85" t="s">
        <v>224</v>
      </c>
      <c r="E85" t="s">
        <v>287</v>
      </c>
      <c r="F85" t="s">
        <v>572</v>
      </c>
      <c r="G85">
        <v>0</v>
      </c>
      <c r="H85">
        <v>0</v>
      </c>
      <c r="I85" t="b">
        <v>1</v>
      </c>
      <c r="J85">
        <v>0</v>
      </c>
      <c r="K85">
        <v>0</v>
      </c>
      <c r="L85" t="b">
        <v>1</v>
      </c>
      <c r="M85">
        <v>0</v>
      </c>
      <c r="N85">
        <v>0</v>
      </c>
      <c r="O85" t="b">
        <v>1</v>
      </c>
      <c r="P85">
        <v>0</v>
      </c>
      <c r="Q85">
        <v>0</v>
      </c>
      <c r="R85" t="b">
        <v>1</v>
      </c>
      <c r="S85">
        <v>0</v>
      </c>
      <c r="T85">
        <v>0</v>
      </c>
      <c r="U85" t="b">
        <v>1</v>
      </c>
      <c r="V85">
        <v>0</v>
      </c>
      <c r="W85">
        <v>0</v>
      </c>
      <c r="X85" t="b">
        <v>1</v>
      </c>
      <c r="Y85">
        <v>10725</v>
      </c>
      <c r="Z85">
        <v>10725</v>
      </c>
      <c r="AA85" t="b">
        <v>1</v>
      </c>
      <c r="AB85">
        <v>10725</v>
      </c>
      <c r="AC85">
        <v>10725</v>
      </c>
      <c r="AD85" t="b">
        <v>1</v>
      </c>
      <c r="AE85">
        <v>0</v>
      </c>
      <c r="AF85">
        <v>0</v>
      </c>
      <c r="AG85" t="b">
        <v>1</v>
      </c>
      <c r="AH85">
        <v>0</v>
      </c>
      <c r="AI85">
        <v>0</v>
      </c>
      <c r="AJ85" t="b">
        <v>1</v>
      </c>
      <c r="AK85">
        <v>0</v>
      </c>
      <c r="AL85">
        <v>0</v>
      </c>
      <c r="AM85" t="b">
        <v>1</v>
      </c>
    </row>
    <row r="86" spans="1:39">
      <c r="A86">
        <v>45741</v>
      </c>
      <c r="B86" t="s">
        <v>27</v>
      </c>
      <c r="C86" t="s">
        <v>120</v>
      </c>
      <c r="D86" t="s">
        <v>47</v>
      </c>
      <c r="E86" t="s">
        <v>288</v>
      </c>
      <c r="F86" t="s">
        <v>573</v>
      </c>
      <c r="G86">
        <v>0</v>
      </c>
      <c r="H86">
        <v>0</v>
      </c>
      <c r="I86" t="b">
        <v>1</v>
      </c>
      <c r="J86">
        <v>0</v>
      </c>
      <c r="K86">
        <v>0</v>
      </c>
      <c r="L86" t="b">
        <v>1</v>
      </c>
      <c r="M86">
        <v>0</v>
      </c>
      <c r="N86">
        <v>0</v>
      </c>
      <c r="O86" t="b">
        <v>1</v>
      </c>
      <c r="P86">
        <v>0</v>
      </c>
      <c r="Q86">
        <v>0</v>
      </c>
      <c r="R86" t="b">
        <v>1</v>
      </c>
      <c r="S86">
        <v>0</v>
      </c>
      <c r="T86">
        <v>0</v>
      </c>
      <c r="U86" t="b">
        <v>1</v>
      </c>
      <c r="V86">
        <v>1399430</v>
      </c>
      <c r="W86">
        <v>1399430</v>
      </c>
      <c r="X86" t="b">
        <v>1</v>
      </c>
      <c r="Y86">
        <v>261201</v>
      </c>
      <c r="Z86">
        <v>261201</v>
      </c>
      <c r="AA86" t="b">
        <v>1</v>
      </c>
      <c r="AB86">
        <v>250771</v>
      </c>
      <c r="AC86">
        <v>250771</v>
      </c>
      <c r="AD86" t="b">
        <v>1</v>
      </c>
      <c r="AE86">
        <v>0</v>
      </c>
      <c r="AF86">
        <v>0</v>
      </c>
      <c r="AG86" t="b">
        <v>1</v>
      </c>
      <c r="AH86">
        <v>10430</v>
      </c>
      <c r="AI86">
        <v>10430</v>
      </c>
      <c r="AJ86" t="b">
        <v>1</v>
      </c>
      <c r="AK86">
        <v>1399430</v>
      </c>
      <c r="AL86">
        <v>1399430</v>
      </c>
      <c r="AM86" t="b">
        <v>1</v>
      </c>
    </row>
    <row r="87" spans="1:39">
      <c r="A87">
        <v>45741</v>
      </c>
      <c r="B87" t="s">
        <v>27</v>
      </c>
      <c r="C87" t="s">
        <v>120</v>
      </c>
      <c r="D87" t="s">
        <v>289</v>
      </c>
      <c r="E87" t="s">
        <v>290</v>
      </c>
      <c r="F87" t="s">
        <v>574</v>
      </c>
      <c r="G87">
        <v>0</v>
      </c>
      <c r="H87">
        <v>0</v>
      </c>
      <c r="I87" t="b">
        <v>1</v>
      </c>
      <c r="J87">
        <v>0</v>
      </c>
      <c r="K87">
        <v>0</v>
      </c>
      <c r="L87" t="b">
        <v>1</v>
      </c>
      <c r="M87">
        <v>0</v>
      </c>
      <c r="N87">
        <v>0</v>
      </c>
      <c r="O87" t="b">
        <v>1</v>
      </c>
      <c r="P87">
        <v>138800</v>
      </c>
      <c r="Q87">
        <v>138800</v>
      </c>
      <c r="R87" t="b">
        <v>1</v>
      </c>
      <c r="S87">
        <v>138800</v>
      </c>
      <c r="T87">
        <v>138800</v>
      </c>
      <c r="U87" t="b">
        <v>1</v>
      </c>
      <c r="V87">
        <v>0</v>
      </c>
      <c r="W87">
        <v>0</v>
      </c>
      <c r="X87" t="b">
        <v>1</v>
      </c>
      <c r="Y87">
        <v>0</v>
      </c>
      <c r="Z87">
        <v>0</v>
      </c>
      <c r="AA87" t="b">
        <v>1</v>
      </c>
      <c r="AB87">
        <v>0</v>
      </c>
      <c r="AC87">
        <v>0</v>
      </c>
      <c r="AD87" t="b">
        <v>1</v>
      </c>
      <c r="AE87">
        <v>0</v>
      </c>
      <c r="AF87">
        <v>0</v>
      </c>
      <c r="AG87" t="b">
        <v>1</v>
      </c>
      <c r="AH87">
        <v>0</v>
      </c>
      <c r="AI87">
        <v>0</v>
      </c>
      <c r="AJ87" t="b">
        <v>1</v>
      </c>
      <c r="AK87">
        <v>0</v>
      </c>
      <c r="AL87">
        <v>0</v>
      </c>
      <c r="AM87" t="b">
        <v>1</v>
      </c>
    </row>
    <row r="88" spans="1:39">
      <c r="A88">
        <v>45741</v>
      </c>
      <c r="B88" t="s">
        <v>27</v>
      </c>
      <c r="C88" t="s">
        <v>120</v>
      </c>
      <c r="D88" t="s">
        <v>291</v>
      </c>
      <c r="E88" t="s">
        <v>292</v>
      </c>
      <c r="F88" t="s">
        <v>575</v>
      </c>
      <c r="G88">
        <v>0</v>
      </c>
      <c r="H88">
        <v>0</v>
      </c>
      <c r="I88" t="b">
        <v>1</v>
      </c>
      <c r="J88">
        <v>0</v>
      </c>
      <c r="K88">
        <v>0</v>
      </c>
      <c r="L88" t="b">
        <v>1</v>
      </c>
      <c r="M88">
        <v>0</v>
      </c>
      <c r="N88">
        <v>0</v>
      </c>
      <c r="O88" t="b">
        <v>1</v>
      </c>
      <c r="P88">
        <v>0</v>
      </c>
      <c r="Q88">
        <v>0</v>
      </c>
      <c r="R88" t="b">
        <v>1</v>
      </c>
      <c r="S88">
        <v>0</v>
      </c>
      <c r="T88">
        <v>0</v>
      </c>
      <c r="U88" t="b">
        <v>1</v>
      </c>
      <c r="V88">
        <v>0</v>
      </c>
      <c r="W88">
        <v>0</v>
      </c>
      <c r="X88" t="b">
        <v>1</v>
      </c>
      <c r="Y88">
        <v>12350</v>
      </c>
      <c r="Z88">
        <v>12350</v>
      </c>
      <c r="AA88" t="b">
        <v>1</v>
      </c>
      <c r="AB88">
        <v>12350</v>
      </c>
      <c r="AC88">
        <v>12350</v>
      </c>
      <c r="AD88" t="b">
        <v>1</v>
      </c>
      <c r="AE88">
        <v>0</v>
      </c>
      <c r="AF88">
        <v>0</v>
      </c>
      <c r="AG88" t="b">
        <v>1</v>
      </c>
      <c r="AH88">
        <v>0</v>
      </c>
      <c r="AI88">
        <v>0</v>
      </c>
      <c r="AJ88" t="b">
        <v>1</v>
      </c>
      <c r="AK88">
        <v>0</v>
      </c>
      <c r="AL88">
        <v>0</v>
      </c>
      <c r="AM88" t="b">
        <v>1</v>
      </c>
    </row>
    <row r="89" spans="1:39">
      <c r="A89">
        <v>45741</v>
      </c>
      <c r="B89" t="s">
        <v>31</v>
      </c>
      <c r="C89" t="s">
        <v>115</v>
      </c>
      <c r="D89" t="s">
        <v>143</v>
      </c>
      <c r="E89" t="s">
        <v>293</v>
      </c>
      <c r="F89" t="s">
        <v>576</v>
      </c>
      <c r="G89">
        <v>0</v>
      </c>
      <c r="H89">
        <v>0</v>
      </c>
      <c r="I89" t="b">
        <v>1</v>
      </c>
      <c r="J89">
        <v>0</v>
      </c>
      <c r="K89">
        <v>0</v>
      </c>
      <c r="L89" t="b">
        <v>1</v>
      </c>
      <c r="M89">
        <v>1263051.28</v>
      </c>
      <c r="N89">
        <v>1263051.28</v>
      </c>
      <c r="O89" t="b">
        <v>1</v>
      </c>
      <c r="P89">
        <v>0</v>
      </c>
      <c r="Q89">
        <v>0</v>
      </c>
      <c r="R89" t="b">
        <v>1</v>
      </c>
      <c r="S89">
        <v>1263051.28</v>
      </c>
      <c r="T89">
        <v>1263051.28</v>
      </c>
      <c r="U89" t="b">
        <v>1</v>
      </c>
      <c r="V89">
        <v>151500</v>
      </c>
      <c r="W89">
        <v>151500</v>
      </c>
      <c r="X89" t="b">
        <v>1</v>
      </c>
      <c r="Y89">
        <v>151500</v>
      </c>
      <c r="Z89">
        <v>151500</v>
      </c>
      <c r="AA89" t="b">
        <v>1</v>
      </c>
      <c r="AB89">
        <v>961551.28</v>
      </c>
      <c r="AC89">
        <v>961551.28</v>
      </c>
      <c r="AD89" t="b">
        <v>1</v>
      </c>
      <c r="AE89">
        <v>0</v>
      </c>
      <c r="AF89">
        <v>0</v>
      </c>
      <c r="AG89" t="b">
        <v>1</v>
      </c>
      <c r="AH89">
        <v>1113051.28</v>
      </c>
      <c r="AI89">
        <v>1113051.28</v>
      </c>
      <c r="AJ89" t="b">
        <v>1</v>
      </c>
      <c r="AK89">
        <v>151500</v>
      </c>
      <c r="AL89">
        <v>151500</v>
      </c>
      <c r="AM89" t="b">
        <v>1</v>
      </c>
    </row>
    <row r="90" spans="1:39">
      <c r="A90">
        <v>45741</v>
      </c>
      <c r="B90" t="s">
        <v>27</v>
      </c>
      <c r="C90" t="s">
        <v>120</v>
      </c>
      <c r="D90" t="s">
        <v>64</v>
      </c>
      <c r="E90" t="s">
        <v>295</v>
      </c>
      <c r="F90" t="s">
        <v>578</v>
      </c>
      <c r="G90">
        <v>0</v>
      </c>
      <c r="H90">
        <v>0</v>
      </c>
      <c r="I90" t="b">
        <v>1</v>
      </c>
      <c r="J90">
        <v>0</v>
      </c>
      <c r="K90">
        <v>0</v>
      </c>
      <c r="L90" t="b">
        <v>1</v>
      </c>
      <c r="M90">
        <v>0</v>
      </c>
      <c r="N90">
        <v>0</v>
      </c>
      <c r="O90" t="b">
        <v>1</v>
      </c>
      <c r="P90">
        <v>0</v>
      </c>
      <c r="Q90">
        <v>0</v>
      </c>
      <c r="R90" t="b">
        <v>1</v>
      </c>
      <c r="S90">
        <v>0</v>
      </c>
      <c r="T90">
        <v>0</v>
      </c>
      <c r="U90" t="b">
        <v>1</v>
      </c>
      <c r="V90">
        <v>0</v>
      </c>
      <c r="W90">
        <v>0</v>
      </c>
      <c r="X90" t="b">
        <v>1</v>
      </c>
      <c r="Y90">
        <v>49700</v>
      </c>
      <c r="Z90">
        <v>49700</v>
      </c>
      <c r="AA90" t="b">
        <v>1</v>
      </c>
      <c r="AB90">
        <v>49700</v>
      </c>
      <c r="AC90">
        <v>49700</v>
      </c>
      <c r="AD90" t="b">
        <v>1</v>
      </c>
      <c r="AE90">
        <v>0</v>
      </c>
      <c r="AF90">
        <v>0</v>
      </c>
      <c r="AG90" t="b">
        <v>1</v>
      </c>
      <c r="AH90">
        <v>0</v>
      </c>
      <c r="AI90">
        <v>0</v>
      </c>
      <c r="AJ90" t="b">
        <v>1</v>
      </c>
      <c r="AK90">
        <v>0</v>
      </c>
      <c r="AL90">
        <v>0</v>
      </c>
      <c r="AM90" t="b">
        <v>1</v>
      </c>
    </row>
    <row r="91" spans="1:39">
      <c r="A91">
        <v>45741</v>
      </c>
      <c r="B91" t="s">
        <v>27</v>
      </c>
      <c r="C91" t="s">
        <v>120</v>
      </c>
      <c r="D91" t="s">
        <v>205</v>
      </c>
      <c r="E91" t="s">
        <v>579</v>
      </c>
      <c r="F91" t="s">
        <v>580</v>
      </c>
      <c r="G91">
        <v>0</v>
      </c>
      <c r="H91">
        <v>0</v>
      </c>
      <c r="I91" t="b">
        <v>1</v>
      </c>
      <c r="J91">
        <v>0</v>
      </c>
      <c r="K91">
        <v>0</v>
      </c>
      <c r="L91" t="b">
        <v>1</v>
      </c>
      <c r="M91">
        <v>0</v>
      </c>
      <c r="N91">
        <v>0</v>
      </c>
      <c r="O91" t="b">
        <v>1</v>
      </c>
      <c r="P91">
        <v>0</v>
      </c>
      <c r="Q91">
        <v>0</v>
      </c>
      <c r="R91" t="b">
        <v>1</v>
      </c>
      <c r="S91">
        <v>0</v>
      </c>
      <c r="T91">
        <v>0</v>
      </c>
      <c r="U91" t="b">
        <v>1</v>
      </c>
      <c r="V91">
        <v>0</v>
      </c>
      <c r="W91">
        <v>0</v>
      </c>
      <c r="X91" t="b">
        <v>1</v>
      </c>
      <c r="Y91">
        <v>26000</v>
      </c>
      <c r="Z91">
        <v>26000</v>
      </c>
      <c r="AA91" t="b">
        <v>1</v>
      </c>
      <c r="AB91">
        <v>26000</v>
      </c>
      <c r="AC91">
        <v>26000</v>
      </c>
      <c r="AD91" t="b">
        <v>1</v>
      </c>
      <c r="AE91">
        <v>0</v>
      </c>
      <c r="AF91">
        <v>0</v>
      </c>
      <c r="AG91" t="b">
        <v>1</v>
      </c>
      <c r="AH91">
        <v>0</v>
      </c>
      <c r="AI91">
        <v>0</v>
      </c>
      <c r="AJ91" t="b">
        <v>1</v>
      </c>
      <c r="AK91">
        <v>0</v>
      </c>
      <c r="AL91">
        <v>0</v>
      </c>
      <c r="AM91" t="b">
        <v>1</v>
      </c>
    </row>
    <row r="92" spans="1:39">
      <c r="A92">
        <v>45741</v>
      </c>
      <c r="B92" t="s">
        <v>27</v>
      </c>
      <c r="C92" t="s">
        <v>120</v>
      </c>
      <c r="D92" t="s">
        <v>71</v>
      </c>
      <c r="E92" t="s">
        <v>297</v>
      </c>
      <c r="F92" t="s">
        <v>581</v>
      </c>
      <c r="G92">
        <v>0</v>
      </c>
      <c r="H92">
        <v>0</v>
      </c>
      <c r="I92" t="b">
        <v>1</v>
      </c>
      <c r="J92">
        <v>0</v>
      </c>
      <c r="K92">
        <v>0</v>
      </c>
      <c r="L92" t="b">
        <v>1</v>
      </c>
      <c r="M92">
        <v>0</v>
      </c>
      <c r="N92">
        <v>0</v>
      </c>
      <c r="O92" t="b">
        <v>1</v>
      </c>
      <c r="P92">
        <v>0</v>
      </c>
      <c r="Q92">
        <v>0</v>
      </c>
      <c r="R92" t="b">
        <v>1</v>
      </c>
      <c r="S92">
        <v>0</v>
      </c>
      <c r="T92">
        <v>0</v>
      </c>
      <c r="U92" t="b">
        <v>1</v>
      </c>
      <c r="V92">
        <v>0</v>
      </c>
      <c r="W92">
        <v>0</v>
      </c>
      <c r="X92" t="b">
        <v>1</v>
      </c>
      <c r="Y92">
        <v>39500</v>
      </c>
      <c r="Z92">
        <v>39500</v>
      </c>
      <c r="AA92" t="b">
        <v>1</v>
      </c>
      <c r="AB92">
        <v>39500</v>
      </c>
      <c r="AC92">
        <v>39500</v>
      </c>
      <c r="AD92" t="b">
        <v>1</v>
      </c>
      <c r="AE92">
        <v>0</v>
      </c>
      <c r="AF92">
        <v>0</v>
      </c>
      <c r="AG92" t="b">
        <v>1</v>
      </c>
      <c r="AH92">
        <v>0</v>
      </c>
      <c r="AI92">
        <v>0</v>
      </c>
      <c r="AJ92" t="b">
        <v>1</v>
      </c>
      <c r="AK92">
        <v>0</v>
      </c>
      <c r="AL92">
        <v>0</v>
      </c>
      <c r="AM92" t="b">
        <v>1</v>
      </c>
    </row>
    <row r="93" spans="1:39">
      <c r="A93">
        <v>45741</v>
      </c>
      <c r="B93" t="s">
        <v>27</v>
      </c>
      <c r="C93" t="s">
        <v>120</v>
      </c>
      <c r="D93" t="s">
        <v>71</v>
      </c>
      <c r="E93" t="s">
        <v>582</v>
      </c>
      <c r="F93" t="s">
        <v>583</v>
      </c>
      <c r="G93">
        <v>0</v>
      </c>
      <c r="H93">
        <v>0</v>
      </c>
      <c r="I93" t="b">
        <v>1</v>
      </c>
      <c r="J93">
        <v>0</v>
      </c>
      <c r="K93">
        <v>0</v>
      </c>
      <c r="L93" t="b">
        <v>1</v>
      </c>
      <c r="M93">
        <v>0</v>
      </c>
      <c r="N93">
        <v>0</v>
      </c>
      <c r="O93" t="b">
        <v>1</v>
      </c>
      <c r="P93">
        <v>0</v>
      </c>
      <c r="Q93">
        <v>0</v>
      </c>
      <c r="R93" t="b">
        <v>1</v>
      </c>
      <c r="S93">
        <v>0</v>
      </c>
      <c r="T93">
        <v>0</v>
      </c>
      <c r="U93" t="b">
        <v>1</v>
      </c>
      <c r="V93">
        <v>0</v>
      </c>
      <c r="W93">
        <v>0</v>
      </c>
      <c r="X93" t="b">
        <v>1</v>
      </c>
      <c r="Y93">
        <v>3500</v>
      </c>
      <c r="Z93">
        <v>3500</v>
      </c>
      <c r="AA93" t="b">
        <v>1</v>
      </c>
      <c r="AB93">
        <v>3500</v>
      </c>
      <c r="AC93">
        <v>3500</v>
      </c>
      <c r="AD93" t="b">
        <v>1</v>
      </c>
      <c r="AE93">
        <v>0</v>
      </c>
      <c r="AF93">
        <v>0</v>
      </c>
      <c r="AG93" t="b">
        <v>1</v>
      </c>
      <c r="AH93">
        <v>0</v>
      </c>
      <c r="AI93">
        <v>0</v>
      </c>
      <c r="AJ93" t="b">
        <v>1</v>
      </c>
      <c r="AK93">
        <v>0</v>
      </c>
      <c r="AL93">
        <v>0</v>
      </c>
      <c r="AM93" t="b">
        <v>1</v>
      </c>
    </row>
    <row r="94" spans="1:39">
      <c r="A94">
        <v>45741</v>
      </c>
      <c r="B94" t="s">
        <v>27</v>
      </c>
      <c r="C94" t="s">
        <v>120</v>
      </c>
      <c r="D94" t="s">
        <v>64</v>
      </c>
      <c r="E94" t="s">
        <v>299</v>
      </c>
      <c r="F94" t="s">
        <v>584</v>
      </c>
      <c r="G94">
        <v>0</v>
      </c>
      <c r="H94">
        <v>0</v>
      </c>
      <c r="I94" t="b">
        <v>1</v>
      </c>
      <c r="J94">
        <v>0</v>
      </c>
      <c r="K94">
        <v>0</v>
      </c>
      <c r="L94" t="b">
        <v>1</v>
      </c>
      <c r="M94">
        <v>0</v>
      </c>
      <c r="N94">
        <v>0</v>
      </c>
      <c r="O94" t="b">
        <v>1</v>
      </c>
      <c r="P94">
        <v>0</v>
      </c>
      <c r="Q94">
        <v>0</v>
      </c>
      <c r="R94" t="b">
        <v>1</v>
      </c>
      <c r="S94">
        <v>0</v>
      </c>
      <c r="T94">
        <v>0</v>
      </c>
      <c r="U94" t="b">
        <v>1</v>
      </c>
      <c r="V94">
        <v>0</v>
      </c>
      <c r="W94">
        <v>0</v>
      </c>
      <c r="X94" t="b">
        <v>1</v>
      </c>
      <c r="Y94">
        <v>3500</v>
      </c>
      <c r="Z94">
        <v>3500</v>
      </c>
      <c r="AA94" t="b">
        <v>1</v>
      </c>
      <c r="AB94">
        <v>3500</v>
      </c>
      <c r="AC94">
        <v>3500</v>
      </c>
      <c r="AD94" t="b">
        <v>1</v>
      </c>
      <c r="AE94">
        <v>0</v>
      </c>
      <c r="AF94">
        <v>0</v>
      </c>
      <c r="AG94" t="b">
        <v>1</v>
      </c>
      <c r="AH94">
        <v>0</v>
      </c>
      <c r="AI94">
        <v>0</v>
      </c>
      <c r="AJ94" t="b">
        <v>1</v>
      </c>
      <c r="AK94">
        <v>0</v>
      </c>
      <c r="AL94">
        <v>0</v>
      </c>
      <c r="AM94" t="b">
        <v>1</v>
      </c>
    </row>
    <row r="95" spans="1:39">
      <c r="A95">
        <v>45741</v>
      </c>
      <c r="B95" t="s">
        <v>27</v>
      </c>
      <c r="C95" t="s">
        <v>120</v>
      </c>
      <c r="D95" t="s">
        <v>81</v>
      </c>
      <c r="E95" t="s">
        <v>301</v>
      </c>
      <c r="F95" t="s">
        <v>586</v>
      </c>
      <c r="G95">
        <v>309507</v>
      </c>
      <c r="H95">
        <v>309507</v>
      </c>
      <c r="I95" t="b">
        <v>1</v>
      </c>
      <c r="J95">
        <v>309507</v>
      </c>
      <c r="K95">
        <v>309507</v>
      </c>
      <c r="L95" t="b">
        <v>1</v>
      </c>
      <c r="M95">
        <v>326914</v>
      </c>
      <c r="N95">
        <v>326914</v>
      </c>
      <c r="O95" t="b">
        <v>1</v>
      </c>
      <c r="P95">
        <v>0</v>
      </c>
      <c r="Q95">
        <v>0</v>
      </c>
      <c r="R95" t="b">
        <v>1</v>
      </c>
      <c r="S95">
        <v>17407</v>
      </c>
      <c r="T95">
        <v>17407</v>
      </c>
      <c r="U95" t="b">
        <v>1</v>
      </c>
      <c r="V95">
        <v>0</v>
      </c>
      <c r="W95">
        <v>0</v>
      </c>
      <c r="X95" t="b">
        <v>1</v>
      </c>
      <c r="Y95">
        <v>0</v>
      </c>
      <c r="Z95">
        <v>0</v>
      </c>
      <c r="AA95" t="b">
        <v>1</v>
      </c>
      <c r="AB95">
        <v>0</v>
      </c>
      <c r="AC95">
        <v>0</v>
      </c>
      <c r="AD95" t="b">
        <v>1</v>
      </c>
      <c r="AE95">
        <v>0</v>
      </c>
      <c r="AF95">
        <v>0</v>
      </c>
      <c r="AG95" t="b">
        <v>1</v>
      </c>
      <c r="AH95">
        <v>0</v>
      </c>
      <c r="AI95">
        <v>0</v>
      </c>
      <c r="AJ95" t="b">
        <v>1</v>
      </c>
      <c r="AK95">
        <v>309507</v>
      </c>
      <c r="AL95">
        <v>309507</v>
      </c>
      <c r="AM95" t="b">
        <v>1</v>
      </c>
    </row>
    <row r="96" spans="1:39">
      <c r="A96">
        <v>45741</v>
      </c>
      <c r="B96" t="s">
        <v>27</v>
      </c>
      <c r="C96" t="s">
        <v>120</v>
      </c>
      <c r="D96" t="s">
        <v>71</v>
      </c>
      <c r="E96" t="s">
        <v>303</v>
      </c>
      <c r="F96" t="s">
        <v>588</v>
      </c>
      <c r="G96">
        <v>0</v>
      </c>
      <c r="H96">
        <v>0</v>
      </c>
      <c r="I96" t="b">
        <v>1</v>
      </c>
      <c r="J96">
        <v>292464.5</v>
      </c>
      <c r="K96">
        <v>292464.5</v>
      </c>
      <c r="L96" t="b">
        <v>1</v>
      </c>
      <c r="M96">
        <v>292462</v>
      </c>
      <c r="N96">
        <v>292462</v>
      </c>
      <c r="O96" t="b">
        <v>1</v>
      </c>
      <c r="P96">
        <v>0</v>
      </c>
      <c r="Q96">
        <v>0</v>
      </c>
      <c r="R96" t="b">
        <v>1</v>
      </c>
      <c r="S96">
        <v>2.5</v>
      </c>
      <c r="T96">
        <v>2.5</v>
      </c>
      <c r="U96" t="b">
        <v>1</v>
      </c>
      <c r="V96">
        <v>0</v>
      </c>
      <c r="W96">
        <v>0</v>
      </c>
      <c r="X96" t="b">
        <v>1</v>
      </c>
      <c r="Y96">
        <v>0</v>
      </c>
      <c r="Z96">
        <v>0</v>
      </c>
      <c r="AA96" t="b">
        <v>1</v>
      </c>
      <c r="AB96">
        <v>0</v>
      </c>
      <c r="AC96">
        <v>0</v>
      </c>
      <c r="AD96" t="b">
        <v>1</v>
      </c>
      <c r="AE96">
        <v>0</v>
      </c>
      <c r="AF96">
        <v>0</v>
      </c>
      <c r="AG96" t="b">
        <v>1</v>
      </c>
      <c r="AH96">
        <v>0</v>
      </c>
      <c r="AI96">
        <v>0</v>
      </c>
      <c r="AJ96" t="b">
        <v>1</v>
      </c>
      <c r="AK96">
        <v>0</v>
      </c>
      <c r="AL96">
        <v>0</v>
      </c>
      <c r="AM96" t="b">
        <v>1</v>
      </c>
    </row>
    <row r="97" spans="1:39">
      <c r="A97">
        <v>45741</v>
      </c>
      <c r="B97" t="s">
        <v>59</v>
      </c>
      <c r="C97" t="s">
        <v>115</v>
      </c>
      <c r="D97" t="s">
        <v>76</v>
      </c>
      <c r="E97" t="s">
        <v>304</v>
      </c>
      <c r="F97" t="s">
        <v>589</v>
      </c>
      <c r="G97">
        <v>0</v>
      </c>
      <c r="H97">
        <v>0</v>
      </c>
      <c r="I97" t="b">
        <v>1</v>
      </c>
      <c r="J97">
        <v>308665</v>
      </c>
      <c r="K97">
        <v>308665</v>
      </c>
      <c r="L97" t="b">
        <v>1</v>
      </c>
      <c r="M97">
        <v>308665</v>
      </c>
      <c r="N97">
        <v>308665</v>
      </c>
      <c r="O97" t="b">
        <v>1</v>
      </c>
      <c r="P97">
        <v>0</v>
      </c>
      <c r="Q97">
        <v>0</v>
      </c>
      <c r="R97" t="b">
        <v>1</v>
      </c>
      <c r="S97">
        <v>0</v>
      </c>
      <c r="T97">
        <v>0</v>
      </c>
      <c r="U97" t="b">
        <v>1</v>
      </c>
      <c r="V97">
        <v>0</v>
      </c>
      <c r="W97">
        <v>0</v>
      </c>
      <c r="X97" t="b">
        <v>1</v>
      </c>
      <c r="Y97">
        <v>0</v>
      </c>
      <c r="Z97">
        <v>0</v>
      </c>
      <c r="AA97" t="b">
        <v>1</v>
      </c>
      <c r="AB97">
        <v>0</v>
      </c>
      <c r="AC97">
        <v>0</v>
      </c>
      <c r="AD97" t="b">
        <v>1</v>
      </c>
      <c r="AE97">
        <v>0</v>
      </c>
      <c r="AF97">
        <v>0</v>
      </c>
      <c r="AG97" t="b">
        <v>1</v>
      </c>
      <c r="AH97">
        <v>0</v>
      </c>
      <c r="AI97">
        <v>0</v>
      </c>
      <c r="AJ97" t="b">
        <v>1</v>
      </c>
      <c r="AK97">
        <v>0</v>
      </c>
      <c r="AL97">
        <v>0</v>
      </c>
      <c r="AM97" t="b">
        <v>1</v>
      </c>
    </row>
    <row r="98" spans="1:39">
      <c r="A98">
        <v>45741</v>
      </c>
      <c r="B98" t="s">
        <v>59</v>
      </c>
      <c r="C98" t="s">
        <v>115</v>
      </c>
      <c r="D98" t="s">
        <v>175</v>
      </c>
      <c r="E98" t="s">
        <v>306</v>
      </c>
      <c r="F98" t="s">
        <v>591</v>
      </c>
      <c r="G98">
        <v>0</v>
      </c>
      <c r="H98">
        <v>0</v>
      </c>
      <c r="I98" t="b">
        <v>1</v>
      </c>
      <c r="J98">
        <v>0</v>
      </c>
      <c r="K98">
        <v>0</v>
      </c>
      <c r="L98" t="b">
        <v>1</v>
      </c>
      <c r="M98">
        <v>0</v>
      </c>
      <c r="N98">
        <v>0</v>
      </c>
      <c r="O98" t="b">
        <v>1</v>
      </c>
      <c r="P98">
        <v>0</v>
      </c>
      <c r="Q98">
        <v>0</v>
      </c>
      <c r="R98" t="b">
        <v>1</v>
      </c>
      <c r="S98">
        <v>0</v>
      </c>
      <c r="T98">
        <v>0</v>
      </c>
      <c r="U98" t="b">
        <v>1</v>
      </c>
      <c r="V98">
        <v>0</v>
      </c>
      <c r="W98">
        <v>0</v>
      </c>
      <c r="X98" t="b">
        <v>1</v>
      </c>
      <c r="Y98">
        <v>81200</v>
      </c>
      <c r="Z98">
        <v>81200</v>
      </c>
      <c r="AA98" t="b">
        <v>1</v>
      </c>
      <c r="AB98">
        <v>81200</v>
      </c>
      <c r="AC98">
        <v>81200</v>
      </c>
      <c r="AD98" t="b">
        <v>1</v>
      </c>
      <c r="AE98">
        <v>0</v>
      </c>
      <c r="AF98">
        <v>0</v>
      </c>
      <c r="AG98" t="b">
        <v>1</v>
      </c>
      <c r="AH98">
        <v>0</v>
      </c>
      <c r="AI98">
        <v>0</v>
      </c>
      <c r="AJ98" t="b">
        <v>1</v>
      </c>
      <c r="AK98">
        <v>0</v>
      </c>
      <c r="AL98">
        <v>0</v>
      </c>
      <c r="AM98" t="b">
        <v>1</v>
      </c>
    </row>
    <row r="99" spans="1:39">
      <c r="A99">
        <v>45741</v>
      </c>
      <c r="B99" t="s">
        <v>27</v>
      </c>
      <c r="C99" t="s">
        <v>120</v>
      </c>
      <c r="D99" t="s">
        <v>64</v>
      </c>
      <c r="E99" t="s">
        <v>307</v>
      </c>
      <c r="F99" t="s">
        <v>592</v>
      </c>
      <c r="G99">
        <v>0</v>
      </c>
      <c r="H99">
        <v>0</v>
      </c>
      <c r="I99" t="b">
        <v>1</v>
      </c>
      <c r="J99">
        <v>0</v>
      </c>
      <c r="K99">
        <v>0</v>
      </c>
      <c r="L99" t="b">
        <v>1</v>
      </c>
      <c r="M99">
        <v>0</v>
      </c>
      <c r="N99">
        <v>0</v>
      </c>
      <c r="O99" t="b">
        <v>1</v>
      </c>
      <c r="P99">
        <v>0</v>
      </c>
      <c r="Q99">
        <v>0</v>
      </c>
      <c r="R99" t="b">
        <v>1</v>
      </c>
      <c r="S99">
        <v>0</v>
      </c>
      <c r="T99">
        <v>0</v>
      </c>
      <c r="U99" t="b">
        <v>1</v>
      </c>
      <c r="V99">
        <v>0</v>
      </c>
      <c r="W99">
        <v>0</v>
      </c>
      <c r="X99" t="b">
        <v>1</v>
      </c>
      <c r="Y99">
        <v>32000</v>
      </c>
      <c r="Z99">
        <v>32000</v>
      </c>
      <c r="AA99" t="b">
        <v>1</v>
      </c>
      <c r="AB99">
        <v>32000</v>
      </c>
      <c r="AC99">
        <v>32000</v>
      </c>
      <c r="AD99" t="b">
        <v>1</v>
      </c>
      <c r="AE99">
        <v>0</v>
      </c>
      <c r="AF99">
        <v>0</v>
      </c>
      <c r="AG99" t="b">
        <v>1</v>
      </c>
      <c r="AH99">
        <v>0</v>
      </c>
      <c r="AI99">
        <v>0</v>
      </c>
      <c r="AJ99" t="b">
        <v>1</v>
      </c>
      <c r="AK99">
        <v>0</v>
      </c>
      <c r="AL99">
        <v>0</v>
      </c>
      <c r="AM99" t="b">
        <v>1</v>
      </c>
    </row>
    <row r="100" spans="1:39">
      <c r="A100">
        <v>45741</v>
      </c>
      <c r="B100" t="s">
        <v>27</v>
      </c>
      <c r="C100" t="s">
        <v>120</v>
      </c>
      <c r="D100" t="s">
        <v>308</v>
      </c>
      <c r="E100" t="s">
        <v>309</v>
      </c>
      <c r="F100" t="s">
        <v>593</v>
      </c>
      <c r="G100">
        <v>0</v>
      </c>
      <c r="H100">
        <v>0</v>
      </c>
      <c r="I100" t="b">
        <v>1</v>
      </c>
      <c r="J100">
        <v>0</v>
      </c>
      <c r="K100">
        <v>0</v>
      </c>
      <c r="L100" t="b">
        <v>1</v>
      </c>
      <c r="M100">
        <v>0</v>
      </c>
      <c r="N100">
        <v>0</v>
      </c>
      <c r="O100" t="b">
        <v>1</v>
      </c>
      <c r="P100">
        <v>0</v>
      </c>
      <c r="Q100">
        <v>0</v>
      </c>
      <c r="R100" t="b">
        <v>1</v>
      </c>
      <c r="S100">
        <v>0</v>
      </c>
      <c r="T100">
        <v>0</v>
      </c>
      <c r="U100" t="b">
        <v>1</v>
      </c>
      <c r="V100">
        <v>0</v>
      </c>
      <c r="W100">
        <v>0</v>
      </c>
      <c r="X100" t="b">
        <v>1</v>
      </c>
      <c r="Y100">
        <v>83600</v>
      </c>
      <c r="Z100">
        <v>83600</v>
      </c>
      <c r="AA100" t="b">
        <v>1</v>
      </c>
      <c r="AB100">
        <v>83600</v>
      </c>
      <c r="AC100">
        <v>83600</v>
      </c>
      <c r="AD100" t="b">
        <v>1</v>
      </c>
      <c r="AE100">
        <v>0</v>
      </c>
      <c r="AF100">
        <v>0</v>
      </c>
      <c r="AG100" t="b">
        <v>1</v>
      </c>
      <c r="AH100">
        <v>0</v>
      </c>
      <c r="AI100">
        <v>0</v>
      </c>
      <c r="AJ100" t="b">
        <v>1</v>
      </c>
      <c r="AK100">
        <v>0</v>
      </c>
      <c r="AL100">
        <v>0</v>
      </c>
      <c r="AM100" t="b">
        <v>1</v>
      </c>
    </row>
    <row r="101" spans="1:39">
      <c r="A101">
        <v>45741</v>
      </c>
      <c r="B101" t="s">
        <v>38</v>
      </c>
      <c r="C101" t="s">
        <v>130</v>
      </c>
      <c r="D101" t="s">
        <v>51</v>
      </c>
      <c r="E101" t="s">
        <v>595</v>
      </c>
      <c r="F101" t="s">
        <v>596</v>
      </c>
      <c r="G101">
        <v>0</v>
      </c>
      <c r="H101">
        <v>0</v>
      </c>
      <c r="I101" t="b">
        <v>1</v>
      </c>
      <c r="J101">
        <v>0</v>
      </c>
      <c r="K101">
        <v>0</v>
      </c>
      <c r="L101" t="b">
        <v>1</v>
      </c>
      <c r="M101">
        <v>0</v>
      </c>
      <c r="N101">
        <v>0</v>
      </c>
      <c r="O101" t="b">
        <v>1</v>
      </c>
      <c r="P101">
        <v>0</v>
      </c>
      <c r="Q101">
        <v>0</v>
      </c>
      <c r="R101" t="b">
        <v>1</v>
      </c>
      <c r="S101">
        <v>0</v>
      </c>
      <c r="T101">
        <v>0</v>
      </c>
      <c r="U101" t="b">
        <v>1</v>
      </c>
      <c r="V101">
        <v>0</v>
      </c>
      <c r="W101">
        <v>0</v>
      </c>
      <c r="X101" t="b">
        <v>1</v>
      </c>
      <c r="Y101">
        <v>3075000</v>
      </c>
      <c r="Z101">
        <v>3075000</v>
      </c>
      <c r="AA101" t="b">
        <v>1</v>
      </c>
      <c r="AB101">
        <v>3075000</v>
      </c>
      <c r="AC101">
        <v>3075000</v>
      </c>
      <c r="AD101" t="b">
        <v>1</v>
      </c>
      <c r="AE101">
        <v>0</v>
      </c>
      <c r="AF101">
        <v>0</v>
      </c>
      <c r="AG101" t="b">
        <v>1</v>
      </c>
      <c r="AH101">
        <v>0</v>
      </c>
      <c r="AI101">
        <v>0</v>
      </c>
      <c r="AJ101" t="b">
        <v>1</v>
      </c>
      <c r="AK101">
        <v>0</v>
      </c>
      <c r="AL101">
        <v>0</v>
      </c>
      <c r="AM101" t="b">
        <v>1</v>
      </c>
    </row>
    <row r="102" spans="1:39">
      <c r="A102">
        <v>45741</v>
      </c>
      <c r="B102" t="s">
        <v>27</v>
      </c>
      <c r="C102" t="s">
        <v>120</v>
      </c>
      <c r="D102" t="s">
        <v>313</v>
      </c>
      <c r="E102" t="s">
        <v>314</v>
      </c>
      <c r="F102" t="s">
        <v>598</v>
      </c>
      <c r="G102">
        <v>349503</v>
      </c>
      <c r="H102">
        <v>349503</v>
      </c>
      <c r="I102" t="b">
        <v>1</v>
      </c>
      <c r="J102">
        <v>349503</v>
      </c>
      <c r="K102">
        <v>349503</v>
      </c>
      <c r="L102" t="b">
        <v>1</v>
      </c>
      <c r="M102">
        <v>0</v>
      </c>
      <c r="N102">
        <v>0</v>
      </c>
      <c r="O102" t="b">
        <v>1</v>
      </c>
      <c r="P102">
        <v>0</v>
      </c>
      <c r="Q102">
        <v>0</v>
      </c>
      <c r="R102" t="b">
        <v>1</v>
      </c>
      <c r="S102">
        <v>349503</v>
      </c>
      <c r="T102">
        <v>349503</v>
      </c>
      <c r="U102" t="b">
        <v>1</v>
      </c>
      <c r="V102">
        <v>58146.67</v>
      </c>
      <c r="W102">
        <v>58146.67</v>
      </c>
      <c r="X102" t="b">
        <v>1</v>
      </c>
      <c r="Y102">
        <v>58146.67</v>
      </c>
      <c r="Z102">
        <v>58146.67</v>
      </c>
      <c r="AA102" t="b">
        <v>1</v>
      </c>
      <c r="AB102">
        <v>0</v>
      </c>
      <c r="AC102">
        <v>0</v>
      </c>
      <c r="AD102" t="b">
        <v>1</v>
      </c>
      <c r="AE102">
        <v>89000</v>
      </c>
      <c r="AF102">
        <v>89000</v>
      </c>
      <c r="AG102" t="b">
        <v>1</v>
      </c>
      <c r="AH102">
        <v>30853.33</v>
      </c>
      <c r="AI102">
        <v>30853.33</v>
      </c>
      <c r="AJ102" t="b">
        <v>1</v>
      </c>
      <c r="AK102">
        <v>291356.33</v>
      </c>
      <c r="AL102">
        <v>291356.33</v>
      </c>
      <c r="AM102" t="b">
        <v>1</v>
      </c>
    </row>
    <row r="103" spans="1:39">
      <c r="A103">
        <v>45741</v>
      </c>
      <c r="B103" t="s">
        <v>27</v>
      </c>
      <c r="C103" t="s">
        <v>120</v>
      </c>
      <c r="D103" t="s">
        <v>71</v>
      </c>
      <c r="E103" t="s">
        <v>315</v>
      </c>
      <c r="F103" t="s">
        <v>599</v>
      </c>
      <c r="G103">
        <v>0</v>
      </c>
      <c r="H103">
        <v>0</v>
      </c>
      <c r="I103" t="b">
        <v>1</v>
      </c>
      <c r="J103">
        <v>0</v>
      </c>
      <c r="K103">
        <v>0</v>
      </c>
      <c r="L103" t="b">
        <v>1</v>
      </c>
      <c r="M103">
        <v>0</v>
      </c>
      <c r="N103">
        <v>0</v>
      </c>
      <c r="O103" t="b">
        <v>1</v>
      </c>
      <c r="P103">
        <v>0</v>
      </c>
      <c r="Q103">
        <v>0</v>
      </c>
      <c r="R103" t="b">
        <v>1</v>
      </c>
      <c r="S103">
        <v>0</v>
      </c>
      <c r="T103">
        <v>0</v>
      </c>
      <c r="U103" t="b">
        <v>1</v>
      </c>
      <c r="V103">
        <v>0</v>
      </c>
      <c r="W103">
        <v>0</v>
      </c>
      <c r="X103" t="b">
        <v>1</v>
      </c>
      <c r="Y103">
        <v>461394</v>
      </c>
      <c r="Z103">
        <v>461394</v>
      </c>
      <c r="AA103" t="b">
        <v>1</v>
      </c>
      <c r="AB103">
        <v>461394</v>
      </c>
      <c r="AC103">
        <v>461394</v>
      </c>
      <c r="AD103" t="b">
        <v>1</v>
      </c>
      <c r="AE103">
        <v>0</v>
      </c>
      <c r="AF103">
        <v>0</v>
      </c>
      <c r="AG103" t="b">
        <v>1</v>
      </c>
      <c r="AH103">
        <v>0</v>
      </c>
      <c r="AI103">
        <v>0</v>
      </c>
      <c r="AJ103" t="b">
        <v>1</v>
      </c>
      <c r="AK103">
        <v>0</v>
      </c>
      <c r="AL103">
        <v>0</v>
      </c>
      <c r="AM103" t="b">
        <v>1</v>
      </c>
    </row>
    <row r="104" spans="1:39">
      <c r="A104">
        <v>45741</v>
      </c>
      <c r="B104" t="s">
        <v>38</v>
      </c>
      <c r="C104" t="s">
        <v>130</v>
      </c>
      <c r="D104" t="s">
        <v>316</v>
      </c>
      <c r="E104" t="s">
        <v>317</v>
      </c>
      <c r="F104" t="s">
        <v>600</v>
      </c>
      <c r="G104">
        <v>0</v>
      </c>
      <c r="H104">
        <v>0</v>
      </c>
      <c r="I104" t="b">
        <v>1</v>
      </c>
      <c r="J104">
        <v>0</v>
      </c>
      <c r="K104">
        <v>0</v>
      </c>
      <c r="L104" t="b">
        <v>1</v>
      </c>
      <c r="M104">
        <v>0</v>
      </c>
      <c r="N104">
        <v>0</v>
      </c>
      <c r="O104" t="b">
        <v>1</v>
      </c>
      <c r="P104">
        <v>0</v>
      </c>
      <c r="Q104">
        <v>0</v>
      </c>
      <c r="R104" t="b">
        <v>1</v>
      </c>
      <c r="S104">
        <v>0</v>
      </c>
      <c r="T104">
        <v>0</v>
      </c>
      <c r="U104" t="b">
        <v>1</v>
      </c>
      <c r="V104">
        <v>0</v>
      </c>
      <c r="W104">
        <v>0</v>
      </c>
      <c r="X104" t="b">
        <v>1</v>
      </c>
      <c r="Y104">
        <v>541000</v>
      </c>
      <c r="Z104">
        <v>541000</v>
      </c>
      <c r="AA104" t="b">
        <v>1</v>
      </c>
      <c r="AB104">
        <v>541000</v>
      </c>
      <c r="AC104">
        <v>541000</v>
      </c>
      <c r="AD104" t="b">
        <v>1</v>
      </c>
      <c r="AE104">
        <v>0</v>
      </c>
      <c r="AF104">
        <v>0</v>
      </c>
      <c r="AG104" t="b">
        <v>1</v>
      </c>
      <c r="AH104">
        <v>0</v>
      </c>
      <c r="AI104">
        <v>0</v>
      </c>
      <c r="AJ104" t="b">
        <v>1</v>
      </c>
      <c r="AK104">
        <v>0</v>
      </c>
      <c r="AL104">
        <v>0</v>
      </c>
      <c r="AM104" t="b">
        <v>1</v>
      </c>
    </row>
    <row r="105" spans="1:39">
      <c r="A105">
        <v>45741</v>
      </c>
      <c r="B105" t="s">
        <v>27</v>
      </c>
      <c r="C105" t="s">
        <v>120</v>
      </c>
      <c r="D105" t="s">
        <v>47</v>
      </c>
      <c r="E105" t="s">
        <v>601</v>
      </c>
      <c r="F105" t="s">
        <v>602</v>
      </c>
      <c r="G105">
        <v>738000</v>
      </c>
      <c r="H105">
        <v>738000</v>
      </c>
      <c r="I105" t="b">
        <v>1</v>
      </c>
      <c r="J105">
        <v>738000</v>
      </c>
      <c r="K105">
        <v>738000</v>
      </c>
      <c r="L105" t="b">
        <v>1</v>
      </c>
      <c r="M105">
        <v>0</v>
      </c>
      <c r="N105">
        <v>0</v>
      </c>
      <c r="O105" t="b">
        <v>1</v>
      </c>
      <c r="P105">
        <v>0</v>
      </c>
      <c r="Q105">
        <v>0</v>
      </c>
      <c r="R105" t="b">
        <v>1</v>
      </c>
      <c r="S105">
        <v>738000</v>
      </c>
      <c r="T105">
        <v>738000</v>
      </c>
      <c r="U105" t="b">
        <v>1</v>
      </c>
      <c r="V105">
        <v>0</v>
      </c>
      <c r="W105">
        <v>0</v>
      </c>
      <c r="X105" t="b">
        <v>1</v>
      </c>
      <c r="Y105">
        <v>0</v>
      </c>
      <c r="Z105">
        <v>0</v>
      </c>
      <c r="AA105" t="b">
        <v>1</v>
      </c>
      <c r="AB105">
        <v>575640</v>
      </c>
      <c r="AC105">
        <v>575640</v>
      </c>
      <c r="AD105" t="b">
        <v>1</v>
      </c>
      <c r="AE105">
        <v>0</v>
      </c>
      <c r="AF105">
        <v>0</v>
      </c>
      <c r="AG105" t="b">
        <v>1</v>
      </c>
      <c r="AH105">
        <v>575640</v>
      </c>
      <c r="AI105">
        <v>575640</v>
      </c>
      <c r="AJ105" t="b">
        <v>1</v>
      </c>
      <c r="AK105">
        <v>738000</v>
      </c>
      <c r="AL105">
        <v>738000</v>
      </c>
      <c r="AM105" t="b">
        <v>1</v>
      </c>
    </row>
    <row r="106" spans="1:39">
      <c r="A106">
        <v>45741</v>
      </c>
      <c r="B106" t="s">
        <v>27</v>
      </c>
      <c r="C106" t="s">
        <v>120</v>
      </c>
      <c r="D106" t="s">
        <v>64</v>
      </c>
      <c r="E106" t="s">
        <v>320</v>
      </c>
      <c r="F106" t="s">
        <v>604</v>
      </c>
      <c r="G106">
        <v>0</v>
      </c>
      <c r="H106">
        <v>0</v>
      </c>
      <c r="I106" t="b">
        <v>1</v>
      </c>
      <c r="J106">
        <v>1440862</v>
      </c>
      <c r="K106">
        <v>1440862</v>
      </c>
      <c r="L106" t="b">
        <v>1</v>
      </c>
      <c r="M106">
        <v>1301935</v>
      </c>
      <c r="N106">
        <v>1301935</v>
      </c>
      <c r="O106" t="b">
        <v>1</v>
      </c>
      <c r="P106">
        <v>0</v>
      </c>
      <c r="Q106">
        <v>0</v>
      </c>
      <c r="R106" t="b">
        <v>1</v>
      </c>
      <c r="S106">
        <v>138927</v>
      </c>
      <c r="T106">
        <v>138927</v>
      </c>
      <c r="U106" t="b">
        <v>1</v>
      </c>
      <c r="V106">
        <v>0</v>
      </c>
      <c r="W106">
        <v>0</v>
      </c>
      <c r="X106" t="b">
        <v>1</v>
      </c>
      <c r="Y106">
        <v>0</v>
      </c>
      <c r="Z106">
        <v>0</v>
      </c>
      <c r="AA106" t="b">
        <v>1</v>
      </c>
      <c r="AB106">
        <v>0</v>
      </c>
      <c r="AC106">
        <v>0</v>
      </c>
      <c r="AD106" t="b">
        <v>1</v>
      </c>
      <c r="AE106">
        <v>0</v>
      </c>
      <c r="AF106">
        <v>0</v>
      </c>
      <c r="AG106" t="b">
        <v>1</v>
      </c>
      <c r="AH106">
        <v>0</v>
      </c>
      <c r="AI106">
        <v>0</v>
      </c>
      <c r="AJ106" t="b">
        <v>1</v>
      </c>
      <c r="AK106">
        <v>0</v>
      </c>
      <c r="AL106">
        <v>0</v>
      </c>
      <c r="AM106" t="b">
        <v>1</v>
      </c>
    </row>
    <row r="107" spans="1:39">
      <c r="A107">
        <v>45741</v>
      </c>
      <c r="B107" t="s">
        <v>27</v>
      </c>
      <c r="C107" t="s">
        <v>120</v>
      </c>
      <c r="D107" t="s">
        <v>104</v>
      </c>
      <c r="E107" t="s">
        <v>322</v>
      </c>
      <c r="F107" t="s">
        <v>606</v>
      </c>
      <c r="G107">
        <v>0</v>
      </c>
      <c r="H107">
        <v>0</v>
      </c>
      <c r="I107" t="b">
        <v>1</v>
      </c>
      <c r="J107">
        <v>516000</v>
      </c>
      <c r="K107">
        <v>516000</v>
      </c>
      <c r="L107" t="b">
        <v>1</v>
      </c>
      <c r="M107">
        <v>0</v>
      </c>
      <c r="N107">
        <v>0</v>
      </c>
      <c r="O107" t="b">
        <v>1</v>
      </c>
      <c r="P107">
        <v>0</v>
      </c>
      <c r="Q107">
        <v>0</v>
      </c>
      <c r="R107" t="b">
        <v>1</v>
      </c>
      <c r="S107">
        <v>516000</v>
      </c>
      <c r="T107">
        <v>516000</v>
      </c>
      <c r="U107" t="b">
        <v>1</v>
      </c>
      <c r="V107">
        <v>0</v>
      </c>
      <c r="W107">
        <v>0</v>
      </c>
      <c r="X107" t="b">
        <v>1</v>
      </c>
      <c r="Y107">
        <v>0</v>
      </c>
      <c r="Z107">
        <v>0</v>
      </c>
      <c r="AA107" t="b">
        <v>1</v>
      </c>
      <c r="AB107">
        <v>500000</v>
      </c>
      <c r="AC107">
        <v>500000</v>
      </c>
      <c r="AD107" t="b">
        <v>1</v>
      </c>
      <c r="AE107">
        <v>0</v>
      </c>
      <c r="AF107">
        <v>0</v>
      </c>
      <c r="AG107" t="b">
        <v>1</v>
      </c>
      <c r="AH107">
        <v>500000</v>
      </c>
      <c r="AI107">
        <v>500000</v>
      </c>
      <c r="AJ107" t="b">
        <v>1</v>
      </c>
      <c r="AK107">
        <v>0</v>
      </c>
      <c r="AL107">
        <v>0</v>
      </c>
      <c r="AM107" t="b">
        <v>1</v>
      </c>
    </row>
    <row r="108" spans="1:39">
      <c r="A108">
        <v>45741</v>
      </c>
      <c r="B108" t="s">
        <v>27</v>
      </c>
      <c r="C108" t="s">
        <v>120</v>
      </c>
      <c r="D108" t="s">
        <v>325</v>
      </c>
      <c r="E108" t="s">
        <v>326</v>
      </c>
      <c r="F108" t="s">
        <v>609</v>
      </c>
      <c r="G108">
        <v>0</v>
      </c>
      <c r="H108">
        <v>0</v>
      </c>
      <c r="I108" t="b">
        <v>1</v>
      </c>
      <c r="J108">
        <v>0</v>
      </c>
      <c r="K108">
        <v>0</v>
      </c>
      <c r="L108" t="b">
        <v>1</v>
      </c>
      <c r="M108">
        <v>0</v>
      </c>
      <c r="N108">
        <v>0</v>
      </c>
      <c r="O108" t="b">
        <v>1</v>
      </c>
      <c r="P108">
        <v>0</v>
      </c>
      <c r="Q108">
        <v>0</v>
      </c>
      <c r="R108" t="b">
        <v>1</v>
      </c>
      <c r="S108">
        <v>0</v>
      </c>
      <c r="T108">
        <v>0</v>
      </c>
      <c r="U108" t="b">
        <v>1</v>
      </c>
      <c r="V108">
        <v>42750</v>
      </c>
      <c r="W108">
        <v>42750</v>
      </c>
      <c r="X108" t="b">
        <v>1</v>
      </c>
      <c r="Y108">
        <v>46313</v>
      </c>
      <c r="Z108">
        <v>46313</v>
      </c>
      <c r="AA108" t="b">
        <v>1</v>
      </c>
      <c r="AB108">
        <v>46313</v>
      </c>
      <c r="AC108">
        <v>46313</v>
      </c>
      <c r="AD108" t="b">
        <v>1</v>
      </c>
      <c r="AE108">
        <v>0</v>
      </c>
      <c r="AF108">
        <v>0</v>
      </c>
      <c r="AG108" t="b">
        <v>1</v>
      </c>
      <c r="AH108">
        <v>0</v>
      </c>
      <c r="AI108">
        <v>0</v>
      </c>
      <c r="AJ108" t="b">
        <v>1</v>
      </c>
      <c r="AK108">
        <v>42750</v>
      </c>
      <c r="AL108">
        <v>42750</v>
      </c>
      <c r="AM108" t="b">
        <v>1</v>
      </c>
    </row>
    <row r="109" spans="1:39">
      <c r="A109">
        <v>45741</v>
      </c>
      <c r="B109" t="s">
        <v>38</v>
      </c>
      <c r="C109" t="s">
        <v>130</v>
      </c>
      <c r="D109" t="s">
        <v>327</v>
      </c>
      <c r="E109" t="s">
        <v>328</v>
      </c>
      <c r="F109" t="s">
        <v>610</v>
      </c>
      <c r="G109">
        <v>0</v>
      </c>
      <c r="H109">
        <v>0</v>
      </c>
      <c r="I109" t="b">
        <v>1</v>
      </c>
      <c r="J109">
        <v>0</v>
      </c>
      <c r="K109">
        <v>0</v>
      </c>
      <c r="L109" t="b">
        <v>1</v>
      </c>
      <c r="M109">
        <v>0</v>
      </c>
      <c r="N109">
        <v>0</v>
      </c>
      <c r="O109" t="b">
        <v>1</v>
      </c>
      <c r="P109">
        <v>0</v>
      </c>
      <c r="Q109">
        <v>0</v>
      </c>
      <c r="R109" t="b">
        <v>1</v>
      </c>
      <c r="S109">
        <v>0</v>
      </c>
      <c r="T109">
        <v>0</v>
      </c>
      <c r="U109" t="b">
        <v>1</v>
      </c>
      <c r="V109">
        <v>0</v>
      </c>
      <c r="W109">
        <v>0</v>
      </c>
      <c r="X109" t="b">
        <v>1</v>
      </c>
      <c r="Y109">
        <v>1553200</v>
      </c>
      <c r="Z109">
        <v>1553200</v>
      </c>
      <c r="AA109" t="b">
        <v>1</v>
      </c>
      <c r="AB109">
        <v>1553200</v>
      </c>
      <c r="AC109">
        <v>1553200</v>
      </c>
      <c r="AD109" t="b">
        <v>1</v>
      </c>
      <c r="AE109">
        <v>0</v>
      </c>
      <c r="AF109">
        <v>0</v>
      </c>
      <c r="AG109" t="b">
        <v>1</v>
      </c>
      <c r="AH109">
        <v>0</v>
      </c>
      <c r="AI109">
        <v>0</v>
      </c>
      <c r="AJ109" t="b">
        <v>1</v>
      </c>
      <c r="AK109">
        <v>0</v>
      </c>
      <c r="AL109">
        <v>0</v>
      </c>
      <c r="AM109" t="b">
        <v>1</v>
      </c>
    </row>
    <row r="110" spans="1:39">
      <c r="A110">
        <v>45741</v>
      </c>
      <c r="B110" t="s">
        <v>31</v>
      </c>
      <c r="C110" t="s">
        <v>115</v>
      </c>
      <c r="D110" t="s">
        <v>329</v>
      </c>
      <c r="E110" t="s">
        <v>330</v>
      </c>
      <c r="F110" t="s">
        <v>611</v>
      </c>
      <c r="G110">
        <v>0</v>
      </c>
      <c r="H110">
        <v>0</v>
      </c>
      <c r="I110" t="b">
        <v>1</v>
      </c>
      <c r="J110">
        <v>0</v>
      </c>
      <c r="K110">
        <v>0</v>
      </c>
      <c r="L110" t="b">
        <v>1</v>
      </c>
      <c r="M110">
        <v>0</v>
      </c>
      <c r="N110">
        <v>0</v>
      </c>
      <c r="O110" t="b">
        <v>1</v>
      </c>
      <c r="P110">
        <v>0</v>
      </c>
      <c r="Q110">
        <v>0</v>
      </c>
      <c r="R110" t="b">
        <v>1</v>
      </c>
      <c r="S110">
        <v>0</v>
      </c>
      <c r="T110">
        <v>0</v>
      </c>
      <c r="U110" t="b">
        <v>1</v>
      </c>
      <c r="V110">
        <v>0</v>
      </c>
      <c r="W110">
        <v>0</v>
      </c>
      <c r="X110" t="b">
        <v>1</v>
      </c>
      <c r="Y110">
        <v>4000</v>
      </c>
      <c r="Z110">
        <v>4000</v>
      </c>
      <c r="AA110" t="b">
        <v>1</v>
      </c>
      <c r="AB110">
        <v>4000</v>
      </c>
      <c r="AC110">
        <v>4000</v>
      </c>
      <c r="AD110" t="b">
        <v>1</v>
      </c>
      <c r="AE110">
        <v>0</v>
      </c>
      <c r="AF110">
        <v>0</v>
      </c>
      <c r="AG110" t="b">
        <v>1</v>
      </c>
      <c r="AH110">
        <v>0</v>
      </c>
      <c r="AI110">
        <v>0</v>
      </c>
      <c r="AJ110" t="b">
        <v>1</v>
      </c>
      <c r="AK110">
        <v>0</v>
      </c>
      <c r="AL110">
        <v>0</v>
      </c>
      <c r="AM110" t="b">
        <v>1</v>
      </c>
    </row>
    <row r="111" spans="1:39">
      <c r="A111">
        <v>45741</v>
      </c>
      <c r="B111" t="s">
        <v>31</v>
      </c>
      <c r="C111" t="s">
        <v>115</v>
      </c>
      <c r="D111" t="s">
        <v>333</v>
      </c>
      <c r="E111" t="s">
        <v>334</v>
      </c>
      <c r="F111" t="s">
        <v>614</v>
      </c>
      <c r="G111">
        <v>0</v>
      </c>
      <c r="H111">
        <v>0</v>
      </c>
      <c r="I111" t="b">
        <v>1</v>
      </c>
      <c r="J111">
        <v>0</v>
      </c>
      <c r="K111">
        <v>0</v>
      </c>
      <c r="L111" t="b">
        <v>1</v>
      </c>
      <c r="M111">
        <v>0</v>
      </c>
      <c r="N111">
        <v>0</v>
      </c>
      <c r="O111" t="b">
        <v>1</v>
      </c>
      <c r="P111">
        <v>0</v>
      </c>
      <c r="Q111">
        <v>0</v>
      </c>
      <c r="R111" t="b">
        <v>1</v>
      </c>
      <c r="S111">
        <v>0</v>
      </c>
      <c r="T111">
        <v>0</v>
      </c>
      <c r="U111" t="b">
        <v>1</v>
      </c>
      <c r="V111">
        <v>0</v>
      </c>
      <c r="W111">
        <v>0</v>
      </c>
      <c r="X111" t="b">
        <v>1</v>
      </c>
      <c r="Y111">
        <v>133500</v>
      </c>
      <c r="Z111">
        <v>133500</v>
      </c>
      <c r="AA111" t="b">
        <v>1</v>
      </c>
      <c r="AB111">
        <v>133500</v>
      </c>
      <c r="AC111">
        <v>133500</v>
      </c>
      <c r="AD111" t="b">
        <v>1</v>
      </c>
      <c r="AE111">
        <v>0</v>
      </c>
      <c r="AF111">
        <v>0</v>
      </c>
      <c r="AG111" t="b">
        <v>1</v>
      </c>
      <c r="AH111">
        <v>0</v>
      </c>
      <c r="AI111">
        <v>0</v>
      </c>
      <c r="AJ111" t="b">
        <v>1</v>
      </c>
      <c r="AK111">
        <v>0</v>
      </c>
      <c r="AL111">
        <v>0</v>
      </c>
      <c r="AM111" t="b">
        <v>1</v>
      </c>
    </row>
    <row r="112" spans="1:39">
      <c r="A112">
        <v>45741</v>
      </c>
      <c r="B112" t="s">
        <v>59</v>
      </c>
      <c r="C112" t="s">
        <v>115</v>
      </c>
      <c r="D112" t="s">
        <v>60</v>
      </c>
      <c r="E112" t="s">
        <v>335</v>
      </c>
      <c r="F112" t="s">
        <v>615</v>
      </c>
      <c r="G112">
        <v>0</v>
      </c>
      <c r="H112">
        <v>0</v>
      </c>
      <c r="I112" t="b">
        <v>1</v>
      </c>
      <c r="J112">
        <v>0</v>
      </c>
      <c r="K112">
        <v>0</v>
      </c>
      <c r="L112" t="b">
        <v>1</v>
      </c>
      <c r="M112">
        <v>0</v>
      </c>
      <c r="N112">
        <v>0</v>
      </c>
      <c r="O112" t="b">
        <v>1</v>
      </c>
      <c r="P112">
        <v>0</v>
      </c>
      <c r="Q112">
        <v>0</v>
      </c>
      <c r="R112" t="b">
        <v>1</v>
      </c>
      <c r="S112">
        <v>0</v>
      </c>
      <c r="T112">
        <v>0</v>
      </c>
      <c r="U112" t="b">
        <v>1</v>
      </c>
      <c r="V112">
        <v>0</v>
      </c>
      <c r="W112">
        <v>0</v>
      </c>
      <c r="X112" t="b">
        <v>1</v>
      </c>
      <c r="Y112">
        <v>11500</v>
      </c>
      <c r="Z112">
        <v>11500</v>
      </c>
      <c r="AA112" t="b">
        <v>1</v>
      </c>
      <c r="AB112">
        <v>11500</v>
      </c>
      <c r="AC112">
        <v>11500</v>
      </c>
      <c r="AD112" t="b">
        <v>1</v>
      </c>
      <c r="AE112">
        <v>0</v>
      </c>
      <c r="AF112">
        <v>0</v>
      </c>
      <c r="AG112" t="b">
        <v>1</v>
      </c>
      <c r="AH112">
        <v>0</v>
      </c>
      <c r="AI112">
        <v>0</v>
      </c>
      <c r="AJ112" t="b">
        <v>1</v>
      </c>
      <c r="AK112">
        <v>0</v>
      </c>
      <c r="AL112">
        <v>0</v>
      </c>
      <c r="AM112" t="b">
        <v>1</v>
      </c>
    </row>
    <row r="113" spans="1:39">
      <c r="A113">
        <v>45741</v>
      </c>
      <c r="B113" t="s">
        <v>38</v>
      </c>
      <c r="C113" t="s">
        <v>130</v>
      </c>
      <c r="D113" t="s">
        <v>336</v>
      </c>
      <c r="E113" t="s">
        <v>337</v>
      </c>
      <c r="F113" t="s">
        <v>616</v>
      </c>
      <c r="G113">
        <v>2917310</v>
      </c>
      <c r="H113">
        <v>2917310</v>
      </c>
      <c r="I113" t="b">
        <v>1</v>
      </c>
      <c r="J113">
        <v>2917310</v>
      </c>
      <c r="K113">
        <v>2917310</v>
      </c>
      <c r="L113" t="b">
        <v>1</v>
      </c>
      <c r="M113">
        <v>2917310</v>
      </c>
      <c r="N113">
        <v>2917310</v>
      </c>
      <c r="O113" t="b">
        <v>1</v>
      </c>
      <c r="P113">
        <v>0</v>
      </c>
      <c r="Q113">
        <v>0</v>
      </c>
      <c r="R113" t="b">
        <v>1</v>
      </c>
      <c r="S113">
        <v>0</v>
      </c>
      <c r="T113">
        <v>0</v>
      </c>
      <c r="U113" t="b">
        <v>1</v>
      </c>
      <c r="V113">
        <v>0</v>
      </c>
      <c r="W113">
        <v>0</v>
      </c>
      <c r="X113" t="b">
        <v>1</v>
      </c>
      <c r="Y113">
        <v>191040</v>
      </c>
      <c r="Z113">
        <v>191040</v>
      </c>
      <c r="AA113" t="b">
        <v>1</v>
      </c>
      <c r="AB113">
        <v>191040</v>
      </c>
      <c r="AC113">
        <v>191040</v>
      </c>
      <c r="AD113" t="b">
        <v>1</v>
      </c>
      <c r="AE113">
        <v>0</v>
      </c>
      <c r="AF113">
        <v>0</v>
      </c>
      <c r="AG113" t="b">
        <v>1</v>
      </c>
      <c r="AH113">
        <v>0</v>
      </c>
      <c r="AI113">
        <v>0</v>
      </c>
      <c r="AJ113" t="b">
        <v>1</v>
      </c>
      <c r="AK113">
        <v>2917310</v>
      </c>
      <c r="AL113">
        <v>2917310</v>
      </c>
      <c r="AM113" t="b">
        <v>1</v>
      </c>
    </row>
    <row r="114" spans="1:39">
      <c r="A114">
        <v>45741</v>
      </c>
      <c r="B114" t="s">
        <v>38</v>
      </c>
      <c r="C114" t="s">
        <v>130</v>
      </c>
      <c r="D114" t="s">
        <v>338</v>
      </c>
      <c r="E114" t="s">
        <v>339</v>
      </c>
      <c r="F114" t="s">
        <v>617</v>
      </c>
      <c r="G114">
        <v>484950</v>
      </c>
      <c r="H114">
        <v>484950</v>
      </c>
      <c r="I114" t="b">
        <v>1</v>
      </c>
      <c r="J114">
        <v>484950</v>
      </c>
      <c r="K114">
        <v>484950</v>
      </c>
      <c r="L114" t="b">
        <v>1</v>
      </c>
      <c r="M114">
        <v>480693</v>
      </c>
      <c r="N114">
        <v>480693</v>
      </c>
      <c r="O114" t="b">
        <v>1</v>
      </c>
      <c r="P114">
        <v>0</v>
      </c>
      <c r="Q114">
        <v>0</v>
      </c>
      <c r="R114" t="b">
        <v>1</v>
      </c>
      <c r="S114">
        <v>4257</v>
      </c>
      <c r="T114">
        <v>4257</v>
      </c>
      <c r="U114" t="b">
        <v>1</v>
      </c>
      <c r="V114">
        <v>0</v>
      </c>
      <c r="W114">
        <v>0</v>
      </c>
      <c r="X114" t="b">
        <v>1</v>
      </c>
      <c r="Y114">
        <v>0</v>
      </c>
      <c r="Z114">
        <v>0</v>
      </c>
      <c r="AA114" t="b">
        <v>1</v>
      </c>
      <c r="AB114">
        <v>0</v>
      </c>
      <c r="AC114">
        <v>0</v>
      </c>
      <c r="AD114" t="b">
        <v>1</v>
      </c>
      <c r="AE114">
        <v>0</v>
      </c>
      <c r="AF114">
        <v>0</v>
      </c>
      <c r="AG114" t="b">
        <v>1</v>
      </c>
      <c r="AH114">
        <v>0</v>
      </c>
      <c r="AI114">
        <v>0</v>
      </c>
      <c r="AJ114" t="b">
        <v>1</v>
      </c>
      <c r="AK114">
        <v>484950</v>
      </c>
      <c r="AL114">
        <v>484950</v>
      </c>
      <c r="AM114" t="b">
        <v>1</v>
      </c>
    </row>
    <row r="115" spans="1:39">
      <c r="A115">
        <v>45741</v>
      </c>
      <c r="B115" t="s">
        <v>38</v>
      </c>
      <c r="C115" t="s">
        <v>130</v>
      </c>
      <c r="D115" t="s">
        <v>39</v>
      </c>
      <c r="E115" t="s">
        <v>342</v>
      </c>
      <c r="F115" t="s">
        <v>621</v>
      </c>
      <c r="G115">
        <v>0</v>
      </c>
      <c r="H115">
        <v>0</v>
      </c>
      <c r="I115" t="b">
        <v>1</v>
      </c>
      <c r="J115">
        <v>0</v>
      </c>
      <c r="K115">
        <v>0</v>
      </c>
      <c r="L115" t="b">
        <v>1</v>
      </c>
      <c r="M115">
        <v>0</v>
      </c>
      <c r="N115">
        <v>0</v>
      </c>
      <c r="O115" t="b">
        <v>1</v>
      </c>
      <c r="P115">
        <v>0</v>
      </c>
      <c r="Q115">
        <v>0</v>
      </c>
      <c r="R115" t="b">
        <v>1</v>
      </c>
      <c r="S115">
        <v>0</v>
      </c>
      <c r="T115">
        <v>0</v>
      </c>
      <c r="U115" t="b">
        <v>1</v>
      </c>
      <c r="V115">
        <v>0</v>
      </c>
      <c r="W115">
        <v>0</v>
      </c>
      <c r="X115" t="b">
        <v>1</v>
      </c>
      <c r="Y115">
        <v>30000</v>
      </c>
      <c r="Z115">
        <v>30000</v>
      </c>
      <c r="AA115" t="b">
        <v>1</v>
      </c>
      <c r="AB115">
        <v>30000</v>
      </c>
      <c r="AC115">
        <v>30000</v>
      </c>
      <c r="AD115" t="b">
        <v>1</v>
      </c>
      <c r="AE115">
        <v>0</v>
      </c>
      <c r="AF115">
        <v>0</v>
      </c>
      <c r="AG115" t="b">
        <v>1</v>
      </c>
      <c r="AH115">
        <v>0</v>
      </c>
      <c r="AI115">
        <v>0</v>
      </c>
      <c r="AJ115" t="b">
        <v>1</v>
      </c>
      <c r="AK115">
        <v>0</v>
      </c>
      <c r="AL115">
        <v>0</v>
      </c>
      <c r="AM115" t="b">
        <v>1</v>
      </c>
    </row>
    <row r="116" spans="1:39">
      <c r="A116">
        <v>45741</v>
      </c>
      <c r="B116" t="s">
        <v>27</v>
      </c>
      <c r="C116" t="s">
        <v>120</v>
      </c>
      <c r="D116" t="s">
        <v>104</v>
      </c>
      <c r="E116" t="s">
        <v>343</v>
      </c>
      <c r="F116" t="s">
        <v>622</v>
      </c>
      <c r="G116">
        <v>0</v>
      </c>
      <c r="H116">
        <v>0</v>
      </c>
      <c r="I116" t="b">
        <v>1</v>
      </c>
      <c r="J116">
        <v>0</v>
      </c>
      <c r="K116">
        <v>0</v>
      </c>
      <c r="L116" t="b">
        <v>1</v>
      </c>
      <c r="M116">
        <v>0</v>
      </c>
      <c r="N116">
        <v>0</v>
      </c>
      <c r="O116" t="b">
        <v>1</v>
      </c>
      <c r="P116">
        <v>0</v>
      </c>
      <c r="Q116">
        <v>0</v>
      </c>
      <c r="R116" t="b">
        <v>1</v>
      </c>
      <c r="S116">
        <v>0</v>
      </c>
      <c r="T116">
        <v>0</v>
      </c>
      <c r="U116" t="b">
        <v>1</v>
      </c>
      <c r="V116">
        <v>0</v>
      </c>
      <c r="W116">
        <v>0</v>
      </c>
      <c r="X116" t="b">
        <v>1</v>
      </c>
      <c r="Y116">
        <v>142488</v>
      </c>
      <c r="Z116">
        <v>142488</v>
      </c>
      <c r="AA116" t="b">
        <v>1</v>
      </c>
      <c r="AB116">
        <v>142488</v>
      </c>
      <c r="AC116">
        <v>142488</v>
      </c>
      <c r="AD116" t="b">
        <v>1</v>
      </c>
      <c r="AE116">
        <v>0</v>
      </c>
      <c r="AF116">
        <v>0</v>
      </c>
      <c r="AG116" t="b">
        <v>1</v>
      </c>
      <c r="AH116">
        <v>0</v>
      </c>
      <c r="AI116">
        <v>0</v>
      </c>
      <c r="AJ116" t="b">
        <v>1</v>
      </c>
      <c r="AK116">
        <v>0</v>
      </c>
      <c r="AL116">
        <v>0</v>
      </c>
      <c r="AM116" t="b">
        <v>1</v>
      </c>
    </row>
    <row r="117" spans="1:39">
      <c r="A117">
        <v>45741</v>
      </c>
      <c r="B117" t="s">
        <v>38</v>
      </c>
      <c r="C117" t="s">
        <v>130</v>
      </c>
      <c r="D117" t="s">
        <v>99</v>
      </c>
      <c r="E117" t="s">
        <v>344</v>
      </c>
      <c r="F117" t="s">
        <v>623</v>
      </c>
      <c r="G117">
        <v>0</v>
      </c>
      <c r="H117">
        <v>0</v>
      </c>
      <c r="I117" t="b">
        <v>1</v>
      </c>
      <c r="J117">
        <v>0</v>
      </c>
      <c r="K117">
        <v>0</v>
      </c>
      <c r="L117" t="b">
        <v>1</v>
      </c>
      <c r="M117">
        <v>0</v>
      </c>
      <c r="N117">
        <v>0</v>
      </c>
      <c r="O117" t="b">
        <v>1</v>
      </c>
      <c r="P117">
        <v>54004</v>
      </c>
      <c r="Q117">
        <v>54004</v>
      </c>
      <c r="R117" t="b">
        <v>1</v>
      </c>
      <c r="S117">
        <v>54004</v>
      </c>
      <c r="T117">
        <v>54004</v>
      </c>
      <c r="U117" t="b">
        <v>1</v>
      </c>
      <c r="V117">
        <v>0</v>
      </c>
      <c r="W117">
        <v>0</v>
      </c>
      <c r="X117" t="b">
        <v>1</v>
      </c>
      <c r="Y117">
        <v>0</v>
      </c>
      <c r="Z117">
        <v>0</v>
      </c>
      <c r="AA117" t="b">
        <v>1</v>
      </c>
      <c r="AB117">
        <v>0</v>
      </c>
      <c r="AC117">
        <v>0</v>
      </c>
      <c r="AD117" t="b">
        <v>1</v>
      </c>
      <c r="AE117">
        <v>0</v>
      </c>
      <c r="AF117">
        <v>0</v>
      </c>
      <c r="AG117" t="b">
        <v>1</v>
      </c>
      <c r="AH117">
        <v>0</v>
      </c>
      <c r="AI117">
        <v>0</v>
      </c>
      <c r="AJ117" t="b">
        <v>1</v>
      </c>
      <c r="AK117">
        <v>0</v>
      </c>
      <c r="AL117">
        <v>0</v>
      </c>
      <c r="AM117" t="b">
        <v>1</v>
      </c>
    </row>
    <row r="118" spans="1:39">
      <c r="A118">
        <v>45741</v>
      </c>
      <c r="B118" t="s">
        <v>38</v>
      </c>
      <c r="C118" t="s">
        <v>130</v>
      </c>
      <c r="D118" t="s">
        <v>107</v>
      </c>
      <c r="E118" t="s">
        <v>349</v>
      </c>
      <c r="F118" t="s">
        <v>627</v>
      </c>
      <c r="G118">
        <v>9178650</v>
      </c>
      <c r="H118">
        <v>9178650</v>
      </c>
      <c r="I118" t="b">
        <v>1</v>
      </c>
      <c r="J118">
        <v>9178650</v>
      </c>
      <c r="K118">
        <v>9178650</v>
      </c>
      <c r="L118" t="b">
        <v>1</v>
      </c>
      <c r="M118">
        <v>11025023</v>
      </c>
      <c r="N118">
        <v>11025023</v>
      </c>
      <c r="O118" t="b">
        <v>1</v>
      </c>
      <c r="P118">
        <v>0</v>
      </c>
      <c r="Q118">
        <v>0</v>
      </c>
      <c r="R118" t="b">
        <v>1</v>
      </c>
      <c r="S118">
        <v>1846373</v>
      </c>
      <c r="T118">
        <v>1846373</v>
      </c>
      <c r="U118" t="b">
        <v>1</v>
      </c>
      <c r="V118">
        <v>0</v>
      </c>
      <c r="W118">
        <v>0</v>
      </c>
      <c r="X118" t="b">
        <v>1</v>
      </c>
      <c r="Y118">
        <v>0</v>
      </c>
      <c r="Z118">
        <v>0</v>
      </c>
      <c r="AA118" t="b">
        <v>1</v>
      </c>
      <c r="AB118">
        <v>0</v>
      </c>
      <c r="AC118">
        <v>0</v>
      </c>
      <c r="AD118" t="b">
        <v>1</v>
      </c>
      <c r="AE118">
        <v>0</v>
      </c>
      <c r="AF118">
        <v>0</v>
      </c>
      <c r="AG118" t="b">
        <v>1</v>
      </c>
      <c r="AH118">
        <v>0</v>
      </c>
      <c r="AI118">
        <v>0</v>
      </c>
      <c r="AJ118" t="b">
        <v>1</v>
      </c>
      <c r="AK118">
        <v>9178650</v>
      </c>
      <c r="AL118">
        <v>9178650</v>
      </c>
      <c r="AM118" t="b">
        <v>1</v>
      </c>
    </row>
    <row r="119" spans="1:39">
      <c r="A119">
        <v>45741</v>
      </c>
      <c r="B119" t="s">
        <v>27</v>
      </c>
      <c r="C119" t="s">
        <v>120</v>
      </c>
      <c r="D119" t="s">
        <v>214</v>
      </c>
      <c r="E119" t="s">
        <v>350</v>
      </c>
      <c r="F119" t="s">
        <v>628</v>
      </c>
      <c r="G119">
        <v>0</v>
      </c>
      <c r="H119">
        <v>0</v>
      </c>
      <c r="I119" t="b">
        <v>1</v>
      </c>
      <c r="J119">
        <v>0</v>
      </c>
      <c r="K119">
        <v>0</v>
      </c>
      <c r="L119" t="b">
        <v>1</v>
      </c>
      <c r="M119">
        <v>0</v>
      </c>
      <c r="N119">
        <v>0</v>
      </c>
      <c r="O119" t="b">
        <v>1</v>
      </c>
      <c r="P119">
        <v>0</v>
      </c>
      <c r="Q119">
        <v>0</v>
      </c>
      <c r="R119" t="b">
        <v>1</v>
      </c>
      <c r="S119">
        <v>0</v>
      </c>
      <c r="T119">
        <v>0</v>
      </c>
      <c r="U119" t="b">
        <v>1</v>
      </c>
      <c r="V119">
        <v>0</v>
      </c>
      <c r="W119">
        <v>0</v>
      </c>
      <c r="X119" t="b">
        <v>1</v>
      </c>
      <c r="Y119">
        <v>1545455</v>
      </c>
      <c r="Z119">
        <v>1545455</v>
      </c>
      <c r="AA119" t="b">
        <v>1</v>
      </c>
      <c r="AB119">
        <v>1545455</v>
      </c>
      <c r="AC119">
        <v>1545455</v>
      </c>
      <c r="AD119" t="b">
        <v>1</v>
      </c>
      <c r="AE119">
        <v>0</v>
      </c>
      <c r="AF119">
        <v>0</v>
      </c>
      <c r="AG119" t="b">
        <v>1</v>
      </c>
      <c r="AH119">
        <v>0</v>
      </c>
      <c r="AI119">
        <v>0</v>
      </c>
      <c r="AJ119" t="b">
        <v>1</v>
      </c>
      <c r="AK119">
        <v>0</v>
      </c>
      <c r="AL119">
        <v>0</v>
      </c>
      <c r="AM119" t="b">
        <v>1</v>
      </c>
    </row>
    <row r="120" spans="1:39">
      <c r="A120">
        <v>45741</v>
      </c>
      <c r="B120" t="s">
        <v>38</v>
      </c>
      <c r="C120" t="s">
        <v>130</v>
      </c>
      <c r="D120" t="s">
        <v>351</v>
      </c>
      <c r="E120" t="s">
        <v>352</v>
      </c>
      <c r="F120" t="s">
        <v>629</v>
      </c>
      <c r="G120">
        <v>0</v>
      </c>
      <c r="H120">
        <v>0</v>
      </c>
      <c r="I120" t="b">
        <v>1</v>
      </c>
      <c r="J120">
        <v>0</v>
      </c>
      <c r="K120">
        <v>0</v>
      </c>
      <c r="L120" t="b">
        <v>1</v>
      </c>
      <c r="M120">
        <v>0</v>
      </c>
      <c r="N120">
        <v>0</v>
      </c>
      <c r="O120" t="b">
        <v>1</v>
      </c>
      <c r="P120">
        <v>0</v>
      </c>
      <c r="Q120">
        <v>0</v>
      </c>
      <c r="R120" t="b">
        <v>1</v>
      </c>
      <c r="S120">
        <v>0</v>
      </c>
      <c r="T120">
        <v>0</v>
      </c>
      <c r="U120" t="b">
        <v>1</v>
      </c>
      <c r="V120">
        <v>198000</v>
      </c>
      <c r="W120">
        <v>198000</v>
      </c>
      <c r="X120" t="b">
        <v>1</v>
      </c>
      <c r="Y120">
        <v>45000</v>
      </c>
      <c r="Z120">
        <v>45000</v>
      </c>
      <c r="AA120" t="b">
        <v>1</v>
      </c>
      <c r="AB120">
        <v>45000</v>
      </c>
      <c r="AC120">
        <v>45000</v>
      </c>
      <c r="AD120" t="b">
        <v>1</v>
      </c>
      <c r="AE120">
        <v>0</v>
      </c>
      <c r="AF120">
        <v>0</v>
      </c>
      <c r="AG120" t="b">
        <v>1</v>
      </c>
      <c r="AH120">
        <v>0</v>
      </c>
      <c r="AI120">
        <v>0</v>
      </c>
      <c r="AJ120" t="b">
        <v>1</v>
      </c>
      <c r="AK120">
        <v>198000</v>
      </c>
      <c r="AL120">
        <v>198000</v>
      </c>
      <c r="AM120" t="b">
        <v>1</v>
      </c>
    </row>
    <row r="121" spans="1:39">
      <c r="A121">
        <v>45741</v>
      </c>
      <c r="B121" t="s">
        <v>31</v>
      </c>
      <c r="C121" t="s">
        <v>115</v>
      </c>
      <c r="D121" t="s">
        <v>149</v>
      </c>
      <c r="E121" t="s">
        <v>353</v>
      </c>
      <c r="F121" t="s">
        <v>630</v>
      </c>
      <c r="G121">
        <v>0</v>
      </c>
      <c r="H121">
        <v>0</v>
      </c>
      <c r="I121" t="b">
        <v>1</v>
      </c>
      <c r="J121">
        <v>0</v>
      </c>
      <c r="K121">
        <v>0</v>
      </c>
      <c r="L121" t="b">
        <v>1</v>
      </c>
      <c r="M121">
        <v>0</v>
      </c>
      <c r="N121">
        <v>0</v>
      </c>
      <c r="O121" t="b">
        <v>1</v>
      </c>
      <c r="P121">
        <v>0</v>
      </c>
      <c r="Q121">
        <v>0</v>
      </c>
      <c r="R121" t="b">
        <v>1</v>
      </c>
      <c r="S121">
        <v>0</v>
      </c>
      <c r="T121">
        <v>0</v>
      </c>
      <c r="U121" t="b">
        <v>1</v>
      </c>
      <c r="V121">
        <v>0</v>
      </c>
      <c r="W121">
        <v>0</v>
      </c>
      <c r="X121" t="b">
        <v>1</v>
      </c>
      <c r="Y121">
        <v>70000</v>
      </c>
      <c r="Z121">
        <v>70000</v>
      </c>
      <c r="AA121" t="b">
        <v>1</v>
      </c>
      <c r="AB121">
        <v>70000</v>
      </c>
      <c r="AC121">
        <v>70000</v>
      </c>
      <c r="AD121" t="b">
        <v>1</v>
      </c>
      <c r="AE121">
        <v>0</v>
      </c>
      <c r="AF121">
        <v>0</v>
      </c>
      <c r="AG121" t="b">
        <v>1</v>
      </c>
      <c r="AH121">
        <v>0</v>
      </c>
      <c r="AI121">
        <v>0</v>
      </c>
      <c r="AJ121" t="b">
        <v>1</v>
      </c>
      <c r="AK121">
        <v>0</v>
      </c>
      <c r="AL121">
        <v>0</v>
      </c>
      <c r="AM121" t="b">
        <v>1</v>
      </c>
    </row>
    <row r="122" spans="1:39">
      <c r="A122">
        <v>45741</v>
      </c>
      <c r="B122" t="s">
        <v>31</v>
      </c>
      <c r="C122" t="s">
        <v>115</v>
      </c>
      <c r="D122" t="s">
        <v>248</v>
      </c>
      <c r="E122" t="s">
        <v>354</v>
      </c>
      <c r="F122" t="s">
        <v>631</v>
      </c>
      <c r="G122">
        <v>0</v>
      </c>
      <c r="H122">
        <v>0</v>
      </c>
      <c r="I122" t="b">
        <v>1</v>
      </c>
      <c r="J122">
        <v>0</v>
      </c>
      <c r="K122">
        <v>0</v>
      </c>
      <c r="L122" t="b">
        <v>1</v>
      </c>
      <c r="M122">
        <v>0</v>
      </c>
      <c r="N122">
        <v>0</v>
      </c>
      <c r="O122" t="b">
        <v>1</v>
      </c>
      <c r="P122">
        <v>0</v>
      </c>
      <c r="Q122">
        <v>0</v>
      </c>
      <c r="R122" t="b">
        <v>1</v>
      </c>
      <c r="S122">
        <v>0</v>
      </c>
      <c r="T122">
        <v>0</v>
      </c>
      <c r="U122" t="b">
        <v>1</v>
      </c>
      <c r="V122">
        <v>0</v>
      </c>
      <c r="W122">
        <v>0</v>
      </c>
      <c r="X122" t="b">
        <v>1</v>
      </c>
      <c r="Y122">
        <v>0</v>
      </c>
      <c r="Z122">
        <v>0</v>
      </c>
      <c r="AA122" t="b">
        <v>1</v>
      </c>
      <c r="AB122">
        <v>4350</v>
      </c>
      <c r="AC122">
        <v>4350</v>
      </c>
      <c r="AD122" t="b">
        <v>1</v>
      </c>
      <c r="AE122">
        <v>0</v>
      </c>
      <c r="AF122">
        <v>0</v>
      </c>
      <c r="AG122" t="b">
        <v>1</v>
      </c>
      <c r="AH122">
        <v>4350</v>
      </c>
      <c r="AI122">
        <v>4350</v>
      </c>
      <c r="AJ122" t="b">
        <v>1</v>
      </c>
      <c r="AK122">
        <v>0</v>
      </c>
      <c r="AL122">
        <v>0</v>
      </c>
      <c r="AM122" t="b">
        <v>1</v>
      </c>
    </row>
    <row r="123" spans="1:39">
      <c r="A123">
        <v>45741</v>
      </c>
      <c r="B123" t="s">
        <v>27</v>
      </c>
      <c r="C123" t="s">
        <v>120</v>
      </c>
      <c r="D123" t="s">
        <v>234</v>
      </c>
      <c r="E123" t="s">
        <v>632</v>
      </c>
      <c r="F123" t="s">
        <v>633</v>
      </c>
      <c r="G123">
        <v>0</v>
      </c>
      <c r="H123">
        <v>0</v>
      </c>
      <c r="I123" t="b">
        <v>1</v>
      </c>
      <c r="J123">
        <v>0</v>
      </c>
      <c r="K123">
        <v>0</v>
      </c>
      <c r="L123" t="b">
        <v>1</v>
      </c>
      <c r="M123">
        <v>0</v>
      </c>
      <c r="N123">
        <v>0</v>
      </c>
      <c r="O123" t="b">
        <v>1</v>
      </c>
      <c r="P123">
        <v>0</v>
      </c>
      <c r="Q123">
        <v>0</v>
      </c>
      <c r="R123" t="b">
        <v>1</v>
      </c>
      <c r="S123">
        <v>0</v>
      </c>
      <c r="T123">
        <v>0</v>
      </c>
      <c r="U123" t="b">
        <v>1</v>
      </c>
      <c r="V123">
        <v>0</v>
      </c>
      <c r="W123">
        <v>0</v>
      </c>
      <c r="X123" t="b">
        <v>1</v>
      </c>
      <c r="Y123">
        <v>0</v>
      </c>
      <c r="Z123">
        <v>0</v>
      </c>
      <c r="AA123" t="b">
        <v>1</v>
      </c>
      <c r="AB123">
        <v>15793.06</v>
      </c>
      <c r="AC123">
        <v>15793.06</v>
      </c>
      <c r="AD123" t="b">
        <v>1</v>
      </c>
      <c r="AE123">
        <v>0</v>
      </c>
      <c r="AF123">
        <v>0</v>
      </c>
      <c r="AG123" t="b">
        <v>1</v>
      </c>
      <c r="AH123">
        <v>15793.06</v>
      </c>
      <c r="AI123">
        <v>15793.06</v>
      </c>
      <c r="AJ123" t="b">
        <v>1</v>
      </c>
      <c r="AK123">
        <v>0</v>
      </c>
      <c r="AL123">
        <v>0</v>
      </c>
      <c r="AM123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NetSuite</Company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HAVASMGMReportKBCUpdatedResult</vt:lpstr>
      <vt:lpstr>MGM Report - Final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</dc:creator>
  <cp:lastModifiedBy>KalyaniChaudhari</cp:lastModifiedBy>
  <dcterms:created xsi:type="dcterms:W3CDTF">2025-07-21T10:54:41Z</dcterms:created>
  <dcterms:modified xsi:type="dcterms:W3CDTF">2025-07-21T12:53:23Z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1965AE3D04244300A4C76109B5514DF9_13</vt:lpwstr>
  </property>
  <property fmtid="{D5CDD505-2E9C-101B-9397-08002B2CF9AE}" pid="3" name="KSOProductBuildVer">
    <vt:lpwstr>1033-12.2.0.21931</vt:lpwstr>
  </property>
</Properties>
</file>