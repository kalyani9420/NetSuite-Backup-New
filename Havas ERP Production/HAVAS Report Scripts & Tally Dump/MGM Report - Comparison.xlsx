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Sheet1!$A$1:$AO$238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<sst xmlns="http://schemas.openxmlformats.org/spreadsheetml/2006/main" count="1217" uniqueCount="596">
  <si>
    <t>Project Creation Date</t>
  </si>
  <si>
    <t>Location</t>
  </si>
  <si>
    <t>Department</t>
  </si>
  <si>
    <t>Customer</t>
  </si>
  <si>
    <t>Project Code</t>
  </si>
  <si>
    <t>SB Code</t>
  </si>
  <si>
    <t>SO Value</t>
  </si>
  <si>
    <t>SO Value Tally</t>
  </si>
  <si>
    <t>Status</t>
  </si>
  <si>
    <t>SB Value</t>
  </si>
  <si>
    <t>SB Value Tally</t>
  </si>
  <si>
    <t>JVValue(S)</t>
  </si>
  <si>
    <t>JV Value Tally</t>
  </si>
  <si>
    <t>Credit Note</t>
  </si>
  <si>
    <t>CN Tally</t>
  </si>
  <si>
    <t>Net Sales</t>
  </si>
  <si>
    <t>Net Sales Tally</t>
  </si>
  <si>
    <t>PO Value</t>
  </si>
  <si>
    <t>PO Value Tally</t>
  </si>
  <si>
    <t>PB Value</t>
  </si>
  <si>
    <t>PB Value Tally</t>
  </si>
  <si>
    <t>JVValue(P)</t>
  </si>
  <si>
    <t>Debit Note</t>
  </si>
  <si>
    <t>DN Tally</t>
  </si>
  <si>
    <t>Net Expenses</t>
  </si>
  <si>
    <t>Net Expenses Tally</t>
  </si>
  <si>
    <t>Planned Margin</t>
  </si>
  <si>
    <t>Planned Margin Tally</t>
  </si>
  <si>
    <t>Actual Margin</t>
  </si>
  <si>
    <t>Actual Margin Tally</t>
  </si>
  <si>
    <t>Mumbai</t>
  </si>
  <si>
    <t xml:space="preserve"> None </t>
  </si>
  <si>
    <t>10764 TechnoBind Solutions Pvt Ltd</t>
  </si>
  <si>
    <t>SB22621 Towards Tshirts with branding  Partner Kick Off</t>
  </si>
  <si>
    <t>SB22621</t>
  </si>
  <si>
    <t>Bangalore</t>
  </si>
  <si>
    <t>10759 Bumblebee Networks</t>
  </si>
  <si>
    <t>SB22611 Bumblebee Fun Activities</t>
  </si>
  <si>
    <t>SB22611</t>
  </si>
  <si>
    <t>10769 IndoFrench Chamber Of Commerce &amp; Industry</t>
  </si>
  <si>
    <t>SB22647 Indo IFCCI Seminar. </t>
  </si>
  <si>
    <t>SB22647</t>
  </si>
  <si>
    <t>10765 Shobiz Experiential Communications Pvt LtdMum</t>
  </si>
  <si>
    <t>SB21992 Meeting Expenses</t>
  </si>
  <si>
    <t>SB21992</t>
  </si>
  <si>
    <t>Delhi/Gurgaon</t>
  </si>
  <si>
    <t>10669  Hewlett Packard Enterprise India Pvt Ltd</t>
  </si>
  <si>
    <t>SB22666 HPE Aruba CXO Meet</t>
  </si>
  <si>
    <t>SB22666</t>
  </si>
  <si>
    <t>10469  Amway India Enterprises Pvt Ltd</t>
  </si>
  <si>
    <t>SB22664 Amway BBS Multicity events</t>
  </si>
  <si>
    <t>SB22664</t>
  </si>
  <si>
    <t>10539  Tata Motors Ltd</t>
  </si>
  <si>
    <t>SB22662 Tata Fleet Management at Waves</t>
  </si>
  <si>
    <t>SB22662</t>
  </si>
  <si>
    <t>10642  Amazon Seller Services India Pvt Ltd</t>
  </si>
  <si>
    <t>SB22659 Amazon Day One at Work</t>
  </si>
  <si>
    <t>SB22659</t>
  </si>
  <si>
    <t>10174  Red Hat India Pvt Ltd</t>
  </si>
  <si>
    <t>SB22658 Red Hat Immersion Day</t>
  </si>
  <si>
    <t>SB22658</t>
  </si>
  <si>
    <t>10141  Google India Pvt Ltd</t>
  </si>
  <si>
    <t>SB22657 Google YT Shopping Lifestyle edition</t>
  </si>
  <si>
    <t>SB22657</t>
  </si>
  <si>
    <t>10518  OnePlus Technology India Pvt Ltd</t>
  </si>
  <si>
    <t>SB22656 OnePlus Masterclass</t>
  </si>
  <si>
    <t>SB22656</t>
  </si>
  <si>
    <t>SB22655 Red ACE Program  Aditya Birla Group</t>
  </si>
  <si>
    <t>SB22655</t>
  </si>
  <si>
    <t>SB22654 Amazon Transcend Graduation</t>
  </si>
  <si>
    <t>SB22654</t>
  </si>
  <si>
    <t>SB22652 Amazon collateral design and print</t>
  </si>
  <si>
    <t>SB22652</t>
  </si>
  <si>
    <t>10592  Kotak Mahindra Bank Ltd</t>
  </si>
  <si>
    <t>SB22650 Kotak Townhall with CEO</t>
  </si>
  <si>
    <t>SB22650</t>
  </si>
  <si>
    <t>SB22651 Amazon IN Finance Career Day 2025</t>
  </si>
  <si>
    <t>SB22651</t>
  </si>
  <si>
    <t>Chennai</t>
  </si>
  <si>
    <t>10306  Cognizant Technology Solutions India Pvt Ltd</t>
  </si>
  <si>
    <t>SB22649 Cognizant Zumba activity</t>
  </si>
  <si>
    <t>SB22649</t>
  </si>
  <si>
    <t>10496  Hero Motocorp Ltd</t>
  </si>
  <si>
    <t>SB22646 Hero Farwell event</t>
  </si>
  <si>
    <t>SB22646</t>
  </si>
  <si>
    <t>10412  Hindustan Unilever Ltd</t>
  </si>
  <si>
    <t>SB22645 Hul Shiva's Farewell Event,</t>
  </si>
  <si>
    <t>SB22645</t>
  </si>
  <si>
    <t>10288  WM Global Technology Services India Pvt Ltd</t>
  </si>
  <si>
    <t>SB22643 AI@Walmart</t>
  </si>
  <si>
    <t>SB22643</t>
  </si>
  <si>
    <t>SB22640 YTCC XWaves</t>
  </si>
  <si>
    <t>SB22640</t>
  </si>
  <si>
    <t>10389  Brookprop Property Management Services Pvt Ltd</t>
  </si>
  <si>
    <t>SB22639 BROOKFIELD DC VS RCB IPL</t>
  </si>
  <si>
    <t>SB22639</t>
  </si>
  <si>
    <t>10181  Siemens Ltd</t>
  </si>
  <si>
    <t>SB22641 Siemens GBS SSON Visit</t>
  </si>
  <si>
    <t>SB22641</t>
  </si>
  <si>
    <t>SB22642 Amazon Townhall event</t>
  </si>
  <si>
    <t>SB22642</t>
  </si>
  <si>
    <t>SB22638 Red Hat F &amp; B</t>
  </si>
  <si>
    <t>SB22638</t>
  </si>
  <si>
    <t>SB22636 Walmart Townhall</t>
  </si>
  <si>
    <t>SB22636</t>
  </si>
  <si>
    <t>10249  NatWest Digital Services India Pvt Ltd (RBS Services India Pvt Ltd)</t>
  </si>
  <si>
    <t>SB22637 Natwest Ruchika Town Hall Meet</t>
  </si>
  <si>
    <t>SB22637</t>
  </si>
  <si>
    <t>SB22633 Cognizant  Client Visit</t>
  </si>
  <si>
    <t>SB22633</t>
  </si>
  <si>
    <t>SB22634 Red Hat Immersion Day  Mumbai | Q2</t>
  </si>
  <si>
    <t>SB22634</t>
  </si>
  <si>
    <t>SB22635 Amazon BOX Installation</t>
  </si>
  <si>
    <t>SB22635</t>
  </si>
  <si>
    <t>10203  Accenture Solutions Pvt Ltd</t>
  </si>
  <si>
    <t>SB22632 Accenture stall @ NASSCOM GCC Summit,</t>
  </si>
  <si>
    <t>SB22632</t>
  </si>
  <si>
    <t>SB22628 Red ABM Account Day</t>
  </si>
  <si>
    <t>SB22628</t>
  </si>
  <si>
    <t>SB22627 Natwest Nasscom GCC Summit 2025</t>
  </si>
  <si>
    <t>SB22627</t>
  </si>
  <si>
    <t>10273  STT Global Data Centres India Pvt Ltd</t>
  </si>
  <si>
    <t>SB22629 STT Advantage Employee offsite</t>
  </si>
  <si>
    <t>SB22629</t>
  </si>
  <si>
    <t>10258  Phonepe Pvt Ltd</t>
  </si>
  <si>
    <t>SB22624 Phone Pe  Converge</t>
  </si>
  <si>
    <t>SB22624</t>
  </si>
  <si>
    <t>10516  Novo Nordisk India Pvt Ltd</t>
  </si>
  <si>
    <t>SB22625 GBS Finance Offsite</t>
  </si>
  <si>
    <t>SB22625</t>
  </si>
  <si>
    <t>10467  Adobe Systems India Pvt Ltd</t>
  </si>
  <si>
    <t>SB22626 Adobe Elite Circle</t>
  </si>
  <si>
    <t>SB22626</t>
  </si>
  <si>
    <t>10426  Microsoft Corporation (I) Pvt Ltd</t>
  </si>
  <si>
    <t>SB22622 Townhall at Microsoft</t>
  </si>
  <si>
    <t>SB22622</t>
  </si>
  <si>
    <t>SB22623 HPE Zerto Enablement</t>
  </si>
  <si>
    <t>SB22623</t>
  </si>
  <si>
    <t>10257  Palo Alto Networks (India) Pvt Ltd</t>
  </si>
  <si>
    <t>SB22620 Palo Cybersecurity Leadership Summitt</t>
  </si>
  <si>
    <t>SB22620</t>
  </si>
  <si>
    <t>SB22617 Cognizant NW visit</t>
  </si>
  <si>
    <t>SB22617</t>
  </si>
  <si>
    <t>10587  Innocean Worldwide Communication Pvt Ltd</t>
  </si>
  <si>
    <t>SB22618 Hyundai Global Service Seminar 2025</t>
  </si>
  <si>
    <t>SB22618</t>
  </si>
  <si>
    <t>SB22619 Siemens  HR Offiste 2025</t>
  </si>
  <si>
    <t>SB22619</t>
  </si>
  <si>
    <t>10711  Tally Solutions Pvt Ltd</t>
  </si>
  <si>
    <t>SB22614 Tally Mahasabha 2025</t>
  </si>
  <si>
    <t>SB22614</t>
  </si>
  <si>
    <t>10583  Hitachi Vantara India Pvt Ltd</t>
  </si>
  <si>
    <t>SB22616  HDFC Bank Tech Workshop HYD</t>
  </si>
  <si>
    <t>SB22616</t>
  </si>
  <si>
    <t>SB22615 Kia Clavis Hybrid</t>
  </si>
  <si>
    <t>SB22615</t>
  </si>
  <si>
    <t>10722  Vinfast Auto India Pvt Ltd</t>
  </si>
  <si>
    <t>SB22613 VinFast Digital Promotions</t>
  </si>
  <si>
    <t>SB22613</t>
  </si>
  <si>
    <t>SB22610 Amazon Whiteboard Animation video project</t>
  </si>
  <si>
    <t>SB22610</t>
  </si>
  <si>
    <t>10493  Greenlam Industries Ltd</t>
  </si>
  <si>
    <t>SB22612 Greenlam GT Launch</t>
  </si>
  <si>
    <t>SB22612</t>
  </si>
  <si>
    <t>10043 Kiran Nadar Museum of Art</t>
  </si>
  <si>
    <t>SB22598 KNMA WithIn by Aditi Mangaldas</t>
  </si>
  <si>
    <t>SB22598</t>
  </si>
  <si>
    <t>SB21386 Accenture  FE Utsava  Carnival Artists</t>
  </si>
  <si>
    <t>SB21386</t>
  </si>
  <si>
    <t>Group CEO : CEO : BU South</t>
  </si>
  <si>
    <t>10753 Superhealth Hospitals Pvt Ltd</t>
  </si>
  <si>
    <t>SB22588 Superhealth Hospital Branding</t>
  </si>
  <si>
    <t>SB22588</t>
  </si>
  <si>
    <t>10757 Novo Nordisk Pharma (Singapore) Pte Ltd</t>
  </si>
  <si>
    <t>SB22601 Proposal for Novo Nordisk Q1 Digest</t>
  </si>
  <si>
    <t>SB22601</t>
  </si>
  <si>
    <t>Group CEO : CEO : BU West</t>
  </si>
  <si>
    <t>10751 Jamf India Pvt Ltd</t>
  </si>
  <si>
    <t>SB22579 CIO Summit event</t>
  </si>
  <si>
    <t>SB22579</t>
  </si>
  <si>
    <t>10727 Air India Express Ltd</t>
  </si>
  <si>
    <t>SB22509 Aircraft launch</t>
  </si>
  <si>
    <t>SB22509</t>
  </si>
  <si>
    <t>SB22485 Jamf CIO Summit event</t>
  </si>
  <si>
    <t>SB22485</t>
  </si>
  <si>
    <t>10748 Wella India Pvt Ltd</t>
  </si>
  <si>
    <t>SB22472 Wella Trendvision</t>
  </si>
  <si>
    <t>SB22472</t>
  </si>
  <si>
    <t>10738 Jubilant Foodworks Ltd</t>
  </si>
  <si>
    <t>SB22422 Jubilant Investor Meet 2025</t>
  </si>
  <si>
    <t>SB22422</t>
  </si>
  <si>
    <t>Group CEO : CEO : BU North</t>
  </si>
  <si>
    <t>10746 The Boston Consulting Group (India) Pvt Ltd</t>
  </si>
  <si>
    <t>SB22459 BCG Connect Day</t>
  </si>
  <si>
    <t>SB22459</t>
  </si>
  <si>
    <t>10741 NTT DATA Business Solutions Pvt Ltd</t>
  </si>
  <si>
    <t>SB22384 NTT Data  Transformation NOW</t>
  </si>
  <si>
    <t>SB22384</t>
  </si>
  <si>
    <t>10324  IKEA India Pvt Ltd</t>
  </si>
  <si>
    <t>SB22609 IKEA  April Activity</t>
  </si>
  <si>
    <t>SB22609</t>
  </si>
  <si>
    <t>SB22608 Siemens Mobility Works</t>
  </si>
  <si>
    <t>SB22608</t>
  </si>
  <si>
    <t>10188  TATA Consultancy Services Ltd</t>
  </si>
  <si>
    <t>SB22606 TCS W10K 2025</t>
  </si>
  <si>
    <t>SB22606</t>
  </si>
  <si>
    <t>10179  ServiceNow Software Development India Pvt Ltd</t>
  </si>
  <si>
    <t>SB22607 ServiceNow Giveaways</t>
  </si>
  <si>
    <t>SB22607</t>
  </si>
  <si>
    <t>SB22603 Siemens Individual PVC card with QR code</t>
  </si>
  <si>
    <t>SB22603</t>
  </si>
  <si>
    <t>10588  Intel Technology India Pvt Ltd</t>
  </si>
  <si>
    <t>SB22605 Intel Premium standee print</t>
  </si>
  <si>
    <t>SB22605</t>
  </si>
  <si>
    <t>SB22604 Amazon rockstars Gurgaon</t>
  </si>
  <si>
    <t>SB22604</t>
  </si>
  <si>
    <t>SB22602 HUL  B&amp;W JBP Myntra Meet 2025</t>
  </si>
  <si>
    <t>SB22602</t>
  </si>
  <si>
    <t>SB22600 Accenture Client event</t>
  </si>
  <si>
    <t>SB22600</t>
  </si>
  <si>
    <t>SB22596 Red Hat Tech Talk Event Series</t>
  </si>
  <si>
    <t>SB22596</t>
  </si>
  <si>
    <t>10264  SAP Labs India Pvt Ltd</t>
  </si>
  <si>
    <t>SB22599 SAP Innovation Days</t>
  </si>
  <si>
    <t>SB22599</t>
  </si>
  <si>
    <t>10196  Tvs Srichakra Ltd</t>
  </si>
  <si>
    <t>SB22597 Tvs Shiprocket Recharge</t>
  </si>
  <si>
    <t>SB22597</t>
  </si>
  <si>
    <t>SB22593 Cognizant Client Visit Raheja</t>
  </si>
  <si>
    <t>SB22593</t>
  </si>
  <si>
    <t>SB22595 IKEA  May Activity</t>
  </si>
  <si>
    <t>SB22595</t>
  </si>
  <si>
    <t>SB22594 Siemens 100 years traction: Bharat Mandapam Stall</t>
  </si>
  <si>
    <t>SB22594</t>
  </si>
  <si>
    <t>10397  Dell International Services India Pvt Ltd</t>
  </si>
  <si>
    <t>SB22591 Dell CSG Launch in Hyderabad</t>
  </si>
  <si>
    <t>SB22591</t>
  </si>
  <si>
    <t>SB22592 Adobe Director Summit</t>
  </si>
  <si>
    <t>SB22592</t>
  </si>
  <si>
    <t>SB22590 Dell ISG Launch in Pune</t>
  </si>
  <si>
    <t>SB22590</t>
  </si>
  <si>
    <t>SB22589 Amazon  L 7 Recognition</t>
  </si>
  <si>
    <t>SB22589</t>
  </si>
  <si>
    <t>SB22587 Towards Giveaway Production</t>
  </si>
  <si>
    <t>SB22587</t>
  </si>
  <si>
    <t>SB22585 Tata Giveaways</t>
  </si>
  <si>
    <t>SB22585</t>
  </si>
  <si>
    <t>10121  Asus Global Pte Ltd</t>
  </si>
  <si>
    <t>SB22584 Asus P series Launch</t>
  </si>
  <si>
    <t>SB22584</t>
  </si>
  <si>
    <t>SB22586 Hul R&amp;D Leadership Forum</t>
  </si>
  <si>
    <t>SB22586</t>
  </si>
  <si>
    <t>10560  BP Business Solutions India Pvt Ltd</t>
  </si>
  <si>
    <t>SB22582 BP Exploration</t>
  </si>
  <si>
    <t>SB22582</t>
  </si>
  <si>
    <t>10221  Dbs Bank India Ltd</t>
  </si>
  <si>
    <t>SB22583 DBS Webinar session with Navneet Munot</t>
  </si>
  <si>
    <t>SB22583</t>
  </si>
  <si>
    <t>SB22580 Towards CIO Roundtable in Bangalore</t>
  </si>
  <si>
    <t>SB22580</t>
  </si>
  <si>
    <t>SB22578 Siemens Switch board Factory 50 years</t>
  </si>
  <si>
    <t>SB22578</t>
  </si>
  <si>
    <t>10566  Clarivate Analytics India Pvt Ltd</t>
  </si>
  <si>
    <t>SB22581 Booking the hotel Aloft New Delhi</t>
  </si>
  <si>
    <t>SB22581</t>
  </si>
  <si>
    <t>SB22575 BP All India Townhall 2025</t>
  </si>
  <si>
    <t>SB22575</t>
  </si>
  <si>
    <t>10262  Renault Nissan Technology &amp; Business Centre India Pvt Ltd</t>
  </si>
  <si>
    <t>SB22576 RNTBCI Gemba visit</t>
  </si>
  <si>
    <t>SB22576</t>
  </si>
  <si>
    <t>SB22577 Hero DIC Zonal Meet</t>
  </si>
  <si>
    <t>SB22577</t>
  </si>
  <si>
    <t>SB22574 OnePlus OEF</t>
  </si>
  <si>
    <t>SB22574</t>
  </si>
  <si>
    <t>SB22573 Amazon Townhall Meeting</t>
  </si>
  <si>
    <t>SB22573</t>
  </si>
  <si>
    <t>SB22571 Intel Booth at Start Up Mahakumbh</t>
  </si>
  <si>
    <t>SB22571</t>
  </si>
  <si>
    <t>10297  Astrazeneca India Pvt Ltd</t>
  </si>
  <si>
    <t>SB22572 Team Bonding  Astrazeneca</t>
  </si>
  <si>
    <t>SB22572</t>
  </si>
  <si>
    <t>SB22570 Accenture Photographer Requirement  Multi City</t>
  </si>
  <si>
    <t>SB22570</t>
  </si>
  <si>
    <t>SB22567 DBS Plasma Installation</t>
  </si>
  <si>
    <t>SB22567</t>
  </si>
  <si>
    <t>10285  Vivo Mobile India Pvt Ltd</t>
  </si>
  <si>
    <t>SB22569 Vivo V50e in Mumbai</t>
  </si>
  <si>
    <t>SB22569</t>
  </si>
  <si>
    <t>SB22566 HUL MT Conference 2025</t>
  </si>
  <si>
    <t>SB22566</t>
  </si>
  <si>
    <t>10383  Apparel Resources Pvt Ltd</t>
  </si>
  <si>
    <t>SB22565 Apparel Fashion Tech World</t>
  </si>
  <si>
    <t>SB22565</t>
  </si>
  <si>
    <t>SB22564 BP India LT Dinner</t>
  </si>
  <si>
    <t>SB22564</t>
  </si>
  <si>
    <t>SB22563 Dell  Indian Express events in July  2, 9 &amp; 16th July</t>
  </si>
  <si>
    <t>SB22563</t>
  </si>
  <si>
    <t>SB22562 Dell  Indian Express events in June  4, 12 &amp; 18th June.</t>
  </si>
  <si>
    <t>SB22562</t>
  </si>
  <si>
    <t>SB22561 Dell  Indian Express events in May  21, 22, 28 &amp; 30th May</t>
  </si>
  <si>
    <t>SB22561</t>
  </si>
  <si>
    <t>SB22560 HPE Aruba Networking Day</t>
  </si>
  <si>
    <t>SB22560</t>
  </si>
  <si>
    <t>SB22559 HPE Cloud Connect</t>
  </si>
  <si>
    <t>SB22559</t>
  </si>
  <si>
    <t>SB22558 Cognizant Nationwide Client Visit</t>
  </si>
  <si>
    <t>SB22558</t>
  </si>
  <si>
    <t>SB22557 OnePlus Jam Night in Delhi</t>
  </si>
  <si>
    <t>SB22557</t>
  </si>
  <si>
    <t>SB22555 Amazon AFBP Graduation Ceremony</t>
  </si>
  <si>
    <t>SB22555</t>
  </si>
  <si>
    <t>SB22556 Amazon Smart Wallet Launch</t>
  </si>
  <si>
    <t>SB22556</t>
  </si>
  <si>
    <t>SB22552 Hul  Grat Fest 2025</t>
  </si>
  <si>
    <t>SB22552</t>
  </si>
  <si>
    <t>SB22551 OnePlus popup</t>
  </si>
  <si>
    <t>SB22551</t>
  </si>
  <si>
    <t>SB22549 Siemens CEO Townhall Event</t>
  </si>
  <si>
    <t>SB22549</t>
  </si>
  <si>
    <t>10246  Metro Cash &amp; Carry India Pvt Ltd</t>
  </si>
  <si>
    <t>SB22550 Metro Cash &amp; Carry  Annual Meet</t>
  </si>
  <si>
    <t>SB22550</t>
  </si>
  <si>
    <t>10046 Lightspeed India Partners Advisors LLP</t>
  </si>
  <si>
    <t>SB22548 LSIP  Pickleball Tournament</t>
  </si>
  <si>
    <t>SB22548</t>
  </si>
  <si>
    <t>SB22547 Amazon Booth  Soul Sante</t>
  </si>
  <si>
    <t>SB22547</t>
  </si>
  <si>
    <t>SB22546 Cognizant Computershare Client Visit</t>
  </si>
  <si>
    <t>SB22546</t>
  </si>
  <si>
    <t>SB22545 Hitachi SKO 25</t>
  </si>
  <si>
    <t>SB22545</t>
  </si>
  <si>
    <t>SB22541 Networking Event @ IPL Chinnaswamy Stadium</t>
  </si>
  <si>
    <t>SB22541</t>
  </si>
  <si>
    <t>SB22543 BROOKFIELD POWAI  CUSTOMER EXPERIENCE JOURNEY</t>
  </si>
  <si>
    <t>SB22543</t>
  </si>
  <si>
    <t>10333  Mahindra &amp; Mahindra Ltd</t>
  </si>
  <si>
    <t>SB22538 Mahindra GSO Offsite Decor</t>
  </si>
  <si>
    <t>SB22538</t>
  </si>
  <si>
    <t>10177  SAP India Pvt Ltd</t>
  </si>
  <si>
    <t>SB22540 SAP NOW 2025</t>
  </si>
  <si>
    <t>SB22540</t>
  </si>
  <si>
    <t>SB22539 Amway Doug DeVos India Leadership Summit</t>
  </si>
  <si>
    <t>SB22539</t>
  </si>
  <si>
    <t>10305  Citi Bank</t>
  </si>
  <si>
    <t>SB22536 Citi Bank  Photographer</t>
  </si>
  <si>
    <t>SB22536</t>
  </si>
  <si>
    <t>SB22537 Siemens Dahod Ministry Visit</t>
  </si>
  <si>
    <t>SB22537</t>
  </si>
  <si>
    <t>SB22534 Cognizant US Bank Client Visit</t>
  </si>
  <si>
    <t>SB22534</t>
  </si>
  <si>
    <t>SB22532 Natwest Logistics Town Hall Meet</t>
  </si>
  <si>
    <t>SB22532</t>
  </si>
  <si>
    <t>SB22529 Cognizant Allianz Client Visit</t>
  </si>
  <si>
    <t>SB22529</t>
  </si>
  <si>
    <t>SB22526 Accenture International Women's Day 2025</t>
  </si>
  <si>
    <t>SB22526</t>
  </si>
  <si>
    <t>10664  GitHub India Pvt Ltd</t>
  </si>
  <si>
    <t>SB22527 GitHub connect  Razorpay in Bangalore</t>
  </si>
  <si>
    <t>SB22527</t>
  </si>
  <si>
    <t>SB22524 Amazon  eCF Leadership 2025</t>
  </si>
  <si>
    <t>SB22524</t>
  </si>
  <si>
    <t>SB22523 RNTBCI Cohort 2 Start Up Pitch awards</t>
  </si>
  <si>
    <t>SB22523</t>
  </si>
  <si>
    <t>10706  Skyflow Labs India Pvt Ltd</t>
  </si>
  <si>
    <t>SB22520 Towards Workshop  Delhi</t>
  </si>
  <si>
    <t>SB22520</t>
  </si>
  <si>
    <t>SB22517 Hitachi CIO Klub Chennai chapter event</t>
  </si>
  <si>
    <t>SB22517</t>
  </si>
  <si>
    <t>SB22518 TATA debossed diaries &amp; pens</t>
  </si>
  <si>
    <t>SB22518</t>
  </si>
  <si>
    <t>10374  Vmware Software India Pvt Ltd</t>
  </si>
  <si>
    <t>SB22513 VCF Experience Days and VMUG</t>
  </si>
  <si>
    <t>SB22513</t>
  </si>
  <si>
    <t>10431  Nvidia Graphics Pvt Ltd</t>
  </si>
  <si>
    <t>SB22512 Nvidia 2025</t>
  </si>
  <si>
    <t>SB22512</t>
  </si>
  <si>
    <t>SB22508 Intel AIPC Workshop</t>
  </si>
  <si>
    <t>SB22508</t>
  </si>
  <si>
    <t>SB22511 Accenture  Interns Welcome Networking Dinner</t>
  </si>
  <si>
    <t>SB22511</t>
  </si>
  <si>
    <t>SB22504 Amazon  AA Leadership Connect</t>
  </si>
  <si>
    <t>SB22504</t>
  </si>
  <si>
    <t>SB22503 HUL North Branch Meet 2025</t>
  </si>
  <si>
    <t>SB22503</t>
  </si>
  <si>
    <t>SB22501 Siemens MO Townhall</t>
  </si>
  <si>
    <t>SB22501</t>
  </si>
  <si>
    <t>SB22500 Tata Motors Stealth Mall Activation</t>
  </si>
  <si>
    <t>SB22500</t>
  </si>
  <si>
    <t>SB22502 Siemens Elevate at Siemens Office</t>
  </si>
  <si>
    <t>SB22502</t>
  </si>
  <si>
    <t>SB22498 OnePlus SFS popup</t>
  </si>
  <si>
    <t>SB22498</t>
  </si>
  <si>
    <t>SB22495 HUL SC Conference 2025</t>
  </si>
  <si>
    <t>SB22495</t>
  </si>
  <si>
    <t>SB22492 DBS Badminton Players  Meet &amp; Greet</t>
  </si>
  <si>
    <t>SB22492</t>
  </si>
  <si>
    <t>SB22494 Siemens GBS Townhall</t>
  </si>
  <si>
    <t>SB22494</t>
  </si>
  <si>
    <t>SB22491 Hul  Magnum x LFW</t>
  </si>
  <si>
    <t>SB22491</t>
  </si>
  <si>
    <t>10261  Redington Ltd</t>
  </si>
  <si>
    <t>SB22488 NetApp_CrossGen_RIL_Kochi_eventCustomer Event</t>
  </si>
  <si>
    <t>SB22488</t>
  </si>
  <si>
    <t>SB22487 Amazon Holi Event</t>
  </si>
  <si>
    <t>SB22487</t>
  </si>
  <si>
    <t>SB22483 Hero Xoom Media Drive</t>
  </si>
  <si>
    <t>SB22483</t>
  </si>
  <si>
    <t>SB22325 Infosys legal service delivery sessions</t>
  </si>
  <si>
    <t>SB22325</t>
  </si>
  <si>
    <t>SB22479 Brookfield IPC Event,</t>
  </si>
  <si>
    <t>SB22479</t>
  </si>
  <si>
    <t>SB22477 Google YT Shopping X Tech</t>
  </si>
  <si>
    <t>SB22477</t>
  </si>
  <si>
    <t>10385  Bangalore International Airport Ltd</t>
  </si>
  <si>
    <t>SB22471 BIAL Partner Connect 6.0</t>
  </si>
  <si>
    <t>SB22471</t>
  </si>
  <si>
    <t>SB22475 Hero International Women's Day</t>
  </si>
  <si>
    <t>SB22475</t>
  </si>
  <si>
    <t>SB22470 Novo Nordisk Townhall</t>
  </si>
  <si>
    <t>SB22470</t>
  </si>
  <si>
    <t>SB22469 Cognizant RBC Client Visit 2025</t>
  </si>
  <si>
    <t>SB22469</t>
  </si>
  <si>
    <t>SB22465 HUL CEO Review</t>
  </si>
  <si>
    <t>SB22465</t>
  </si>
  <si>
    <t>SB22460 HMI Townhall Event 2025</t>
  </si>
  <si>
    <t>SB22460</t>
  </si>
  <si>
    <t>SB22461 Holi 2025 : Pan India Celebration</t>
  </si>
  <si>
    <t>SB22461</t>
  </si>
  <si>
    <t>SB22455 Vivo IQOO 10R Launch</t>
  </si>
  <si>
    <t>SB22455</t>
  </si>
  <si>
    <t>SB22451 Phonepe Converge</t>
  </si>
  <si>
    <t>SB22451</t>
  </si>
  <si>
    <t>10505  Lenovo Global Technology (India) Pvt Ltd</t>
  </si>
  <si>
    <t>SB22448 Adobe Make it</t>
  </si>
  <si>
    <t>SB22448</t>
  </si>
  <si>
    <t>SB22449 Siemens Digital Kiosk</t>
  </si>
  <si>
    <t>SB22449</t>
  </si>
  <si>
    <t>SB22446 Cognizant MACY'S Client Visit</t>
  </si>
  <si>
    <t>SB22446</t>
  </si>
  <si>
    <t>SB22445 Tvs RRC &amp; MMC SOUTH</t>
  </si>
  <si>
    <t>SB22445</t>
  </si>
  <si>
    <t>10281  Thoughtworks Technologies India Pvt Ltd</t>
  </si>
  <si>
    <t>SB22443 THOUGHTWORKS BOOTH at the NASSCOM event</t>
  </si>
  <si>
    <t>SB22443</t>
  </si>
  <si>
    <t>10088 CIO Association</t>
  </si>
  <si>
    <t>SB22444 CIO Netskope_CIOKlub event</t>
  </si>
  <si>
    <t>SB22444</t>
  </si>
  <si>
    <t>SB22439 Red Hat Q1 Tech Webinar Series</t>
  </si>
  <si>
    <t>SB22439</t>
  </si>
  <si>
    <t>10008 Asia Pacific Travel Retail Association</t>
  </si>
  <si>
    <t>SB22437 Aptra India Conference 2025</t>
  </si>
  <si>
    <t>SB22437</t>
  </si>
  <si>
    <t>10533  Softcell Technologies Global Pvt Ltd</t>
  </si>
  <si>
    <t>SB22433 SOFTCELL Netapp Event</t>
  </si>
  <si>
    <t>SB22433</t>
  </si>
  <si>
    <t>SB22428 SAP Industry Summit at Westin, Powai</t>
  </si>
  <si>
    <t>SB22428</t>
  </si>
  <si>
    <t>SB22424 Cognizant Impact Awards 2025</t>
  </si>
  <si>
    <t>SB22424</t>
  </si>
  <si>
    <t>SB22417 Brookprpo ESG REPORT LAUNCH</t>
  </si>
  <si>
    <t>SB22417</t>
  </si>
  <si>
    <t>SB22416 DBS Bank IBG Townhall 2025</t>
  </si>
  <si>
    <t>SB22416</t>
  </si>
  <si>
    <t>SB22414 Adobe MakeIT</t>
  </si>
  <si>
    <t>SB22414</t>
  </si>
  <si>
    <t>SB22411 Amazon Insurgents &amp; EBE  Summit</t>
  </si>
  <si>
    <t>SB22411</t>
  </si>
  <si>
    <t>SB22410 CNBC x HUL  Lime Season</t>
  </si>
  <si>
    <t>SB22410</t>
  </si>
  <si>
    <t>SB22405 Amway Diamond Forum</t>
  </si>
  <si>
    <t>SB22405</t>
  </si>
  <si>
    <t>SB22404 GitHub Connect in Chennai</t>
  </si>
  <si>
    <t>SB22404</t>
  </si>
  <si>
    <t>SB22400 RHEL + Ansible Workshop</t>
  </si>
  <si>
    <t>SB22400</t>
  </si>
  <si>
    <t>10108 Indian Electrical &amp; Electronics</t>
  </si>
  <si>
    <t>SB22401 Elecrama ieema, WUS Dinner,</t>
  </si>
  <si>
    <t>SB22401</t>
  </si>
  <si>
    <t>10558  Autodesk India Pvt Ltd</t>
  </si>
  <si>
    <t>SB22399 Autodesk Design &amp; Manufacturing Summit 2025</t>
  </si>
  <si>
    <t>SB22399</t>
  </si>
  <si>
    <t>SB22397 Intel Cab and Bus for GPTW</t>
  </si>
  <si>
    <t>SB22397</t>
  </si>
  <si>
    <t>SB22396 Dell CSG Launch event</t>
  </si>
  <si>
    <t>SB22396</t>
  </si>
  <si>
    <t>SB22395 Hul Cornetto Stall at Zomaland</t>
  </si>
  <si>
    <t>SB22395</t>
  </si>
  <si>
    <t>SB22392 Lightspeed  Lift Off 2025</t>
  </si>
  <si>
    <t>SB22392</t>
  </si>
  <si>
    <t>SB22394 Siemens Veronika Townhall  2025</t>
  </si>
  <si>
    <t>SB22394</t>
  </si>
  <si>
    <t>SB22391 Siemens  SRE Event</t>
  </si>
  <si>
    <t>SB22391</t>
  </si>
  <si>
    <t>SB22387 Hul CD conference 2025</t>
  </si>
  <si>
    <t>SB22387</t>
  </si>
  <si>
    <t>SB22381 Amway Star Awards</t>
  </si>
  <si>
    <t>SB22381</t>
  </si>
  <si>
    <t>SB22376 Ascension Health Client Visit</t>
  </si>
  <si>
    <t>SB22376</t>
  </si>
  <si>
    <t>SB22374 Intel Laptop storage space</t>
  </si>
  <si>
    <t>SB22374</t>
  </si>
  <si>
    <t>SB22375 Siemens locomotive model</t>
  </si>
  <si>
    <t>SB22375</t>
  </si>
  <si>
    <t>SB22366 NatWest Ruchika Panesar Town Hall Meet</t>
  </si>
  <si>
    <t>SB22366</t>
  </si>
  <si>
    <t>SB22363 BIAL V day installations</t>
  </si>
  <si>
    <t>SB22363</t>
  </si>
  <si>
    <t>SB22356 RNTBCi Innovfest 25</t>
  </si>
  <si>
    <t>SB22356</t>
  </si>
  <si>
    <t>SB22354 HUL PC Summit</t>
  </si>
  <si>
    <t>SB22354</t>
  </si>
  <si>
    <t>10586  Indian Explosives Pvt Ltd</t>
  </si>
  <si>
    <t>SB22347 Orica Kshitej</t>
  </si>
  <si>
    <t>SB22347</t>
  </si>
  <si>
    <t>SB22344 GitHub Galaxy 2025</t>
  </si>
  <si>
    <t>SB22344</t>
  </si>
  <si>
    <t>SB22343 OnePlus Popup</t>
  </si>
  <si>
    <t>SB22343</t>
  </si>
  <si>
    <t>SB22338 SAP Invent 3.0</t>
  </si>
  <si>
    <t>SB22338</t>
  </si>
  <si>
    <t>10619  Singapore Investcorp India Pvt Ltd</t>
  </si>
  <si>
    <t>SB22332 Singapore GIC 15th Anniversary Celebration</t>
  </si>
  <si>
    <t>SB22332</t>
  </si>
  <si>
    <t>SB22327 Siemens Healthineers DC</t>
  </si>
  <si>
    <t>SB22327</t>
  </si>
  <si>
    <t>10266  Sheela Foam Ltd</t>
  </si>
  <si>
    <t>SB22329 Sleepwell's Founders Day</t>
  </si>
  <si>
    <t>SB22329</t>
  </si>
  <si>
    <t>SB22323 Tele Lead Gen Campaign  Dragonfly accounts</t>
  </si>
  <si>
    <t>SB22323</t>
  </si>
  <si>
    <t>SB22326 Red Hat Tech Talks Series</t>
  </si>
  <si>
    <t>SB22326</t>
  </si>
  <si>
    <t>SB22324 Hul Board Meeting 2025</t>
  </si>
  <si>
    <t>SB22324</t>
  </si>
  <si>
    <t>SB22320 Dell AI &amp; Innovation Forum events</t>
  </si>
  <si>
    <t>SB22320</t>
  </si>
  <si>
    <t>SB22321 Q4 Webinar Registration</t>
  </si>
  <si>
    <t>SB22321</t>
  </si>
  <si>
    <t>SB22318 Dell WPC &amp; AI events in Feb 2025</t>
  </si>
  <si>
    <t>SB22318</t>
  </si>
  <si>
    <t>SB22319 Dell WPC events in March 2025</t>
  </si>
  <si>
    <t>SB22319</t>
  </si>
  <si>
    <t>10126  CA (India)Technologies Pvt Ltd</t>
  </si>
  <si>
    <t>SB22317 VCF Experience Day</t>
  </si>
  <si>
    <t>SB22317</t>
  </si>
  <si>
    <t>10325  Infosys Ltd</t>
  </si>
  <si>
    <t>SB22316 Infosys event &amp; Giveaways in Feb 2025</t>
  </si>
  <si>
    <t>SB22316</t>
  </si>
  <si>
    <t>10171  Pernod Ricard India Pvt Ltd</t>
  </si>
  <si>
    <t>SB22311 Perno store promotion installation</t>
  </si>
  <si>
    <t>SB22311</t>
  </si>
  <si>
    <t>SB22306 Dell ISG Launch 13th to 19th March</t>
  </si>
  <si>
    <t>SB22306</t>
  </si>
  <si>
    <t>SB22305 Dell CSG Launch on 9th April in Andaz New Delhi</t>
  </si>
  <si>
    <t>SB22305</t>
  </si>
  <si>
    <t>10555  Amazon Pay (India) Pvt Ltd</t>
  </si>
  <si>
    <t>SB22282 Amazone  IESP</t>
  </si>
  <si>
    <t>SB22282</t>
  </si>
  <si>
    <t>SB22280 Cognizant Cultural Event @ Multicity</t>
  </si>
  <si>
    <t>SB22280</t>
  </si>
  <si>
    <t>10569  Delta Electronics India Pvt Ltd</t>
  </si>
  <si>
    <t>SB22278 Delta Elecrama 2025 at Noida</t>
  </si>
  <si>
    <t>SB22278</t>
  </si>
  <si>
    <t>10562  BYD India Pvt Ltd</t>
  </si>
  <si>
    <t>SB22272 BYD Auto Expo 2025 @ Pragti Maidan</t>
  </si>
  <si>
    <t>SB22272</t>
  </si>
  <si>
    <t>SB22268 Hitachi Idea Cafe CIO events  Feb 2025</t>
  </si>
  <si>
    <t>SB22268</t>
  </si>
  <si>
    <t>SB22263 Google YT Creator Collective Q1 &amp; Q2 2025</t>
  </si>
  <si>
    <t>SB22263</t>
  </si>
  <si>
    <t>SB22254 HPE Ignite in Athens, Greece</t>
  </si>
  <si>
    <t>SB22254</t>
  </si>
  <si>
    <t>SB22223 Towards Webinar Registrations</t>
  </si>
  <si>
    <t>SB22223</t>
  </si>
  <si>
    <t>SB22204 Kia Syros Content making</t>
  </si>
  <si>
    <t>SB22204</t>
  </si>
  <si>
    <t>SB22205 amazon Sambhav Collateral Decor</t>
  </si>
  <si>
    <t>SB22205</t>
  </si>
  <si>
    <t>SB22190 Season of Smiles</t>
  </si>
  <si>
    <t>SB22190</t>
  </si>
  <si>
    <t>10336  Minda Corporation Ltd</t>
  </si>
  <si>
    <t>SB22158 Spark Minda Auto Expo 2025,</t>
  </si>
  <si>
    <t>SB22158</t>
  </si>
  <si>
    <t>SB22159 VinFast Auto Expo 2025,</t>
  </si>
  <si>
    <t>SB22159</t>
  </si>
  <si>
    <t>SB22124 Winner &amp; Partner Trophies for INDUS Conclave &amp; SAP ACE Awards</t>
  </si>
  <si>
    <t>SB22124</t>
  </si>
  <si>
    <t>10346  Orient Electric Ltd</t>
  </si>
  <si>
    <t>SB22115 Orient Electric Dealer Meet</t>
  </si>
  <si>
    <t>SB22115</t>
  </si>
  <si>
    <t>SB22083 SAP Come Alive</t>
  </si>
  <si>
    <t>SB22083</t>
  </si>
  <si>
    <t>SB21947 NetApp Targus Roundtable Conference</t>
  </si>
  <si>
    <t>SB21947</t>
  </si>
  <si>
    <t>SB21859 NVIDIA  AI Summit at  23rd to 25th Oct 2024</t>
  </si>
  <si>
    <t>SB21859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</si>
</sst>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38"/>
  <sheetViews>
    <sheetView tabSelected="1" topLeftCell="U1" workbookViewId="0">
      <selection activeCell="F61" sqref="F61:F232"/>
    </sheetView>
  </sheetViews>
  <sheetFormatPr defaultColWidth="8.72727272727273" defaultRowHeight="14.5"/>
  <cols>
    <col min="1" max="1" width="20.3636363636364" customWidth="1"/>
    <col min="2" max="2" width="14.3636363636364" customWidth="1"/>
    <col min="3" max="3" width="26.6363636363636" customWidth="1"/>
    <col min="4" max="4" width="66.9090909090909" customWidth="1"/>
    <col min="5" max="5" width="70.4545454545455" customWidth="1"/>
    <col min="6" max="6" width="8.54545454545454" customWidth="1"/>
    <col min="7" max="7" width="11.7272727272727" customWidth="1"/>
    <col min="8" max="8" width="13.6363636363636" customWidth="1"/>
    <col min="9" max="9" width="6.63636363636364" customWidth="1"/>
    <col min="10" max="10" width="11.7272727272727" customWidth="1"/>
    <col min="11" max="11" width="13.2727272727273" customWidth="1"/>
    <col min="12" max="12" width="6.63636363636364" customWidth="1"/>
    <col min="13" max="13" width="14" customWidth="1"/>
    <col min="14" max="14" width="13" customWidth="1"/>
    <col min="15" max="16" width="11.7272727272727" customWidth="1"/>
    <col min="17" max="17" width="10.5454545454545" customWidth="1"/>
    <col min="18" max="18" width="6.36363636363636" customWidth="1"/>
    <col min="19" max="19" width="11.7272727272727" customWidth="1"/>
    <col min="20" max="20" width="13.8181818181818" customWidth="1"/>
    <col min="21" max="21" width="6.36363636363636" customWidth="1"/>
    <col min="22" max="22" width="11.7272727272727" customWidth="1"/>
    <col min="23" max="23" width="13.7272727272727" customWidth="1"/>
    <col min="24" max="24" width="6.36363636363636" customWidth="1"/>
    <col min="25" max="25" width="12.8181818181818" customWidth="1"/>
    <col min="26" max="26" width="13.4545454545455" customWidth="1"/>
    <col min="27" max="27" width="6.36363636363636" customWidth="1"/>
    <col min="28" max="28" width="12.8181818181818" customWidth="1"/>
    <col min="29" max="29" width="13" customWidth="1"/>
    <col min="30" max="30" width="6.36363636363636" customWidth="1"/>
    <col min="31" max="31" width="10.5454545454545" customWidth="1"/>
    <col min="32" max="32" width="8.54545454545454" customWidth="1"/>
    <col min="33" max="33" width="6.36363636363636" customWidth="1"/>
    <col min="34" max="34" width="13" customWidth="1"/>
    <col min="35" max="35" width="17.8181818181818" customWidth="1"/>
    <col min="36" max="36" width="6.36363636363636" customWidth="1"/>
    <col min="37" max="37" width="15.2727272727273" customWidth="1"/>
    <col min="38" max="38" width="20.0909090909091" customWidth="1"/>
    <col min="39" max="39" width="13.5454545454545" customWidth="1"/>
    <col min="40" max="40" width="18.3636363636364" customWidth="1"/>
    <col min="41" max="41" width="6.36363636363636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P1" t="s">
        <v>13</v>
      </c>
      <c r="Q1" t="s">
        <v>14</v>
      </c>
      <c r="S1" t="s">
        <v>15</v>
      </c>
      <c r="T1" t="s">
        <v>16</v>
      </c>
      <c r="V1" t="s">
        <v>17</v>
      </c>
      <c r="W1" t="s">
        <v>18</v>
      </c>
      <c r="Y1" t="s">
        <v>19</v>
      </c>
      <c r="Z1" t="s">
        <v>20</v>
      </c>
      <c r="AB1" t="s">
        <v>21</v>
      </c>
      <c r="AC1" t="s">
        <v>12</v>
      </c>
      <c r="AE1" t="s">
        <v>22</v>
      </c>
      <c r="AF1" t="s">
        <v>23</v>
      </c>
      <c r="AH1" t="s">
        <v>24</v>
      </c>
      <c r="AI1" t="s">
        <v>25</v>
      </c>
      <c r="AK1" t="s">
        <v>26</v>
      </c>
      <c r="AL1" t="s">
        <v>27</v>
      </c>
      <c r="AM1" t="s">
        <v>28</v>
      </c>
      <c r="AN1" t="s">
        <v>29</v>
      </c>
    </row>
    <row r="2" spans="1:40">
      <c r="A2">
        <v>45780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198375</v>
      </c>
      <c r="H2">
        <v>198375</v>
      </c>
      <c r="I2" t="b">
        <v>1</v>
      </c>
      <c r="J2">
        <v>198375</v>
      </c>
      <c r="K2">
        <v>198375</v>
      </c>
      <c r="L2" t="b">
        <v>1</v>
      </c>
      <c r="M2">
        <v>0</v>
      </c>
      <c r="N2">
        <v>0</v>
      </c>
      <c r="O2" t="b">
        <f>M2=N2</f>
        <v>1</v>
      </c>
      <c r="P2">
        <v>0</v>
      </c>
      <c r="Q2">
        <v>0</v>
      </c>
      <c r="R2" t="b">
        <v>1</v>
      </c>
      <c r="S2">
        <v>198375</v>
      </c>
      <c r="T2">
        <v>198375</v>
      </c>
      <c r="U2" t="b">
        <f>S2=T2</f>
        <v>1</v>
      </c>
      <c r="V2">
        <v>141550</v>
      </c>
      <c r="W2">
        <v>141550</v>
      </c>
      <c r="X2" t="b">
        <f>V2=W2</f>
        <v>1</v>
      </c>
      <c r="Y2">
        <v>141550</v>
      </c>
      <c r="Z2">
        <v>141550</v>
      </c>
      <c r="AA2" t="b">
        <f>Y2=Z2</f>
        <v>1</v>
      </c>
      <c r="AB2">
        <v>13450</v>
      </c>
      <c r="AC2">
        <v>13450</v>
      </c>
      <c r="AD2" t="b">
        <f>AB2=AC2</f>
        <v>1</v>
      </c>
      <c r="AE2">
        <v>0</v>
      </c>
      <c r="AF2">
        <v>0</v>
      </c>
      <c r="AG2" t="b">
        <f>AE2=AF2</f>
        <v>1</v>
      </c>
      <c r="AH2">
        <v>155000</v>
      </c>
      <c r="AI2">
        <v>155000</v>
      </c>
      <c r="AJ2" t="b">
        <v>1</v>
      </c>
      <c r="AK2">
        <v>56825</v>
      </c>
      <c r="AL2">
        <v>56825</v>
      </c>
      <c r="AM2">
        <v>43375</v>
      </c>
      <c r="AN2">
        <v>43375</v>
      </c>
    </row>
    <row r="3" spans="1:40">
      <c r="A3">
        <v>45780</v>
      </c>
      <c r="B3" t="s">
        <v>35</v>
      </c>
      <c r="C3" t="s">
        <v>31</v>
      </c>
      <c r="D3" t="s">
        <v>36</v>
      </c>
      <c r="E3" t="s">
        <v>37</v>
      </c>
      <c r="F3" t="s">
        <v>38</v>
      </c>
      <c r="G3">
        <v>381205</v>
      </c>
      <c r="H3">
        <v>381205</v>
      </c>
      <c r="I3" t="b">
        <v>1</v>
      </c>
      <c r="J3">
        <v>381205</v>
      </c>
      <c r="K3">
        <v>381205</v>
      </c>
      <c r="L3" t="b">
        <v>1</v>
      </c>
      <c r="M3">
        <v>0</v>
      </c>
      <c r="N3">
        <v>0</v>
      </c>
      <c r="O3" t="b">
        <f t="shared" ref="O3:O66" si="0">M3=N3</f>
        <v>1</v>
      </c>
      <c r="P3">
        <v>0</v>
      </c>
      <c r="Q3">
        <v>0</v>
      </c>
      <c r="R3" t="b">
        <v>1</v>
      </c>
      <c r="S3">
        <v>381205</v>
      </c>
      <c r="T3">
        <v>381205</v>
      </c>
      <c r="U3" t="b">
        <f t="shared" ref="U3:U66" si="1">S3=T3</f>
        <v>1</v>
      </c>
      <c r="V3">
        <v>218856</v>
      </c>
      <c r="W3">
        <v>221945</v>
      </c>
      <c r="X3" t="b">
        <f t="shared" ref="X3:X66" si="2">V3=W3</f>
        <v>0</v>
      </c>
      <c r="Y3">
        <v>205945</v>
      </c>
      <c r="Z3">
        <v>205945</v>
      </c>
      <c r="AA3" t="b">
        <f t="shared" ref="AA3:AA66" si="3">Y3=Z3</f>
        <v>1</v>
      </c>
      <c r="AB3">
        <v>16000</v>
      </c>
      <c r="AC3">
        <v>16000</v>
      </c>
      <c r="AD3" t="b">
        <f t="shared" ref="AD3:AD66" si="4">AB3=AC3</f>
        <v>1</v>
      </c>
      <c r="AE3">
        <v>0</v>
      </c>
      <c r="AF3">
        <v>0</v>
      </c>
      <c r="AG3" t="b">
        <f t="shared" ref="AG3:AG66" si="5">AE3=AF3</f>
        <v>1</v>
      </c>
      <c r="AH3">
        <v>221945</v>
      </c>
      <c r="AI3">
        <v>221945</v>
      </c>
      <c r="AJ3" t="b">
        <v>1</v>
      </c>
      <c r="AK3">
        <v>162349</v>
      </c>
      <c r="AL3">
        <v>159260</v>
      </c>
      <c r="AM3">
        <v>159260</v>
      </c>
      <c r="AN3">
        <v>159260</v>
      </c>
    </row>
    <row r="4" spans="1:40">
      <c r="A4">
        <v>45780</v>
      </c>
      <c r="B4" t="s">
        <v>35</v>
      </c>
      <c r="C4" t="s">
        <v>31</v>
      </c>
      <c r="D4" t="s">
        <v>39</v>
      </c>
      <c r="E4" t="s">
        <v>40</v>
      </c>
      <c r="F4" t="s">
        <v>41</v>
      </c>
      <c r="G4">
        <v>0</v>
      </c>
      <c r="H4">
        <v>0</v>
      </c>
      <c r="I4" t="b">
        <v>1</v>
      </c>
      <c r="J4">
        <v>0</v>
      </c>
      <c r="K4">
        <v>0</v>
      </c>
      <c r="L4" t="b">
        <v>1</v>
      </c>
      <c r="M4">
        <v>97440</v>
      </c>
      <c r="N4">
        <v>97440</v>
      </c>
      <c r="O4" t="b">
        <f t="shared" si="0"/>
        <v>1</v>
      </c>
      <c r="P4">
        <v>0</v>
      </c>
      <c r="Q4">
        <v>0</v>
      </c>
      <c r="R4" t="b">
        <v>1</v>
      </c>
      <c r="S4">
        <v>97440</v>
      </c>
      <c r="T4">
        <v>97440</v>
      </c>
      <c r="U4" t="b">
        <f t="shared" si="1"/>
        <v>1</v>
      </c>
      <c r="V4">
        <v>0</v>
      </c>
      <c r="W4">
        <v>0</v>
      </c>
      <c r="X4" t="b">
        <f t="shared" si="2"/>
        <v>1</v>
      </c>
      <c r="Y4">
        <v>0</v>
      </c>
      <c r="Z4">
        <v>0</v>
      </c>
      <c r="AA4" t="b">
        <f t="shared" si="3"/>
        <v>1</v>
      </c>
      <c r="AB4">
        <v>65000</v>
      </c>
      <c r="AC4">
        <v>65000</v>
      </c>
      <c r="AD4" t="b">
        <f t="shared" si="4"/>
        <v>1</v>
      </c>
      <c r="AE4">
        <v>0</v>
      </c>
      <c r="AF4">
        <v>0</v>
      </c>
      <c r="AG4" t="b">
        <f t="shared" si="5"/>
        <v>1</v>
      </c>
      <c r="AH4">
        <v>65000</v>
      </c>
      <c r="AI4">
        <v>65000</v>
      </c>
      <c r="AJ4" t="b">
        <v>1</v>
      </c>
      <c r="AK4">
        <v>0</v>
      </c>
      <c r="AL4">
        <v>0</v>
      </c>
      <c r="AM4">
        <v>32440</v>
      </c>
      <c r="AN4">
        <v>32440</v>
      </c>
    </row>
    <row r="5" spans="1:40">
      <c r="A5">
        <v>45780</v>
      </c>
      <c r="B5" t="s">
        <v>30</v>
      </c>
      <c r="C5" t="s">
        <v>31</v>
      </c>
      <c r="D5" t="s">
        <v>42</v>
      </c>
      <c r="E5" t="s">
        <v>43</v>
      </c>
      <c r="F5" t="s">
        <v>44</v>
      </c>
      <c r="G5">
        <v>0</v>
      </c>
      <c r="H5">
        <v>0</v>
      </c>
      <c r="I5" t="b">
        <v>1</v>
      </c>
      <c r="J5">
        <v>0</v>
      </c>
      <c r="K5">
        <v>0</v>
      </c>
      <c r="L5" t="b">
        <v>1</v>
      </c>
      <c r="M5">
        <v>0</v>
      </c>
      <c r="N5">
        <v>0</v>
      </c>
      <c r="O5" t="b">
        <f t="shared" si="0"/>
        <v>1</v>
      </c>
      <c r="P5">
        <v>0</v>
      </c>
      <c r="Q5">
        <v>0</v>
      </c>
      <c r="R5" t="b">
        <v>1</v>
      </c>
      <c r="S5">
        <v>0</v>
      </c>
      <c r="T5">
        <v>0</v>
      </c>
      <c r="U5" t="b">
        <f t="shared" si="1"/>
        <v>1</v>
      </c>
      <c r="V5">
        <v>0</v>
      </c>
      <c r="W5">
        <v>0</v>
      </c>
      <c r="X5" t="b">
        <f t="shared" si="2"/>
        <v>1</v>
      </c>
      <c r="Y5">
        <v>8869</v>
      </c>
      <c r="Z5">
        <v>19848.91</v>
      </c>
      <c r="AA5" t="b">
        <f t="shared" si="3"/>
        <v>0</v>
      </c>
      <c r="AB5">
        <v>19848.91</v>
      </c>
      <c r="AC5">
        <v>19848.91</v>
      </c>
      <c r="AD5" t="b">
        <f t="shared" si="4"/>
        <v>1</v>
      </c>
      <c r="AE5">
        <v>0</v>
      </c>
      <c r="AF5">
        <v>0</v>
      </c>
      <c r="AG5" t="b">
        <f t="shared" si="5"/>
        <v>1</v>
      </c>
      <c r="AH5">
        <v>10979.91</v>
      </c>
      <c r="AI5">
        <v>0</v>
      </c>
      <c r="AJ5" t="b">
        <v>0</v>
      </c>
      <c r="AK5">
        <v>0</v>
      </c>
      <c r="AL5">
        <v>0</v>
      </c>
      <c r="AM5">
        <v>10979.91</v>
      </c>
      <c r="AN5">
        <v>0</v>
      </c>
    </row>
    <row r="6" spans="1:40">
      <c r="A6">
        <v>45780</v>
      </c>
      <c r="B6" t="s">
        <v>45</v>
      </c>
      <c r="C6" t="s">
        <v>31</v>
      </c>
      <c r="D6" t="s">
        <v>46</v>
      </c>
      <c r="E6" t="s">
        <v>47</v>
      </c>
      <c r="F6" t="s">
        <v>48</v>
      </c>
      <c r="G6">
        <v>1947000</v>
      </c>
      <c r="H6">
        <v>1947000</v>
      </c>
      <c r="I6" t="b">
        <v>1</v>
      </c>
      <c r="J6">
        <v>0</v>
      </c>
      <c r="K6">
        <v>0</v>
      </c>
      <c r="L6" t="b">
        <v>1</v>
      </c>
      <c r="M6">
        <v>0</v>
      </c>
      <c r="N6">
        <v>0</v>
      </c>
      <c r="O6" t="b">
        <f t="shared" si="0"/>
        <v>1</v>
      </c>
      <c r="P6">
        <v>0</v>
      </c>
      <c r="Q6">
        <v>0</v>
      </c>
      <c r="R6" t="b">
        <v>1</v>
      </c>
      <c r="S6">
        <v>0</v>
      </c>
      <c r="T6">
        <v>0</v>
      </c>
      <c r="U6" t="b">
        <f t="shared" si="1"/>
        <v>1</v>
      </c>
      <c r="V6">
        <v>603426</v>
      </c>
      <c r="W6">
        <v>0</v>
      </c>
      <c r="X6" t="b">
        <f t="shared" si="2"/>
        <v>0</v>
      </c>
      <c r="Y6">
        <v>0</v>
      </c>
      <c r="Z6">
        <v>0</v>
      </c>
      <c r="AA6" t="b">
        <f t="shared" si="3"/>
        <v>1</v>
      </c>
      <c r="AB6">
        <v>0</v>
      </c>
      <c r="AC6">
        <v>0</v>
      </c>
      <c r="AD6" t="b">
        <f t="shared" si="4"/>
        <v>1</v>
      </c>
      <c r="AE6">
        <v>0</v>
      </c>
      <c r="AF6">
        <v>0</v>
      </c>
      <c r="AG6" t="b">
        <f t="shared" si="5"/>
        <v>1</v>
      </c>
      <c r="AH6">
        <v>0</v>
      </c>
      <c r="AI6">
        <v>0</v>
      </c>
      <c r="AJ6" t="b">
        <v>1</v>
      </c>
      <c r="AK6">
        <v>1343574</v>
      </c>
      <c r="AL6">
        <v>1947000</v>
      </c>
      <c r="AM6">
        <v>0</v>
      </c>
      <c r="AN6">
        <v>0</v>
      </c>
    </row>
    <row r="7" spans="1:40">
      <c r="A7">
        <v>45780</v>
      </c>
      <c r="B7" t="s">
        <v>45</v>
      </c>
      <c r="C7" t="s">
        <v>31</v>
      </c>
      <c r="D7" t="s">
        <v>49</v>
      </c>
      <c r="E7" t="s">
        <v>50</v>
      </c>
      <c r="F7" t="s">
        <v>51</v>
      </c>
      <c r="G7">
        <v>4000000</v>
      </c>
      <c r="H7">
        <v>12525656</v>
      </c>
      <c r="I7" t="b">
        <v>0</v>
      </c>
      <c r="J7">
        <v>0</v>
      </c>
      <c r="K7">
        <v>0</v>
      </c>
      <c r="L7" t="b">
        <v>1</v>
      </c>
      <c r="M7">
        <v>0</v>
      </c>
      <c r="N7">
        <v>0</v>
      </c>
      <c r="O7" t="b">
        <f t="shared" si="0"/>
        <v>1</v>
      </c>
      <c r="P7">
        <v>0</v>
      </c>
      <c r="Q7">
        <v>0</v>
      </c>
      <c r="R7" t="b">
        <v>1</v>
      </c>
      <c r="S7">
        <v>0</v>
      </c>
      <c r="T7">
        <v>0</v>
      </c>
      <c r="U7" t="b">
        <f t="shared" si="1"/>
        <v>1</v>
      </c>
      <c r="V7">
        <v>0</v>
      </c>
      <c r="W7">
        <v>0</v>
      </c>
      <c r="X7" t="b">
        <f t="shared" si="2"/>
        <v>1</v>
      </c>
      <c r="Y7">
        <v>0</v>
      </c>
      <c r="Z7">
        <v>0</v>
      </c>
      <c r="AA7" t="b">
        <f t="shared" si="3"/>
        <v>1</v>
      </c>
      <c r="AB7">
        <v>0</v>
      </c>
      <c r="AC7">
        <v>0</v>
      </c>
      <c r="AD7" t="b">
        <f t="shared" si="4"/>
        <v>1</v>
      </c>
      <c r="AE7">
        <v>0</v>
      </c>
      <c r="AF7">
        <v>0</v>
      </c>
      <c r="AG7" t="b">
        <f t="shared" si="5"/>
        <v>1</v>
      </c>
      <c r="AH7">
        <v>0</v>
      </c>
      <c r="AI7">
        <v>0</v>
      </c>
      <c r="AJ7" t="b">
        <v>1</v>
      </c>
      <c r="AK7">
        <v>4000000</v>
      </c>
      <c r="AL7">
        <v>12525656</v>
      </c>
      <c r="AM7">
        <v>0</v>
      </c>
      <c r="AN7">
        <v>0</v>
      </c>
    </row>
    <row r="8" spans="1:40">
      <c r="A8">
        <v>45780</v>
      </c>
      <c r="B8" t="s">
        <v>45</v>
      </c>
      <c r="C8" t="s">
        <v>31</v>
      </c>
      <c r="D8" t="s">
        <v>52</v>
      </c>
      <c r="E8" t="s">
        <v>53</v>
      </c>
      <c r="F8" t="s">
        <v>54</v>
      </c>
      <c r="G8">
        <v>0</v>
      </c>
      <c r="H8">
        <v>3031200</v>
      </c>
      <c r="I8" t="b">
        <v>0</v>
      </c>
      <c r="J8">
        <v>0</v>
      </c>
      <c r="K8">
        <v>0</v>
      </c>
      <c r="L8" t="b">
        <v>1</v>
      </c>
      <c r="M8">
        <v>0</v>
      </c>
      <c r="N8">
        <v>0</v>
      </c>
      <c r="O8" t="b">
        <f t="shared" si="0"/>
        <v>1</v>
      </c>
      <c r="P8">
        <v>0</v>
      </c>
      <c r="Q8">
        <v>0</v>
      </c>
      <c r="R8" t="b">
        <v>1</v>
      </c>
      <c r="S8">
        <v>0</v>
      </c>
      <c r="T8">
        <v>0</v>
      </c>
      <c r="U8" t="b">
        <f t="shared" si="1"/>
        <v>1</v>
      </c>
      <c r="V8">
        <v>1166400</v>
      </c>
      <c r="W8">
        <v>1166400</v>
      </c>
      <c r="X8" t="b">
        <f t="shared" si="2"/>
        <v>1</v>
      </c>
      <c r="Y8">
        <v>0</v>
      </c>
      <c r="Z8">
        <v>0</v>
      </c>
      <c r="AA8" t="b">
        <f t="shared" si="3"/>
        <v>1</v>
      </c>
      <c r="AB8">
        <v>0</v>
      </c>
      <c r="AC8">
        <v>0</v>
      </c>
      <c r="AD8" t="b">
        <f t="shared" si="4"/>
        <v>1</v>
      </c>
      <c r="AE8">
        <v>0</v>
      </c>
      <c r="AF8">
        <v>0</v>
      </c>
      <c r="AG8" t="b">
        <f t="shared" si="5"/>
        <v>1</v>
      </c>
      <c r="AH8">
        <v>0</v>
      </c>
      <c r="AI8">
        <v>0</v>
      </c>
      <c r="AJ8" t="b">
        <v>1</v>
      </c>
      <c r="AK8">
        <v>1166400</v>
      </c>
      <c r="AL8">
        <v>1864800</v>
      </c>
      <c r="AM8">
        <v>0</v>
      </c>
      <c r="AN8">
        <v>0</v>
      </c>
    </row>
    <row r="9" spans="1:40">
      <c r="A9">
        <v>45780</v>
      </c>
      <c r="B9" t="s">
        <v>35</v>
      </c>
      <c r="C9" t="s">
        <v>31</v>
      </c>
      <c r="D9" t="s">
        <v>55</v>
      </c>
      <c r="E9" t="s">
        <v>56</v>
      </c>
      <c r="F9" t="s">
        <v>57</v>
      </c>
      <c r="G9">
        <v>178178</v>
      </c>
      <c r="H9">
        <v>178178</v>
      </c>
      <c r="I9" t="b">
        <v>1</v>
      </c>
      <c r="J9">
        <v>0</v>
      </c>
      <c r="K9">
        <v>0</v>
      </c>
      <c r="L9" t="b">
        <v>1</v>
      </c>
      <c r="M9">
        <v>178178</v>
      </c>
      <c r="N9">
        <v>178178</v>
      </c>
      <c r="O9" t="b">
        <f t="shared" si="0"/>
        <v>1</v>
      </c>
      <c r="P9">
        <v>0</v>
      </c>
      <c r="Q9">
        <v>0</v>
      </c>
      <c r="R9" t="b">
        <v>1</v>
      </c>
      <c r="S9">
        <v>178178</v>
      </c>
      <c r="T9">
        <v>178178</v>
      </c>
      <c r="U9" t="b">
        <f t="shared" si="1"/>
        <v>1</v>
      </c>
      <c r="V9">
        <v>0</v>
      </c>
      <c r="W9">
        <v>0</v>
      </c>
      <c r="X9" t="b">
        <f t="shared" si="2"/>
        <v>1</v>
      </c>
      <c r="Y9">
        <v>0</v>
      </c>
      <c r="Z9">
        <v>0</v>
      </c>
      <c r="AA9" t="b">
        <f t="shared" si="3"/>
        <v>1</v>
      </c>
      <c r="AB9">
        <v>140000</v>
      </c>
      <c r="AC9">
        <v>140000</v>
      </c>
      <c r="AD9" t="b">
        <f t="shared" si="4"/>
        <v>1</v>
      </c>
      <c r="AE9">
        <v>0</v>
      </c>
      <c r="AF9">
        <v>0</v>
      </c>
      <c r="AG9" t="b">
        <f t="shared" si="5"/>
        <v>1</v>
      </c>
      <c r="AH9">
        <v>140000</v>
      </c>
      <c r="AI9">
        <v>140000</v>
      </c>
      <c r="AJ9" t="b">
        <v>1</v>
      </c>
      <c r="AK9">
        <v>178178</v>
      </c>
      <c r="AL9">
        <v>178178</v>
      </c>
      <c r="AM9">
        <v>38178</v>
      </c>
      <c r="AN9">
        <v>38178</v>
      </c>
    </row>
    <row r="10" spans="1:40">
      <c r="A10">
        <v>45780</v>
      </c>
      <c r="B10" t="s">
        <v>30</v>
      </c>
      <c r="C10" t="s">
        <v>31</v>
      </c>
      <c r="D10" t="s">
        <v>58</v>
      </c>
      <c r="E10" t="s">
        <v>59</v>
      </c>
      <c r="F10" t="s">
        <v>60</v>
      </c>
      <c r="G10">
        <v>453325</v>
      </c>
      <c r="H10">
        <v>453325</v>
      </c>
      <c r="I10" t="b">
        <v>1</v>
      </c>
      <c r="J10">
        <v>0</v>
      </c>
      <c r="K10">
        <v>0</v>
      </c>
      <c r="L10" t="b">
        <v>1</v>
      </c>
      <c r="M10">
        <v>0</v>
      </c>
      <c r="N10">
        <v>0</v>
      </c>
      <c r="O10" t="b">
        <f t="shared" si="0"/>
        <v>1</v>
      </c>
      <c r="P10">
        <v>0</v>
      </c>
      <c r="Q10">
        <v>0</v>
      </c>
      <c r="R10" t="b">
        <v>1</v>
      </c>
      <c r="S10">
        <v>0</v>
      </c>
      <c r="T10">
        <v>0</v>
      </c>
      <c r="U10" t="b">
        <f t="shared" si="1"/>
        <v>1</v>
      </c>
      <c r="V10">
        <v>0</v>
      </c>
      <c r="W10">
        <v>0</v>
      </c>
      <c r="X10" t="b">
        <f t="shared" si="2"/>
        <v>1</v>
      </c>
      <c r="Y10">
        <v>0</v>
      </c>
      <c r="Z10">
        <v>0</v>
      </c>
      <c r="AA10" t="b">
        <f t="shared" si="3"/>
        <v>1</v>
      </c>
      <c r="AB10">
        <v>0</v>
      </c>
      <c r="AC10">
        <v>0</v>
      </c>
      <c r="AD10" t="b">
        <f t="shared" si="4"/>
        <v>1</v>
      </c>
      <c r="AE10">
        <v>0</v>
      </c>
      <c r="AF10">
        <v>0</v>
      </c>
      <c r="AG10" t="b">
        <f t="shared" si="5"/>
        <v>1</v>
      </c>
      <c r="AH10">
        <v>0</v>
      </c>
      <c r="AI10">
        <v>0</v>
      </c>
      <c r="AJ10" t="b">
        <v>1</v>
      </c>
      <c r="AK10">
        <v>453325</v>
      </c>
      <c r="AL10">
        <v>453325</v>
      </c>
      <c r="AM10">
        <v>0</v>
      </c>
      <c r="AN10">
        <v>0</v>
      </c>
    </row>
    <row r="11" spans="1:40">
      <c r="A11">
        <v>45780</v>
      </c>
      <c r="B11" t="s">
        <v>45</v>
      </c>
      <c r="C11" t="s">
        <v>31</v>
      </c>
      <c r="D11" t="s">
        <v>61</v>
      </c>
      <c r="E11" t="s">
        <v>62</v>
      </c>
      <c r="F11" t="s">
        <v>63</v>
      </c>
      <c r="G11">
        <v>8200005</v>
      </c>
      <c r="H11">
        <v>8200005</v>
      </c>
      <c r="I11" t="b">
        <v>1</v>
      </c>
      <c r="J11">
        <v>0</v>
      </c>
      <c r="K11">
        <v>0</v>
      </c>
      <c r="L11" t="b">
        <v>1</v>
      </c>
      <c r="M11">
        <v>0</v>
      </c>
      <c r="N11">
        <v>0</v>
      </c>
      <c r="O11" t="b">
        <f t="shared" si="0"/>
        <v>1</v>
      </c>
      <c r="P11">
        <v>0</v>
      </c>
      <c r="Q11">
        <v>0</v>
      </c>
      <c r="R11" t="b">
        <v>1</v>
      </c>
      <c r="S11">
        <v>0</v>
      </c>
      <c r="T11">
        <v>0</v>
      </c>
      <c r="U11" t="b">
        <f t="shared" si="1"/>
        <v>1</v>
      </c>
      <c r="V11">
        <v>0</v>
      </c>
      <c r="W11">
        <v>75000</v>
      </c>
      <c r="X11" t="b">
        <f t="shared" si="2"/>
        <v>0</v>
      </c>
      <c r="Y11">
        <v>0</v>
      </c>
      <c r="Z11">
        <v>0</v>
      </c>
      <c r="AA11" t="b">
        <f t="shared" si="3"/>
        <v>1</v>
      </c>
      <c r="AB11">
        <v>0</v>
      </c>
      <c r="AC11">
        <v>0</v>
      </c>
      <c r="AD11" t="b">
        <f t="shared" si="4"/>
        <v>1</v>
      </c>
      <c r="AE11">
        <v>0</v>
      </c>
      <c r="AF11">
        <v>0</v>
      </c>
      <c r="AG11" t="b">
        <f t="shared" si="5"/>
        <v>1</v>
      </c>
      <c r="AH11">
        <v>0</v>
      </c>
      <c r="AI11">
        <v>0</v>
      </c>
      <c r="AJ11" t="b">
        <v>1</v>
      </c>
      <c r="AK11">
        <v>8200005</v>
      </c>
      <c r="AL11">
        <v>8125005</v>
      </c>
      <c r="AM11">
        <v>0</v>
      </c>
      <c r="AN11">
        <v>0</v>
      </c>
    </row>
    <row r="12" spans="1:40">
      <c r="A12">
        <v>45780</v>
      </c>
      <c r="B12" t="s">
        <v>45</v>
      </c>
      <c r="C12" t="s">
        <v>31</v>
      </c>
      <c r="D12" t="s">
        <v>64</v>
      </c>
      <c r="E12" t="s">
        <v>65</v>
      </c>
      <c r="F12" t="s">
        <v>66</v>
      </c>
      <c r="G12">
        <v>717723</v>
      </c>
      <c r="H12">
        <v>717723</v>
      </c>
      <c r="I12" t="b">
        <v>1</v>
      </c>
      <c r="J12">
        <v>0</v>
      </c>
      <c r="K12">
        <v>0</v>
      </c>
      <c r="L12" t="b">
        <v>1</v>
      </c>
      <c r="M12">
        <v>725537</v>
      </c>
      <c r="N12">
        <v>725537</v>
      </c>
      <c r="O12" t="b">
        <f t="shared" si="0"/>
        <v>1</v>
      </c>
      <c r="P12">
        <v>0</v>
      </c>
      <c r="Q12">
        <v>0</v>
      </c>
      <c r="R12" t="b">
        <v>1</v>
      </c>
      <c r="S12">
        <v>725537</v>
      </c>
      <c r="T12">
        <v>725537</v>
      </c>
      <c r="U12" t="b">
        <f t="shared" si="1"/>
        <v>1</v>
      </c>
      <c r="V12">
        <v>249250</v>
      </c>
      <c r="W12">
        <v>249250</v>
      </c>
      <c r="X12" t="b">
        <f t="shared" si="2"/>
        <v>1</v>
      </c>
      <c r="Y12">
        <v>0</v>
      </c>
      <c r="Z12">
        <v>0</v>
      </c>
      <c r="AA12" t="b">
        <f t="shared" si="3"/>
        <v>1</v>
      </c>
      <c r="AB12">
        <v>575537</v>
      </c>
      <c r="AC12">
        <v>575537</v>
      </c>
      <c r="AD12" t="b">
        <f t="shared" si="4"/>
        <v>1</v>
      </c>
      <c r="AE12">
        <v>0</v>
      </c>
      <c r="AF12">
        <v>0</v>
      </c>
      <c r="AG12" t="b">
        <f t="shared" si="5"/>
        <v>1</v>
      </c>
      <c r="AH12">
        <v>575537</v>
      </c>
      <c r="AI12">
        <v>575537</v>
      </c>
      <c r="AJ12" t="b">
        <v>1</v>
      </c>
      <c r="AK12">
        <v>468473</v>
      </c>
      <c r="AL12">
        <v>468473</v>
      </c>
      <c r="AM12">
        <v>150000</v>
      </c>
      <c r="AN12">
        <v>150000</v>
      </c>
    </row>
    <row r="13" spans="1:40">
      <c r="A13">
        <v>45780</v>
      </c>
      <c r="B13" t="s">
        <v>30</v>
      </c>
      <c r="C13" t="s">
        <v>31</v>
      </c>
      <c r="D13" t="s">
        <v>58</v>
      </c>
      <c r="E13" t="s">
        <v>67</v>
      </c>
      <c r="F13" t="s">
        <v>68</v>
      </c>
      <c r="G13">
        <v>822946.97</v>
      </c>
      <c r="H13">
        <v>823500</v>
      </c>
      <c r="I13" t="b">
        <v>0</v>
      </c>
      <c r="J13">
        <v>0</v>
      </c>
      <c r="K13">
        <v>0</v>
      </c>
      <c r="L13" t="b">
        <v>1</v>
      </c>
      <c r="M13">
        <v>0</v>
      </c>
      <c r="N13">
        <v>0</v>
      </c>
      <c r="O13" t="b">
        <f t="shared" si="0"/>
        <v>1</v>
      </c>
      <c r="P13">
        <v>0</v>
      </c>
      <c r="Q13">
        <v>0</v>
      </c>
      <c r="R13" t="b">
        <v>1</v>
      </c>
      <c r="S13">
        <v>0</v>
      </c>
      <c r="T13">
        <v>0</v>
      </c>
      <c r="U13" t="b">
        <f t="shared" si="1"/>
        <v>1</v>
      </c>
      <c r="V13">
        <v>0</v>
      </c>
      <c r="W13">
        <v>0</v>
      </c>
      <c r="X13" t="b">
        <f t="shared" si="2"/>
        <v>1</v>
      </c>
      <c r="Y13">
        <v>0</v>
      </c>
      <c r="Z13">
        <v>0</v>
      </c>
      <c r="AA13" t="b">
        <f t="shared" si="3"/>
        <v>1</v>
      </c>
      <c r="AB13">
        <v>0</v>
      </c>
      <c r="AC13">
        <v>0</v>
      </c>
      <c r="AD13" t="b">
        <f t="shared" si="4"/>
        <v>1</v>
      </c>
      <c r="AE13">
        <v>0</v>
      </c>
      <c r="AF13">
        <v>0</v>
      </c>
      <c r="AG13" t="b">
        <f t="shared" si="5"/>
        <v>1</v>
      </c>
      <c r="AH13">
        <v>0</v>
      </c>
      <c r="AI13">
        <v>0</v>
      </c>
      <c r="AJ13" t="b">
        <v>1</v>
      </c>
      <c r="AK13">
        <v>822946.97</v>
      </c>
      <c r="AL13">
        <v>823500</v>
      </c>
      <c r="AM13">
        <v>0</v>
      </c>
      <c r="AN13">
        <v>0</v>
      </c>
    </row>
    <row r="14" spans="1:40">
      <c r="A14">
        <v>45780</v>
      </c>
      <c r="B14" t="s">
        <v>35</v>
      </c>
      <c r="C14" t="s">
        <v>31</v>
      </c>
      <c r="D14" t="s">
        <v>55</v>
      </c>
      <c r="E14" t="s">
        <v>69</v>
      </c>
      <c r="F14" t="s">
        <v>70</v>
      </c>
      <c r="G14">
        <v>0</v>
      </c>
      <c r="H14">
        <v>0</v>
      </c>
      <c r="I14" t="b">
        <v>1</v>
      </c>
      <c r="J14">
        <v>0</v>
      </c>
      <c r="K14">
        <v>0</v>
      </c>
      <c r="L14" t="b">
        <v>1</v>
      </c>
      <c r="M14">
        <v>209293</v>
      </c>
      <c r="N14">
        <v>209293</v>
      </c>
      <c r="O14" t="b">
        <f t="shared" si="0"/>
        <v>1</v>
      </c>
      <c r="P14">
        <v>0</v>
      </c>
      <c r="Q14">
        <v>0</v>
      </c>
      <c r="R14" t="b">
        <v>1</v>
      </c>
      <c r="S14">
        <v>209293</v>
      </c>
      <c r="T14">
        <v>209293</v>
      </c>
      <c r="U14" t="b">
        <f t="shared" si="1"/>
        <v>1</v>
      </c>
      <c r="V14">
        <v>0</v>
      </c>
      <c r="W14">
        <v>0</v>
      </c>
      <c r="X14" t="b">
        <f t="shared" si="2"/>
        <v>1</v>
      </c>
      <c r="Y14">
        <v>0</v>
      </c>
      <c r="Z14">
        <v>0</v>
      </c>
      <c r="AA14" t="b">
        <f t="shared" si="3"/>
        <v>1</v>
      </c>
      <c r="AB14">
        <v>150000</v>
      </c>
      <c r="AC14">
        <v>150000</v>
      </c>
      <c r="AD14" t="b">
        <f t="shared" si="4"/>
        <v>1</v>
      </c>
      <c r="AE14">
        <v>0</v>
      </c>
      <c r="AF14">
        <v>0</v>
      </c>
      <c r="AG14" t="b">
        <f t="shared" si="5"/>
        <v>1</v>
      </c>
      <c r="AH14">
        <v>150000</v>
      </c>
      <c r="AI14">
        <v>150000</v>
      </c>
      <c r="AJ14" t="b">
        <v>1</v>
      </c>
      <c r="AK14">
        <v>0</v>
      </c>
      <c r="AL14">
        <v>0</v>
      </c>
      <c r="AM14">
        <v>59293</v>
      </c>
      <c r="AN14">
        <v>59293</v>
      </c>
    </row>
    <row r="15" spans="1:40">
      <c r="A15">
        <v>45780</v>
      </c>
      <c r="B15" t="s">
        <v>35</v>
      </c>
      <c r="C15" t="s">
        <v>31</v>
      </c>
      <c r="D15" t="s">
        <v>55</v>
      </c>
      <c r="E15" t="s">
        <v>71</v>
      </c>
      <c r="F15" t="s">
        <v>72</v>
      </c>
      <c r="G15">
        <v>0</v>
      </c>
      <c r="H15">
        <v>0</v>
      </c>
      <c r="I15" t="b">
        <v>1</v>
      </c>
      <c r="J15">
        <v>0</v>
      </c>
      <c r="K15">
        <v>0</v>
      </c>
      <c r="L15" t="b">
        <v>1</v>
      </c>
      <c r="M15">
        <v>10010</v>
      </c>
      <c r="N15">
        <v>10010</v>
      </c>
      <c r="O15" t="b">
        <f t="shared" si="0"/>
        <v>1</v>
      </c>
      <c r="P15">
        <v>0</v>
      </c>
      <c r="Q15">
        <v>0</v>
      </c>
      <c r="R15" t="b">
        <v>1</v>
      </c>
      <c r="S15">
        <v>10010</v>
      </c>
      <c r="T15">
        <v>10010</v>
      </c>
      <c r="U15" t="b">
        <f t="shared" si="1"/>
        <v>1</v>
      </c>
      <c r="V15">
        <v>0</v>
      </c>
      <c r="W15">
        <v>0</v>
      </c>
      <c r="X15" t="b">
        <f t="shared" si="2"/>
        <v>1</v>
      </c>
      <c r="Y15">
        <v>0</v>
      </c>
      <c r="Z15">
        <v>0</v>
      </c>
      <c r="AA15" t="b">
        <f t="shared" si="3"/>
        <v>1</v>
      </c>
      <c r="AB15">
        <v>7500</v>
      </c>
      <c r="AC15">
        <v>7500</v>
      </c>
      <c r="AD15" t="b">
        <f t="shared" si="4"/>
        <v>1</v>
      </c>
      <c r="AE15">
        <v>0</v>
      </c>
      <c r="AF15">
        <v>0</v>
      </c>
      <c r="AG15" t="b">
        <f t="shared" si="5"/>
        <v>1</v>
      </c>
      <c r="AH15">
        <v>7500</v>
      </c>
      <c r="AI15">
        <v>7500</v>
      </c>
      <c r="AJ15" t="b">
        <v>1</v>
      </c>
      <c r="AK15">
        <v>0</v>
      </c>
      <c r="AL15">
        <v>0</v>
      </c>
      <c r="AM15">
        <v>2510</v>
      </c>
      <c r="AN15">
        <v>2510</v>
      </c>
    </row>
    <row r="16" spans="1:40">
      <c r="A16">
        <v>45780</v>
      </c>
      <c r="B16" t="s">
        <v>35</v>
      </c>
      <c r="C16" t="s">
        <v>31</v>
      </c>
      <c r="D16" t="s">
        <v>73</v>
      </c>
      <c r="E16" t="s">
        <v>74</v>
      </c>
      <c r="F16" t="s">
        <v>75</v>
      </c>
      <c r="G16">
        <v>1478362</v>
      </c>
      <c r="H16">
        <v>1478362.5</v>
      </c>
      <c r="I16" t="b">
        <v>0</v>
      </c>
      <c r="J16">
        <v>0</v>
      </c>
      <c r="K16">
        <v>0</v>
      </c>
      <c r="L16" t="b">
        <v>1</v>
      </c>
      <c r="M16">
        <v>0</v>
      </c>
      <c r="N16">
        <v>0</v>
      </c>
      <c r="O16" t="b">
        <f t="shared" si="0"/>
        <v>1</v>
      </c>
      <c r="P16">
        <v>0</v>
      </c>
      <c r="Q16">
        <v>0</v>
      </c>
      <c r="R16" t="b">
        <v>1</v>
      </c>
      <c r="S16">
        <v>0</v>
      </c>
      <c r="T16">
        <v>0</v>
      </c>
      <c r="U16" t="b">
        <f t="shared" si="1"/>
        <v>1</v>
      </c>
      <c r="V16">
        <v>0</v>
      </c>
      <c r="W16">
        <v>0</v>
      </c>
      <c r="X16" t="b">
        <f t="shared" si="2"/>
        <v>1</v>
      </c>
      <c r="Y16">
        <v>0</v>
      </c>
      <c r="Z16">
        <v>0</v>
      </c>
      <c r="AA16" t="b">
        <f t="shared" si="3"/>
        <v>1</v>
      </c>
      <c r="AB16">
        <v>0</v>
      </c>
      <c r="AC16">
        <v>0</v>
      </c>
      <c r="AD16" t="b">
        <f t="shared" si="4"/>
        <v>1</v>
      </c>
      <c r="AE16">
        <v>0</v>
      </c>
      <c r="AF16">
        <v>0</v>
      </c>
      <c r="AG16" t="b">
        <f t="shared" si="5"/>
        <v>1</v>
      </c>
      <c r="AH16">
        <v>0</v>
      </c>
      <c r="AI16">
        <v>0</v>
      </c>
      <c r="AJ16" t="b">
        <v>1</v>
      </c>
      <c r="AK16">
        <v>1478362</v>
      </c>
      <c r="AL16">
        <v>1478362.5</v>
      </c>
      <c r="AM16">
        <v>0</v>
      </c>
      <c r="AN16">
        <v>0</v>
      </c>
    </row>
    <row r="17" spans="1:40">
      <c r="A17">
        <v>45780</v>
      </c>
      <c r="B17" t="s">
        <v>35</v>
      </c>
      <c r="C17" t="s">
        <v>31</v>
      </c>
      <c r="D17" t="s">
        <v>55</v>
      </c>
      <c r="E17" t="s">
        <v>76</v>
      </c>
      <c r="F17" t="s">
        <v>77</v>
      </c>
      <c r="G17">
        <v>437059.04</v>
      </c>
      <c r="H17">
        <v>437059.04</v>
      </c>
      <c r="I17" t="b">
        <v>1</v>
      </c>
      <c r="J17">
        <v>0</v>
      </c>
      <c r="K17">
        <v>0</v>
      </c>
      <c r="L17" t="b">
        <v>1</v>
      </c>
      <c r="M17">
        <v>437059</v>
      </c>
      <c r="N17">
        <v>437059</v>
      </c>
      <c r="O17" t="b">
        <f t="shared" si="0"/>
        <v>1</v>
      </c>
      <c r="P17">
        <v>0</v>
      </c>
      <c r="Q17">
        <v>0</v>
      </c>
      <c r="R17" t="b">
        <v>1</v>
      </c>
      <c r="S17">
        <v>437059</v>
      </c>
      <c r="T17">
        <v>437059</v>
      </c>
      <c r="U17" t="b">
        <f t="shared" si="1"/>
        <v>1</v>
      </c>
      <c r="V17">
        <v>0</v>
      </c>
      <c r="W17">
        <v>0</v>
      </c>
      <c r="X17" t="b">
        <f t="shared" si="2"/>
        <v>1</v>
      </c>
      <c r="Y17">
        <v>0</v>
      </c>
      <c r="Z17">
        <v>0</v>
      </c>
      <c r="AA17" t="b">
        <f t="shared" si="3"/>
        <v>1</v>
      </c>
      <c r="AB17">
        <v>310000</v>
      </c>
      <c r="AC17">
        <v>310000</v>
      </c>
      <c r="AD17" t="b">
        <f t="shared" si="4"/>
        <v>1</v>
      </c>
      <c r="AE17">
        <v>0</v>
      </c>
      <c r="AF17">
        <v>0</v>
      </c>
      <c r="AG17" t="b">
        <f t="shared" si="5"/>
        <v>1</v>
      </c>
      <c r="AH17">
        <v>310000</v>
      </c>
      <c r="AI17">
        <v>310000</v>
      </c>
      <c r="AJ17" t="b">
        <v>1</v>
      </c>
      <c r="AK17">
        <v>437059.04</v>
      </c>
      <c r="AL17">
        <v>437059.04</v>
      </c>
      <c r="AM17">
        <v>127059</v>
      </c>
      <c r="AN17">
        <v>127059</v>
      </c>
    </row>
    <row r="18" spans="1:40">
      <c r="A18">
        <v>45780</v>
      </c>
      <c r="B18" t="s">
        <v>78</v>
      </c>
      <c r="C18" t="s">
        <v>31</v>
      </c>
      <c r="D18" t="s">
        <v>79</v>
      </c>
      <c r="E18" t="s">
        <v>80</v>
      </c>
      <c r="F18" t="s">
        <v>81</v>
      </c>
      <c r="G18">
        <v>100100</v>
      </c>
      <c r="H18">
        <v>100100</v>
      </c>
      <c r="I18" t="b">
        <v>1</v>
      </c>
      <c r="J18">
        <v>0</v>
      </c>
      <c r="K18">
        <v>0</v>
      </c>
      <c r="L18" t="b">
        <v>1</v>
      </c>
      <c r="M18">
        <v>100100</v>
      </c>
      <c r="N18">
        <v>100100</v>
      </c>
      <c r="O18" t="b">
        <f t="shared" si="0"/>
        <v>1</v>
      </c>
      <c r="P18">
        <v>0</v>
      </c>
      <c r="Q18">
        <v>0</v>
      </c>
      <c r="R18" t="b">
        <v>1</v>
      </c>
      <c r="S18">
        <v>100100</v>
      </c>
      <c r="T18">
        <v>100100</v>
      </c>
      <c r="U18" t="b">
        <f t="shared" si="1"/>
        <v>1</v>
      </c>
      <c r="V18">
        <v>85000</v>
      </c>
      <c r="W18">
        <v>85000</v>
      </c>
      <c r="X18" t="b">
        <f t="shared" si="2"/>
        <v>1</v>
      </c>
      <c r="Y18">
        <v>0</v>
      </c>
      <c r="Z18">
        <v>0</v>
      </c>
      <c r="AA18" t="b">
        <f t="shared" si="3"/>
        <v>1</v>
      </c>
      <c r="AB18">
        <v>85000</v>
      </c>
      <c r="AC18">
        <v>85000</v>
      </c>
      <c r="AD18" t="b">
        <f t="shared" si="4"/>
        <v>1</v>
      </c>
      <c r="AE18">
        <v>0</v>
      </c>
      <c r="AF18">
        <v>0</v>
      </c>
      <c r="AG18" t="b">
        <f t="shared" si="5"/>
        <v>1</v>
      </c>
      <c r="AH18">
        <v>85000</v>
      </c>
      <c r="AI18">
        <v>85000</v>
      </c>
      <c r="AJ18" t="b">
        <v>1</v>
      </c>
      <c r="AK18">
        <v>15100</v>
      </c>
      <c r="AL18">
        <v>15100</v>
      </c>
      <c r="AM18">
        <v>15100</v>
      </c>
      <c r="AN18">
        <v>15100</v>
      </c>
    </row>
    <row r="19" spans="1:40">
      <c r="A19">
        <v>45780</v>
      </c>
      <c r="B19" t="s">
        <v>45</v>
      </c>
      <c r="C19" t="s">
        <v>31</v>
      </c>
      <c r="D19" t="s">
        <v>82</v>
      </c>
      <c r="E19" t="s">
        <v>83</v>
      </c>
      <c r="F19" t="s">
        <v>84</v>
      </c>
      <c r="G19">
        <v>861169</v>
      </c>
      <c r="H19">
        <v>861169</v>
      </c>
      <c r="I19" t="b">
        <v>1</v>
      </c>
      <c r="J19">
        <v>0</v>
      </c>
      <c r="K19">
        <v>0</v>
      </c>
      <c r="L19" t="b">
        <v>1</v>
      </c>
      <c r="M19">
        <v>862426</v>
      </c>
      <c r="N19">
        <v>862426</v>
      </c>
      <c r="O19" t="b">
        <f t="shared" si="0"/>
        <v>1</v>
      </c>
      <c r="P19">
        <v>0</v>
      </c>
      <c r="Q19">
        <v>0</v>
      </c>
      <c r="R19" t="b">
        <v>1</v>
      </c>
      <c r="S19">
        <v>862426</v>
      </c>
      <c r="T19">
        <v>862426</v>
      </c>
      <c r="U19" t="b">
        <f t="shared" si="1"/>
        <v>1</v>
      </c>
      <c r="V19">
        <v>228825</v>
      </c>
      <c r="W19">
        <v>228825</v>
      </c>
      <c r="X19" t="b">
        <f t="shared" si="2"/>
        <v>1</v>
      </c>
      <c r="Y19">
        <v>0</v>
      </c>
      <c r="Z19">
        <v>45000</v>
      </c>
      <c r="AA19" t="b">
        <f t="shared" si="3"/>
        <v>0</v>
      </c>
      <c r="AB19">
        <v>555000</v>
      </c>
      <c r="AC19">
        <v>555000</v>
      </c>
      <c r="AD19" t="b">
        <f t="shared" si="4"/>
        <v>1</v>
      </c>
      <c r="AE19">
        <v>0</v>
      </c>
      <c r="AF19">
        <v>0</v>
      </c>
      <c r="AG19" t="b">
        <f t="shared" si="5"/>
        <v>1</v>
      </c>
      <c r="AH19">
        <v>555000</v>
      </c>
      <c r="AI19">
        <v>600000</v>
      </c>
      <c r="AJ19" t="b">
        <v>0</v>
      </c>
      <c r="AK19">
        <v>632344</v>
      </c>
      <c r="AL19">
        <v>632344</v>
      </c>
      <c r="AM19">
        <v>307426</v>
      </c>
      <c r="AN19">
        <v>262426</v>
      </c>
    </row>
    <row r="20" spans="1:40">
      <c r="A20">
        <v>45780</v>
      </c>
      <c r="B20" t="s">
        <v>30</v>
      </c>
      <c r="C20" t="s">
        <v>31</v>
      </c>
      <c r="D20" t="s">
        <v>85</v>
      </c>
      <c r="E20" t="s">
        <v>86</v>
      </c>
      <c r="F20" t="s">
        <v>87</v>
      </c>
      <c r="G20">
        <v>2816205</v>
      </c>
      <c r="H20">
        <v>2816205</v>
      </c>
      <c r="I20" t="b">
        <v>1</v>
      </c>
      <c r="J20">
        <v>2816205</v>
      </c>
      <c r="K20">
        <v>2816205</v>
      </c>
      <c r="L20" t="b">
        <v>1</v>
      </c>
      <c r="M20">
        <v>1483795</v>
      </c>
      <c r="N20">
        <v>1483795</v>
      </c>
      <c r="O20" t="b">
        <f t="shared" si="0"/>
        <v>1</v>
      </c>
      <c r="P20">
        <v>0</v>
      </c>
      <c r="Q20">
        <v>0</v>
      </c>
      <c r="R20" t="b">
        <v>1</v>
      </c>
      <c r="S20">
        <v>4300000</v>
      </c>
      <c r="T20">
        <v>4300000</v>
      </c>
      <c r="U20" t="b">
        <f t="shared" si="1"/>
        <v>1</v>
      </c>
      <c r="V20">
        <v>1570920</v>
      </c>
      <c r="W20">
        <v>1578905</v>
      </c>
      <c r="X20" t="b">
        <f t="shared" si="2"/>
        <v>0</v>
      </c>
      <c r="Y20">
        <v>7985</v>
      </c>
      <c r="Z20">
        <v>7985</v>
      </c>
      <c r="AA20" t="b">
        <f t="shared" si="3"/>
        <v>1</v>
      </c>
      <c r="AB20">
        <v>2642015</v>
      </c>
      <c r="AC20">
        <v>2642015</v>
      </c>
      <c r="AD20" t="b">
        <f t="shared" si="4"/>
        <v>1</v>
      </c>
      <c r="AE20">
        <v>0</v>
      </c>
      <c r="AF20">
        <v>0</v>
      </c>
      <c r="AG20" t="b">
        <f t="shared" si="5"/>
        <v>1</v>
      </c>
      <c r="AH20">
        <v>2650000</v>
      </c>
      <c r="AI20">
        <v>2650000</v>
      </c>
      <c r="AJ20" t="b">
        <v>1</v>
      </c>
      <c r="AK20">
        <v>1245285</v>
      </c>
      <c r="AL20">
        <v>1237300</v>
      </c>
      <c r="AM20">
        <v>1650000</v>
      </c>
      <c r="AN20">
        <v>1650000</v>
      </c>
    </row>
    <row r="21" spans="1:40">
      <c r="A21">
        <v>45780</v>
      </c>
      <c r="B21" t="s">
        <v>35</v>
      </c>
      <c r="C21" t="s">
        <v>31</v>
      </c>
      <c r="D21" t="s">
        <v>88</v>
      </c>
      <c r="E21" t="s">
        <v>89</v>
      </c>
      <c r="F21" t="s">
        <v>90</v>
      </c>
      <c r="G21">
        <v>0</v>
      </c>
      <c r="H21">
        <v>0</v>
      </c>
      <c r="I21" t="b">
        <v>1</v>
      </c>
      <c r="J21">
        <v>0</v>
      </c>
      <c r="K21">
        <v>0</v>
      </c>
      <c r="L21" t="b">
        <v>1</v>
      </c>
      <c r="M21">
        <v>1784284</v>
      </c>
      <c r="N21">
        <v>1784284</v>
      </c>
      <c r="O21" t="b">
        <f t="shared" si="0"/>
        <v>1</v>
      </c>
      <c r="P21">
        <v>0</v>
      </c>
      <c r="Q21">
        <v>0</v>
      </c>
      <c r="R21" t="b">
        <v>1</v>
      </c>
      <c r="S21">
        <v>1784284</v>
      </c>
      <c r="T21">
        <v>1784284</v>
      </c>
      <c r="U21" t="b">
        <f t="shared" si="1"/>
        <v>1</v>
      </c>
      <c r="V21">
        <v>0</v>
      </c>
      <c r="W21">
        <v>0</v>
      </c>
      <c r="X21" t="b">
        <f t="shared" si="2"/>
        <v>1</v>
      </c>
      <c r="Y21">
        <v>0</v>
      </c>
      <c r="Z21">
        <v>0</v>
      </c>
      <c r="AA21" t="b">
        <f t="shared" si="3"/>
        <v>1</v>
      </c>
      <c r="AB21">
        <v>1418704</v>
      </c>
      <c r="AC21">
        <v>1418704</v>
      </c>
      <c r="AD21" t="b">
        <f t="shared" si="4"/>
        <v>1</v>
      </c>
      <c r="AE21">
        <v>0</v>
      </c>
      <c r="AF21">
        <v>0</v>
      </c>
      <c r="AG21" t="b">
        <f t="shared" si="5"/>
        <v>1</v>
      </c>
      <c r="AH21">
        <v>1418704</v>
      </c>
      <c r="AI21">
        <v>1418704</v>
      </c>
      <c r="AJ21" t="b">
        <v>1</v>
      </c>
      <c r="AK21">
        <v>0</v>
      </c>
      <c r="AL21">
        <v>0</v>
      </c>
      <c r="AM21">
        <v>365580</v>
      </c>
      <c r="AN21">
        <v>365580</v>
      </c>
    </row>
    <row r="22" spans="1:40">
      <c r="A22">
        <v>45780</v>
      </c>
      <c r="B22" t="s">
        <v>45</v>
      </c>
      <c r="C22" t="s">
        <v>31</v>
      </c>
      <c r="D22" t="s">
        <v>61</v>
      </c>
      <c r="E22" t="s">
        <v>91</v>
      </c>
      <c r="F22" t="s">
        <v>92</v>
      </c>
      <c r="G22">
        <v>10901297</v>
      </c>
      <c r="H22">
        <v>10901297</v>
      </c>
      <c r="I22" t="b">
        <v>1</v>
      </c>
      <c r="J22">
        <v>0</v>
      </c>
      <c r="K22">
        <v>0</v>
      </c>
      <c r="L22" t="b">
        <v>1</v>
      </c>
      <c r="M22">
        <v>0</v>
      </c>
      <c r="N22">
        <v>0</v>
      </c>
      <c r="O22" t="b">
        <f t="shared" si="0"/>
        <v>1</v>
      </c>
      <c r="P22">
        <v>0</v>
      </c>
      <c r="Q22">
        <v>0</v>
      </c>
      <c r="R22" t="b">
        <v>1</v>
      </c>
      <c r="S22">
        <v>0</v>
      </c>
      <c r="T22">
        <v>0</v>
      </c>
      <c r="U22" t="b">
        <f t="shared" si="1"/>
        <v>1</v>
      </c>
      <c r="V22">
        <v>1133800</v>
      </c>
      <c r="W22">
        <v>1133800</v>
      </c>
      <c r="X22" t="b">
        <f t="shared" si="2"/>
        <v>1</v>
      </c>
      <c r="Y22">
        <v>0</v>
      </c>
      <c r="Z22">
        <v>0</v>
      </c>
      <c r="AA22" t="b">
        <f t="shared" si="3"/>
        <v>1</v>
      </c>
      <c r="AB22">
        <v>0</v>
      </c>
      <c r="AC22">
        <v>0</v>
      </c>
      <c r="AD22" t="b">
        <f t="shared" si="4"/>
        <v>1</v>
      </c>
      <c r="AE22">
        <v>0</v>
      </c>
      <c r="AF22">
        <v>0</v>
      </c>
      <c r="AG22" t="b">
        <f t="shared" si="5"/>
        <v>1</v>
      </c>
      <c r="AH22">
        <v>0</v>
      </c>
      <c r="AI22">
        <v>0</v>
      </c>
      <c r="AJ22" t="b">
        <v>1</v>
      </c>
      <c r="AK22">
        <v>9767497</v>
      </c>
      <c r="AL22">
        <v>9767497</v>
      </c>
      <c r="AM22">
        <v>0</v>
      </c>
      <c r="AN22">
        <v>0</v>
      </c>
    </row>
    <row r="23" spans="1:40">
      <c r="A23">
        <v>45780</v>
      </c>
      <c r="B23" t="s">
        <v>35</v>
      </c>
      <c r="C23" t="s">
        <v>31</v>
      </c>
      <c r="D23" t="s">
        <v>93</v>
      </c>
      <c r="E23" t="s">
        <v>94</v>
      </c>
      <c r="F23" t="s">
        <v>95</v>
      </c>
      <c r="G23">
        <v>0</v>
      </c>
      <c r="H23">
        <v>440000</v>
      </c>
      <c r="I23" t="b">
        <v>0</v>
      </c>
      <c r="J23">
        <v>0</v>
      </c>
      <c r="K23">
        <v>0</v>
      </c>
      <c r="L23" t="b">
        <v>1</v>
      </c>
      <c r="M23">
        <v>440000</v>
      </c>
      <c r="N23">
        <v>440000</v>
      </c>
      <c r="O23" t="b">
        <f t="shared" si="0"/>
        <v>1</v>
      </c>
      <c r="P23">
        <v>0</v>
      </c>
      <c r="Q23">
        <v>0</v>
      </c>
      <c r="R23" t="b">
        <v>1</v>
      </c>
      <c r="S23">
        <v>440000</v>
      </c>
      <c r="T23">
        <v>440000</v>
      </c>
      <c r="U23" t="b">
        <f t="shared" si="1"/>
        <v>1</v>
      </c>
      <c r="V23">
        <v>400000</v>
      </c>
      <c r="W23">
        <v>400000</v>
      </c>
      <c r="X23" t="b">
        <f t="shared" si="2"/>
        <v>1</v>
      </c>
      <c r="Y23">
        <v>400000</v>
      </c>
      <c r="Z23">
        <v>400000</v>
      </c>
      <c r="AA23" t="b">
        <f t="shared" si="3"/>
        <v>1</v>
      </c>
      <c r="AB23">
        <v>0</v>
      </c>
      <c r="AC23">
        <v>0</v>
      </c>
      <c r="AD23" t="b">
        <f t="shared" si="4"/>
        <v>1</v>
      </c>
      <c r="AE23">
        <v>0</v>
      </c>
      <c r="AF23">
        <v>0</v>
      </c>
      <c r="AG23" t="b">
        <f t="shared" si="5"/>
        <v>1</v>
      </c>
      <c r="AH23">
        <v>400000</v>
      </c>
      <c r="AI23">
        <v>400000</v>
      </c>
      <c r="AJ23" t="b">
        <v>1</v>
      </c>
      <c r="AK23">
        <v>400000</v>
      </c>
      <c r="AL23">
        <v>40000</v>
      </c>
      <c r="AM23">
        <v>40000</v>
      </c>
      <c r="AN23">
        <v>40000</v>
      </c>
    </row>
    <row r="24" spans="1:40">
      <c r="A24">
        <v>45780</v>
      </c>
      <c r="B24" t="s">
        <v>30</v>
      </c>
      <c r="C24" t="s">
        <v>31</v>
      </c>
      <c r="D24" t="s">
        <v>96</v>
      </c>
      <c r="E24" t="s">
        <v>97</v>
      </c>
      <c r="F24" t="s">
        <v>98</v>
      </c>
      <c r="G24">
        <v>0</v>
      </c>
      <c r="H24">
        <v>100000</v>
      </c>
      <c r="I24" t="b">
        <v>0</v>
      </c>
      <c r="J24">
        <v>0</v>
      </c>
      <c r="K24">
        <v>0</v>
      </c>
      <c r="L24" t="b">
        <v>1</v>
      </c>
      <c r="M24">
        <v>115000</v>
      </c>
      <c r="N24">
        <v>115000</v>
      </c>
      <c r="O24" t="b">
        <f t="shared" si="0"/>
        <v>1</v>
      </c>
      <c r="P24">
        <v>0</v>
      </c>
      <c r="Q24">
        <v>0</v>
      </c>
      <c r="R24" t="b">
        <v>1</v>
      </c>
      <c r="S24">
        <v>115000</v>
      </c>
      <c r="T24">
        <v>115000</v>
      </c>
      <c r="U24" t="b">
        <f t="shared" si="1"/>
        <v>1</v>
      </c>
      <c r="V24">
        <v>0</v>
      </c>
      <c r="W24">
        <v>0</v>
      </c>
      <c r="X24" t="b">
        <f t="shared" si="2"/>
        <v>1</v>
      </c>
      <c r="Y24">
        <v>0</v>
      </c>
      <c r="Z24">
        <v>0</v>
      </c>
      <c r="AA24" t="b">
        <f t="shared" si="3"/>
        <v>1</v>
      </c>
      <c r="AB24">
        <v>89700</v>
      </c>
      <c r="AC24">
        <v>89700</v>
      </c>
      <c r="AD24" t="b">
        <f t="shared" si="4"/>
        <v>1</v>
      </c>
      <c r="AE24">
        <v>0</v>
      </c>
      <c r="AF24">
        <v>0</v>
      </c>
      <c r="AG24" t="b">
        <f t="shared" si="5"/>
        <v>1</v>
      </c>
      <c r="AH24">
        <v>89700</v>
      </c>
      <c r="AI24">
        <v>89700</v>
      </c>
      <c r="AJ24" t="b">
        <v>1</v>
      </c>
      <c r="AK24">
        <v>0</v>
      </c>
      <c r="AL24">
        <v>100000</v>
      </c>
      <c r="AM24">
        <v>25300</v>
      </c>
      <c r="AN24">
        <v>25300</v>
      </c>
    </row>
    <row r="25" spans="1:40">
      <c r="A25">
        <v>45780</v>
      </c>
      <c r="B25" t="s">
        <v>35</v>
      </c>
      <c r="C25" t="s">
        <v>31</v>
      </c>
      <c r="D25" t="s">
        <v>55</v>
      </c>
      <c r="E25" t="s">
        <v>99</v>
      </c>
      <c r="F25" t="s">
        <v>100</v>
      </c>
      <c r="G25">
        <v>80014</v>
      </c>
      <c r="H25">
        <v>80014</v>
      </c>
      <c r="I25" t="b">
        <v>1</v>
      </c>
      <c r="J25">
        <v>0</v>
      </c>
      <c r="K25">
        <v>0</v>
      </c>
      <c r="L25" t="b">
        <v>1</v>
      </c>
      <c r="M25">
        <v>80014</v>
      </c>
      <c r="N25">
        <v>80014</v>
      </c>
      <c r="O25" t="b">
        <f t="shared" si="0"/>
        <v>1</v>
      </c>
      <c r="P25">
        <v>0</v>
      </c>
      <c r="Q25">
        <v>0</v>
      </c>
      <c r="R25" t="b">
        <v>1</v>
      </c>
      <c r="S25">
        <v>80014</v>
      </c>
      <c r="T25">
        <v>80014</v>
      </c>
      <c r="U25" t="b">
        <f t="shared" si="1"/>
        <v>1</v>
      </c>
      <c r="V25">
        <v>0</v>
      </c>
      <c r="W25">
        <v>0</v>
      </c>
      <c r="X25" t="b">
        <f t="shared" si="2"/>
        <v>1</v>
      </c>
      <c r="Y25">
        <v>0</v>
      </c>
      <c r="Z25">
        <v>0</v>
      </c>
      <c r="AA25" t="b">
        <f t="shared" si="3"/>
        <v>1</v>
      </c>
      <c r="AB25">
        <v>55014</v>
      </c>
      <c r="AC25">
        <v>55014</v>
      </c>
      <c r="AD25" t="b">
        <f t="shared" si="4"/>
        <v>1</v>
      </c>
      <c r="AE25">
        <v>0</v>
      </c>
      <c r="AF25">
        <v>0</v>
      </c>
      <c r="AG25" t="b">
        <f t="shared" si="5"/>
        <v>1</v>
      </c>
      <c r="AH25">
        <v>55014</v>
      </c>
      <c r="AI25">
        <v>55014</v>
      </c>
      <c r="AJ25" t="b">
        <v>1</v>
      </c>
      <c r="AK25">
        <v>80014</v>
      </c>
      <c r="AL25">
        <v>80014</v>
      </c>
      <c r="AM25">
        <v>25000</v>
      </c>
      <c r="AN25">
        <v>25000</v>
      </c>
    </row>
    <row r="26" spans="1:40">
      <c r="A26">
        <v>45780</v>
      </c>
      <c r="B26" t="s">
        <v>30</v>
      </c>
      <c r="C26" t="s">
        <v>31</v>
      </c>
      <c r="D26" t="s">
        <v>58</v>
      </c>
      <c r="E26" t="s">
        <v>101</v>
      </c>
      <c r="F26" t="s">
        <v>102</v>
      </c>
      <c r="G26">
        <v>0</v>
      </c>
      <c r="H26">
        <v>0</v>
      </c>
      <c r="I26" t="b">
        <v>1</v>
      </c>
      <c r="J26">
        <v>0</v>
      </c>
      <c r="K26">
        <v>0</v>
      </c>
      <c r="L26" t="b">
        <v>1</v>
      </c>
      <c r="M26">
        <v>46575</v>
      </c>
      <c r="N26">
        <v>46575</v>
      </c>
      <c r="O26" t="b">
        <f t="shared" si="0"/>
        <v>1</v>
      </c>
      <c r="P26">
        <v>0</v>
      </c>
      <c r="Q26">
        <v>0</v>
      </c>
      <c r="R26" t="b">
        <v>1</v>
      </c>
      <c r="S26">
        <v>46575</v>
      </c>
      <c r="T26">
        <v>46575</v>
      </c>
      <c r="U26" t="b">
        <f t="shared" si="1"/>
        <v>1</v>
      </c>
      <c r="V26">
        <v>0</v>
      </c>
      <c r="W26">
        <v>0</v>
      </c>
      <c r="X26" t="b">
        <f t="shared" si="2"/>
        <v>1</v>
      </c>
      <c r="Y26">
        <v>0</v>
      </c>
      <c r="Z26">
        <v>0</v>
      </c>
      <c r="AA26" t="b">
        <f t="shared" si="3"/>
        <v>1</v>
      </c>
      <c r="AB26">
        <v>36329</v>
      </c>
      <c r="AC26">
        <v>36329</v>
      </c>
      <c r="AD26" t="b">
        <f t="shared" si="4"/>
        <v>1</v>
      </c>
      <c r="AE26">
        <v>0</v>
      </c>
      <c r="AF26">
        <v>0</v>
      </c>
      <c r="AG26" t="b">
        <f t="shared" si="5"/>
        <v>1</v>
      </c>
      <c r="AH26">
        <v>36329</v>
      </c>
      <c r="AI26">
        <v>36329</v>
      </c>
      <c r="AJ26" t="b">
        <v>1</v>
      </c>
      <c r="AK26">
        <v>0</v>
      </c>
      <c r="AL26">
        <v>0</v>
      </c>
      <c r="AM26">
        <v>10246</v>
      </c>
      <c r="AN26">
        <v>10246</v>
      </c>
    </row>
    <row r="27" spans="1:40">
      <c r="A27">
        <v>45780</v>
      </c>
      <c r="B27" t="s">
        <v>35</v>
      </c>
      <c r="C27" t="s">
        <v>31</v>
      </c>
      <c r="D27" t="s">
        <v>88</v>
      </c>
      <c r="E27" t="s">
        <v>103</v>
      </c>
      <c r="F27" t="s">
        <v>104</v>
      </c>
      <c r="G27">
        <v>0</v>
      </c>
      <c r="H27">
        <v>0</v>
      </c>
      <c r="I27" t="b">
        <v>1</v>
      </c>
      <c r="J27">
        <v>0</v>
      </c>
      <c r="K27">
        <v>0</v>
      </c>
      <c r="L27" t="b">
        <v>1</v>
      </c>
      <c r="M27">
        <v>535700</v>
      </c>
      <c r="N27">
        <v>535700</v>
      </c>
      <c r="O27" t="b">
        <f t="shared" si="0"/>
        <v>1</v>
      </c>
      <c r="P27">
        <v>0</v>
      </c>
      <c r="Q27">
        <v>0</v>
      </c>
      <c r="R27" t="b">
        <v>1</v>
      </c>
      <c r="S27">
        <v>535700</v>
      </c>
      <c r="T27">
        <v>535700</v>
      </c>
      <c r="U27" t="b">
        <f t="shared" si="1"/>
        <v>1</v>
      </c>
      <c r="V27">
        <v>0</v>
      </c>
      <c r="W27">
        <v>0</v>
      </c>
      <c r="X27" t="b">
        <f t="shared" si="2"/>
        <v>1</v>
      </c>
      <c r="Y27">
        <v>0</v>
      </c>
      <c r="Z27">
        <v>0</v>
      </c>
      <c r="AA27" t="b">
        <f t="shared" si="3"/>
        <v>1</v>
      </c>
      <c r="AB27">
        <v>425700</v>
      </c>
      <c r="AC27">
        <v>425700</v>
      </c>
      <c r="AD27" t="b">
        <f t="shared" si="4"/>
        <v>1</v>
      </c>
      <c r="AE27">
        <v>0</v>
      </c>
      <c r="AF27">
        <v>0</v>
      </c>
      <c r="AG27" t="b">
        <f t="shared" si="5"/>
        <v>1</v>
      </c>
      <c r="AH27">
        <v>425700</v>
      </c>
      <c r="AI27">
        <v>425700</v>
      </c>
      <c r="AJ27" t="b">
        <v>1</v>
      </c>
      <c r="AK27">
        <v>0</v>
      </c>
      <c r="AL27">
        <v>0</v>
      </c>
      <c r="AM27">
        <v>110000</v>
      </c>
      <c r="AN27">
        <v>110000</v>
      </c>
    </row>
    <row r="28" spans="1:40">
      <c r="A28">
        <v>45780</v>
      </c>
      <c r="B28" t="s">
        <v>78</v>
      </c>
      <c r="C28" t="s">
        <v>31</v>
      </c>
      <c r="D28" t="s">
        <v>105</v>
      </c>
      <c r="E28" t="s">
        <v>106</v>
      </c>
      <c r="F28" t="s">
        <v>107</v>
      </c>
      <c r="G28">
        <v>359765</v>
      </c>
      <c r="H28">
        <v>359765</v>
      </c>
      <c r="I28" t="b">
        <v>1</v>
      </c>
      <c r="J28">
        <v>0</v>
      </c>
      <c r="K28">
        <v>0</v>
      </c>
      <c r="L28" t="b">
        <v>1</v>
      </c>
      <c r="M28">
        <v>349765</v>
      </c>
      <c r="N28">
        <v>349765</v>
      </c>
      <c r="O28" t="b">
        <f t="shared" si="0"/>
        <v>1</v>
      </c>
      <c r="P28">
        <v>0</v>
      </c>
      <c r="Q28">
        <v>0</v>
      </c>
      <c r="R28" t="b">
        <v>1</v>
      </c>
      <c r="S28">
        <v>349765</v>
      </c>
      <c r="T28">
        <v>349765</v>
      </c>
      <c r="U28" t="b">
        <f t="shared" si="1"/>
        <v>1</v>
      </c>
      <c r="V28">
        <v>265000</v>
      </c>
      <c r="W28">
        <v>266143</v>
      </c>
      <c r="X28" t="b">
        <f t="shared" si="2"/>
        <v>0</v>
      </c>
      <c r="Y28">
        <v>81190</v>
      </c>
      <c r="Z28">
        <v>81190</v>
      </c>
      <c r="AA28" t="b">
        <f t="shared" si="3"/>
        <v>1</v>
      </c>
      <c r="AB28">
        <v>191630</v>
      </c>
      <c r="AC28">
        <v>191630</v>
      </c>
      <c r="AD28" t="b">
        <f t="shared" si="4"/>
        <v>1</v>
      </c>
      <c r="AE28">
        <v>0</v>
      </c>
      <c r="AF28">
        <v>0</v>
      </c>
      <c r="AG28" t="b">
        <f t="shared" si="5"/>
        <v>1</v>
      </c>
      <c r="AH28">
        <v>272820</v>
      </c>
      <c r="AI28">
        <v>272820</v>
      </c>
      <c r="AJ28" t="b">
        <v>1</v>
      </c>
      <c r="AK28">
        <v>94765</v>
      </c>
      <c r="AL28">
        <v>93622</v>
      </c>
      <c r="AM28">
        <v>76945</v>
      </c>
      <c r="AN28">
        <v>76945</v>
      </c>
    </row>
    <row r="29" spans="1:40">
      <c r="A29">
        <v>45780</v>
      </c>
      <c r="B29" t="s">
        <v>78</v>
      </c>
      <c r="C29" t="s">
        <v>31</v>
      </c>
      <c r="D29" t="s">
        <v>79</v>
      </c>
      <c r="E29" t="s">
        <v>108</v>
      </c>
      <c r="F29" t="s">
        <v>109</v>
      </c>
      <c r="G29">
        <v>25300</v>
      </c>
      <c r="H29">
        <v>25300</v>
      </c>
      <c r="I29" t="b">
        <v>1</v>
      </c>
      <c r="J29">
        <v>25300</v>
      </c>
      <c r="K29">
        <v>25300</v>
      </c>
      <c r="L29" t="b">
        <v>1</v>
      </c>
      <c r="M29">
        <v>0</v>
      </c>
      <c r="N29">
        <v>0</v>
      </c>
      <c r="O29" t="b">
        <f t="shared" si="0"/>
        <v>1</v>
      </c>
      <c r="P29">
        <v>0</v>
      </c>
      <c r="Q29">
        <v>0</v>
      </c>
      <c r="R29" t="b">
        <v>1</v>
      </c>
      <c r="S29">
        <v>25300</v>
      </c>
      <c r="T29">
        <v>25300</v>
      </c>
      <c r="U29" t="b">
        <f t="shared" si="1"/>
        <v>1</v>
      </c>
      <c r="V29">
        <v>18000</v>
      </c>
      <c r="W29">
        <v>18000</v>
      </c>
      <c r="X29" t="b">
        <f t="shared" si="2"/>
        <v>1</v>
      </c>
      <c r="Y29">
        <v>18000</v>
      </c>
      <c r="Z29">
        <v>18000</v>
      </c>
      <c r="AA29" t="b">
        <f t="shared" si="3"/>
        <v>1</v>
      </c>
      <c r="AB29">
        <v>1734</v>
      </c>
      <c r="AC29">
        <v>1734</v>
      </c>
      <c r="AD29" t="b">
        <f t="shared" si="4"/>
        <v>1</v>
      </c>
      <c r="AE29">
        <v>0</v>
      </c>
      <c r="AF29">
        <v>0</v>
      </c>
      <c r="AG29" t="b">
        <f t="shared" si="5"/>
        <v>1</v>
      </c>
      <c r="AH29">
        <v>19734</v>
      </c>
      <c r="AI29">
        <v>19734</v>
      </c>
      <c r="AJ29" t="b">
        <v>1</v>
      </c>
      <c r="AK29">
        <v>7300</v>
      </c>
      <c r="AL29">
        <v>7300</v>
      </c>
      <c r="AM29">
        <v>5566</v>
      </c>
      <c r="AN29">
        <v>5566</v>
      </c>
    </row>
    <row r="30" spans="1:40">
      <c r="A30">
        <v>45780</v>
      </c>
      <c r="B30" t="s">
        <v>30</v>
      </c>
      <c r="C30" t="s">
        <v>31</v>
      </c>
      <c r="D30" t="s">
        <v>58</v>
      </c>
      <c r="E30" t="s">
        <v>110</v>
      </c>
      <c r="F30" t="s">
        <v>111</v>
      </c>
      <c r="G30">
        <v>870929</v>
      </c>
      <c r="H30">
        <v>870929.47</v>
      </c>
      <c r="I30" t="b">
        <v>0</v>
      </c>
      <c r="J30">
        <v>0</v>
      </c>
      <c r="K30">
        <v>0</v>
      </c>
      <c r="L30" t="b">
        <v>1</v>
      </c>
      <c r="M30">
        <v>0</v>
      </c>
      <c r="N30">
        <v>0</v>
      </c>
      <c r="O30" t="b">
        <f t="shared" si="0"/>
        <v>1</v>
      </c>
      <c r="P30">
        <v>0</v>
      </c>
      <c r="Q30">
        <v>0</v>
      </c>
      <c r="R30" t="b">
        <v>1</v>
      </c>
      <c r="S30">
        <v>0</v>
      </c>
      <c r="T30">
        <v>0</v>
      </c>
      <c r="U30" t="b">
        <f t="shared" si="1"/>
        <v>1</v>
      </c>
      <c r="V30">
        <v>0</v>
      </c>
      <c r="W30">
        <v>0</v>
      </c>
      <c r="X30" t="b">
        <f t="shared" si="2"/>
        <v>1</v>
      </c>
      <c r="Y30">
        <v>0</v>
      </c>
      <c r="Z30">
        <v>0</v>
      </c>
      <c r="AA30" t="b">
        <f t="shared" si="3"/>
        <v>1</v>
      </c>
      <c r="AB30">
        <v>0</v>
      </c>
      <c r="AC30">
        <v>0</v>
      </c>
      <c r="AD30" t="b">
        <f t="shared" si="4"/>
        <v>1</v>
      </c>
      <c r="AE30">
        <v>0</v>
      </c>
      <c r="AF30">
        <v>0</v>
      </c>
      <c r="AG30" t="b">
        <f t="shared" si="5"/>
        <v>1</v>
      </c>
      <c r="AH30">
        <v>0</v>
      </c>
      <c r="AI30">
        <v>0</v>
      </c>
      <c r="AJ30" t="b">
        <v>1</v>
      </c>
      <c r="AK30">
        <v>870929</v>
      </c>
      <c r="AL30">
        <v>870929.47</v>
      </c>
      <c r="AM30">
        <v>0</v>
      </c>
      <c r="AN30">
        <v>0</v>
      </c>
    </row>
    <row r="31" spans="1:40">
      <c r="A31">
        <v>45780</v>
      </c>
      <c r="B31" t="s">
        <v>35</v>
      </c>
      <c r="C31" t="s">
        <v>31</v>
      </c>
      <c r="D31" t="s">
        <v>55</v>
      </c>
      <c r="E31" t="s">
        <v>112</v>
      </c>
      <c r="F31" t="s">
        <v>113</v>
      </c>
      <c r="G31">
        <v>0</v>
      </c>
      <c r="H31">
        <v>0</v>
      </c>
      <c r="I31" t="b">
        <v>1</v>
      </c>
      <c r="J31">
        <v>0</v>
      </c>
      <c r="K31">
        <v>0</v>
      </c>
      <c r="L31" t="b">
        <v>1</v>
      </c>
      <c r="M31">
        <v>179520</v>
      </c>
      <c r="N31">
        <v>179520</v>
      </c>
      <c r="O31" t="b">
        <f t="shared" si="0"/>
        <v>1</v>
      </c>
      <c r="P31">
        <v>0</v>
      </c>
      <c r="Q31">
        <v>0</v>
      </c>
      <c r="R31" t="b">
        <v>1</v>
      </c>
      <c r="S31">
        <v>179520</v>
      </c>
      <c r="T31">
        <v>179520</v>
      </c>
      <c r="U31" t="b">
        <f t="shared" si="1"/>
        <v>1</v>
      </c>
      <c r="V31">
        <v>0</v>
      </c>
      <c r="W31">
        <v>0</v>
      </c>
      <c r="X31" t="b">
        <f t="shared" si="2"/>
        <v>1</v>
      </c>
      <c r="Y31">
        <v>0</v>
      </c>
      <c r="Z31">
        <v>0</v>
      </c>
      <c r="AA31" t="b">
        <f t="shared" si="3"/>
        <v>1</v>
      </c>
      <c r="AB31">
        <v>120000</v>
      </c>
      <c r="AC31">
        <v>120000</v>
      </c>
      <c r="AD31" t="b">
        <f t="shared" si="4"/>
        <v>1</v>
      </c>
      <c r="AE31">
        <v>0</v>
      </c>
      <c r="AF31">
        <v>0</v>
      </c>
      <c r="AG31" t="b">
        <f t="shared" si="5"/>
        <v>1</v>
      </c>
      <c r="AH31">
        <v>120000</v>
      </c>
      <c r="AI31">
        <v>120000</v>
      </c>
      <c r="AJ31" t="b">
        <v>1</v>
      </c>
      <c r="AK31">
        <v>0</v>
      </c>
      <c r="AL31">
        <v>0</v>
      </c>
      <c r="AM31">
        <v>59520</v>
      </c>
      <c r="AN31">
        <v>59520</v>
      </c>
    </row>
    <row r="32" spans="1:40">
      <c r="A32">
        <v>45780</v>
      </c>
      <c r="B32" t="s">
        <v>30</v>
      </c>
      <c r="C32" t="s">
        <v>31</v>
      </c>
      <c r="D32" t="s">
        <v>114</v>
      </c>
      <c r="E32" t="s">
        <v>115</v>
      </c>
      <c r="F32" t="s">
        <v>116</v>
      </c>
      <c r="G32">
        <v>1106160</v>
      </c>
      <c r="H32">
        <v>1106160</v>
      </c>
      <c r="I32" t="b">
        <v>1</v>
      </c>
      <c r="J32">
        <v>553080</v>
      </c>
      <c r="K32">
        <v>553080</v>
      </c>
      <c r="L32" t="b">
        <v>1</v>
      </c>
      <c r="M32">
        <v>0</v>
      </c>
      <c r="N32">
        <v>0</v>
      </c>
      <c r="O32" t="b">
        <f t="shared" si="0"/>
        <v>1</v>
      </c>
      <c r="P32">
        <v>0</v>
      </c>
      <c r="Q32">
        <v>0</v>
      </c>
      <c r="R32" t="b">
        <v>1</v>
      </c>
      <c r="S32">
        <v>553080</v>
      </c>
      <c r="T32">
        <v>553080</v>
      </c>
      <c r="U32" t="b">
        <f t="shared" si="1"/>
        <v>1</v>
      </c>
      <c r="V32">
        <v>124750</v>
      </c>
      <c r="W32">
        <v>136979</v>
      </c>
      <c r="X32" t="b">
        <f t="shared" si="2"/>
        <v>0</v>
      </c>
      <c r="Y32">
        <v>125979</v>
      </c>
      <c r="Z32">
        <v>125979</v>
      </c>
      <c r="AA32" t="b">
        <f t="shared" si="3"/>
        <v>1</v>
      </c>
      <c r="AB32">
        <v>305423</v>
      </c>
      <c r="AC32">
        <v>305423</v>
      </c>
      <c r="AD32" t="b">
        <f t="shared" si="4"/>
        <v>1</v>
      </c>
      <c r="AE32">
        <v>0</v>
      </c>
      <c r="AF32">
        <v>0</v>
      </c>
      <c r="AG32" t="b">
        <f t="shared" si="5"/>
        <v>1</v>
      </c>
      <c r="AH32">
        <v>431402</v>
      </c>
      <c r="AI32">
        <v>431402</v>
      </c>
      <c r="AJ32" t="b">
        <v>1</v>
      </c>
      <c r="AK32">
        <v>981410</v>
      </c>
      <c r="AL32">
        <v>969181</v>
      </c>
      <c r="AM32">
        <v>121678</v>
      </c>
      <c r="AN32">
        <v>121678</v>
      </c>
    </row>
    <row r="33" spans="1:40">
      <c r="A33">
        <v>45780</v>
      </c>
      <c r="B33" t="s">
        <v>30</v>
      </c>
      <c r="C33" t="s">
        <v>31</v>
      </c>
      <c r="D33" t="s">
        <v>58</v>
      </c>
      <c r="E33" t="s">
        <v>117</v>
      </c>
      <c r="F33" t="s">
        <v>118</v>
      </c>
      <c r="G33">
        <v>822404</v>
      </c>
      <c r="H33">
        <v>822404</v>
      </c>
      <c r="I33" t="b">
        <v>1</v>
      </c>
      <c r="J33">
        <v>0</v>
      </c>
      <c r="K33">
        <v>0</v>
      </c>
      <c r="L33" t="b">
        <v>1</v>
      </c>
      <c r="M33">
        <v>0</v>
      </c>
      <c r="N33">
        <v>0</v>
      </c>
      <c r="O33" t="b">
        <f t="shared" si="0"/>
        <v>1</v>
      </c>
      <c r="P33">
        <v>0</v>
      </c>
      <c r="Q33">
        <v>0</v>
      </c>
      <c r="R33" t="b">
        <v>1</v>
      </c>
      <c r="S33">
        <v>0</v>
      </c>
      <c r="T33">
        <v>0</v>
      </c>
      <c r="U33" t="b">
        <f t="shared" si="1"/>
        <v>1</v>
      </c>
      <c r="V33">
        <v>0</v>
      </c>
      <c r="W33">
        <v>0</v>
      </c>
      <c r="X33" t="b">
        <f t="shared" si="2"/>
        <v>1</v>
      </c>
      <c r="Y33">
        <v>0</v>
      </c>
      <c r="Z33">
        <v>0</v>
      </c>
      <c r="AA33" t="b">
        <f t="shared" si="3"/>
        <v>1</v>
      </c>
      <c r="AB33">
        <v>0</v>
      </c>
      <c r="AC33">
        <v>0</v>
      </c>
      <c r="AD33" t="b">
        <f t="shared" si="4"/>
        <v>1</v>
      </c>
      <c r="AE33">
        <v>0</v>
      </c>
      <c r="AF33">
        <v>0</v>
      </c>
      <c r="AG33" t="b">
        <f t="shared" si="5"/>
        <v>1</v>
      </c>
      <c r="AH33">
        <v>0</v>
      </c>
      <c r="AI33">
        <v>0</v>
      </c>
      <c r="AJ33" t="b">
        <v>1</v>
      </c>
      <c r="AK33">
        <v>822404</v>
      </c>
      <c r="AL33">
        <v>822404</v>
      </c>
      <c r="AM33">
        <v>0</v>
      </c>
      <c r="AN33">
        <v>0</v>
      </c>
    </row>
    <row r="34" spans="1:40">
      <c r="A34">
        <v>45780</v>
      </c>
      <c r="B34" t="s">
        <v>78</v>
      </c>
      <c r="C34" t="s">
        <v>31</v>
      </c>
      <c r="D34" t="s">
        <v>105</v>
      </c>
      <c r="E34" t="s">
        <v>119</v>
      </c>
      <c r="F34" t="s">
        <v>120</v>
      </c>
      <c r="G34">
        <v>394253</v>
      </c>
      <c r="H34">
        <v>394253</v>
      </c>
      <c r="I34" t="b">
        <v>1</v>
      </c>
      <c r="J34">
        <v>0</v>
      </c>
      <c r="K34">
        <v>0</v>
      </c>
      <c r="L34" t="b">
        <v>1</v>
      </c>
      <c r="M34">
        <v>361880</v>
      </c>
      <c r="N34">
        <v>361880</v>
      </c>
      <c r="O34" t="b">
        <f t="shared" si="0"/>
        <v>1</v>
      </c>
      <c r="P34">
        <v>0</v>
      </c>
      <c r="Q34">
        <v>0</v>
      </c>
      <c r="R34" t="b">
        <v>1</v>
      </c>
      <c r="S34">
        <v>361880</v>
      </c>
      <c r="T34">
        <v>361880</v>
      </c>
      <c r="U34" t="b">
        <f t="shared" si="1"/>
        <v>1</v>
      </c>
      <c r="V34">
        <v>0</v>
      </c>
      <c r="W34">
        <v>6379</v>
      </c>
      <c r="X34" t="b">
        <f t="shared" si="2"/>
        <v>0</v>
      </c>
      <c r="Y34">
        <v>6379</v>
      </c>
      <c r="Z34">
        <v>6379</v>
      </c>
      <c r="AA34" t="b">
        <f t="shared" si="3"/>
        <v>1</v>
      </c>
      <c r="AB34">
        <v>275886</v>
      </c>
      <c r="AC34">
        <v>275886</v>
      </c>
      <c r="AD34" t="b">
        <f t="shared" si="4"/>
        <v>1</v>
      </c>
      <c r="AE34">
        <v>0</v>
      </c>
      <c r="AF34">
        <v>0</v>
      </c>
      <c r="AG34" t="b">
        <f t="shared" si="5"/>
        <v>1</v>
      </c>
      <c r="AH34">
        <v>282265</v>
      </c>
      <c r="AI34">
        <v>282265</v>
      </c>
      <c r="AJ34" t="b">
        <v>1</v>
      </c>
      <c r="AK34">
        <v>394253</v>
      </c>
      <c r="AL34">
        <v>387874</v>
      </c>
      <c r="AM34">
        <v>79615</v>
      </c>
      <c r="AN34">
        <v>79615</v>
      </c>
    </row>
    <row r="35" spans="1:40">
      <c r="A35">
        <v>45780</v>
      </c>
      <c r="B35" t="s">
        <v>35</v>
      </c>
      <c r="C35" t="s">
        <v>31</v>
      </c>
      <c r="D35" t="s">
        <v>121</v>
      </c>
      <c r="E35" t="s">
        <v>122</v>
      </c>
      <c r="F35" t="s">
        <v>123</v>
      </c>
      <c r="G35">
        <v>11232890</v>
      </c>
      <c r="H35">
        <v>11232890</v>
      </c>
      <c r="I35" t="b">
        <v>1</v>
      </c>
      <c r="J35">
        <v>0</v>
      </c>
      <c r="K35">
        <v>0</v>
      </c>
      <c r="L35" t="b">
        <v>1</v>
      </c>
      <c r="M35">
        <v>0</v>
      </c>
      <c r="N35">
        <v>0</v>
      </c>
      <c r="O35" t="b">
        <f t="shared" si="0"/>
        <v>1</v>
      </c>
      <c r="P35">
        <v>0</v>
      </c>
      <c r="Q35">
        <v>0</v>
      </c>
      <c r="R35" t="b">
        <v>1</v>
      </c>
      <c r="S35">
        <v>0</v>
      </c>
      <c r="T35">
        <v>0</v>
      </c>
      <c r="U35" t="b">
        <f t="shared" si="1"/>
        <v>1</v>
      </c>
      <c r="V35">
        <v>4000</v>
      </c>
      <c r="W35">
        <v>4000</v>
      </c>
      <c r="X35" t="b">
        <f t="shared" si="2"/>
        <v>1</v>
      </c>
      <c r="Y35">
        <v>4000</v>
      </c>
      <c r="Z35">
        <v>4000</v>
      </c>
      <c r="AA35" t="b">
        <f t="shared" si="3"/>
        <v>1</v>
      </c>
      <c r="AB35">
        <v>4000</v>
      </c>
      <c r="AC35">
        <v>4000</v>
      </c>
      <c r="AD35" t="b">
        <f t="shared" si="4"/>
        <v>1</v>
      </c>
      <c r="AE35">
        <v>0</v>
      </c>
      <c r="AF35">
        <v>0</v>
      </c>
      <c r="AG35" t="b">
        <f t="shared" si="5"/>
        <v>1</v>
      </c>
      <c r="AH35">
        <v>0</v>
      </c>
      <c r="AI35">
        <v>0</v>
      </c>
      <c r="AJ35" t="b">
        <v>1</v>
      </c>
      <c r="AK35">
        <v>11228890</v>
      </c>
      <c r="AL35">
        <v>11228890</v>
      </c>
      <c r="AM35">
        <v>0</v>
      </c>
      <c r="AN35">
        <v>0</v>
      </c>
    </row>
    <row r="36" spans="1:40">
      <c r="A36">
        <v>45780</v>
      </c>
      <c r="B36" t="s">
        <v>35</v>
      </c>
      <c r="C36" t="s">
        <v>31</v>
      </c>
      <c r="D36" t="s">
        <v>124</v>
      </c>
      <c r="E36" t="s">
        <v>125</v>
      </c>
      <c r="F36" t="s">
        <v>126</v>
      </c>
      <c r="G36">
        <v>723561.28</v>
      </c>
      <c r="H36">
        <v>723561.28</v>
      </c>
      <c r="I36" t="b">
        <v>1</v>
      </c>
      <c r="J36">
        <v>0</v>
      </c>
      <c r="K36">
        <v>0</v>
      </c>
      <c r="L36" t="b">
        <v>1</v>
      </c>
      <c r="M36">
        <v>703084</v>
      </c>
      <c r="N36">
        <v>703084</v>
      </c>
      <c r="O36" t="b">
        <f t="shared" si="0"/>
        <v>1</v>
      </c>
      <c r="P36">
        <v>0</v>
      </c>
      <c r="Q36">
        <v>0</v>
      </c>
      <c r="R36" t="b">
        <v>1</v>
      </c>
      <c r="S36">
        <v>703084</v>
      </c>
      <c r="T36">
        <v>703084</v>
      </c>
      <c r="U36" t="b">
        <f t="shared" si="1"/>
        <v>1</v>
      </c>
      <c r="V36">
        <v>443795</v>
      </c>
      <c r="W36">
        <v>451057</v>
      </c>
      <c r="X36" t="b">
        <f t="shared" si="2"/>
        <v>0</v>
      </c>
      <c r="Y36">
        <v>446136</v>
      </c>
      <c r="Z36">
        <v>446136</v>
      </c>
      <c r="AA36" t="b">
        <f t="shared" si="3"/>
        <v>1</v>
      </c>
      <c r="AB36">
        <v>179044</v>
      </c>
      <c r="AC36">
        <v>179044</v>
      </c>
      <c r="AD36" t="b">
        <f t="shared" si="4"/>
        <v>1</v>
      </c>
      <c r="AE36">
        <v>0</v>
      </c>
      <c r="AF36">
        <v>0</v>
      </c>
      <c r="AG36" t="b">
        <f t="shared" si="5"/>
        <v>1</v>
      </c>
      <c r="AH36">
        <v>625180</v>
      </c>
      <c r="AI36">
        <v>625180</v>
      </c>
      <c r="AJ36" t="b">
        <v>1</v>
      </c>
      <c r="AK36">
        <v>279766.28</v>
      </c>
      <c r="AL36">
        <v>272504.28</v>
      </c>
      <c r="AM36">
        <v>77904</v>
      </c>
      <c r="AN36">
        <v>77904</v>
      </c>
    </row>
    <row r="37" spans="1:40">
      <c r="A37">
        <v>45780</v>
      </c>
      <c r="B37" t="s">
        <v>35</v>
      </c>
      <c r="C37" t="s">
        <v>31</v>
      </c>
      <c r="D37" t="s">
        <v>127</v>
      </c>
      <c r="E37" t="s">
        <v>128</v>
      </c>
      <c r="F37" t="s">
        <v>129</v>
      </c>
      <c r="G37">
        <v>30800</v>
      </c>
      <c r="H37">
        <v>30800</v>
      </c>
      <c r="I37" t="b">
        <v>1</v>
      </c>
      <c r="J37">
        <v>0</v>
      </c>
      <c r="K37">
        <v>0</v>
      </c>
      <c r="L37" t="b">
        <v>1</v>
      </c>
      <c r="M37">
        <v>30800</v>
      </c>
      <c r="N37">
        <v>30800</v>
      </c>
      <c r="O37" t="b">
        <f t="shared" si="0"/>
        <v>1</v>
      </c>
      <c r="P37">
        <v>0</v>
      </c>
      <c r="Q37">
        <v>0</v>
      </c>
      <c r="R37" t="b">
        <v>1</v>
      </c>
      <c r="S37">
        <v>30800</v>
      </c>
      <c r="T37">
        <v>30800</v>
      </c>
      <c r="U37" t="b">
        <f t="shared" si="1"/>
        <v>1</v>
      </c>
      <c r="V37">
        <v>0</v>
      </c>
      <c r="W37">
        <v>0</v>
      </c>
      <c r="X37" t="b">
        <f t="shared" si="2"/>
        <v>1</v>
      </c>
      <c r="Y37">
        <v>0</v>
      </c>
      <c r="Z37">
        <v>0</v>
      </c>
      <c r="AA37" t="b">
        <f t="shared" si="3"/>
        <v>1</v>
      </c>
      <c r="AB37">
        <v>24000</v>
      </c>
      <c r="AC37">
        <v>24000</v>
      </c>
      <c r="AD37" t="b">
        <f t="shared" si="4"/>
        <v>1</v>
      </c>
      <c r="AE37">
        <v>0</v>
      </c>
      <c r="AF37">
        <v>0</v>
      </c>
      <c r="AG37" t="b">
        <f t="shared" si="5"/>
        <v>1</v>
      </c>
      <c r="AH37">
        <v>24000</v>
      </c>
      <c r="AI37">
        <v>24000</v>
      </c>
      <c r="AJ37" t="b">
        <v>1</v>
      </c>
      <c r="AK37">
        <v>30800</v>
      </c>
      <c r="AL37">
        <v>30800</v>
      </c>
      <c r="AM37">
        <v>6800</v>
      </c>
      <c r="AN37">
        <v>6800</v>
      </c>
    </row>
    <row r="38" spans="1:40">
      <c r="A38">
        <v>45780</v>
      </c>
      <c r="B38" t="s">
        <v>45</v>
      </c>
      <c r="C38" t="s">
        <v>31</v>
      </c>
      <c r="D38" t="s">
        <v>130</v>
      </c>
      <c r="E38" t="s">
        <v>131</v>
      </c>
      <c r="F38" t="s">
        <v>132</v>
      </c>
      <c r="G38">
        <v>1800000</v>
      </c>
      <c r="H38">
        <v>1800000</v>
      </c>
      <c r="I38" t="b">
        <v>1</v>
      </c>
      <c r="J38">
        <v>0</v>
      </c>
      <c r="K38">
        <v>0</v>
      </c>
      <c r="L38" t="b">
        <v>1</v>
      </c>
      <c r="M38">
        <v>0</v>
      </c>
      <c r="N38">
        <v>0</v>
      </c>
      <c r="O38" t="b">
        <f t="shared" si="0"/>
        <v>1</v>
      </c>
      <c r="P38">
        <v>0</v>
      </c>
      <c r="Q38">
        <v>0</v>
      </c>
      <c r="R38" t="b">
        <v>1</v>
      </c>
      <c r="S38">
        <v>0</v>
      </c>
      <c r="T38">
        <v>0</v>
      </c>
      <c r="U38" t="b">
        <f t="shared" si="1"/>
        <v>1</v>
      </c>
      <c r="V38">
        <v>899727.19</v>
      </c>
      <c r="W38">
        <v>899726.73</v>
      </c>
      <c r="X38" t="b">
        <f t="shared" si="2"/>
        <v>0</v>
      </c>
      <c r="Y38">
        <v>0</v>
      </c>
      <c r="Z38">
        <v>0</v>
      </c>
      <c r="AA38" t="b">
        <f t="shared" si="3"/>
        <v>1</v>
      </c>
      <c r="AB38">
        <v>0</v>
      </c>
      <c r="AC38">
        <v>0</v>
      </c>
      <c r="AD38" t="b">
        <f t="shared" si="4"/>
        <v>1</v>
      </c>
      <c r="AE38">
        <v>0</v>
      </c>
      <c r="AF38">
        <v>0</v>
      </c>
      <c r="AG38" t="b">
        <f t="shared" si="5"/>
        <v>1</v>
      </c>
      <c r="AH38">
        <v>0</v>
      </c>
      <c r="AI38">
        <v>0</v>
      </c>
      <c r="AJ38" t="b">
        <v>1</v>
      </c>
      <c r="AK38">
        <v>900272.81</v>
      </c>
      <c r="AL38">
        <v>900273.27</v>
      </c>
      <c r="AM38">
        <v>0</v>
      </c>
      <c r="AN38">
        <v>0</v>
      </c>
    </row>
    <row r="39" spans="1:40">
      <c r="A39">
        <v>45780</v>
      </c>
      <c r="B39" t="s">
        <v>45</v>
      </c>
      <c r="C39" t="s">
        <v>31</v>
      </c>
      <c r="D39" t="s">
        <v>133</v>
      </c>
      <c r="E39" t="s">
        <v>134</v>
      </c>
      <c r="F39" t="s">
        <v>135</v>
      </c>
      <c r="G39">
        <v>437265</v>
      </c>
      <c r="H39">
        <v>437265</v>
      </c>
      <c r="I39" t="b">
        <v>1</v>
      </c>
      <c r="J39">
        <v>0</v>
      </c>
      <c r="K39">
        <v>0</v>
      </c>
      <c r="L39" t="b">
        <v>1</v>
      </c>
      <c r="M39">
        <v>437265</v>
      </c>
      <c r="N39">
        <v>437265</v>
      </c>
      <c r="O39" t="b">
        <f t="shared" si="0"/>
        <v>1</v>
      </c>
      <c r="P39">
        <v>0</v>
      </c>
      <c r="Q39">
        <v>0</v>
      </c>
      <c r="R39" t="b">
        <v>1</v>
      </c>
      <c r="S39">
        <v>437265</v>
      </c>
      <c r="T39">
        <v>437265</v>
      </c>
      <c r="U39" t="b">
        <f t="shared" si="1"/>
        <v>1</v>
      </c>
      <c r="V39">
        <v>0</v>
      </c>
      <c r="W39">
        <v>0</v>
      </c>
      <c r="X39" t="b">
        <f t="shared" si="2"/>
        <v>1</v>
      </c>
      <c r="Y39">
        <v>0</v>
      </c>
      <c r="Z39">
        <v>0</v>
      </c>
      <c r="AA39" t="b">
        <f t="shared" si="3"/>
        <v>1</v>
      </c>
      <c r="AB39">
        <v>337265</v>
      </c>
      <c r="AC39">
        <v>337265</v>
      </c>
      <c r="AD39" t="b">
        <f t="shared" si="4"/>
        <v>1</v>
      </c>
      <c r="AE39">
        <v>0</v>
      </c>
      <c r="AF39">
        <v>0</v>
      </c>
      <c r="AG39" t="b">
        <f t="shared" si="5"/>
        <v>1</v>
      </c>
      <c r="AH39">
        <v>337265</v>
      </c>
      <c r="AI39">
        <v>337265</v>
      </c>
      <c r="AJ39" t="b">
        <v>1</v>
      </c>
      <c r="AK39">
        <v>437265</v>
      </c>
      <c r="AL39">
        <v>437265</v>
      </c>
      <c r="AM39">
        <v>100000</v>
      </c>
      <c r="AN39">
        <v>100000</v>
      </c>
    </row>
    <row r="40" spans="1:40">
      <c r="A40">
        <v>45780</v>
      </c>
      <c r="B40" t="s">
        <v>45</v>
      </c>
      <c r="C40" t="s">
        <v>31</v>
      </c>
      <c r="D40" t="s">
        <v>46</v>
      </c>
      <c r="E40" t="s">
        <v>136</v>
      </c>
      <c r="F40" t="s">
        <v>137</v>
      </c>
      <c r="G40">
        <v>1719960</v>
      </c>
      <c r="H40">
        <v>1719960</v>
      </c>
      <c r="I40" t="b">
        <v>1</v>
      </c>
      <c r="J40">
        <v>0</v>
      </c>
      <c r="K40">
        <v>0</v>
      </c>
      <c r="L40" t="b">
        <v>1</v>
      </c>
      <c r="M40">
        <v>1719960</v>
      </c>
      <c r="N40">
        <v>1719960</v>
      </c>
      <c r="O40" t="b">
        <f t="shared" si="0"/>
        <v>1</v>
      </c>
      <c r="P40">
        <v>0</v>
      </c>
      <c r="Q40">
        <v>0</v>
      </c>
      <c r="R40" t="b">
        <v>1</v>
      </c>
      <c r="S40">
        <v>1719960</v>
      </c>
      <c r="T40">
        <v>1719960</v>
      </c>
      <c r="U40" t="b">
        <f t="shared" si="1"/>
        <v>1</v>
      </c>
      <c r="V40">
        <v>410540</v>
      </c>
      <c r="W40">
        <v>1021316</v>
      </c>
      <c r="X40" t="b">
        <f t="shared" si="2"/>
        <v>0</v>
      </c>
      <c r="Y40">
        <v>0</v>
      </c>
      <c r="Z40">
        <v>7350</v>
      </c>
      <c r="AA40" t="b">
        <f t="shared" si="3"/>
        <v>0</v>
      </c>
      <c r="AB40">
        <v>1412610</v>
      </c>
      <c r="AC40">
        <v>1412610</v>
      </c>
      <c r="AD40" t="b">
        <f t="shared" si="4"/>
        <v>1</v>
      </c>
      <c r="AE40">
        <v>0</v>
      </c>
      <c r="AF40">
        <v>0</v>
      </c>
      <c r="AG40" t="b">
        <f t="shared" si="5"/>
        <v>1</v>
      </c>
      <c r="AH40">
        <v>1412610</v>
      </c>
      <c r="AI40">
        <v>1419960</v>
      </c>
      <c r="AJ40" t="b">
        <v>0</v>
      </c>
      <c r="AK40">
        <v>1309420</v>
      </c>
      <c r="AL40">
        <v>698644</v>
      </c>
      <c r="AM40">
        <v>307350</v>
      </c>
      <c r="AN40">
        <v>300000</v>
      </c>
    </row>
    <row r="41" spans="1:40">
      <c r="A41">
        <v>45780</v>
      </c>
      <c r="B41" t="s">
        <v>30</v>
      </c>
      <c r="C41" t="s">
        <v>31</v>
      </c>
      <c r="D41" t="s">
        <v>138</v>
      </c>
      <c r="E41" t="s">
        <v>139</v>
      </c>
      <c r="F41" t="s">
        <v>140</v>
      </c>
      <c r="G41">
        <v>11532500</v>
      </c>
      <c r="H41">
        <v>15498045</v>
      </c>
      <c r="I41" t="b">
        <v>0</v>
      </c>
      <c r="J41">
        <v>0</v>
      </c>
      <c r="K41">
        <v>0</v>
      </c>
      <c r="L41" t="b">
        <v>1</v>
      </c>
      <c r="M41">
        <v>0</v>
      </c>
      <c r="N41">
        <v>0</v>
      </c>
      <c r="O41" t="b">
        <f t="shared" si="0"/>
        <v>1</v>
      </c>
      <c r="P41">
        <v>0</v>
      </c>
      <c r="Q41">
        <v>0</v>
      </c>
      <c r="R41" t="b">
        <v>1</v>
      </c>
      <c r="S41">
        <v>0</v>
      </c>
      <c r="T41">
        <v>0</v>
      </c>
      <c r="U41" t="b">
        <f t="shared" si="1"/>
        <v>1</v>
      </c>
      <c r="V41">
        <v>7315000</v>
      </c>
      <c r="W41">
        <v>7315000</v>
      </c>
      <c r="X41" t="b">
        <f t="shared" si="2"/>
        <v>1</v>
      </c>
      <c r="Y41">
        <v>0</v>
      </c>
      <c r="Z41">
        <v>0</v>
      </c>
      <c r="AA41" t="b">
        <f t="shared" si="3"/>
        <v>1</v>
      </c>
      <c r="AB41">
        <v>0</v>
      </c>
      <c r="AC41">
        <v>0</v>
      </c>
      <c r="AD41" t="b">
        <f t="shared" si="4"/>
        <v>1</v>
      </c>
      <c r="AE41">
        <v>0</v>
      </c>
      <c r="AF41">
        <v>0</v>
      </c>
      <c r="AG41" t="b">
        <f t="shared" si="5"/>
        <v>1</v>
      </c>
      <c r="AH41">
        <v>0</v>
      </c>
      <c r="AI41">
        <v>0</v>
      </c>
      <c r="AJ41" t="b">
        <v>1</v>
      </c>
      <c r="AK41">
        <v>4217500</v>
      </c>
      <c r="AL41">
        <v>8183045</v>
      </c>
      <c r="AM41">
        <v>0</v>
      </c>
      <c r="AN41">
        <v>0</v>
      </c>
    </row>
    <row r="42" spans="1:40">
      <c r="A42">
        <v>45780</v>
      </c>
      <c r="B42" t="s">
        <v>78</v>
      </c>
      <c r="C42" t="s">
        <v>31</v>
      </c>
      <c r="D42" t="s">
        <v>79</v>
      </c>
      <c r="E42" t="s">
        <v>141</v>
      </c>
      <c r="F42" t="s">
        <v>142</v>
      </c>
      <c r="G42">
        <v>706801.7</v>
      </c>
      <c r="H42">
        <v>706801.7</v>
      </c>
      <c r="I42" t="b">
        <v>1</v>
      </c>
      <c r="J42">
        <v>706801.7</v>
      </c>
      <c r="K42">
        <v>706801.7</v>
      </c>
      <c r="L42" t="b">
        <v>1</v>
      </c>
      <c r="M42">
        <v>0</v>
      </c>
      <c r="N42">
        <v>0</v>
      </c>
      <c r="O42" t="b">
        <f t="shared" si="0"/>
        <v>1</v>
      </c>
      <c r="P42">
        <v>0</v>
      </c>
      <c r="Q42">
        <v>0</v>
      </c>
      <c r="R42" t="b">
        <v>1</v>
      </c>
      <c r="S42">
        <v>706801.7</v>
      </c>
      <c r="T42">
        <v>706801.7</v>
      </c>
      <c r="U42" t="b">
        <f t="shared" si="1"/>
        <v>1</v>
      </c>
      <c r="V42">
        <v>560504</v>
      </c>
      <c r="W42">
        <v>569191.04</v>
      </c>
      <c r="X42" t="b">
        <f t="shared" si="2"/>
        <v>0</v>
      </c>
      <c r="Y42">
        <v>569191.04</v>
      </c>
      <c r="Z42">
        <v>569191.04</v>
      </c>
      <c r="AA42" t="b">
        <f t="shared" si="3"/>
        <v>1</v>
      </c>
      <c r="AB42">
        <v>0</v>
      </c>
      <c r="AC42">
        <v>0</v>
      </c>
      <c r="AD42" t="b">
        <f t="shared" si="4"/>
        <v>1</v>
      </c>
      <c r="AE42">
        <v>0</v>
      </c>
      <c r="AF42">
        <v>0</v>
      </c>
      <c r="AG42" t="b">
        <f t="shared" si="5"/>
        <v>1</v>
      </c>
      <c r="AH42">
        <v>569191.04</v>
      </c>
      <c r="AI42">
        <v>569191.04</v>
      </c>
      <c r="AJ42" t="b">
        <v>1</v>
      </c>
      <c r="AK42">
        <v>146297.7</v>
      </c>
      <c r="AL42">
        <v>137610.66</v>
      </c>
      <c r="AM42">
        <v>137610.66</v>
      </c>
      <c r="AN42">
        <v>137610.66</v>
      </c>
    </row>
    <row r="43" spans="1:40">
      <c r="A43">
        <v>45780</v>
      </c>
      <c r="B43" t="s">
        <v>45</v>
      </c>
      <c r="C43" t="s">
        <v>31</v>
      </c>
      <c r="D43" t="s">
        <v>143</v>
      </c>
      <c r="E43" t="s">
        <v>144</v>
      </c>
      <c r="F43" t="s">
        <v>145</v>
      </c>
      <c r="G43">
        <v>0</v>
      </c>
      <c r="H43">
        <v>4235</v>
      </c>
      <c r="I43" t="b">
        <v>0</v>
      </c>
      <c r="J43">
        <v>0</v>
      </c>
      <c r="K43">
        <v>4235</v>
      </c>
      <c r="L43" t="b">
        <v>0</v>
      </c>
      <c r="M43">
        <v>3518535</v>
      </c>
      <c r="N43">
        <v>3518535</v>
      </c>
      <c r="O43" t="b">
        <f t="shared" si="0"/>
        <v>1</v>
      </c>
      <c r="P43">
        <v>0</v>
      </c>
      <c r="Q43">
        <v>0</v>
      </c>
      <c r="R43" t="b">
        <v>1</v>
      </c>
      <c r="S43">
        <v>3518535</v>
      </c>
      <c r="T43">
        <v>3522770</v>
      </c>
      <c r="U43" t="b">
        <f t="shared" si="1"/>
        <v>0</v>
      </c>
      <c r="V43">
        <v>116203.5</v>
      </c>
      <c r="W43">
        <v>116203.5</v>
      </c>
      <c r="X43" t="b">
        <f t="shared" si="2"/>
        <v>1</v>
      </c>
      <c r="Y43">
        <v>0</v>
      </c>
      <c r="Z43">
        <v>0</v>
      </c>
      <c r="AA43" t="b">
        <f t="shared" si="3"/>
        <v>1</v>
      </c>
      <c r="AB43">
        <v>2810770</v>
      </c>
      <c r="AC43">
        <v>2810770</v>
      </c>
      <c r="AD43" t="b">
        <f t="shared" si="4"/>
        <v>1</v>
      </c>
      <c r="AE43">
        <v>0</v>
      </c>
      <c r="AF43">
        <v>0</v>
      </c>
      <c r="AG43" t="b">
        <f t="shared" si="5"/>
        <v>1</v>
      </c>
      <c r="AH43">
        <v>2810770</v>
      </c>
      <c r="AI43">
        <v>2810770</v>
      </c>
      <c r="AJ43" t="b">
        <v>1</v>
      </c>
      <c r="AK43">
        <v>116203.5</v>
      </c>
      <c r="AL43">
        <v>111968.5</v>
      </c>
      <c r="AM43">
        <v>707765</v>
      </c>
      <c r="AN43">
        <v>712000</v>
      </c>
    </row>
    <row r="44" spans="1:40">
      <c r="A44">
        <v>45780</v>
      </c>
      <c r="B44" t="s">
        <v>30</v>
      </c>
      <c r="C44" t="s">
        <v>31</v>
      </c>
      <c r="D44" t="s">
        <v>96</v>
      </c>
      <c r="E44" t="s">
        <v>146</v>
      </c>
      <c r="F44" t="s">
        <v>147</v>
      </c>
      <c r="G44">
        <v>1077740.44</v>
      </c>
      <c r="H44">
        <v>1077740.44</v>
      </c>
      <c r="I44" t="b">
        <v>1</v>
      </c>
      <c r="J44">
        <v>0</v>
      </c>
      <c r="K44">
        <v>0</v>
      </c>
      <c r="L44" t="b">
        <v>1</v>
      </c>
      <c r="M44">
        <v>1077740.44</v>
      </c>
      <c r="N44">
        <v>1077740.44</v>
      </c>
      <c r="O44" t="b">
        <f t="shared" si="0"/>
        <v>1</v>
      </c>
      <c r="P44">
        <v>0</v>
      </c>
      <c r="Q44">
        <v>0</v>
      </c>
      <c r="R44" t="b">
        <v>1</v>
      </c>
      <c r="S44">
        <v>1077740.44</v>
      </c>
      <c r="T44">
        <v>1077740.44</v>
      </c>
      <c r="U44" t="b">
        <f t="shared" si="1"/>
        <v>1</v>
      </c>
      <c r="V44">
        <v>860280</v>
      </c>
      <c r="W44">
        <v>865381</v>
      </c>
      <c r="X44" t="b">
        <f t="shared" si="2"/>
        <v>0</v>
      </c>
      <c r="Y44">
        <v>57381</v>
      </c>
      <c r="Z44">
        <v>57381</v>
      </c>
      <c r="AA44" t="b">
        <f t="shared" si="3"/>
        <v>1</v>
      </c>
      <c r="AB44">
        <v>852619</v>
      </c>
      <c r="AC44">
        <v>852619</v>
      </c>
      <c r="AD44" t="b">
        <f t="shared" si="4"/>
        <v>1</v>
      </c>
      <c r="AE44">
        <v>0</v>
      </c>
      <c r="AF44">
        <v>0</v>
      </c>
      <c r="AG44" t="b">
        <f t="shared" si="5"/>
        <v>1</v>
      </c>
      <c r="AH44">
        <v>910000</v>
      </c>
      <c r="AI44">
        <v>910000</v>
      </c>
      <c r="AJ44" t="b">
        <v>1</v>
      </c>
      <c r="AK44">
        <v>217460.44</v>
      </c>
      <c r="AL44">
        <v>212359.44</v>
      </c>
      <c r="AM44">
        <v>167740.44</v>
      </c>
      <c r="AN44">
        <v>167740.44</v>
      </c>
    </row>
    <row r="45" spans="1:40">
      <c r="A45">
        <v>45780</v>
      </c>
      <c r="B45" t="s">
        <v>35</v>
      </c>
      <c r="C45" t="s">
        <v>31</v>
      </c>
      <c r="D45" t="s">
        <v>148</v>
      </c>
      <c r="E45" t="s">
        <v>149</v>
      </c>
      <c r="F45" t="s">
        <v>150</v>
      </c>
      <c r="G45">
        <v>4884790.86</v>
      </c>
      <c r="H45">
        <v>4884790.86</v>
      </c>
      <c r="I45" t="b">
        <v>1</v>
      </c>
      <c r="J45">
        <v>0</v>
      </c>
      <c r="K45">
        <v>0</v>
      </c>
      <c r="L45" t="b">
        <v>1</v>
      </c>
      <c r="M45">
        <v>4949340</v>
      </c>
      <c r="N45">
        <v>4949340</v>
      </c>
      <c r="O45" t="b">
        <f t="shared" si="0"/>
        <v>1</v>
      </c>
      <c r="P45">
        <v>0</v>
      </c>
      <c r="Q45">
        <v>0</v>
      </c>
      <c r="R45" t="b">
        <v>1</v>
      </c>
      <c r="S45">
        <v>4949340</v>
      </c>
      <c r="T45">
        <v>4949340</v>
      </c>
      <c r="U45" t="b">
        <f t="shared" si="1"/>
        <v>1</v>
      </c>
      <c r="V45">
        <v>2135500</v>
      </c>
      <c r="W45">
        <v>2135500</v>
      </c>
      <c r="X45" t="b">
        <f t="shared" si="2"/>
        <v>1</v>
      </c>
      <c r="Y45">
        <v>1650000</v>
      </c>
      <c r="Z45">
        <v>1650000</v>
      </c>
      <c r="AA45" t="b">
        <f t="shared" si="3"/>
        <v>1</v>
      </c>
      <c r="AB45">
        <v>2299340</v>
      </c>
      <c r="AC45">
        <v>2299340</v>
      </c>
      <c r="AD45" t="b">
        <f t="shared" si="4"/>
        <v>1</v>
      </c>
      <c r="AE45">
        <v>0</v>
      </c>
      <c r="AF45">
        <v>0</v>
      </c>
      <c r="AG45" t="b">
        <f t="shared" si="5"/>
        <v>1</v>
      </c>
      <c r="AH45">
        <v>3949340</v>
      </c>
      <c r="AI45">
        <v>3949340</v>
      </c>
      <c r="AJ45" t="b">
        <v>1</v>
      </c>
      <c r="AK45">
        <v>2749290.86</v>
      </c>
      <c r="AL45">
        <v>2749290.86</v>
      </c>
      <c r="AM45">
        <v>1000000</v>
      </c>
      <c r="AN45">
        <v>1000000</v>
      </c>
    </row>
    <row r="46" spans="1:40">
      <c r="A46">
        <v>45780</v>
      </c>
      <c r="B46" t="s">
        <v>30</v>
      </c>
      <c r="C46" t="s">
        <v>31</v>
      </c>
      <c r="D46" t="s">
        <v>151</v>
      </c>
      <c r="E46" t="s">
        <v>152</v>
      </c>
      <c r="F46" t="s">
        <v>153</v>
      </c>
      <c r="G46">
        <v>617954</v>
      </c>
      <c r="H46">
        <v>617954</v>
      </c>
      <c r="I46" t="b">
        <v>1</v>
      </c>
      <c r="J46">
        <v>0</v>
      </c>
      <c r="K46">
        <v>0</v>
      </c>
      <c r="L46" t="b">
        <v>1</v>
      </c>
      <c r="M46">
        <v>617954</v>
      </c>
      <c r="N46">
        <v>617954</v>
      </c>
      <c r="O46" t="b">
        <f t="shared" si="0"/>
        <v>1</v>
      </c>
      <c r="P46">
        <v>0</v>
      </c>
      <c r="Q46">
        <v>0</v>
      </c>
      <c r="R46" t="b">
        <v>1</v>
      </c>
      <c r="S46">
        <v>617954</v>
      </c>
      <c r="T46">
        <v>617954</v>
      </c>
      <c r="U46" t="b">
        <f t="shared" si="1"/>
        <v>1</v>
      </c>
      <c r="V46">
        <v>0</v>
      </c>
      <c r="W46">
        <v>5758</v>
      </c>
      <c r="X46" t="b">
        <f t="shared" si="2"/>
        <v>0</v>
      </c>
      <c r="Y46">
        <v>5758</v>
      </c>
      <c r="Z46">
        <v>5758</v>
      </c>
      <c r="AA46" t="b">
        <f t="shared" si="3"/>
        <v>1</v>
      </c>
      <c r="AB46">
        <v>479242</v>
      </c>
      <c r="AC46">
        <v>479242</v>
      </c>
      <c r="AD46" t="b">
        <f t="shared" si="4"/>
        <v>1</v>
      </c>
      <c r="AE46">
        <v>0</v>
      </c>
      <c r="AF46">
        <v>0</v>
      </c>
      <c r="AG46" t="b">
        <f t="shared" si="5"/>
        <v>1</v>
      </c>
      <c r="AH46">
        <v>485000</v>
      </c>
      <c r="AI46">
        <v>485000</v>
      </c>
      <c r="AJ46" t="b">
        <v>1</v>
      </c>
      <c r="AK46">
        <v>617954</v>
      </c>
      <c r="AL46">
        <v>612196</v>
      </c>
      <c r="AM46">
        <v>132954</v>
      </c>
      <c r="AN46">
        <v>132954</v>
      </c>
    </row>
    <row r="47" spans="1:40">
      <c r="A47">
        <v>45780</v>
      </c>
      <c r="B47" t="s">
        <v>45</v>
      </c>
      <c r="C47" t="s">
        <v>31</v>
      </c>
      <c r="D47" t="s">
        <v>143</v>
      </c>
      <c r="E47" t="s">
        <v>154</v>
      </c>
      <c r="F47" t="s">
        <v>155</v>
      </c>
      <c r="G47">
        <v>24019610</v>
      </c>
      <c r="H47">
        <v>24019610</v>
      </c>
      <c r="I47" t="b">
        <v>1</v>
      </c>
      <c r="J47">
        <v>0</v>
      </c>
      <c r="K47">
        <v>0</v>
      </c>
      <c r="L47" t="b">
        <v>1</v>
      </c>
      <c r="M47">
        <v>0</v>
      </c>
      <c r="N47">
        <v>0</v>
      </c>
      <c r="O47" t="b">
        <f t="shared" si="0"/>
        <v>1</v>
      </c>
      <c r="P47">
        <v>0</v>
      </c>
      <c r="Q47">
        <v>0</v>
      </c>
      <c r="R47" t="b">
        <v>1</v>
      </c>
      <c r="S47">
        <v>0</v>
      </c>
      <c r="T47">
        <v>0</v>
      </c>
      <c r="U47" t="b">
        <f t="shared" si="1"/>
        <v>1</v>
      </c>
      <c r="V47">
        <v>766857.42</v>
      </c>
      <c r="W47">
        <v>9431153.77</v>
      </c>
      <c r="X47" t="b">
        <f t="shared" si="2"/>
        <v>0</v>
      </c>
      <c r="Y47">
        <v>364772.75</v>
      </c>
      <c r="Z47">
        <v>8867050.75</v>
      </c>
      <c r="AA47" t="b">
        <f t="shared" si="3"/>
        <v>0</v>
      </c>
      <c r="AB47">
        <v>8867050.75</v>
      </c>
      <c r="AC47">
        <v>8867050.75</v>
      </c>
      <c r="AD47" t="b">
        <f t="shared" si="4"/>
        <v>1</v>
      </c>
      <c r="AE47">
        <v>0</v>
      </c>
      <c r="AF47">
        <v>0</v>
      </c>
      <c r="AG47" t="b">
        <f t="shared" si="5"/>
        <v>1</v>
      </c>
      <c r="AH47">
        <v>8502278</v>
      </c>
      <c r="AI47">
        <v>0</v>
      </c>
      <c r="AJ47" t="b">
        <v>0</v>
      </c>
      <c r="AK47">
        <v>23252752.58</v>
      </c>
      <c r="AL47">
        <v>14588456.23</v>
      </c>
      <c r="AM47">
        <v>8502278</v>
      </c>
      <c r="AN47">
        <v>0</v>
      </c>
    </row>
    <row r="48" spans="1:40">
      <c r="A48">
        <v>45780</v>
      </c>
      <c r="B48" t="s">
        <v>45</v>
      </c>
      <c r="C48" t="s">
        <v>31</v>
      </c>
      <c r="D48" t="s">
        <v>156</v>
      </c>
      <c r="E48" t="s">
        <v>157</v>
      </c>
      <c r="F48" t="s">
        <v>158</v>
      </c>
      <c r="G48">
        <v>6873500</v>
      </c>
      <c r="H48">
        <v>6873500</v>
      </c>
      <c r="I48" t="b">
        <v>1</v>
      </c>
      <c r="J48">
        <v>6873500</v>
      </c>
      <c r="K48">
        <v>6873500</v>
      </c>
      <c r="L48" t="b">
        <v>1</v>
      </c>
      <c r="M48">
        <v>0</v>
      </c>
      <c r="N48">
        <v>0</v>
      </c>
      <c r="O48" t="b">
        <f t="shared" si="0"/>
        <v>1</v>
      </c>
      <c r="P48">
        <v>0</v>
      </c>
      <c r="Q48">
        <v>0</v>
      </c>
      <c r="R48" t="b">
        <v>1</v>
      </c>
      <c r="S48">
        <v>6873500</v>
      </c>
      <c r="T48">
        <v>6873500</v>
      </c>
      <c r="U48" t="b">
        <f t="shared" si="1"/>
        <v>1</v>
      </c>
      <c r="V48">
        <v>0</v>
      </c>
      <c r="W48">
        <v>0</v>
      </c>
      <c r="X48" t="b">
        <f t="shared" si="2"/>
        <v>1</v>
      </c>
      <c r="Y48">
        <v>0</v>
      </c>
      <c r="Z48">
        <v>0</v>
      </c>
      <c r="AA48" t="b">
        <f t="shared" si="3"/>
        <v>1</v>
      </c>
      <c r="AB48">
        <v>6873500</v>
      </c>
      <c r="AC48">
        <v>6873500</v>
      </c>
      <c r="AD48" t="b">
        <f t="shared" si="4"/>
        <v>1</v>
      </c>
      <c r="AE48">
        <v>0</v>
      </c>
      <c r="AF48">
        <v>0</v>
      </c>
      <c r="AG48" t="b">
        <f t="shared" si="5"/>
        <v>1</v>
      </c>
      <c r="AH48">
        <v>6873500</v>
      </c>
      <c r="AI48">
        <v>6873500</v>
      </c>
      <c r="AJ48" t="b">
        <v>1</v>
      </c>
      <c r="AK48">
        <v>6873500</v>
      </c>
      <c r="AL48">
        <v>6873500</v>
      </c>
      <c r="AM48">
        <v>0</v>
      </c>
      <c r="AN48">
        <v>0</v>
      </c>
    </row>
    <row r="49" spans="1:40">
      <c r="A49">
        <v>45780</v>
      </c>
      <c r="B49" t="s">
        <v>35</v>
      </c>
      <c r="C49" t="s">
        <v>31</v>
      </c>
      <c r="D49" t="s">
        <v>55</v>
      </c>
      <c r="E49" t="s">
        <v>159</v>
      </c>
      <c r="F49" t="s">
        <v>160</v>
      </c>
      <c r="G49">
        <v>0</v>
      </c>
      <c r="H49">
        <v>71500</v>
      </c>
      <c r="I49" t="b">
        <v>0</v>
      </c>
      <c r="J49">
        <v>0</v>
      </c>
      <c r="K49">
        <v>0</v>
      </c>
      <c r="L49" t="b">
        <v>1</v>
      </c>
      <c r="M49">
        <v>71500</v>
      </c>
      <c r="N49">
        <v>71500</v>
      </c>
      <c r="O49" t="b">
        <f t="shared" si="0"/>
        <v>1</v>
      </c>
      <c r="P49">
        <v>0</v>
      </c>
      <c r="Q49">
        <v>0</v>
      </c>
      <c r="R49" t="b">
        <v>1</v>
      </c>
      <c r="S49">
        <v>71500</v>
      </c>
      <c r="T49">
        <v>71500</v>
      </c>
      <c r="U49" t="b">
        <f t="shared" si="1"/>
        <v>1</v>
      </c>
      <c r="V49">
        <v>0</v>
      </c>
      <c r="W49">
        <v>0</v>
      </c>
      <c r="X49" t="b">
        <f t="shared" si="2"/>
        <v>1</v>
      </c>
      <c r="Y49">
        <v>0</v>
      </c>
      <c r="Z49">
        <v>0</v>
      </c>
      <c r="AA49" t="b">
        <f t="shared" si="3"/>
        <v>1</v>
      </c>
      <c r="AB49">
        <v>40000</v>
      </c>
      <c r="AC49">
        <v>40000</v>
      </c>
      <c r="AD49" t="b">
        <f t="shared" si="4"/>
        <v>1</v>
      </c>
      <c r="AE49">
        <v>0</v>
      </c>
      <c r="AF49">
        <v>0</v>
      </c>
      <c r="AG49" t="b">
        <f t="shared" si="5"/>
        <v>1</v>
      </c>
      <c r="AH49">
        <v>40000</v>
      </c>
      <c r="AI49">
        <v>40000</v>
      </c>
      <c r="AJ49" t="b">
        <v>1</v>
      </c>
      <c r="AK49">
        <v>0</v>
      </c>
      <c r="AL49">
        <v>71500</v>
      </c>
      <c r="AM49">
        <v>31500</v>
      </c>
      <c r="AN49">
        <v>31500</v>
      </c>
    </row>
    <row r="50" spans="1:40">
      <c r="A50">
        <v>45780</v>
      </c>
      <c r="B50" t="s">
        <v>45</v>
      </c>
      <c r="C50" t="s">
        <v>31</v>
      </c>
      <c r="D50" t="s">
        <v>161</v>
      </c>
      <c r="E50" t="s">
        <v>162</v>
      </c>
      <c r="F50" t="s">
        <v>163</v>
      </c>
      <c r="G50">
        <v>2099625</v>
      </c>
      <c r="H50">
        <v>2099625</v>
      </c>
      <c r="I50" t="b">
        <v>1</v>
      </c>
      <c r="J50">
        <v>0</v>
      </c>
      <c r="K50">
        <v>0</v>
      </c>
      <c r="L50" t="b">
        <v>1</v>
      </c>
      <c r="M50">
        <v>2099625</v>
      </c>
      <c r="N50">
        <v>2099625</v>
      </c>
      <c r="O50" t="b">
        <f t="shared" si="0"/>
        <v>1</v>
      </c>
      <c r="P50">
        <v>0</v>
      </c>
      <c r="Q50">
        <v>0</v>
      </c>
      <c r="R50" t="b">
        <v>1</v>
      </c>
      <c r="S50">
        <v>2099625</v>
      </c>
      <c r="T50">
        <v>2099625</v>
      </c>
      <c r="U50" t="b">
        <f t="shared" si="1"/>
        <v>1</v>
      </c>
      <c r="V50">
        <v>1537420</v>
      </c>
      <c r="W50">
        <v>1547166</v>
      </c>
      <c r="X50" t="b">
        <f t="shared" si="2"/>
        <v>0</v>
      </c>
      <c r="Y50">
        <v>1547166</v>
      </c>
      <c r="Z50">
        <v>1547166</v>
      </c>
      <c r="AA50" t="b">
        <f t="shared" si="3"/>
        <v>1</v>
      </c>
      <c r="AB50">
        <v>52459</v>
      </c>
      <c r="AC50">
        <v>52459</v>
      </c>
      <c r="AD50" t="b">
        <f t="shared" si="4"/>
        <v>1</v>
      </c>
      <c r="AE50">
        <v>0</v>
      </c>
      <c r="AF50">
        <v>0</v>
      </c>
      <c r="AG50" t="b">
        <f t="shared" si="5"/>
        <v>1</v>
      </c>
      <c r="AH50">
        <v>1599625</v>
      </c>
      <c r="AI50">
        <v>1599625</v>
      </c>
      <c r="AJ50" t="b">
        <v>1</v>
      </c>
      <c r="AK50">
        <v>562205</v>
      </c>
      <c r="AL50">
        <v>552459</v>
      </c>
      <c r="AM50">
        <v>500000</v>
      </c>
      <c r="AN50">
        <v>500000</v>
      </c>
    </row>
    <row r="51" spans="1:40">
      <c r="A51">
        <v>45780</v>
      </c>
      <c r="B51" t="s">
        <v>45</v>
      </c>
      <c r="C51" t="s">
        <v>31</v>
      </c>
      <c r="D51" t="s">
        <v>164</v>
      </c>
      <c r="E51" t="s">
        <v>165</v>
      </c>
      <c r="F51" t="s">
        <v>166</v>
      </c>
      <c r="G51">
        <v>1662370</v>
      </c>
      <c r="H51">
        <v>1662370</v>
      </c>
      <c r="I51" t="b">
        <v>1</v>
      </c>
      <c r="J51">
        <v>0</v>
      </c>
      <c r="K51">
        <v>0</v>
      </c>
      <c r="L51" t="b">
        <v>1</v>
      </c>
      <c r="M51">
        <v>1610670</v>
      </c>
      <c r="N51">
        <v>1610670</v>
      </c>
      <c r="O51" t="b">
        <f t="shared" si="0"/>
        <v>1</v>
      </c>
      <c r="P51">
        <v>0</v>
      </c>
      <c r="Q51">
        <v>0</v>
      </c>
      <c r="R51" t="b">
        <v>1</v>
      </c>
      <c r="S51">
        <v>1610670</v>
      </c>
      <c r="T51">
        <v>1610670</v>
      </c>
      <c r="U51" t="b">
        <f t="shared" si="1"/>
        <v>1</v>
      </c>
      <c r="V51">
        <v>5188</v>
      </c>
      <c r="W51">
        <v>5188</v>
      </c>
      <c r="X51" t="b">
        <f t="shared" si="2"/>
        <v>1</v>
      </c>
      <c r="Y51">
        <v>5188</v>
      </c>
      <c r="Z51">
        <v>5188</v>
      </c>
      <c r="AA51" t="b">
        <f t="shared" si="3"/>
        <v>1</v>
      </c>
      <c r="AB51">
        <v>994812</v>
      </c>
      <c r="AC51">
        <v>994812</v>
      </c>
      <c r="AD51" t="b">
        <f t="shared" si="4"/>
        <v>1</v>
      </c>
      <c r="AE51">
        <v>0</v>
      </c>
      <c r="AF51">
        <v>0</v>
      </c>
      <c r="AG51" t="b">
        <f t="shared" si="5"/>
        <v>1</v>
      </c>
      <c r="AH51">
        <v>1000000</v>
      </c>
      <c r="AI51">
        <v>1000000</v>
      </c>
      <c r="AJ51" t="b">
        <v>1</v>
      </c>
      <c r="AK51">
        <v>1657182</v>
      </c>
      <c r="AL51">
        <v>1657182</v>
      </c>
      <c r="AM51">
        <v>610670</v>
      </c>
      <c r="AN51">
        <v>610670</v>
      </c>
    </row>
    <row r="52" spans="1:40">
      <c r="A52">
        <v>45780</v>
      </c>
      <c r="B52" t="s">
        <v>30</v>
      </c>
      <c r="C52" t="s">
        <v>31</v>
      </c>
      <c r="D52" t="s">
        <v>114</v>
      </c>
      <c r="E52" t="s">
        <v>167</v>
      </c>
      <c r="F52" t="s">
        <v>168</v>
      </c>
      <c r="G52">
        <v>0</v>
      </c>
      <c r="H52">
        <v>0</v>
      </c>
      <c r="I52" t="b">
        <v>1</v>
      </c>
      <c r="J52">
        <v>0</v>
      </c>
      <c r="K52">
        <v>0</v>
      </c>
      <c r="L52" t="b">
        <v>1</v>
      </c>
      <c r="M52">
        <v>0</v>
      </c>
      <c r="N52">
        <v>0</v>
      </c>
      <c r="O52" t="b">
        <f t="shared" si="0"/>
        <v>1</v>
      </c>
      <c r="P52">
        <v>394474</v>
      </c>
      <c r="Q52">
        <v>394474</v>
      </c>
      <c r="R52" t="b">
        <v>0</v>
      </c>
      <c r="S52">
        <v>394474</v>
      </c>
      <c r="T52">
        <v>394474</v>
      </c>
      <c r="U52" t="b">
        <f t="shared" si="1"/>
        <v>1</v>
      </c>
      <c r="V52">
        <v>0</v>
      </c>
      <c r="W52">
        <v>0</v>
      </c>
      <c r="X52" t="b">
        <f t="shared" si="2"/>
        <v>1</v>
      </c>
      <c r="Y52">
        <v>0</v>
      </c>
      <c r="Z52">
        <v>0</v>
      </c>
      <c r="AA52" t="b">
        <f t="shared" si="3"/>
        <v>1</v>
      </c>
      <c r="AB52">
        <v>0</v>
      </c>
      <c r="AC52">
        <v>0</v>
      </c>
      <c r="AD52" t="b">
        <f t="shared" si="4"/>
        <v>1</v>
      </c>
      <c r="AE52">
        <v>0</v>
      </c>
      <c r="AF52">
        <v>0</v>
      </c>
      <c r="AG52" t="b">
        <f t="shared" si="5"/>
        <v>1</v>
      </c>
      <c r="AH52">
        <v>0</v>
      </c>
      <c r="AI52">
        <v>2475482</v>
      </c>
      <c r="AJ52" t="b">
        <v>0</v>
      </c>
      <c r="AK52">
        <v>0</v>
      </c>
      <c r="AL52">
        <v>0</v>
      </c>
      <c r="AM52">
        <v>394474</v>
      </c>
      <c r="AN52">
        <v>394474</v>
      </c>
    </row>
    <row r="53" spans="1:40">
      <c r="A53">
        <v>45761</v>
      </c>
      <c r="B53" t="s">
        <v>35</v>
      </c>
      <c r="C53" t="s">
        <v>169</v>
      </c>
      <c r="D53" t="s">
        <v>170</v>
      </c>
      <c r="E53" t="s">
        <v>171</v>
      </c>
      <c r="F53" t="s">
        <v>172</v>
      </c>
      <c r="G53">
        <v>509179.06</v>
      </c>
      <c r="H53">
        <v>509179.06</v>
      </c>
      <c r="I53" t="b">
        <v>1</v>
      </c>
      <c r="J53">
        <v>0</v>
      </c>
      <c r="K53">
        <v>0</v>
      </c>
      <c r="L53" t="b">
        <v>1</v>
      </c>
      <c r="M53">
        <v>451386</v>
      </c>
      <c r="N53">
        <v>451386</v>
      </c>
      <c r="O53" t="b">
        <f t="shared" si="0"/>
        <v>1</v>
      </c>
      <c r="P53">
        <v>0</v>
      </c>
      <c r="Q53">
        <v>0</v>
      </c>
      <c r="R53" t="b">
        <v>1</v>
      </c>
      <c r="S53">
        <v>451386</v>
      </c>
      <c r="T53">
        <v>451386</v>
      </c>
      <c r="U53" t="b">
        <f t="shared" si="1"/>
        <v>1</v>
      </c>
      <c r="V53">
        <v>3000</v>
      </c>
      <c r="W53">
        <v>6130</v>
      </c>
      <c r="X53" t="b">
        <f t="shared" si="2"/>
        <v>0</v>
      </c>
      <c r="Y53">
        <v>6130</v>
      </c>
      <c r="Z53">
        <v>6130</v>
      </c>
      <c r="AA53" t="b">
        <f t="shared" si="3"/>
        <v>1</v>
      </c>
      <c r="AB53">
        <v>349312.1</v>
      </c>
      <c r="AC53">
        <v>349312.1</v>
      </c>
      <c r="AD53" t="b">
        <f t="shared" si="4"/>
        <v>1</v>
      </c>
      <c r="AE53">
        <v>0</v>
      </c>
      <c r="AF53">
        <v>0</v>
      </c>
      <c r="AG53" t="b">
        <f t="shared" si="5"/>
        <v>1</v>
      </c>
      <c r="AH53">
        <v>355442.1</v>
      </c>
      <c r="AI53">
        <v>355442.1</v>
      </c>
      <c r="AJ53" t="b">
        <v>1</v>
      </c>
      <c r="AK53">
        <v>506179.06</v>
      </c>
      <c r="AL53">
        <v>503049.06</v>
      </c>
      <c r="AM53">
        <v>95943.9</v>
      </c>
      <c r="AN53">
        <v>95943.9</v>
      </c>
    </row>
    <row r="54" spans="1:40">
      <c r="A54">
        <v>45761</v>
      </c>
      <c r="B54" t="s">
        <v>35</v>
      </c>
      <c r="C54" t="s">
        <v>169</v>
      </c>
      <c r="D54" t="s">
        <v>173</v>
      </c>
      <c r="E54" t="s">
        <v>174</v>
      </c>
      <c r="F54" t="s">
        <v>175</v>
      </c>
      <c r="G54">
        <v>72600</v>
      </c>
      <c r="H54">
        <v>72600</v>
      </c>
      <c r="I54" t="b">
        <v>1</v>
      </c>
      <c r="J54">
        <v>72600</v>
      </c>
      <c r="K54">
        <v>72600</v>
      </c>
      <c r="L54" t="b">
        <v>1</v>
      </c>
      <c r="M54">
        <v>0</v>
      </c>
      <c r="N54">
        <v>0</v>
      </c>
      <c r="O54" t="b">
        <f t="shared" si="0"/>
        <v>1</v>
      </c>
      <c r="P54">
        <v>0</v>
      </c>
      <c r="Q54">
        <v>0</v>
      </c>
      <c r="R54" t="b">
        <v>1</v>
      </c>
      <c r="S54">
        <v>72600</v>
      </c>
      <c r="T54">
        <v>72600</v>
      </c>
      <c r="U54" t="b">
        <f t="shared" si="1"/>
        <v>1</v>
      </c>
      <c r="V54">
        <v>0</v>
      </c>
      <c r="W54">
        <v>0</v>
      </c>
      <c r="X54" t="b">
        <f t="shared" si="2"/>
        <v>1</v>
      </c>
      <c r="Y54">
        <v>0</v>
      </c>
      <c r="Z54">
        <v>0</v>
      </c>
      <c r="AA54" t="b">
        <f t="shared" si="3"/>
        <v>1</v>
      </c>
      <c r="AB54">
        <v>25000</v>
      </c>
      <c r="AC54">
        <v>25000</v>
      </c>
      <c r="AD54" t="b">
        <f t="shared" si="4"/>
        <v>1</v>
      </c>
      <c r="AE54">
        <v>0</v>
      </c>
      <c r="AF54">
        <v>0</v>
      </c>
      <c r="AG54" t="b">
        <f t="shared" si="5"/>
        <v>1</v>
      </c>
      <c r="AH54">
        <v>25000</v>
      </c>
      <c r="AI54">
        <v>25000</v>
      </c>
      <c r="AJ54" t="b">
        <v>1</v>
      </c>
      <c r="AK54">
        <v>72600</v>
      </c>
      <c r="AL54">
        <v>72600</v>
      </c>
      <c r="AM54">
        <v>47600</v>
      </c>
      <c r="AN54">
        <v>47600</v>
      </c>
    </row>
    <row r="55" spans="1:40">
      <c r="A55">
        <v>45761</v>
      </c>
      <c r="B55" t="s">
        <v>30</v>
      </c>
      <c r="C55" t="s">
        <v>176</v>
      </c>
      <c r="D55" t="s">
        <v>177</v>
      </c>
      <c r="E55" t="s">
        <v>178</v>
      </c>
      <c r="F55" t="s">
        <v>179</v>
      </c>
      <c r="G55">
        <v>0</v>
      </c>
      <c r="H55">
        <v>873718</v>
      </c>
      <c r="I55" t="b">
        <v>0</v>
      </c>
      <c r="J55">
        <v>0</v>
      </c>
      <c r="K55">
        <v>873718</v>
      </c>
      <c r="L55" t="b">
        <v>0</v>
      </c>
      <c r="M55">
        <v>0</v>
      </c>
      <c r="N55">
        <v>0</v>
      </c>
      <c r="O55" t="b">
        <f t="shared" si="0"/>
        <v>1</v>
      </c>
      <c r="P55">
        <v>0</v>
      </c>
      <c r="Q55">
        <v>0</v>
      </c>
      <c r="R55" t="b">
        <v>1</v>
      </c>
      <c r="S55">
        <v>0</v>
      </c>
      <c r="T55">
        <v>873718</v>
      </c>
      <c r="U55" t="b">
        <f t="shared" si="1"/>
        <v>0</v>
      </c>
      <c r="V55">
        <v>508068.78</v>
      </c>
      <c r="W55">
        <v>521017.88</v>
      </c>
      <c r="X55" t="b">
        <f t="shared" si="2"/>
        <v>0</v>
      </c>
      <c r="Y55">
        <v>328729.78</v>
      </c>
      <c r="Z55">
        <v>328729.78</v>
      </c>
      <c r="AA55" t="b">
        <f t="shared" si="3"/>
        <v>1</v>
      </c>
      <c r="AB55">
        <v>306788.22</v>
      </c>
      <c r="AC55">
        <v>306788.22</v>
      </c>
      <c r="AD55" t="b">
        <f t="shared" si="4"/>
        <v>1</v>
      </c>
      <c r="AE55">
        <v>11800</v>
      </c>
      <c r="AF55">
        <v>11800</v>
      </c>
      <c r="AG55" t="b">
        <f t="shared" si="5"/>
        <v>1</v>
      </c>
      <c r="AH55">
        <v>623718</v>
      </c>
      <c r="AI55">
        <v>623718</v>
      </c>
      <c r="AJ55" t="b">
        <v>1</v>
      </c>
      <c r="AK55">
        <v>508068.78</v>
      </c>
      <c r="AL55">
        <v>352700.12</v>
      </c>
      <c r="AM55">
        <v>623718</v>
      </c>
      <c r="AN55">
        <v>250000</v>
      </c>
    </row>
    <row r="56" spans="1:40">
      <c r="A56">
        <v>45761</v>
      </c>
      <c r="B56" t="s">
        <v>35</v>
      </c>
      <c r="C56" t="s">
        <v>169</v>
      </c>
      <c r="D56" t="s">
        <v>180</v>
      </c>
      <c r="E56" t="s">
        <v>181</v>
      </c>
      <c r="F56" t="s">
        <v>182</v>
      </c>
      <c r="G56">
        <v>0</v>
      </c>
      <c r="H56">
        <v>0</v>
      </c>
      <c r="I56" t="b">
        <v>1</v>
      </c>
      <c r="J56">
        <v>0</v>
      </c>
      <c r="K56">
        <v>0</v>
      </c>
      <c r="L56" t="b">
        <v>1</v>
      </c>
      <c r="M56">
        <v>0</v>
      </c>
      <c r="N56">
        <v>0</v>
      </c>
      <c r="O56" t="b">
        <f t="shared" si="0"/>
        <v>1</v>
      </c>
      <c r="P56">
        <v>0</v>
      </c>
      <c r="Q56">
        <v>0</v>
      </c>
      <c r="R56" t="b">
        <v>1</v>
      </c>
      <c r="S56">
        <v>0</v>
      </c>
      <c r="T56">
        <v>0</v>
      </c>
      <c r="U56" t="b">
        <f t="shared" si="1"/>
        <v>1</v>
      </c>
      <c r="V56">
        <v>0</v>
      </c>
      <c r="W56">
        <v>0</v>
      </c>
      <c r="X56" t="b">
        <f t="shared" si="2"/>
        <v>1</v>
      </c>
      <c r="Y56">
        <v>1691</v>
      </c>
      <c r="Z56">
        <v>1691</v>
      </c>
      <c r="AA56" t="b">
        <f t="shared" si="3"/>
        <v>1</v>
      </c>
      <c r="AB56">
        <v>1691</v>
      </c>
      <c r="AC56">
        <v>1691</v>
      </c>
      <c r="AD56" t="b">
        <f t="shared" si="4"/>
        <v>1</v>
      </c>
      <c r="AE56">
        <v>0</v>
      </c>
      <c r="AF56">
        <v>0</v>
      </c>
      <c r="AG56" t="b">
        <f t="shared" si="5"/>
        <v>1</v>
      </c>
      <c r="AH56">
        <v>0</v>
      </c>
      <c r="AI56">
        <v>0</v>
      </c>
      <c r="AJ56" t="b">
        <v>1</v>
      </c>
      <c r="AK56">
        <v>0</v>
      </c>
      <c r="AL56">
        <v>0</v>
      </c>
      <c r="AM56">
        <v>0</v>
      </c>
      <c r="AN56">
        <v>0</v>
      </c>
    </row>
    <row r="57" spans="1:40">
      <c r="A57">
        <v>45761</v>
      </c>
      <c r="B57" t="s">
        <v>30</v>
      </c>
      <c r="C57" t="s">
        <v>176</v>
      </c>
      <c r="D57" t="s">
        <v>177</v>
      </c>
      <c r="E57" t="s">
        <v>183</v>
      </c>
      <c r="F57" t="s">
        <v>184</v>
      </c>
      <c r="G57">
        <v>1035000</v>
      </c>
      <c r="H57">
        <v>1035000</v>
      </c>
      <c r="I57" t="b">
        <v>1</v>
      </c>
      <c r="J57">
        <v>2271571</v>
      </c>
      <c r="K57">
        <v>2271571</v>
      </c>
      <c r="L57" t="b">
        <v>1</v>
      </c>
      <c r="M57">
        <v>2271571</v>
      </c>
      <c r="N57">
        <v>2271571</v>
      </c>
      <c r="O57" t="b">
        <f t="shared" si="0"/>
        <v>1</v>
      </c>
      <c r="P57">
        <v>0</v>
      </c>
      <c r="Q57">
        <v>0</v>
      </c>
      <c r="R57" t="b">
        <v>1</v>
      </c>
      <c r="S57">
        <v>0</v>
      </c>
      <c r="T57">
        <v>0</v>
      </c>
      <c r="U57" t="b">
        <f t="shared" si="1"/>
        <v>1</v>
      </c>
      <c r="V57">
        <v>373500</v>
      </c>
      <c r="W57">
        <v>374412</v>
      </c>
      <c r="X57" t="b">
        <f t="shared" si="2"/>
        <v>0</v>
      </c>
      <c r="Y57">
        <v>1117962</v>
      </c>
      <c r="Z57">
        <v>1117962</v>
      </c>
      <c r="AA57" t="b">
        <f t="shared" si="3"/>
        <v>1</v>
      </c>
      <c r="AB57">
        <v>1074050</v>
      </c>
      <c r="AC57">
        <v>1074050</v>
      </c>
      <c r="AD57" t="b">
        <f t="shared" si="4"/>
        <v>1</v>
      </c>
      <c r="AE57">
        <v>21000</v>
      </c>
      <c r="AF57">
        <v>21000</v>
      </c>
      <c r="AG57" t="b">
        <f t="shared" si="5"/>
        <v>1</v>
      </c>
      <c r="AH57">
        <v>22912</v>
      </c>
      <c r="AI57">
        <v>22912</v>
      </c>
      <c r="AJ57" t="b">
        <v>1</v>
      </c>
      <c r="AK57">
        <v>661500</v>
      </c>
      <c r="AL57">
        <v>660588</v>
      </c>
      <c r="AM57">
        <v>22912</v>
      </c>
      <c r="AN57">
        <v>22912</v>
      </c>
    </row>
    <row r="58" spans="1:40">
      <c r="A58">
        <v>45761</v>
      </c>
      <c r="B58" t="s">
        <v>30</v>
      </c>
      <c r="C58" t="s">
        <v>176</v>
      </c>
      <c r="D58" t="s">
        <v>185</v>
      </c>
      <c r="E58" t="s">
        <v>186</v>
      </c>
      <c r="F58" t="s">
        <v>187</v>
      </c>
      <c r="G58">
        <v>3087345.8</v>
      </c>
      <c r="H58">
        <v>3087345.8</v>
      </c>
      <c r="I58" t="b">
        <v>1</v>
      </c>
      <c r="J58">
        <v>3087345.8</v>
      </c>
      <c r="K58">
        <v>3087345.8</v>
      </c>
      <c r="L58" t="b">
        <v>1</v>
      </c>
      <c r="M58">
        <v>2855245.4</v>
      </c>
      <c r="N58">
        <v>2855245.4</v>
      </c>
      <c r="O58" t="b">
        <f t="shared" si="0"/>
        <v>1</v>
      </c>
      <c r="P58">
        <v>0</v>
      </c>
      <c r="Q58">
        <v>0</v>
      </c>
      <c r="R58" t="b">
        <v>1</v>
      </c>
      <c r="S58">
        <v>232100.4</v>
      </c>
      <c r="T58">
        <v>232100.4</v>
      </c>
      <c r="U58" t="b">
        <f t="shared" si="1"/>
        <v>1</v>
      </c>
      <c r="V58">
        <v>210000</v>
      </c>
      <c r="W58">
        <v>210000</v>
      </c>
      <c r="X58" t="b">
        <f t="shared" si="2"/>
        <v>1</v>
      </c>
      <c r="Y58">
        <v>878028</v>
      </c>
      <c r="Z58">
        <v>878028</v>
      </c>
      <c r="AA58" t="b">
        <f t="shared" si="3"/>
        <v>1</v>
      </c>
      <c r="AB58">
        <v>665511</v>
      </c>
      <c r="AC58">
        <v>665511</v>
      </c>
      <c r="AD58" t="b">
        <f t="shared" si="4"/>
        <v>1</v>
      </c>
      <c r="AE58">
        <v>0</v>
      </c>
      <c r="AF58">
        <v>0</v>
      </c>
      <c r="AG58" t="b">
        <f t="shared" si="5"/>
        <v>1</v>
      </c>
      <c r="AH58">
        <v>212517</v>
      </c>
      <c r="AI58">
        <v>212517</v>
      </c>
      <c r="AJ58" t="b">
        <v>1</v>
      </c>
      <c r="AK58">
        <v>2877345.8</v>
      </c>
      <c r="AL58">
        <v>2877345.8</v>
      </c>
      <c r="AM58">
        <v>19583.4</v>
      </c>
      <c r="AN58">
        <v>19583.4</v>
      </c>
    </row>
    <row r="59" spans="1:40">
      <c r="A59">
        <v>45761</v>
      </c>
      <c r="B59" t="s">
        <v>30</v>
      </c>
      <c r="C59" t="s">
        <v>176</v>
      </c>
      <c r="D59" t="s">
        <v>188</v>
      </c>
      <c r="E59" t="s">
        <v>189</v>
      </c>
      <c r="F59" t="s">
        <v>190</v>
      </c>
      <c r="G59">
        <v>0</v>
      </c>
      <c r="H59">
        <v>0</v>
      </c>
      <c r="I59" t="b">
        <v>1</v>
      </c>
      <c r="J59">
        <v>0</v>
      </c>
      <c r="K59">
        <v>0</v>
      </c>
      <c r="L59" t="b">
        <v>1</v>
      </c>
      <c r="M59">
        <v>0</v>
      </c>
      <c r="N59">
        <v>0</v>
      </c>
      <c r="O59" t="b">
        <f t="shared" si="0"/>
        <v>1</v>
      </c>
      <c r="P59">
        <v>0</v>
      </c>
      <c r="Q59">
        <v>0</v>
      </c>
      <c r="R59" t="b">
        <v>1</v>
      </c>
      <c r="S59">
        <v>0</v>
      </c>
      <c r="T59">
        <v>0</v>
      </c>
      <c r="U59" t="b">
        <f t="shared" si="1"/>
        <v>1</v>
      </c>
      <c r="V59">
        <v>0</v>
      </c>
      <c r="W59">
        <v>0</v>
      </c>
      <c r="X59" t="b">
        <f t="shared" si="2"/>
        <v>1</v>
      </c>
      <c r="Y59">
        <v>6000</v>
      </c>
      <c r="Z59">
        <v>6000</v>
      </c>
      <c r="AA59" t="b">
        <f t="shared" si="3"/>
        <v>1</v>
      </c>
      <c r="AB59">
        <v>6000</v>
      </c>
      <c r="AC59">
        <v>6000</v>
      </c>
      <c r="AD59" t="b">
        <f t="shared" si="4"/>
        <v>1</v>
      </c>
      <c r="AE59">
        <v>0</v>
      </c>
      <c r="AF59">
        <v>0</v>
      </c>
      <c r="AG59" t="b">
        <f t="shared" si="5"/>
        <v>1</v>
      </c>
      <c r="AH59">
        <v>0</v>
      </c>
      <c r="AI59">
        <v>0</v>
      </c>
      <c r="AJ59" t="b">
        <v>1</v>
      </c>
      <c r="AK59">
        <v>0</v>
      </c>
      <c r="AL59">
        <v>0</v>
      </c>
      <c r="AM59">
        <v>0</v>
      </c>
      <c r="AN59">
        <v>0</v>
      </c>
    </row>
    <row r="60" spans="1:40">
      <c r="A60">
        <v>45761</v>
      </c>
      <c r="B60" t="s">
        <v>45</v>
      </c>
      <c r="C60" t="s">
        <v>191</v>
      </c>
      <c r="D60" t="s">
        <v>192</v>
      </c>
      <c r="E60" t="s">
        <v>193</v>
      </c>
      <c r="F60" t="s">
        <v>194</v>
      </c>
      <c r="G60">
        <v>0</v>
      </c>
      <c r="H60">
        <v>0</v>
      </c>
      <c r="I60" t="b">
        <v>1</v>
      </c>
      <c r="J60">
        <v>0</v>
      </c>
      <c r="K60">
        <v>0</v>
      </c>
      <c r="L60" t="b">
        <v>1</v>
      </c>
      <c r="M60">
        <v>0</v>
      </c>
      <c r="N60">
        <v>0</v>
      </c>
      <c r="O60" t="b">
        <f t="shared" si="0"/>
        <v>1</v>
      </c>
      <c r="P60">
        <v>0</v>
      </c>
      <c r="Q60">
        <v>0</v>
      </c>
      <c r="R60" t="b">
        <v>1</v>
      </c>
      <c r="S60">
        <v>0</v>
      </c>
      <c r="T60">
        <v>0</v>
      </c>
      <c r="U60" t="b">
        <f t="shared" si="1"/>
        <v>1</v>
      </c>
      <c r="V60">
        <v>0</v>
      </c>
      <c r="W60">
        <v>0</v>
      </c>
      <c r="X60" t="b">
        <f t="shared" si="2"/>
        <v>1</v>
      </c>
      <c r="Y60">
        <v>8898</v>
      </c>
      <c r="Z60">
        <v>8898</v>
      </c>
      <c r="AA60" t="b">
        <f t="shared" si="3"/>
        <v>1</v>
      </c>
      <c r="AB60">
        <v>8898</v>
      </c>
      <c r="AC60">
        <v>8898</v>
      </c>
      <c r="AD60" t="b">
        <f t="shared" si="4"/>
        <v>1</v>
      </c>
      <c r="AE60">
        <v>0</v>
      </c>
      <c r="AF60">
        <v>0</v>
      </c>
      <c r="AG60" t="b">
        <f t="shared" si="5"/>
        <v>1</v>
      </c>
      <c r="AH60">
        <v>0</v>
      </c>
      <c r="AI60">
        <v>0</v>
      </c>
      <c r="AJ60" t="b">
        <v>1</v>
      </c>
      <c r="AK60">
        <v>0</v>
      </c>
      <c r="AL60">
        <v>0</v>
      </c>
      <c r="AM60">
        <v>0</v>
      </c>
      <c r="AN60">
        <v>0</v>
      </c>
    </row>
    <row r="61" spans="1:40">
      <c r="A61">
        <v>45761</v>
      </c>
      <c r="B61" t="s">
        <v>30</v>
      </c>
      <c r="C61" t="s">
        <v>176</v>
      </c>
      <c r="D61" t="s">
        <v>195</v>
      </c>
      <c r="E61" t="s">
        <v>196</v>
      </c>
      <c r="F61" t="s">
        <v>197</v>
      </c>
      <c r="G61">
        <v>854315</v>
      </c>
      <c r="H61">
        <v>854315</v>
      </c>
      <c r="I61" t="b">
        <v>1</v>
      </c>
      <c r="J61">
        <v>854315</v>
      </c>
      <c r="K61">
        <v>854315</v>
      </c>
      <c r="L61" t="b">
        <v>1</v>
      </c>
      <c r="M61">
        <v>0</v>
      </c>
      <c r="N61">
        <v>0</v>
      </c>
      <c r="O61" t="b">
        <f t="shared" si="0"/>
        <v>1</v>
      </c>
      <c r="P61">
        <v>0</v>
      </c>
      <c r="Q61">
        <v>0</v>
      </c>
      <c r="R61" t="b">
        <v>1</v>
      </c>
      <c r="S61">
        <v>854315</v>
      </c>
      <c r="T61">
        <v>854315</v>
      </c>
      <c r="U61" t="b">
        <f t="shared" si="1"/>
        <v>1</v>
      </c>
      <c r="V61">
        <v>426201</v>
      </c>
      <c r="W61">
        <v>426201</v>
      </c>
      <c r="X61" t="b">
        <f t="shared" si="2"/>
        <v>1</v>
      </c>
      <c r="Y61">
        <v>727580</v>
      </c>
      <c r="Z61">
        <v>727110</v>
      </c>
      <c r="AA61" t="b">
        <f t="shared" si="3"/>
        <v>0</v>
      </c>
      <c r="AB61">
        <v>371859</v>
      </c>
      <c r="AC61">
        <v>300909</v>
      </c>
      <c r="AD61" t="b">
        <f t="shared" si="4"/>
        <v>0</v>
      </c>
      <c r="AE61">
        <v>0</v>
      </c>
      <c r="AF61">
        <v>0</v>
      </c>
      <c r="AG61" t="b">
        <f t="shared" si="5"/>
        <v>1</v>
      </c>
      <c r="AH61">
        <v>355721</v>
      </c>
      <c r="AI61">
        <v>426201</v>
      </c>
      <c r="AJ61" t="b">
        <v>0</v>
      </c>
      <c r="AK61">
        <v>428114</v>
      </c>
      <c r="AL61">
        <v>428114</v>
      </c>
      <c r="AM61">
        <v>498594</v>
      </c>
      <c r="AN61">
        <v>428114</v>
      </c>
    </row>
    <row r="62" spans="1:40">
      <c r="A62">
        <v>45758</v>
      </c>
      <c r="B62" t="s">
        <v>30</v>
      </c>
      <c r="C62" t="s">
        <v>176</v>
      </c>
      <c r="D62" t="s">
        <v>198</v>
      </c>
      <c r="E62" t="s">
        <v>199</v>
      </c>
      <c r="F62" t="s">
        <v>200</v>
      </c>
      <c r="G62">
        <v>713240</v>
      </c>
      <c r="H62">
        <v>713240</v>
      </c>
      <c r="I62" t="b">
        <v>1</v>
      </c>
      <c r="J62">
        <v>0</v>
      </c>
      <c r="K62">
        <v>0</v>
      </c>
      <c r="L62" t="b">
        <v>1</v>
      </c>
      <c r="M62">
        <v>713240</v>
      </c>
      <c r="N62">
        <v>713240</v>
      </c>
      <c r="O62" t="b">
        <f t="shared" si="0"/>
        <v>1</v>
      </c>
      <c r="P62">
        <v>0</v>
      </c>
      <c r="Q62">
        <v>0</v>
      </c>
      <c r="R62" t="b">
        <v>1</v>
      </c>
      <c r="S62">
        <v>713240</v>
      </c>
      <c r="T62">
        <v>713240</v>
      </c>
      <c r="U62" t="b">
        <f t="shared" si="1"/>
        <v>1</v>
      </c>
      <c r="V62">
        <v>74720.82</v>
      </c>
      <c r="W62">
        <v>77012.82</v>
      </c>
      <c r="X62" t="b">
        <f t="shared" si="2"/>
        <v>0</v>
      </c>
      <c r="Y62">
        <v>52292</v>
      </c>
      <c r="Z62">
        <v>52292</v>
      </c>
      <c r="AA62" t="b">
        <f t="shared" si="3"/>
        <v>1</v>
      </c>
      <c r="AB62">
        <v>503708</v>
      </c>
      <c r="AC62">
        <v>503708</v>
      </c>
      <c r="AD62" t="b">
        <f t="shared" si="4"/>
        <v>1</v>
      </c>
      <c r="AE62">
        <v>0</v>
      </c>
      <c r="AF62">
        <v>0</v>
      </c>
      <c r="AG62" t="b">
        <f t="shared" si="5"/>
        <v>1</v>
      </c>
      <c r="AH62">
        <v>556000</v>
      </c>
      <c r="AI62">
        <v>556000</v>
      </c>
      <c r="AJ62" t="b">
        <v>1</v>
      </c>
      <c r="AK62">
        <v>638519.18</v>
      </c>
      <c r="AL62">
        <v>636227.18</v>
      </c>
      <c r="AM62">
        <v>157240</v>
      </c>
      <c r="AN62">
        <v>157240</v>
      </c>
    </row>
    <row r="63" spans="1:40">
      <c r="A63">
        <v>45758</v>
      </c>
      <c r="B63" t="s">
        <v>30</v>
      </c>
      <c r="C63" t="s">
        <v>176</v>
      </c>
      <c r="D63" t="s">
        <v>96</v>
      </c>
      <c r="E63" t="s">
        <v>201</v>
      </c>
      <c r="F63" t="s">
        <v>202</v>
      </c>
      <c r="G63">
        <v>564513.83</v>
      </c>
      <c r="H63">
        <v>564513.83</v>
      </c>
      <c r="I63" t="b">
        <v>1</v>
      </c>
      <c r="J63">
        <v>564513.83</v>
      </c>
      <c r="K63">
        <v>564513.83</v>
      </c>
      <c r="L63" t="b">
        <v>1</v>
      </c>
      <c r="M63">
        <v>0</v>
      </c>
      <c r="N63">
        <v>0</v>
      </c>
      <c r="O63" t="b">
        <f t="shared" si="0"/>
        <v>1</v>
      </c>
      <c r="P63">
        <v>0</v>
      </c>
      <c r="Q63">
        <v>0</v>
      </c>
      <c r="R63" t="b">
        <v>1</v>
      </c>
      <c r="S63">
        <v>564513.83</v>
      </c>
      <c r="T63">
        <v>564513.83</v>
      </c>
      <c r="U63" t="b">
        <f t="shared" si="1"/>
        <v>1</v>
      </c>
      <c r="V63">
        <v>198200</v>
      </c>
      <c r="W63">
        <v>253014.5</v>
      </c>
      <c r="X63" t="b">
        <f t="shared" si="2"/>
        <v>0</v>
      </c>
      <c r="Y63">
        <v>188596</v>
      </c>
      <c r="Z63">
        <v>188596</v>
      </c>
      <c r="AA63" t="b">
        <f t="shared" si="3"/>
        <v>1</v>
      </c>
      <c r="AB63">
        <v>275266.83</v>
      </c>
      <c r="AC63">
        <v>275266.83</v>
      </c>
      <c r="AD63" t="b">
        <f t="shared" si="4"/>
        <v>1</v>
      </c>
      <c r="AE63">
        <v>0</v>
      </c>
      <c r="AF63">
        <v>0</v>
      </c>
      <c r="AG63" t="b">
        <f t="shared" si="5"/>
        <v>1</v>
      </c>
      <c r="AH63">
        <v>463862.83</v>
      </c>
      <c r="AI63">
        <v>463862.83</v>
      </c>
      <c r="AJ63" t="b">
        <v>1</v>
      </c>
      <c r="AK63">
        <v>366313.83</v>
      </c>
      <c r="AL63">
        <v>311499.33</v>
      </c>
      <c r="AM63">
        <v>100651</v>
      </c>
      <c r="AN63">
        <v>100651</v>
      </c>
    </row>
    <row r="64" spans="1:40">
      <c r="A64">
        <v>45758</v>
      </c>
      <c r="B64" t="s">
        <v>30</v>
      </c>
      <c r="C64" t="s">
        <v>176</v>
      </c>
      <c r="D64" t="s">
        <v>203</v>
      </c>
      <c r="E64" t="s">
        <v>204</v>
      </c>
      <c r="F64" t="s">
        <v>205</v>
      </c>
      <c r="G64">
        <v>5907347.6</v>
      </c>
      <c r="H64">
        <v>5907347.6</v>
      </c>
      <c r="I64" t="b">
        <v>1</v>
      </c>
      <c r="J64">
        <v>0</v>
      </c>
      <c r="K64">
        <v>0</v>
      </c>
      <c r="L64" t="b">
        <v>1</v>
      </c>
      <c r="M64">
        <v>5998107</v>
      </c>
      <c r="N64">
        <v>5907348</v>
      </c>
      <c r="O64" t="b">
        <f t="shared" si="0"/>
        <v>0</v>
      </c>
      <c r="P64">
        <v>0</v>
      </c>
      <c r="Q64">
        <v>0</v>
      </c>
      <c r="R64" t="b">
        <v>1</v>
      </c>
      <c r="S64">
        <v>5998107</v>
      </c>
      <c r="T64">
        <v>5907348</v>
      </c>
      <c r="U64" t="b">
        <f t="shared" si="1"/>
        <v>0</v>
      </c>
      <c r="V64">
        <v>2848783.54</v>
      </c>
      <c r="W64">
        <v>2991402.18</v>
      </c>
      <c r="X64" t="b">
        <f t="shared" si="2"/>
        <v>0</v>
      </c>
      <c r="Y64">
        <v>585823</v>
      </c>
      <c r="Z64">
        <v>585823</v>
      </c>
      <c r="AA64" t="b">
        <f t="shared" si="3"/>
        <v>1</v>
      </c>
      <c r="AB64">
        <v>3981994.66</v>
      </c>
      <c r="AC64">
        <v>3981994.66</v>
      </c>
      <c r="AD64" t="b">
        <f t="shared" si="4"/>
        <v>1</v>
      </c>
      <c r="AE64">
        <v>0</v>
      </c>
      <c r="AF64">
        <v>0</v>
      </c>
      <c r="AG64" t="b">
        <f t="shared" si="5"/>
        <v>1</v>
      </c>
      <c r="AH64">
        <v>4567817.66</v>
      </c>
      <c r="AI64">
        <v>4567817.66</v>
      </c>
      <c r="AJ64" t="b">
        <v>1</v>
      </c>
      <c r="AK64">
        <v>3058564.06</v>
      </c>
      <c r="AL64">
        <v>2915945.42</v>
      </c>
      <c r="AM64">
        <v>1339530.34</v>
      </c>
      <c r="AN64">
        <v>1339530.34</v>
      </c>
    </row>
    <row r="65" spans="1:40">
      <c r="A65">
        <v>45758</v>
      </c>
      <c r="B65" t="s">
        <v>30</v>
      </c>
      <c r="C65" t="s">
        <v>176</v>
      </c>
      <c r="D65" t="s">
        <v>206</v>
      </c>
      <c r="E65" t="s">
        <v>207</v>
      </c>
      <c r="F65" t="s">
        <v>208</v>
      </c>
      <c r="G65">
        <v>336450</v>
      </c>
      <c r="H65">
        <v>336450</v>
      </c>
      <c r="I65" t="b">
        <v>1</v>
      </c>
      <c r="J65">
        <v>336450</v>
      </c>
      <c r="K65">
        <v>336450</v>
      </c>
      <c r="L65" t="b">
        <v>1</v>
      </c>
      <c r="M65">
        <v>0</v>
      </c>
      <c r="N65">
        <v>0</v>
      </c>
      <c r="O65" t="b">
        <f t="shared" si="0"/>
        <v>1</v>
      </c>
      <c r="P65">
        <v>0</v>
      </c>
      <c r="Q65">
        <v>0</v>
      </c>
      <c r="R65" t="b">
        <v>1</v>
      </c>
      <c r="S65">
        <v>336450</v>
      </c>
      <c r="T65">
        <v>336450</v>
      </c>
      <c r="U65" t="b">
        <f t="shared" si="1"/>
        <v>1</v>
      </c>
      <c r="V65">
        <v>227815</v>
      </c>
      <c r="W65">
        <v>227815</v>
      </c>
      <c r="X65" t="b">
        <f t="shared" si="2"/>
        <v>1</v>
      </c>
      <c r="Y65">
        <v>227815</v>
      </c>
      <c r="Z65">
        <v>227815</v>
      </c>
      <c r="AA65" t="b">
        <f t="shared" si="3"/>
        <v>1</v>
      </c>
      <c r="AB65">
        <v>34616</v>
      </c>
      <c r="AC65">
        <v>34616</v>
      </c>
      <c r="AD65" t="b">
        <f t="shared" si="4"/>
        <v>1</v>
      </c>
      <c r="AE65">
        <v>0</v>
      </c>
      <c r="AF65">
        <v>0</v>
      </c>
      <c r="AG65" t="b">
        <f t="shared" si="5"/>
        <v>1</v>
      </c>
      <c r="AH65">
        <v>262431</v>
      </c>
      <c r="AI65">
        <v>262431</v>
      </c>
      <c r="AJ65" t="b">
        <v>1</v>
      </c>
      <c r="AK65">
        <v>108635</v>
      </c>
      <c r="AL65">
        <v>108635</v>
      </c>
      <c r="AM65">
        <v>74019</v>
      </c>
      <c r="AN65">
        <v>74019</v>
      </c>
    </row>
    <row r="66" spans="1:40">
      <c r="A66">
        <v>45758</v>
      </c>
      <c r="B66" t="s">
        <v>30</v>
      </c>
      <c r="C66" t="s">
        <v>176</v>
      </c>
      <c r="D66" t="s">
        <v>96</v>
      </c>
      <c r="E66" t="s">
        <v>209</v>
      </c>
      <c r="F66" t="s">
        <v>210</v>
      </c>
      <c r="G66">
        <v>52557</v>
      </c>
      <c r="H66">
        <v>105114</v>
      </c>
      <c r="I66" t="b">
        <v>0</v>
      </c>
      <c r="J66">
        <v>0</v>
      </c>
      <c r="K66">
        <v>0</v>
      </c>
      <c r="L66" t="b">
        <v>1</v>
      </c>
      <c r="M66">
        <v>0</v>
      </c>
      <c r="N66">
        <v>0</v>
      </c>
      <c r="O66" t="b">
        <f t="shared" si="0"/>
        <v>1</v>
      </c>
      <c r="P66">
        <v>0</v>
      </c>
      <c r="Q66">
        <v>0</v>
      </c>
      <c r="R66" t="b">
        <v>1</v>
      </c>
      <c r="S66">
        <v>0</v>
      </c>
      <c r="T66">
        <v>0</v>
      </c>
      <c r="U66" t="b">
        <f t="shared" si="1"/>
        <v>1</v>
      </c>
      <c r="V66">
        <v>0</v>
      </c>
      <c r="W66">
        <v>0</v>
      </c>
      <c r="X66" t="b">
        <f t="shared" si="2"/>
        <v>1</v>
      </c>
      <c r="Y66">
        <v>0</v>
      </c>
      <c r="Z66">
        <v>0</v>
      </c>
      <c r="AA66" t="b">
        <f t="shared" si="3"/>
        <v>1</v>
      </c>
      <c r="AB66">
        <v>0</v>
      </c>
      <c r="AC66">
        <v>0</v>
      </c>
      <c r="AD66" t="b">
        <f t="shared" si="4"/>
        <v>1</v>
      </c>
      <c r="AE66">
        <v>0</v>
      </c>
      <c r="AF66">
        <v>0</v>
      </c>
      <c r="AG66" t="b">
        <f t="shared" si="5"/>
        <v>1</v>
      </c>
      <c r="AH66">
        <v>0</v>
      </c>
      <c r="AI66">
        <v>0</v>
      </c>
      <c r="AJ66" t="b">
        <v>1</v>
      </c>
      <c r="AK66">
        <v>52557</v>
      </c>
      <c r="AL66">
        <v>105114</v>
      </c>
      <c r="AM66">
        <v>0</v>
      </c>
      <c r="AN66">
        <v>0</v>
      </c>
    </row>
    <row r="67" spans="1:40">
      <c r="A67">
        <v>45758</v>
      </c>
      <c r="B67" t="s">
        <v>35</v>
      </c>
      <c r="C67" t="s">
        <v>169</v>
      </c>
      <c r="D67" t="s">
        <v>211</v>
      </c>
      <c r="E67" t="s">
        <v>212</v>
      </c>
      <c r="F67" t="s">
        <v>213</v>
      </c>
      <c r="G67">
        <v>13492.5</v>
      </c>
      <c r="H67">
        <v>13492.5</v>
      </c>
      <c r="I67" t="b">
        <v>1</v>
      </c>
      <c r="J67">
        <v>13492.5</v>
      </c>
      <c r="K67">
        <v>13492.5</v>
      </c>
      <c r="L67" t="b">
        <v>1</v>
      </c>
      <c r="M67">
        <v>0</v>
      </c>
      <c r="N67">
        <v>0</v>
      </c>
      <c r="O67" t="b">
        <f t="shared" ref="O67:O130" si="6">M67=N67</f>
        <v>1</v>
      </c>
      <c r="P67">
        <v>0</v>
      </c>
      <c r="Q67">
        <v>0</v>
      </c>
      <c r="R67" t="b">
        <v>1</v>
      </c>
      <c r="S67">
        <v>13492.5</v>
      </c>
      <c r="T67">
        <v>13492.5</v>
      </c>
      <c r="U67" t="b">
        <f t="shared" ref="U67:U130" si="7">S67=T67</f>
        <v>1</v>
      </c>
      <c r="V67">
        <v>9400</v>
      </c>
      <c r="W67">
        <v>9400</v>
      </c>
      <c r="X67" t="b">
        <f t="shared" ref="X67:X130" si="8">V67=W67</f>
        <v>1</v>
      </c>
      <c r="Y67">
        <v>9400</v>
      </c>
      <c r="Z67">
        <v>9400</v>
      </c>
      <c r="AA67" t="b">
        <f t="shared" ref="AA67:AA130" si="9">Y67=Z67</f>
        <v>1</v>
      </c>
      <c r="AB67">
        <v>0</v>
      </c>
      <c r="AC67">
        <v>0</v>
      </c>
      <c r="AD67" t="b">
        <f t="shared" ref="AD67:AD130" si="10">AB67=AC67</f>
        <v>1</v>
      </c>
      <c r="AE67">
        <v>0</v>
      </c>
      <c r="AF67">
        <v>0</v>
      </c>
      <c r="AG67" t="b">
        <f t="shared" ref="AG67:AG130" si="11">AE67=AF67</f>
        <v>1</v>
      </c>
      <c r="AH67">
        <v>9400</v>
      </c>
      <c r="AI67">
        <v>9400</v>
      </c>
      <c r="AJ67" t="b">
        <v>1</v>
      </c>
      <c r="AK67">
        <v>4092.5</v>
      </c>
      <c r="AL67">
        <v>4092.5</v>
      </c>
      <c r="AM67">
        <v>4092.5</v>
      </c>
      <c r="AN67">
        <v>4092.5</v>
      </c>
    </row>
    <row r="68" spans="1:40">
      <c r="A68">
        <v>45758</v>
      </c>
      <c r="B68" t="s">
        <v>35</v>
      </c>
      <c r="C68" t="s">
        <v>169</v>
      </c>
      <c r="D68" t="s">
        <v>55</v>
      </c>
      <c r="E68" t="s">
        <v>214</v>
      </c>
      <c r="F68" t="s">
        <v>215</v>
      </c>
      <c r="G68">
        <v>0</v>
      </c>
      <c r="H68">
        <v>1014046</v>
      </c>
      <c r="I68" t="b">
        <v>0</v>
      </c>
      <c r="J68">
        <v>0</v>
      </c>
      <c r="K68">
        <v>0</v>
      </c>
      <c r="L68" t="b">
        <v>1</v>
      </c>
      <c r="M68">
        <v>1014046</v>
      </c>
      <c r="N68">
        <v>1014046</v>
      </c>
      <c r="O68" t="b">
        <f t="shared" si="6"/>
        <v>1</v>
      </c>
      <c r="P68">
        <v>0</v>
      </c>
      <c r="Q68">
        <v>0</v>
      </c>
      <c r="R68" t="b">
        <v>1</v>
      </c>
      <c r="S68">
        <v>1014046</v>
      </c>
      <c r="T68">
        <v>1014046</v>
      </c>
      <c r="U68" t="b">
        <f t="shared" si="7"/>
        <v>1</v>
      </c>
      <c r="V68">
        <v>705944</v>
      </c>
      <c r="W68">
        <v>708765</v>
      </c>
      <c r="X68" t="b">
        <f t="shared" si="8"/>
        <v>0</v>
      </c>
      <c r="Y68">
        <v>708765</v>
      </c>
      <c r="Z68">
        <v>708765</v>
      </c>
      <c r="AA68" t="b">
        <f t="shared" si="9"/>
        <v>1</v>
      </c>
      <c r="AB68">
        <v>0</v>
      </c>
      <c r="AC68">
        <v>0</v>
      </c>
      <c r="AD68" t="b">
        <f t="shared" si="10"/>
        <v>1</v>
      </c>
      <c r="AE68">
        <v>0</v>
      </c>
      <c r="AF68">
        <v>0</v>
      </c>
      <c r="AG68" t="b">
        <f t="shared" si="11"/>
        <v>1</v>
      </c>
      <c r="AH68">
        <v>708765</v>
      </c>
      <c r="AI68">
        <v>708765</v>
      </c>
      <c r="AJ68" t="b">
        <v>1</v>
      </c>
      <c r="AK68">
        <v>705944</v>
      </c>
      <c r="AL68">
        <v>305281</v>
      </c>
      <c r="AM68">
        <v>305281</v>
      </c>
      <c r="AN68">
        <v>305281</v>
      </c>
    </row>
    <row r="69" spans="1:40">
      <c r="A69">
        <v>45758</v>
      </c>
      <c r="B69" t="s">
        <v>30</v>
      </c>
      <c r="C69" t="s">
        <v>176</v>
      </c>
      <c r="D69" t="s">
        <v>85</v>
      </c>
      <c r="E69" t="s">
        <v>216</v>
      </c>
      <c r="F69" t="s">
        <v>217</v>
      </c>
      <c r="G69">
        <v>1102551</v>
      </c>
      <c r="H69">
        <v>1102551</v>
      </c>
      <c r="I69" t="b">
        <v>1</v>
      </c>
      <c r="J69">
        <v>1102551</v>
      </c>
      <c r="K69">
        <v>1102551</v>
      </c>
      <c r="L69" t="b">
        <v>1</v>
      </c>
      <c r="M69">
        <v>0</v>
      </c>
      <c r="N69">
        <v>0</v>
      </c>
      <c r="O69" t="b">
        <f t="shared" si="6"/>
        <v>1</v>
      </c>
      <c r="P69">
        <v>0</v>
      </c>
      <c r="Q69">
        <v>0</v>
      </c>
      <c r="R69" t="b">
        <v>1</v>
      </c>
      <c r="S69">
        <v>1102551</v>
      </c>
      <c r="T69">
        <v>1102551</v>
      </c>
      <c r="U69" t="b">
        <f t="shared" si="7"/>
        <v>1</v>
      </c>
      <c r="V69">
        <v>534310.5</v>
      </c>
      <c r="W69">
        <v>712151.24</v>
      </c>
      <c r="X69" t="b">
        <f t="shared" si="8"/>
        <v>0</v>
      </c>
      <c r="Y69">
        <v>608501.24</v>
      </c>
      <c r="Z69">
        <v>608501.24</v>
      </c>
      <c r="AA69" t="b">
        <f t="shared" si="9"/>
        <v>1</v>
      </c>
      <c r="AB69">
        <v>103650</v>
      </c>
      <c r="AC69">
        <v>103650</v>
      </c>
      <c r="AD69" t="b">
        <f t="shared" si="10"/>
        <v>1</v>
      </c>
      <c r="AE69">
        <v>0</v>
      </c>
      <c r="AF69">
        <v>0</v>
      </c>
      <c r="AG69" t="b">
        <f t="shared" si="11"/>
        <v>1</v>
      </c>
      <c r="AH69">
        <v>712151.24</v>
      </c>
      <c r="AI69">
        <v>712151.24</v>
      </c>
      <c r="AJ69" t="b">
        <v>1</v>
      </c>
      <c r="AK69">
        <v>568240.5</v>
      </c>
      <c r="AL69">
        <v>390399.76</v>
      </c>
      <c r="AM69">
        <v>390399.76</v>
      </c>
      <c r="AN69">
        <v>390399.76</v>
      </c>
    </row>
    <row r="70" spans="1:40">
      <c r="A70">
        <v>45758</v>
      </c>
      <c r="B70" t="s">
        <v>30</v>
      </c>
      <c r="C70" t="s">
        <v>176</v>
      </c>
      <c r="D70" t="s">
        <v>114</v>
      </c>
      <c r="E70" t="s">
        <v>218</v>
      </c>
      <c r="F70" t="s">
        <v>219</v>
      </c>
      <c r="G70">
        <v>192016</v>
      </c>
      <c r="H70">
        <v>192016</v>
      </c>
      <c r="I70" t="b">
        <v>1</v>
      </c>
      <c r="J70">
        <v>0</v>
      </c>
      <c r="K70">
        <v>0</v>
      </c>
      <c r="L70" t="b">
        <v>1</v>
      </c>
      <c r="M70">
        <v>192016</v>
      </c>
      <c r="N70">
        <v>192016</v>
      </c>
      <c r="O70" t="b">
        <f t="shared" si="6"/>
        <v>1</v>
      </c>
      <c r="P70">
        <v>0</v>
      </c>
      <c r="Q70">
        <v>0</v>
      </c>
      <c r="R70" t="b">
        <v>1</v>
      </c>
      <c r="S70">
        <v>192016</v>
      </c>
      <c r="T70">
        <v>192016</v>
      </c>
      <c r="U70" t="b">
        <f t="shared" si="7"/>
        <v>1</v>
      </c>
      <c r="V70">
        <v>600</v>
      </c>
      <c r="W70">
        <v>600</v>
      </c>
      <c r="X70" t="b">
        <f t="shared" si="8"/>
        <v>1</v>
      </c>
      <c r="Y70">
        <v>600</v>
      </c>
      <c r="Z70">
        <v>600</v>
      </c>
      <c r="AA70" t="b">
        <f t="shared" si="9"/>
        <v>1</v>
      </c>
      <c r="AB70">
        <v>149100</v>
      </c>
      <c r="AC70">
        <v>149100</v>
      </c>
      <c r="AD70" t="b">
        <f t="shared" si="10"/>
        <v>1</v>
      </c>
      <c r="AE70">
        <v>0</v>
      </c>
      <c r="AF70">
        <v>0</v>
      </c>
      <c r="AG70" t="b">
        <f t="shared" si="11"/>
        <v>1</v>
      </c>
      <c r="AH70">
        <v>149700</v>
      </c>
      <c r="AI70">
        <v>149700</v>
      </c>
      <c r="AJ70" t="b">
        <v>1</v>
      </c>
      <c r="AK70">
        <v>191416</v>
      </c>
      <c r="AL70">
        <v>191416</v>
      </c>
      <c r="AM70">
        <v>42316</v>
      </c>
      <c r="AN70">
        <v>42316</v>
      </c>
    </row>
    <row r="71" spans="1:40">
      <c r="A71">
        <v>45758</v>
      </c>
      <c r="B71" t="s">
        <v>30</v>
      </c>
      <c r="C71" t="s">
        <v>176</v>
      </c>
      <c r="D71" t="s">
        <v>58</v>
      </c>
      <c r="E71" t="s">
        <v>220</v>
      </c>
      <c r="F71" t="s">
        <v>221</v>
      </c>
      <c r="G71">
        <v>3705921</v>
      </c>
      <c r="H71">
        <v>3701171.45</v>
      </c>
      <c r="I71" t="b">
        <v>0</v>
      </c>
      <c r="J71">
        <v>0</v>
      </c>
      <c r="K71">
        <v>0</v>
      </c>
      <c r="L71" t="b">
        <v>1</v>
      </c>
      <c r="M71">
        <v>0</v>
      </c>
      <c r="N71">
        <v>0</v>
      </c>
      <c r="O71" t="b">
        <f t="shared" si="6"/>
        <v>1</v>
      </c>
      <c r="P71">
        <v>0</v>
      </c>
      <c r="Q71">
        <v>0</v>
      </c>
      <c r="R71" t="b">
        <v>1</v>
      </c>
      <c r="S71">
        <v>0</v>
      </c>
      <c r="T71">
        <v>0</v>
      </c>
      <c r="U71" t="b">
        <f t="shared" si="7"/>
        <v>1</v>
      </c>
      <c r="V71">
        <v>0</v>
      </c>
      <c r="W71">
        <v>0</v>
      </c>
      <c r="X71" t="b">
        <f t="shared" si="8"/>
        <v>1</v>
      </c>
      <c r="Y71">
        <v>0</v>
      </c>
      <c r="Z71">
        <v>0</v>
      </c>
      <c r="AA71" t="b">
        <f t="shared" si="9"/>
        <v>1</v>
      </c>
      <c r="AB71">
        <v>0</v>
      </c>
      <c r="AC71">
        <v>0</v>
      </c>
      <c r="AD71" t="b">
        <f t="shared" si="10"/>
        <v>1</v>
      </c>
      <c r="AE71">
        <v>0</v>
      </c>
      <c r="AF71">
        <v>0</v>
      </c>
      <c r="AG71" t="b">
        <f t="shared" si="11"/>
        <v>1</v>
      </c>
      <c r="AH71">
        <v>0</v>
      </c>
      <c r="AI71">
        <v>0</v>
      </c>
      <c r="AJ71" t="b">
        <v>1</v>
      </c>
      <c r="AK71">
        <v>3705921</v>
      </c>
      <c r="AL71">
        <v>3701171.45</v>
      </c>
      <c r="AM71">
        <v>0</v>
      </c>
      <c r="AN71">
        <v>0</v>
      </c>
    </row>
    <row r="72" spans="1:40">
      <c r="A72">
        <v>45758</v>
      </c>
      <c r="B72" t="s">
        <v>35</v>
      </c>
      <c r="C72" t="s">
        <v>169</v>
      </c>
      <c r="D72" t="s">
        <v>222</v>
      </c>
      <c r="E72" t="s">
        <v>223</v>
      </c>
      <c r="F72" t="s">
        <v>224</v>
      </c>
      <c r="G72">
        <v>644498</v>
      </c>
      <c r="H72">
        <v>644498</v>
      </c>
      <c r="I72" t="b">
        <v>1</v>
      </c>
      <c r="J72">
        <v>0</v>
      </c>
      <c r="K72">
        <v>644498</v>
      </c>
      <c r="L72" t="b">
        <v>0</v>
      </c>
      <c r="M72">
        <v>0</v>
      </c>
      <c r="N72">
        <v>0</v>
      </c>
      <c r="O72" t="b">
        <f t="shared" si="6"/>
        <v>1</v>
      </c>
      <c r="P72">
        <v>0</v>
      </c>
      <c r="Q72">
        <v>0</v>
      </c>
      <c r="R72" t="b">
        <v>1</v>
      </c>
      <c r="S72">
        <v>0</v>
      </c>
      <c r="T72">
        <v>644498</v>
      </c>
      <c r="U72" t="b">
        <f t="shared" si="7"/>
        <v>0</v>
      </c>
      <c r="V72">
        <v>560310</v>
      </c>
      <c r="W72">
        <v>561491</v>
      </c>
      <c r="X72" t="b">
        <f t="shared" si="8"/>
        <v>0</v>
      </c>
      <c r="Y72">
        <v>75591</v>
      </c>
      <c r="Z72">
        <v>75591</v>
      </c>
      <c r="AA72" t="b">
        <f t="shared" si="9"/>
        <v>1</v>
      </c>
      <c r="AB72">
        <v>485900</v>
      </c>
      <c r="AC72">
        <v>485900</v>
      </c>
      <c r="AD72" t="b">
        <f t="shared" si="10"/>
        <v>1</v>
      </c>
      <c r="AE72">
        <v>0</v>
      </c>
      <c r="AF72">
        <v>0</v>
      </c>
      <c r="AG72" t="b">
        <f t="shared" si="11"/>
        <v>1</v>
      </c>
      <c r="AH72">
        <v>561491</v>
      </c>
      <c r="AI72">
        <v>561491</v>
      </c>
      <c r="AJ72" t="b">
        <v>1</v>
      </c>
      <c r="AK72">
        <v>84188</v>
      </c>
      <c r="AL72">
        <v>83007</v>
      </c>
      <c r="AM72">
        <v>561491</v>
      </c>
      <c r="AN72">
        <v>83007</v>
      </c>
    </row>
    <row r="73" spans="1:40">
      <c r="A73">
        <v>45758</v>
      </c>
      <c r="B73" t="s">
        <v>78</v>
      </c>
      <c r="C73" t="s">
        <v>169</v>
      </c>
      <c r="D73" t="s">
        <v>225</v>
      </c>
      <c r="E73" t="s">
        <v>226</v>
      </c>
      <c r="F73" t="s">
        <v>227</v>
      </c>
      <c r="G73">
        <v>16125</v>
      </c>
      <c r="H73">
        <v>16125</v>
      </c>
      <c r="I73" t="b">
        <v>1</v>
      </c>
      <c r="J73">
        <v>16125</v>
      </c>
      <c r="K73">
        <v>16125</v>
      </c>
      <c r="L73" t="b">
        <v>1</v>
      </c>
      <c r="M73">
        <v>0</v>
      </c>
      <c r="N73">
        <v>0</v>
      </c>
      <c r="O73" t="b">
        <f t="shared" si="6"/>
        <v>1</v>
      </c>
      <c r="P73">
        <v>0</v>
      </c>
      <c r="Q73">
        <v>0</v>
      </c>
      <c r="R73" t="b">
        <v>1</v>
      </c>
      <c r="S73">
        <v>16125</v>
      </c>
      <c r="T73">
        <v>16125</v>
      </c>
      <c r="U73" t="b">
        <f t="shared" si="7"/>
        <v>1</v>
      </c>
      <c r="V73">
        <v>15150</v>
      </c>
      <c r="W73">
        <v>15150</v>
      </c>
      <c r="X73" t="b">
        <f t="shared" si="8"/>
        <v>1</v>
      </c>
      <c r="Y73">
        <v>15150</v>
      </c>
      <c r="Z73">
        <v>15150</v>
      </c>
      <c r="AA73" t="b">
        <f t="shared" si="9"/>
        <v>1</v>
      </c>
      <c r="AB73">
        <v>0</v>
      </c>
      <c r="AC73">
        <v>0</v>
      </c>
      <c r="AD73" t="b">
        <f t="shared" si="10"/>
        <v>1</v>
      </c>
      <c r="AE73">
        <v>0</v>
      </c>
      <c r="AF73">
        <v>0</v>
      </c>
      <c r="AG73" t="b">
        <f t="shared" si="11"/>
        <v>1</v>
      </c>
      <c r="AH73">
        <v>15150</v>
      </c>
      <c r="AI73">
        <v>15150</v>
      </c>
      <c r="AJ73" t="b">
        <v>1</v>
      </c>
      <c r="AK73">
        <v>975</v>
      </c>
      <c r="AL73">
        <v>975</v>
      </c>
      <c r="AM73">
        <v>975</v>
      </c>
      <c r="AN73">
        <v>975</v>
      </c>
    </row>
    <row r="74" spans="1:40">
      <c r="A74">
        <v>45758</v>
      </c>
      <c r="B74" t="s">
        <v>78</v>
      </c>
      <c r="C74" t="s">
        <v>169</v>
      </c>
      <c r="D74" t="s">
        <v>79</v>
      </c>
      <c r="E74" t="s">
        <v>228</v>
      </c>
      <c r="F74" t="s">
        <v>229</v>
      </c>
      <c r="G74">
        <v>268279</v>
      </c>
      <c r="H74">
        <v>268279</v>
      </c>
      <c r="I74" t="b">
        <v>1</v>
      </c>
      <c r="J74">
        <v>0</v>
      </c>
      <c r="K74">
        <v>0</v>
      </c>
      <c r="L74" t="b">
        <v>1</v>
      </c>
      <c r="M74">
        <v>268279</v>
      </c>
      <c r="N74">
        <v>268279</v>
      </c>
      <c r="O74" t="b">
        <f t="shared" si="6"/>
        <v>1</v>
      </c>
      <c r="P74">
        <v>0</v>
      </c>
      <c r="Q74">
        <v>0</v>
      </c>
      <c r="R74" t="b">
        <v>1</v>
      </c>
      <c r="S74">
        <v>268279</v>
      </c>
      <c r="T74">
        <v>268279</v>
      </c>
      <c r="U74" t="b">
        <f t="shared" si="7"/>
        <v>1</v>
      </c>
      <c r="V74">
        <v>241305</v>
      </c>
      <c r="W74">
        <v>241305</v>
      </c>
      <c r="X74" t="b">
        <f t="shared" si="8"/>
        <v>1</v>
      </c>
      <c r="Y74">
        <v>205805</v>
      </c>
      <c r="Z74">
        <v>241305</v>
      </c>
      <c r="AA74" t="b">
        <f t="shared" si="9"/>
        <v>0</v>
      </c>
      <c r="AB74">
        <v>0</v>
      </c>
      <c r="AC74">
        <v>0</v>
      </c>
      <c r="AD74" t="b">
        <f t="shared" si="10"/>
        <v>1</v>
      </c>
      <c r="AE74">
        <v>0</v>
      </c>
      <c r="AF74">
        <v>0</v>
      </c>
      <c r="AG74" t="b">
        <f t="shared" si="11"/>
        <v>1</v>
      </c>
      <c r="AH74">
        <v>205805</v>
      </c>
      <c r="AI74">
        <v>241305</v>
      </c>
      <c r="AJ74" t="b">
        <v>0</v>
      </c>
      <c r="AK74">
        <v>26974</v>
      </c>
      <c r="AL74">
        <v>26974</v>
      </c>
      <c r="AM74">
        <v>62474</v>
      </c>
      <c r="AN74">
        <v>26974</v>
      </c>
    </row>
    <row r="75" spans="1:40">
      <c r="A75">
        <v>45758</v>
      </c>
      <c r="B75" t="s">
        <v>30</v>
      </c>
      <c r="C75" t="s">
        <v>176</v>
      </c>
      <c r="D75" t="s">
        <v>198</v>
      </c>
      <c r="E75" t="s">
        <v>230</v>
      </c>
      <c r="F75" t="s">
        <v>231</v>
      </c>
      <c r="G75">
        <v>0</v>
      </c>
      <c r="H75">
        <v>2580160</v>
      </c>
      <c r="I75" t="b">
        <v>0</v>
      </c>
      <c r="J75">
        <v>0</v>
      </c>
      <c r="K75">
        <v>0</v>
      </c>
      <c r="L75" t="b">
        <v>1</v>
      </c>
      <c r="M75">
        <v>0</v>
      </c>
      <c r="N75">
        <v>0</v>
      </c>
      <c r="O75" t="b">
        <f t="shared" si="6"/>
        <v>1</v>
      </c>
      <c r="P75">
        <v>0</v>
      </c>
      <c r="Q75">
        <v>0</v>
      </c>
      <c r="R75" t="b">
        <v>1</v>
      </c>
      <c r="S75">
        <v>0</v>
      </c>
      <c r="T75">
        <v>0</v>
      </c>
      <c r="U75" t="b">
        <f t="shared" si="7"/>
        <v>1</v>
      </c>
      <c r="V75">
        <v>850000</v>
      </c>
      <c r="W75">
        <v>850000</v>
      </c>
      <c r="X75" t="b">
        <f t="shared" si="8"/>
        <v>1</v>
      </c>
      <c r="Y75">
        <v>850000</v>
      </c>
      <c r="Z75">
        <v>850000</v>
      </c>
      <c r="AA75" t="b">
        <f t="shared" si="9"/>
        <v>1</v>
      </c>
      <c r="AB75">
        <v>850000</v>
      </c>
      <c r="AC75">
        <v>850000</v>
      </c>
      <c r="AD75" t="b">
        <f t="shared" si="10"/>
        <v>1</v>
      </c>
      <c r="AE75">
        <v>0</v>
      </c>
      <c r="AF75">
        <v>0</v>
      </c>
      <c r="AG75" t="b">
        <f t="shared" si="11"/>
        <v>1</v>
      </c>
      <c r="AH75">
        <v>0</v>
      </c>
      <c r="AI75">
        <v>0</v>
      </c>
      <c r="AJ75" t="b">
        <v>1</v>
      </c>
      <c r="AK75">
        <v>850000</v>
      </c>
      <c r="AL75">
        <v>1730160</v>
      </c>
      <c r="AM75">
        <v>0</v>
      </c>
      <c r="AN75">
        <v>0</v>
      </c>
    </row>
    <row r="76" spans="1:40">
      <c r="A76">
        <v>45758</v>
      </c>
      <c r="B76" t="s">
        <v>30</v>
      </c>
      <c r="C76" t="s">
        <v>176</v>
      </c>
      <c r="D76" t="s">
        <v>96</v>
      </c>
      <c r="E76" t="s">
        <v>232</v>
      </c>
      <c r="F76" t="s">
        <v>233</v>
      </c>
      <c r="G76">
        <v>1022599</v>
      </c>
      <c r="H76">
        <v>1022599</v>
      </c>
      <c r="I76" t="b">
        <v>1</v>
      </c>
      <c r="J76">
        <v>0</v>
      </c>
      <c r="K76">
        <v>0</v>
      </c>
      <c r="L76" t="b">
        <v>1</v>
      </c>
      <c r="M76">
        <v>1022599</v>
      </c>
      <c r="N76">
        <v>1022599</v>
      </c>
      <c r="O76" t="b">
        <f t="shared" si="6"/>
        <v>1</v>
      </c>
      <c r="P76">
        <v>0</v>
      </c>
      <c r="Q76">
        <v>0</v>
      </c>
      <c r="R76" t="b">
        <v>1</v>
      </c>
      <c r="S76">
        <v>1022599</v>
      </c>
      <c r="T76">
        <v>1022599</v>
      </c>
      <c r="U76" t="b">
        <f t="shared" si="7"/>
        <v>1</v>
      </c>
      <c r="V76">
        <v>511685</v>
      </c>
      <c r="W76">
        <v>551803</v>
      </c>
      <c r="X76" t="b">
        <f t="shared" si="8"/>
        <v>0</v>
      </c>
      <c r="Y76">
        <v>536803</v>
      </c>
      <c r="Z76">
        <v>536803</v>
      </c>
      <c r="AA76" t="b">
        <f t="shared" si="9"/>
        <v>1</v>
      </c>
      <c r="AB76">
        <v>185197</v>
      </c>
      <c r="AC76">
        <v>185197</v>
      </c>
      <c r="AD76" t="b">
        <f t="shared" si="10"/>
        <v>1</v>
      </c>
      <c r="AE76">
        <v>0</v>
      </c>
      <c r="AF76">
        <v>0</v>
      </c>
      <c r="AG76" t="b">
        <f t="shared" si="11"/>
        <v>1</v>
      </c>
      <c r="AH76">
        <v>722000</v>
      </c>
      <c r="AI76">
        <v>722000</v>
      </c>
      <c r="AJ76" t="b">
        <v>1</v>
      </c>
      <c r="AK76">
        <v>510914</v>
      </c>
      <c r="AL76">
        <v>470796</v>
      </c>
      <c r="AM76">
        <v>300599</v>
      </c>
      <c r="AN76">
        <v>300599</v>
      </c>
    </row>
    <row r="77" spans="1:40">
      <c r="A77">
        <v>45758</v>
      </c>
      <c r="B77" t="s">
        <v>45</v>
      </c>
      <c r="C77" t="s">
        <v>191</v>
      </c>
      <c r="D77" t="s">
        <v>234</v>
      </c>
      <c r="E77" t="s">
        <v>235</v>
      </c>
      <c r="F77" t="s">
        <v>236</v>
      </c>
      <c r="G77">
        <v>13936040</v>
      </c>
      <c r="H77">
        <v>10725200</v>
      </c>
      <c r="I77" t="b">
        <v>0</v>
      </c>
      <c r="J77">
        <v>0</v>
      </c>
      <c r="K77">
        <v>0</v>
      </c>
      <c r="L77" t="b">
        <v>1</v>
      </c>
      <c r="M77">
        <v>0</v>
      </c>
      <c r="N77">
        <v>0</v>
      </c>
      <c r="O77" t="b">
        <f t="shared" si="6"/>
        <v>1</v>
      </c>
      <c r="P77">
        <v>0</v>
      </c>
      <c r="Q77">
        <v>0</v>
      </c>
      <c r="R77" t="b">
        <v>1</v>
      </c>
      <c r="S77">
        <v>0</v>
      </c>
      <c r="T77">
        <v>0</v>
      </c>
      <c r="U77" t="b">
        <f t="shared" si="7"/>
        <v>1</v>
      </c>
      <c r="V77">
        <v>3483000</v>
      </c>
      <c r="W77">
        <v>3483000</v>
      </c>
      <c r="X77" t="b">
        <f t="shared" si="8"/>
        <v>1</v>
      </c>
      <c r="Y77">
        <v>0</v>
      </c>
      <c r="Z77">
        <v>0</v>
      </c>
      <c r="AA77" t="b">
        <f t="shared" si="9"/>
        <v>1</v>
      </c>
      <c r="AB77">
        <v>0</v>
      </c>
      <c r="AC77">
        <v>0</v>
      </c>
      <c r="AD77" t="b">
        <f t="shared" si="10"/>
        <v>1</v>
      </c>
      <c r="AE77">
        <v>0</v>
      </c>
      <c r="AF77">
        <v>0</v>
      </c>
      <c r="AG77" t="b">
        <f t="shared" si="11"/>
        <v>1</v>
      </c>
      <c r="AH77">
        <v>0</v>
      </c>
      <c r="AI77">
        <v>0</v>
      </c>
      <c r="AJ77" t="b">
        <v>1</v>
      </c>
      <c r="AK77">
        <v>10453040</v>
      </c>
      <c r="AL77">
        <v>7242200</v>
      </c>
      <c r="AM77">
        <v>0</v>
      </c>
      <c r="AN77">
        <v>0</v>
      </c>
    </row>
    <row r="78" spans="1:40">
      <c r="A78">
        <v>45758</v>
      </c>
      <c r="B78" t="s">
        <v>45</v>
      </c>
      <c r="C78" t="s">
        <v>191</v>
      </c>
      <c r="D78" t="s">
        <v>130</v>
      </c>
      <c r="E78" t="s">
        <v>237</v>
      </c>
      <c r="F78" t="s">
        <v>238</v>
      </c>
      <c r="G78">
        <v>1456000</v>
      </c>
      <c r="H78">
        <v>1456000</v>
      </c>
      <c r="I78" t="b">
        <v>1</v>
      </c>
      <c r="J78">
        <v>1456000</v>
      </c>
      <c r="K78">
        <v>1456000</v>
      </c>
      <c r="L78" t="b">
        <v>1</v>
      </c>
      <c r="M78">
        <v>0</v>
      </c>
      <c r="N78">
        <v>0</v>
      </c>
      <c r="O78" t="b">
        <f t="shared" si="6"/>
        <v>1</v>
      </c>
      <c r="P78">
        <v>0</v>
      </c>
      <c r="Q78">
        <v>0</v>
      </c>
      <c r="R78" t="b">
        <v>1</v>
      </c>
      <c r="S78">
        <v>1456000</v>
      </c>
      <c r="T78">
        <v>1456000</v>
      </c>
      <c r="U78" t="b">
        <f t="shared" si="7"/>
        <v>1</v>
      </c>
      <c r="V78">
        <v>120826.06</v>
      </c>
      <c r="W78">
        <v>620826.06</v>
      </c>
      <c r="X78" t="b">
        <f t="shared" si="8"/>
        <v>0</v>
      </c>
      <c r="Y78">
        <v>120826.06</v>
      </c>
      <c r="Z78">
        <v>620826.06</v>
      </c>
      <c r="AA78" t="b">
        <f t="shared" si="9"/>
        <v>0</v>
      </c>
      <c r="AB78">
        <v>129173.94</v>
      </c>
      <c r="AC78">
        <v>129173.94</v>
      </c>
      <c r="AD78" t="b">
        <f t="shared" si="10"/>
        <v>1</v>
      </c>
      <c r="AE78">
        <v>0</v>
      </c>
      <c r="AF78">
        <v>0</v>
      </c>
      <c r="AG78" t="b">
        <f t="shared" si="11"/>
        <v>1</v>
      </c>
      <c r="AH78">
        <v>250000</v>
      </c>
      <c r="AI78">
        <v>750000</v>
      </c>
      <c r="AJ78" t="b">
        <v>0</v>
      </c>
      <c r="AK78">
        <v>1335173.94</v>
      </c>
      <c r="AL78">
        <v>835173.94</v>
      </c>
      <c r="AM78">
        <v>1206000</v>
      </c>
      <c r="AN78">
        <v>706000</v>
      </c>
    </row>
    <row r="79" spans="1:40">
      <c r="A79">
        <v>45758</v>
      </c>
      <c r="B79" t="s">
        <v>45</v>
      </c>
      <c r="C79" t="s">
        <v>191</v>
      </c>
      <c r="D79" t="s">
        <v>234</v>
      </c>
      <c r="E79" t="s">
        <v>239</v>
      </c>
      <c r="F79" t="s">
        <v>240</v>
      </c>
      <c r="G79">
        <v>11903320</v>
      </c>
      <c r="H79">
        <v>11903320</v>
      </c>
      <c r="I79" t="b">
        <v>1</v>
      </c>
      <c r="J79">
        <v>0</v>
      </c>
      <c r="K79">
        <v>0</v>
      </c>
      <c r="L79" t="b">
        <v>1</v>
      </c>
      <c r="M79">
        <v>0</v>
      </c>
      <c r="N79">
        <v>0</v>
      </c>
      <c r="O79" t="b">
        <f t="shared" si="6"/>
        <v>1</v>
      </c>
      <c r="P79">
        <v>0</v>
      </c>
      <c r="Q79">
        <v>0</v>
      </c>
      <c r="R79" t="b">
        <v>1</v>
      </c>
      <c r="S79">
        <v>0</v>
      </c>
      <c r="T79">
        <v>0</v>
      </c>
      <c r="U79" t="b">
        <f t="shared" si="7"/>
        <v>1</v>
      </c>
      <c r="V79">
        <v>2955196</v>
      </c>
      <c r="W79">
        <v>2955196</v>
      </c>
      <c r="X79" t="b">
        <f t="shared" si="8"/>
        <v>1</v>
      </c>
      <c r="Y79">
        <v>0</v>
      </c>
      <c r="Z79">
        <v>0</v>
      </c>
      <c r="AA79" t="b">
        <f t="shared" si="9"/>
        <v>1</v>
      </c>
      <c r="AB79">
        <v>0</v>
      </c>
      <c r="AC79">
        <v>0</v>
      </c>
      <c r="AD79" t="b">
        <f t="shared" si="10"/>
        <v>1</v>
      </c>
      <c r="AE79">
        <v>0</v>
      </c>
      <c r="AF79">
        <v>0</v>
      </c>
      <c r="AG79" t="b">
        <f t="shared" si="11"/>
        <v>1</v>
      </c>
      <c r="AH79">
        <v>0</v>
      </c>
      <c r="AI79">
        <v>0</v>
      </c>
      <c r="AJ79" t="b">
        <v>1</v>
      </c>
      <c r="AK79">
        <v>8948124</v>
      </c>
      <c r="AL79">
        <v>8948124</v>
      </c>
      <c r="AM79">
        <v>0</v>
      </c>
      <c r="AN79">
        <v>0</v>
      </c>
    </row>
    <row r="80" spans="1:40">
      <c r="A80">
        <v>45758</v>
      </c>
      <c r="B80" t="s">
        <v>35</v>
      </c>
      <c r="C80" t="s">
        <v>169</v>
      </c>
      <c r="D80" t="s">
        <v>55</v>
      </c>
      <c r="E80" t="s">
        <v>241</v>
      </c>
      <c r="F80" t="s">
        <v>242</v>
      </c>
      <c r="G80">
        <v>34100</v>
      </c>
      <c r="H80">
        <v>34100</v>
      </c>
      <c r="I80" t="b">
        <v>1</v>
      </c>
      <c r="J80">
        <v>34100</v>
      </c>
      <c r="K80">
        <v>34100</v>
      </c>
      <c r="L80" t="b">
        <v>1</v>
      </c>
      <c r="M80">
        <v>0</v>
      </c>
      <c r="N80">
        <v>0</v>
      </c>
      <c r="O80" t="b">
        <f t="shared" si="6"/>
        <v>1</v>
      </c>
      <c r="P80">
        <v>0</v>
      </c>
      <c r="Q80">
        <v>0</v>
      </c>
      <c r="R80" t="b">
        <v>1</v>
      </c>
      <c r="S80">
        <v>34100</v>
      </c>
      <c r="T80">
        <v>34100</v>
      </c>
      <c r="U80" t="b">
        <f t="shared" si="7"/>
        <v>1</v>
      </c>
      <c r="V80">
        <v>0</v>
      </c>
      <c r="W80">
        <v>0</v>
      </c>
      <c r="X80" t="b">
        <f t="shared" si="8"/>
        <v>1</v>
      </c>
      <c r="Y80">
        <v>0</v>
      </c>
      <c r="Z80">
        <v>0</v>
      </c>
      <c r="AA80" t="b">
        <f t="shared" si="9"/>
        <v>1</v>
      </c>
      <c r="AB80">
        <v>23000</v>
      </c>
      <c r="AC80">
        <v>23000</v>
      </c>
      <c r="AD80" t="b">
        <f t="shared" si="10"/>
        <v>1</v>
      </c>
      <c r="AE80">
        <v>0</v>
      </c>
      <c r="AF80">
        <v>0</v>
      </c>
      <c r="AG80" t="b">
        <f t="shared" si="11"/>
        <v>1</v>
      </c>
      <c r="AH80">
        <v>23000</v>
      </c>
      <c r="AI80">
        <v>23000</v>
      </c>
      <c r="AJ80" t="b">
        <v>1</v>
      </c>
      <c r="AK80">
        <v>34100</v>
      </c>
      <c r="AL80">
        <v>34100</v>
      </c>
      <c r="AM80">
        <v>11100</v>
      </c>
      <c r="AN80">
        <v>11100</v>
      </c>
    </row>
    <row r="81" spans="1:40">
      <c r="A81">
        <v>45758</v>
      </c>
      <c r="B81" t="s">
        <v>30</v>
      </c>
      <c r="C81" t="s">
        <v>176</v>
      </c>
      <c r="D81" t="s">
        <v>206</v>
      </c>
      <c r="E81" t="s">
        <v>243</v>
      </c>
      <c r="F81" t="s">
        <v>244</v>
      </c>
      <c r="G81">
        <v>29835</v>
      </c>
      <c r="H81">
        <v>29835</v>
      </c>
      <c r="I81" t="b">
        <v>1</v>
      </c>
      <c r="J81">
        <v>29835</v>
      </c>
      <c r="K81">
        <v>29835</v>
      </c>
      <c r="L81" t="b">
        <v>1</v>
      </c>
      <c r="M81">
        <v>0</v>
      </c>
      <c r="N81">
        <v>0</v>
      </c>
      <c r="O81" t="b">
        <f t="shared" si="6"/>
        <v>1</v>
      </c>
      <c r="P81">
        <v>0</v>
      </c>
      <c r="Q81">
        <v>0</v>
      </c>
      <c r="R81" t="b">
        <v>1</v>
      </c>
      <c r="S81">
        <v>29835</v>
      </c>
      <c r="T81">
        <v>29835</v>
      </c>
      <c r="U81" t="b">
        <f t="shared" si="7"/>
        <v>1</v>
      </c>
      <c r="V81">
        <v>0</v>
      </c>
      <c r="W81">
        <v>0</v>
      </c>
      <c r="X81" t="b">
        <f t="shared" si="8"/>
        <v>1</v>
      </c>
      <c r="Y81">
        <v>0</v>
      </c>
      <c r="Z81">
        <v>0</v>
      </c>
      <c r="AA81" t="b">
        <f t="shared" si="9"/>
        <v>1</v>
      </c>
      <c r="AB81">
        <v>23270</v>
      </c>
      <c r="AC81">
        <v>23270</v>
      </c>
      <c r="AD81" t="b">
        <f t="shared" si="10"/>
        <v>1</v>
      </c>
      <c r="AE81">
        <v>0</v>
      </c>
      <c r="AF81">
        <v>0</v>
      </c>
      <c r="AG81" t="b">
        <f t="shared" si="11"/>
        <v>1</v>
      </c>
      <c r="AH81">
        <v>23270</v>
      </c>
      <c r="AI81">
        <v>23270</v>
      </c>
      <c r="AJ81" t="b">
        <v>1</v>
      </c>
      <c r="AK81">
        <v>29835</v>
      </c>
      <c r="AL81">
        <v>29835</v>
      </c>
      <c r="AM81">
        <v>6565</v>
      </c>
      <c r="AN81">
        <v>6565</v>
      </c>
    </row>
    <row r="82" spans="1:40">
      <c r="A82">
        <v>45758</v>
      </c>
      <c r="B82" t="s">
        <v>30</v>
      </c>
      <c r="C82" t="s">
        <v>176</v>
      </c>
      <c r="D82" t="s">
        <v>203</v>
      </c>
      <c r="E82" t="s">
        <v>245</v>
      </c>
      <c r="F82" t="s">
        <v>246</v>
      </c>
      <c r="G82">
        <v>6496</v>
      </c>
      <c r="H82">
        <v>6496</v>
      </c>
      <c r="I82" t="b">
        <v>1</v>
      </c>
      <c r="J82">
        <v>6496</v>
      </c>
      <c r="K82">
        <v>6496</v>
      </c>
      <c r="L82" t="b">
        <v>1</v>
      </c>
      <c r="M82">
        <v>0</v>
      </c>
      <c r="N82">
        <v>0</v>
      </c>
      <c r="O82" t="b">
        <f t="shared" si="6"/>
        <v>1</v>
      </c>
      <c r="P82">
        <v>0</v>
      </c>
      <c r="Q82">
        <v>0</v>
      </c>
      <c r="R82" t="b">
        <v>1</v>
      </c>
      <c r="S82">
        <v>6496</v>
      </c>
      <c r="T82">
        <v>6496</v>
      </c>
      <c r="U82" t="b">
        <f t="shared" si="7"/>
        <v>1</v>
      </c>
      <c r="V82">
        <v>2700</v>
      </c>
      <c r="W82">
        <v>3006</v>
      </c>
      <c r="X82" t="b">
        <f t="shared" si="8"/>
        <v>0</v>
      </c>
      <c r="Y82">
        <v>306</v>
      </c>
      <c r="Z82">
        <v>306</v>
      </c>
      <c r="AA82" t="b">
        <f t="shared" si="9"/>
        <v>1</v>
      </c>
      <c r="AB82">
        <v>4760.88</v>
      </c>
      <c r="AC82">
        <v>4760.88</v>
      </c>
      <c r="AD82" t="b">
        <f t="shared" si="10"/>
        <v>1</v>
      </c>
      <c r="AE82">
        <v>0</v>
      </c>
      <c r="AF82">
        <v>0</v>
      </c>
      <c r="AG82" t="b">
        <f t="shared" si="11"/>
        <v>1</v>
      </c>
      <c r="AH82">
        <v>5066.88</v>
      </c>
      <c r="AI82">
        <v>5066.88</v>
      </c>
      <c r="AJ82" t="b">
        <v>1</v>
      </c>
      <c r="AK82">
        <v>3796</v>
      </c>
      <c r="AL82">
        <v>3490</v>
      </c>
      <c r="AM82">
        <v>1429.12</v>
      </c>
      <c r="AN82">
        <v>1429.12</v>
      </c>
    </row>
    <row r="83" spans="1:40">
      <c r="A83">
        <v>45758</v>
      </c>
      <c r="B83" t="s">
        <v>30</v>
      </c>
      <c r="C83" t="s">
        <v>176</v>
      </c>
      <c r="D83" t="s">
        <v>247</v>
      </c>
      <c r="E83" t="s">
        <v>248</v>
      </c>
      <c r="F83" t="s">
        <v>249</v>
      </c>
      <c r="G83">
        <v>2600192</v>
      </c>
      <c r="H83">
        <v>2751197.6</v>
      </c>
      <c r="I83" t="b">
        <v>0</v>
      </c>
      <c r="J83">
        <v>0</v>
      </c>
      <c r="K83">
        <v>151005.6</v>
      </c>
      <c r="L83" t="b">
        <v>0</v>
      </c>
      <c r="M83">
        <v>3167429.4</v>
      </c>
      <c r="N83">
        <v>3167429.4</v>
      </c>
      <c r="O83" t="b">
        <f t="shared" si="6"/>
        <v>1</v>
      </c>
      <c r="P83">
        <v>0</v>
      </c>
      <c r="Q83">
        <v>0</v>
      </c>
      <c r="R83" t="b">
        <v>1</v>
      </c>
      <c r="S83">
        <v>3167429.4</v>
      </c>
      <c r="T83">
        <v>3318435</v>
      </c>
      <c r="U83" t="b">
        <f t="shared" si="7"/>
        <v>0</v>
      </c>
      <c r="V83">
        <v>1248960</v>
      </c>
      <c r="W83">
        <v>1256398</v>
      </c>
      <c r="X83" t="b">
        <f t="shared" si="8"/>
        <v>0</v>
      </c>
      <c r="Y83">
        <v>1120374</v>
      </c>
      <c r="Z83">
        <v>1120374</v>
      </c>
      <c r="AA83" t="b">
        <f t="shared" si="9"/>
        <v>1</v>
      </c>
      <c r="AB83">
        <v>1509376</v>
      </c>
      <c r="AC83">
        <v>1509376</v>
      </c>
      <c r="AD83" t="b">
        <f t="shared" si="10"/>
        <v>1</v>
      </c>
      <c r="AE83">
        <v>6872</v>
      </c>
      <c r="AF83">
        <v>6872</v>
      </c>
      <c r="AG83" t="b">
        <f t="shared" si="11"/>
        <v>1</v>
      </c>
      <c r="AH83">
        <v>2622878</v>
      </c>
      <c r="AI83">
        <v>2622878</v>
      </c>
      <c r="AJ83" t="b">
        <v>1</v>
      </c>
      <c r="AK83">
        <v>1351232</v>
      </c>
      <c r="AL83">
        <v>1494799.6</v>
      </c>
      <c r="AM83">
        <v>544551.4</v>
      </c>
      <c r="AN83">
        <v>695557</v>
      </c>
    </row>
    <row r="84" spans="1:40">
      <c r="A84">
        <v>45758</v>
      </c>
      <c r="B84" t="s">
        <v>30</v>
      </c>
      <c r="C84" t="s">
        <v>176</v>
      </c>
      <c r="D84" t="s">
        <v>85</v>
      </c>
      <c r="E84" t="s">
        <v>250</v>
      </c>
      <c r="F84" t="s">
        <v>251</v>
      </c>
      <c r="G84">
        <v>2728972.4</v>
      </c>
      <c r="H84">
        <v>2778994.9</v>
      </c>
      <c r="I84" t="b">
        <v>0</v>
      </c>
      <c r="J84">
        <v>2728972.4</v>
      </c>
      <c r="K84">
        <v>2728972.4</v>
      </c>
      <c r="L84" t="b">
        <v>1</v>
      </c>
      <c r="M84">
        <v>0</v>
      </c>
      <c r="N84">
        <v>0</v>
      </c>
      <c r="O84" t="b">
        <f t="shared" si="6"/>
        <v>1</v>
      </c>
      <c r="P84">
        <v>0</v>
      </c>
      <c r="Q84">
        <v>0</v>
      </c>
      <c r="R84" t="b">
        <v>1</v>
      </c>
      <c r="S84">
        <v>2728972.4</v>
      </c>
      <c r="T84">
        <v>2728972.4</v>
      </c>
      <c r="U84" t="b">
        <f t="shared" si="7"/>
        <v>1</v>
      </c>
      <c r="V84">
        <v>1768272.98</v>
      </c>
      <c r="W84">
        <v>2025813.57</v>
      </c>
      <c r="X84" t="b">
        <f t="shared" si="8"/>
        <v>0</v>
      </c>
      <c r="Y84">
        <v>1668833.57</v>
      </c>
      <c r="Z84">
        <v>1689013.57</v>
      </c>
      <c r="AA84" t="b">
        <f t="shared" si="9"/>
        <v>0</v>
      </c>
      <c r="AB84">
        <v>377517.83</v>
      </c>
      <c r="AC84">
        <v>377517.83</v>
      </c>
      <c r="AD84" t="b">
        <f t="shared" si="10"/>
        <v>1</v>
      </c>
      <c r="AE84">
        <v>0</v>
      </c>
      <c r="AF84">
        <v>0</v>
      </c>
      <c r="AG84" t="b">
        <f t="shared" si="11"/>
        <v>1</v>
      </c>
      <c r="AH84">
        <v>2046351.4</v>
      </c>
      <c r="AI84">
        <v>2066531.4</v>
      </c>
      <c r="AJ84" t="b">
        <v>0</v>
      </c>
      <c r="AK84">
        <v>960699.42</v>
      </c>
      <c r="AL84">
        <v>753181.33</v>
      </c>
      <c r="AM84">
        <v>682621</v>
      </c>
      <c r="AN84">
        <v>662441</v>
      </c>
    </row>
    <row r="85" spans="1:40">
      <c r="A85">
        <v>45758</v>
      </c>
      <c r="B85" t="s">
        <v>30</v>
      </c>
      <c r="C85" t="s">
        <v>176</v>
      </c>
      <c r="D85" t="s">
        <v>252</v>
      </c>
      <c r="E85" t="s">
        <v>253</v>
      </c>
      <c r="F85" t="s">
        <v>254</v>
      </c>
      <c r="G85">
        <v>138448</v>
      </c>
      <c r="H85">
        <v>138448</v>
      </c>
      <c r="I85" t="b">
        <v>1</v>
      </c>
      <c r="J85">
        <v>0</v>
      </c>
      <c r="K85">
        <v>0</v>
      </c>
      <c r="L85" t="b">
        <v>1</v>
      </c>
      <c r="M85">
        <v>138448</v>
      </c>
      <c r="N85">
        <v>138448</v>
      </c>
      <c r="O85" t="b">
        <f t="shared" si="6"/>
        <v>1</v>
      </c>
      <c r="P85">
        <v>0</v>
      </c>
      <c r="Q85">
        <v>0</v>
      </c>
      <c r="R85" t="b">
        <v>1</v>
      </c>
      <c r="S85">
        <v>138448</v>
      </c>
      <c r="T85">
        <v>138448</v>
      </c>
      <c r="U85" t="b">
        <f t="shared" si="7"/>
        <v>1</v>
      </c>
      <c r="V85">
        <v>43200</v>
      </c>
      <c r="W85">
        <v>43200</v>
      </c>
      <c r="X85" t="b">
        <f t="shared" si="8"/>
        <v>1</v>
      </c>
      <c r="Y85">
        <v>43200</v>
      </c>
      <c r="Z85">
        <v>43200</v>
      </c>
      <c r="AA85" t="b">
        <f t="shared" si="9"/>
        <v>1</v>
      </c>
      <c r="AB85">
        <v>45248</v>
      </c>
      <c r="AC85">
        <v>45248</v>
      </c>
      <c r="AD85" t="b">
        <f t="shared" si="10"/>
        <v>1</v>
      </c>
      <c r="AE85">
        <v>0</v>
      </c>
      <c r="AF85">
        <v>0</v>
      </c>
      <c r="AG85" t="b">
        <f t="shared" si="11"/>
        <v>1</v>
      </c>
      <c r="AH85">
        <v>88448</v>
      </c>
      <c r="AI85">
        <v>88448</v>
      </c>
      <c r="AJ85" t="b">
        <v>1</v>
      </c>
      <c r="AK85">
        <v>95248</v>
      </c>
      <c r="AL85">
        <v>95248</v>
      </c>
      <c r="AM85">
        <v>50000</v>
      </c>
      <c r="AN85">
        <v>50000</v>
      </c>
    </row>
    <row r="86" spans="1:40">
      <c r="A86">
        <v>45758</v>
      </c>
      <c r="B86" t="s">
        <v>30</v>
      </c>
      <c r="C86" t="s">
        <v>176</v>
      </c>
      <c r="D86" t="s">
        <v>255</v>
      </c>
      <c r="E86" t="s">
        <v>256</v>
      </c>
      <c r="F86" t="s">
        <v>257</v>
      </c>
      <c r="G86">
        <v>55000</v>
      </c>
      <c r="H86">
        <v>55000</v>
      </c>
      <c r="I86" t="b">
        <v>1</v>
      </c>
      <c r="J86">
        <v>55000</v>
      </c>
      <c r="K86">
        <v>55000</v>
      </c>
      <c r="L86" t="b">
        <v>1</v>
      </c>
      <c r="M86">
        <v>0</v>
      </c>
      <c r="N86">
        <v>0</v>
      </c>
      <c r="O86" t="b">
        <f t="shared" si="6"/>
        <v>1</v>
      </c>
      <c r="P86">
        <v>0</v>
      </c>
      <c r="Q86">
        <v>0</v>
      </c>
      <c r="R86" t="b">
        <v>1</v>
      </c>
      <c r="S86">
        <v>55000</v>
      </c>
      <c r="T86">
        <v>55000</v>
      </c>
      <c r="U86" t="b">
        <f t="shared" si="7"/>
        <v>1</v>
      </c>
      <c r="V86">
        <v>0</v>
      </c>
      <c r="W86">
        <v>9728.8</v>
      </c>
      <c r="X86" t="b">
        <f t="shared" si="8"/>
        <v>0</v>
      </c>
      <c r="Y86">
        <v>9728.8</v>
      </c>
      <c r="Z86">
        <v>9728.8</v>
      </c>
      <c r="AA86" t="b">
        <f t="shared" si="9"/>
        <v>1</v>
      </c>
      <c r="AB86">
        <v>0</v>
      </c>
      <c r="AC86">
        <v>0</v>
      </c>
      <c r="AD86" t="b">
        <f t="shared" si="10"/>
        <v>1</v>
      </c>
      <c r="AE86">
        <v>0</v>
      </c>
      <c r="AF86">
        <v>0</v>
      </c>
      <c r="AG86" t="b">
        <f t="shared" si="11"/>
        <v>1</v>
      </c>
      <c r="AH86">
        <v>9728.8</v>
      </c>
      <c r="AI86">
        <v>9728.8</v>
      </c>
      <c r="AJ86" t="b">
        <v>1</v>
      </c>
      <c r="AK86">
        <v>55000</v>
      </c>
      <c r="AL86">
        <v>45271.2</v>
      </c>
      <c r="AM86">
        <v>45271.2</v>
      </c>
      <c r="AN86">
        <v>45271.2</v>
      </c>
    </row>
    <row r="87" spans="1:40">
      <c r="A87">
        <v>45758</v>
      </c>
      <c r="B87" t="s">
        <v>30</v>
      </c>
      <c r="C87" t="s">
        <v>176</v>
      </c>
      <c r="D87" t="s">
        <v>151</v>
      </c>
      <c r="E87" t="s">
        <v>258</v>
      </c>
      <c r="F87" t="s">
        <v>259</v>
      </c>
      <c r="G87">
        <v>650000</v>
      </c>
      <c r="H87">
        <v>680000</v>
      </c>
      <c r="I87" t="b">
        <v>0</v>
      </c>
      <c r="J87">
        <v>0</v>
      </c>
      <c r="K87">
        <v>0</v>
      </c>
      <c r="L87" t="b">
        <v>1</v>
      </c>
      <c r="M87">
        <v>650000</v>
      </c>
      <c r="N87">
        <v>650000</v>
      </c>
      <c r="O87" t="b">
        <f t="shared" si="6"/>
        <v>1</v>
      </c>
      <c r="P87">
        <v>0</v>
      </c>
      <c r="Q87">
        <v>0</v>
      </c>
      <c r="R87" t="b">
        <v>1</v>
      </c>
      <c r="S87">
        <v>650000</v>
      </c>
      <c r="T87">
        <v>650000</v>
      </c>
      <c r="U87" t="b">
        <f t="shared" si="7"/>
        <v>1</v>
      </c>
      <c r="V87">
        <v>650000</v>
      </c>
      <c r="W87">
        <v>650000</v>
      </c>
      <c r="X87" t="b">
        <f t="shared" si="8"/>
        <v>1</v>
      </c>
      <c r="Y87">
        <v>650000</v>
      </c>
      <c r="Z87">
        <v>650000</v>
      </c>
      <c r="AA87" t="b">
        <f t="shared" si="9"/>
        <v>1</v>
      </c>
      <c r="AB87">
        <v>0</v>
      </c>
      <c r="AC87">
        <v>0</v>
      </c>
      <c r="AD87" t="b">
        <f t="shared" si="10"/>
        <v>1</v>
      </c>
      <c r="AE87">
        <v>0</v>
      </c>
      <c r="AF87">
        <v>0</v>
      </c>
      <c r="AG87" t="b">
        <f t="shared" si="11"/>
        <v>1</v>
      </c>
      <c r="AH87">
        <v>650000</v>
      </c>
      <c r="AI87">
        <v>650000</v>
      </c>
      <c r="AJ87" t="b">
        <v>1</v>
      </c>
      <c r="AK87">
        <v>0</v>
      </c>
      <c r="AL87">
        <v>30000</v>
      </c>
      <c r="AM87">
        <v>0</v>
      </c>
      <c r="AN87">
        <v>0</v>
      </c>
    </row>
    <row r="88" spans="1:40">
      <c r="A88">
        <v>45758</v>
      </c>
      <c r="B88" t="s">
        <v>30</v>
      </c>
      <c r="C88" t="s">
        <v>176</v>
      </c>
      <c r="D88" t="s">
        <v>96</v>
      </c>
      <c r="E88" t="s">
        <v>260</v>
      </c>
      <c r="F88" t="s">
        <v>261</v>
      </c>
      <c r="G88">
        <v>5333936</v>
      </c>
      <c r="H88">
        <v>10667872.81</v>
      </c>
      <c r="I88" t="b">
        <v>0</v>
      </c>
      <c r="J88">
        <v>5333936.81</v>
      </c>
      <c r="K88">
        <v>5333936.81</v>
      </c>
      <c r="L88" t="b">
        <v>1</v>
      </c>
      <c r="M88">
        <v>0</v>
      </c>
      <c r="N88">
        <v>0</v>
      </c>
      <c r="O88" t="b">
        <f t="shared" si="6"/>
        <v>1</v>
      </c>
      <c r="P88">
        <v>0</v>
      </c>
      <c r="Q88">
        <v>0</v>
      </c>
      <c r="R88" t="b">
        <v>1</v>
      </c>
      <c r="S88">
        <v>5333936.81</v>
      </c>
      <c r="T88">
        <v>5333936.81</v>
      </c>
      <c r="U88" t="b">
        <f t="shared" si="7"/>
        <v>1</v>
      </c>
      <c r="V88">
        <v>3147394</v>
      </c>
      <c r="W88">
        <v>3377971.05</v>
      </c>
      <c r="X88" t="b">
        <f t="shared" si="8"/>
        <v>0</v>
      </c>
      <c r="Y88">
        <v>2086639.61</v>
      </c>
      <c r="Z88">
        <v>2128089.05</v>
      </c>
      <c r="AA88" t="b">
        <f t="shared" si="9"/>
        <v>0</v>
      </c>
      <c r="AB88">
        <v>1705846.95</v>
      </c>
      <c r="AC88">
        <v>1705846.95</v>
      </c>
      <c r="AD88" t="b">
        <f t="shared" si="10"/>
        <v>1</v>
      </c>
      <c r="AE88">
        <v>0</v>
      </c>
      <c r="AF88">
        <v>0</v>
      </c>
      <c r="AG88" t="b">
        <f t="shared" si="11"/>
        <v>1</v>
      </c>
      <c r="AH88">
        <v>3792486.56</v>
      </c>
      <c r="AI88">
        <v>3833936</v>
      </c>
      <c r="AJ88" t="b">
        <v>0</v>
      </c>
      <c r="AK88">
        <v>2186542</v>
      </c>
      <c r="AL88">
        <v>7289901.76</v>
      </c>
      <c r="AM88">
        <v>1541450.25</v>
      </c>
      <c r="AN88">
        <v>1500000.81</v>
      </c>
    </row>
    <row r="89" spans="1:40">
      <c r="A89">
        <v>45758</v>
      </c>
      <c r="B89" t="s">
        <v>30</v>
      </c>
      <c r="C89" t="s">
        <v>176</v>
      </c>
      <c r="D89" t="s">
        <v>262</v>
      </c>
      <c r="E89" t="s">
        <v>263</v>
      </c>
      <c r="F89" t="s">
        <v>264</v>
      </c>
      <c r="G89">
        <v>771075</v>
      </c>
      <c r="H89">
        <v>771075</v>
      </c>
      <c r="I89" t="b">
        <v>1</v>
      </c>
      <c r="J89">
        <v>771075</v>
      </c>
      <c r="K89">
        <v>771075</v>
      </c>
      <c r="L89" t="b">
        <v>1</v>
      </c>
      <c r="M89">
        <v>0</v>
      </c>
      <c r="N89">
        <v>0</v>
      </c>
      <c r="O89" t="b">
        <f t="shared" si="6"/>
        <v>1</v>
      </c>
      <c r="P89">
        <v>0</v>
      </c>
      <c r="Q89">
        <v>0</v>
      </c>
      <c r="R89" t="b">
        <v>1</v>
      </c>
      <c r="S89">
        <v>771075</v>
      </c>
      <c r="T89">
        <v>771075</v>
      </c>
      <c r="U89" t="b">
        <f t="shared" si="7"/>
        <v>1</v>
      </c>
      <c r="V89">
        <v>398548</v>
      </c>
      <c r="W89">
        <v>488131.99</v>
      </c>
      <c r="X89" t="b">
        <f t="shared" si="8"/>
        <v>0</v>
      </c>
      <c r="Y89">
        <v>472583.99</v>
      </c>
      <c r="Z89">
        <v>472583.99</v>
      </c>
      <c r="AA89" t="b">
        <f t="shared" si="9"/>
        <v>1</v>
      </c>
      <c r="AB89">
        <v>38706.01</v>
      </c>
      <c r="AC89">
        <v>38706.01</v>
      </c>
      <c r="AD89" t="b">
        <f t="shared" si="10"/>
        <v>1</v>
      </c>
      <c r="AE89">
        <v>0</v>
      </c>
      <c r="AF89">
        <v>0</v>
      </c>
      <c r="AG89" t="b">
        <f t="shared" si="11"/>
        <v>1</v>
      </c>
      <c r="AH89">
        <v>511290</v>
      </c>
      <c r="AI89">
        <v>511290</v>
      </c>
      <c r="AJ89" t="b">
        <v>1</v>
      </c>
      <c r="AK89">
        <v>372527</v>
      </c>
      <c r="AL89">
        <v>282943.01</v>
      </c>
      <c r="AM89">
        <v>259785</v>
      </c>
      <c r="AN89">
        <v>259785</v>
      </c>
    </row>
    <row r="90" spans="1:40">
      <c r="A90">
        <v>45758</v>
      </c>
      <c r="B90" t="s">
        <v>30</v>
      </c>
      <c r="C90" t="s">
        <v>176</v>
      </c>
      <c r="D90" t="s">
        <v>252</v>
      </c>
      <c r="E90" t="s">
        <v>265</v>
      </c>
      <c r="F90" t="s">
        <v>266</v>
      </c>
      <c r="G90">
        <v>0</v>
      </c>
      <c r="H90">
        <v>835524</v>
      </c>
      <c r="I90" t="b">
        <v>0</v>
      </c>
      <c r="J90">
        <v>0</v>
      </c>
      <c r="K90">
        <v>0</v>
      </c>
      <c r="L90" t="b">
        <v>1</v>
      </c>
      <c r="M90">
        <v>835524</v>
      </c>
      <c r="N90">
        <v>835524</v>
      </c>
      <c r="O90" t="b">
        <f t="shared" si="6"/>
        <v>1</v>
      </c>
      <c r="P90">
        <v>0</v>
      </c>
      <c r="Q90">
        <v>0</v>
      </c>
      <c r="R90" t="b">
        <v>1</v>
      </c>
      <c r="S90">
        <v>835524</v>
      </c>
      <c r="T90">
        <v>835524</v>
      </c>
      <c r="U90" t="b">
        <f t="shared" si="7"/>
        <v>1</v>
      </c>
      <c r="V90">
        <v>236500</v>
      </c>
      <c r="W90">
        <v>258689.94</v>
      </c>
      <c r="X90" t="b">
        <f t="shared" si="8"/>
        <v>0</v>
      </c>
      <c r="Y90">
        <v>258689.94</v>
      </c>
      <c r="Z90">
        <v>258689.94</v>
      </c>
      <c r="AA90" t="b">
        <f t="shared" si="9"/>
        <v>1</v>
      </c>
      <c r="AB90">
        <v>176834.06</v>
      </c>
      <c r="AC90">
        <v>176834.06</v>
      </c>
      <c r="AD90" t="b">
        <f t="shared" si="10"/>
        <v>1</v>
      </c>
      <c r="AE90">
        <v>0</v>
      </c>
      <c r="AF90">
        <v>0</v>
      </c>
      <c r="AG90" t="b">
        <f t="shared" si="11"/>
        <v>1</v>
      </c>
      <c r="AH90">
        <v>435524</v>
      </c>
      <c r="AI90">
        <v>435524</v>
      </c>
      <c r="AJ90" t="b">
        <v>1</v>
      </c>
      <c r="AK90">
        <v>236500</v>
      </c>
      <c r="AL90">
        <v>576834.06</v>
      </c>
      <c r="AM90">
        <v>400000</v>
      </c>
      <c r="AN90">
        <v>400000</v>
      </c>
    </row>
    <row r="91" spans="1:40">
      <c r="A91">
        <v>45758</v>
      </c>
      <c r="B91" t="s">
        <v>78</v>
      </c>
      <c r="C91" t="s">
        <v>169</v>
      </c>
      <c r="D91" t="s">
        <v>267</v>
      </c>
      <c r="E91" t="s">
        <v>268</v>
      </c>
      <c r="F91" t="s">
        <v>269</v>
      </c>
      <c r="G91">
        <v>304656</v>
      </c>
      <c r="H91">
        <v>304656</v>
      </c>
      <c r="I91" t="b">
        <v>1</v>
      </c>
      <c r="J91">
        <v>0</v>
      </c>
      <c r="K91">
        <v>0</v>
      </c>
      <c r="L91" t="b">
        <v>1</v>
      </c>
      <c r="M91">
        <v>891616</v>
      </c>
      <c r="N91">
        <v>891616</v>
      </c>
      <c r="O91" t="b">
        <f t="shared" si="6"/>
        <v>1</v>
      </c>
      <c r="P91">
        <v>0</v>
      </c>
      <c r="Q91">
        <v>0</v>
      </c>
      <c r="R91" t="b">
        <v>1</v>
      </c>
      <c r="S91">
        <v>891616</v>
      </c>
      <c r="T91">
        <v>891616</v>
      </c>
      <c r="U91" t="b">
        <f t="shared" si="7"/>
        <v>1</v>
      </c>
      <c r="V91">
        <v>618138.76</v>
      </c>
      <c r="W91">
        <v>643704.03</v>
      </c>
      <c r="X91" t="b">
        <f t="shared" si="8"/>
        <v>0</v>
      </c>
      <c r="Y91">
        <v>640954.03</v>
      </c>
      <c r="Z91">
        <v>640954.03</v>
      </c>
      <c r="AA91" t="b">
        <f t="shared" si="9"/>
        <v>1</v>
      </c>
      <c r="AB91">
        <v>59045.97</v>
      </c>
      <c r="AC91">
        <v>59045.97</v>
      </c>
      <c r="AD91" t="b">
        <f t="shared" si="10"/>
        <v>1</v>
      </c>
      <c r="AE91">
        <v>0</v>
      </c>
      <c r="AF91">
        <v>0</v>
      </c>
      <c r="AG91" t="b">
        <f t="shared" si="11"/>
        <v>1</v>
      </c>
      <c r="AH91">
        <v>700000</v>
      </c>
      <c r="AI91">
        <v>700000</v>
      </c>
      <c r="AJ91" t="b">
        <v>1</v>
      </c>
      <c r="AK91">
        <v>313482.76</v>
      </c>
      <c r="AL91">
        <v>339048.03</v>
      </c>
      <c r="AM91">
        <v>191616</v>
      </c>
      <c r="AN91">
        <v>191616</v>
      </c>
    </row>
    <row r="92" spans="1:40">
      <c r="A92">
        <v>45758</v>
      </c>
      <c r="B92" t="s">
        <v>45</v>
      </c>
      <c r="C92" t="s">
        <v>191</v>
      </c>
      <c r="D92" t="s">
        <v>82</v>
      </c>
      <c r="E92" t="s">
        <v>270</v>
      </c>
      <c r="F92" t="s">
        <v>271</v>
      </c>
      <c r="G92">
        <v>2450000</v>
      </c>
      <c r="H92">
        <v>2450000</v>
      </c>
      <c r="I92" t="b">
        <v>1</v>
      </c>
      <c r="J92">
        <v>0</v>
      </c>
      <c r="K92">
        <v>0</v>
      </c>
      <c r="L92" t="b">
        <v>1</v>
      </c>
      <c r="M92">
        <v>832754</v>
      </c>
      <c r="N92">
        <v>832754</v>
      </c>
      <c r="O92" t="b">
        <f t="shared" si="6"/>
        <v>1</v>
      </c>
      <c r="P92">
        <v>0</v>
      </c>
      <c r="Q92">
        <v>0</v>
      </c>
      <c r="R92" t="b">
        <v>1</v>
      </c>
      <c r="S92">
        <v>832754</v>
      </c>
      <c r="T92">
        <v>832754</v>
      </c>
      <c r="U92" t="b">
        <f t="shared" si="7"/>
        <v>1</v>
      </c>
      <c r="V92">
        <v>62197.5</v>
      </c>
      <c r="W92">
        <v>63687.5</v>
      </c>
      <c r="X92" t="b">
        <f t="shared" si="8"/>
        <v>0</v>
      </c>
      <c r="Y92">
        <v>63687.5</v>
      </c>
      <c r="Z92">
        <v>63687.5</v>
      </c>
      <c r="AA92" t="b">
        <f t="shared" si="9"/>
        <v>1</v>
      </c>
      <c r="AB92">
        <v>569066.5</v>
      </c>
      <c r="AC92">
        <v>569066.5</v>
      </c>
      <c r="AD92" t="b">
        <f t="shared" si="10"/>
        <v>1</v>
      </c>
      <c r="AE92">
        <v>0</v>
      </c>
      <c r="AF92">
        <v>0</v>
      </c>
      <c r="AG92" t="b">
        <f t="shared" si="11"/>
        <v>1</v>
      </c>
      <c r="AH92">
        <v>632754</v>
      </c>
      <c r="AI92">
        <v>632754</v>
      </c>
      <c r="AJ92" t="b">
        <v>1</v>
      </c>
      <c r="AK92">
        <v>2387802.5</v>
      </c>
      <c r="AL92">
        <v>2386312.5</v>
      </c>
      <c r="AM92">
        <v>200000</v>
      </c>
      <c r="AN92">
        <v>200000</v>
      </c>
    </row>
    <row r="93" spans="1:40">
      <c r="A93">
        <v>45758</v>
      </c>
      <c r="B93" t="s">
        <v>45</v>
      </c>
      <c r="C93" t="s">
        <v>191</v>
      </c>
      <c r="D93" t="s">
        <v>64</v>
      </c>
      <c r="E93" t="s">
        <v>272</v>
      </c>
      <c r="F93" t="s">
        <v>273</v>
      </c>
      <c r="G93">
        <v>0</v>
      </c>
      <c r="H93">
        <v>0</v>
      </c>
      <c r="I93" t="b">
        <v>1</v>
      </c>
      <c r="J93">
        <v>2156689</v>
      </c>
      <c r="K93">
        <v>2156689</v>
      </c>
      <c r="L93" t="b">
        <v>1</v>
      </c>
      <c r="M93">
        <v>0</v>
      </c>
      <c r="N93">
        <v>0</v>
      </c>
      <c r="O93" t="b">
        <f t="shared" si="6"/>
        <v>1</v>
      </c>
      <c r="P93">
        <v>0</v>
      </c>
      <c r="Q93">
        <v>0</v>
      </c>
      <c r="R93" t="b">
        <v>1</v>
      </c>
      <c r="S93">
        <v>2156689</v>
      </c>
      <c r="T93">
        <v>2156689</v>
      </c>
      <c r="U93" t="b">
        <f t="shared" si="7"/>
        <v>1</v>
      </c>
      <c r="V93">
        <v>990189.76</v>
      </c>
      <c r="W93">
        <v>1038189.75</v>
      </c>
      <c r="X93" t="b">
        <f t="shared" si="8"/>
        <v>0</v>
      </c>
      <c r="Y93">
        <v>990189.76</v>
      </c>
      <c r="Z93">
        <v>1038189.75</v>
      </c>
      <c r="AA93" t="b">
        <f t="shared" si="9"/>
        <v>0</v>
      </c>
      <c r="AB93">
        <v>582989.25</v>
      </c>
      <c r="AC93">
        <v>582989.25</v>
      </c>
      <c r="AD93" t="b">
        <f t="shared" si="10"/>
        <v>1</v>
      </c>
      <c r="AE93">
        <v>0</v>
      </c>
      <c r="AF93">
        <v>0</v>
      </c>
      <c r="AG93" t="b">
        <f t="shared" si="11"/>
        <v>1</v>
      </c>
      <c r="AH93">
        <v>1573179.01</v>
      </c>
      <c r="AI93">
        <v>1621179</v>
      </c>
      <c r="AJ93" t="b">
        <v>0</v>
      </c>
      <c r="AK93">
        <v>990189.76</v>
      </c>
      <c r="AL93">
        <v>1038189.75</v>
      </c>
      <c r="AM93">
        <v>583509.99</v>
      </c>
      <c r="AN93">
        <v>535510</v>
      </c>
    </row>
    <row r="94" spans="1:40">
      <c r="A94">
        <v>45758</v>
      </c>
      <c r="B94" t="s">
        <v>35</v>
      </c>
      <c r="C94" t="s">
        <v>169</v>
      </c>
      <c r="D94" t="s">
        <v>55</v>
      </c>
      <c r="E94" t="s">
        <v>274</v>
      </c>
      <c r="F94" t="s">
        <v>275</v>
      </c>
      <c r="G94">
        <v>0</v>
      </c>
      <c r="H94">
        <v>0</v>
      </c>
      <c r="I94" t="b">
        <v>1</v>
      </c>
      <c r="J94">
        <v>0</v>
      </c>
      <c r="K94">
        <v>0</v>
      </c>
      <c r="L94" t="b">
        <v>1</v>
      </c>
      <c r="M94">
        <v>33583</v>
      </c>
      <c r="N94">
        <v>33583</v>
      </c>
      <c r="O94" t="b">
        <f t="shared" si="6"/>
        <v>1</v>
      </c>
      <c r="P94">
        <v>0</v>
      </c>
      <c r="Q94">
        <v>0</v>
      </c>
      <c r="R94" t="b">
        <v>1</v>
      </c>
      <c r="S94">
        <v>33583</v>
      </c>
      <c r="T94">
        <v>33583</v>
      </c>
      <c r="U94" t="b">
        <f t="shared" si="7"/>
        <v>1</v>
      </c>
      <c r="V94">
        <v>0</v>
      </c>
      <c r="W94">
        <v>1903</v>
      </c>
      <c r="X94" t="b">
        <f t="shared" si="8"/>
        <v>0</v>
      </c>
      <c r="Y94">
        <v>1903</v>
      </c>
      <c r="Z94">
        <v>1903</v>
      </c>
      <c r="AA94" t="b">
        <f t="shared" si="9"/>
        <v>1</v>
      </c>
      <c r="AB94">
        <v>20097</v>
      </c>
      <c r="AC94">
        <v>20097</v>
      </c>
      <c r="AD94" t="b">
        <f t="shared" si="10"/>
        <v>1</v>
      </c>
      <c r="AE94">
        <v>0</v>
      </c>
      <c r="AF94">
        <v>0</v>
      </c>
      <c r="AG94" t="b">
        <f t="shared" si="11"/>
        <v>1</v>
      </c>
      <c r="AH94">
        <v>22000</v>
      </c>
      <c r="AI94">
        <v>22000</v>
      </c>
      <c r="AJ94" t="b">
        <v>1</v>
      </c>
      <c r="AK94">
        <v>0</v>
      </c>
      <c r="AL94">
        <v>1903</v>
      </c>
      <c r="AM94">
        <v>11583</v>
      </c>
      <c r="AN94">
        <v>11583</v>
      </c>
    </row>
    <row r="95" spans="1:40">
      <c r="A95">
        <v>45758</v>
      </c>
      <c r="B95" t="s">
        <v>30</v>
      </c>
      <c r="C95" t="s">
        <v>176</v>
      </c>
      <c r="D95" t="s">
        <v>211</v>
      </c>
      <c r="E95" t="s">
        <v>276</v>
      </c>
      <c r="F95" t="s">
        <v>277</v>
      </c>
      <c r="G95">
        <v>0</v>
      </c>
      <c r="H95">
        <v>1721092.49</v>
      </c>
      <c r="I95" t="b">
        <v>0</v>
      </c>
      <c r="J95">
        <v>0</v>
      </c>
      <c r="K95">
        <v>1721092.49</v>
      </c>
      <c r="L95" t="b">
        <v>0</v>
      </c>
      <c r="M95">
        <v>0</v>
      </c>
      <c r="N95">
        <v>0</v>
      </c>
      <c r="O95" t="b">
        <f t="shared" si="6"/>
        <v>1</v>
      </c>
      <c r="P95">
        <v>0</v>
      </c>
      <c r="Q95">
        <v>0</v>
      </c>
      <c r="R95" t="b">
        <v>1</v>
      </c>
      <c r="S95">
        <v>0</v>
      </c>
      <c r="T95">
        <v>1721092.49</v>
      </c>
      <c r="U95" t="b">
        <f t="shared" si="7"/>
        <v>0</v>
      </c>
      <c r="V95">
        <v>1148205</v>
      </c>
      <c r="W95">
        <v>1181572</v>
      </c>
      <c r="X95" t="b">
        <f t="shared" si="8"/>
        <v>0</v>
      </c>
      <c r="Y95">
        <v>1178072</v>
      </c>
      <c r="Z95">
        <v>1181572</v>
      </c>
      <c r="AA95" t="b">
        <f t="shared" si="9"/>
        <v>0</v>
      </c>
      <c r="AB95">
        <v>318428</v>
      </c>
      <c r="AC95">
        <v>318428</v>
      </c>
      <c r="AD95" t="b">
        <f t="shared" si="10"/>
        <v>1</v>
      </c>
      <c r="AE95">
        <v>0</v>
      </c>
      <c r="AF95">
        <v>0</v>
      </c>
      <c r="AG95" t="b">
        <f t="shared" si="11"/>
        <v>1</v>
      </c>
      <c r="AH95">
        <v>1496500</v>
      </c>
      <c r="AI95">
        <v>1500000</v>
      </c>
      <c r="AJ95" t="b">
        <v>0</v>
      </c>
      <c r="AK95">
        <v>1148205</v>
      </c>
      <c r="AL95">
        <v>539520.49</v>
      </c>
      <c r="AM95">
        <v>1496500</v>
      </c>
      <c r="AN95">
        <v>221092.49</v>
      </c>
    </row>
    <row r="96" spans="1:40">
      <c r="A96">
        <v>45758</v>
      </c>
      <c r="B96" t="s">
        <v>78</v>
      </c>
      <c r="C96" t="s">
        <v>169</v>
      </c>
      <c r="D96" t="s">
        <v>278</v>
      </c>
      <c r="E96" t="s">
        <v>279</v>
      </c>
      <c r="F96" t="s">
        <v>280</v>
      </c>
      <c r="G96">
        <v>94071.96</v>
      </c>
      <c r="H96">
        <v>94072</v>
      </c>
      <c r="I96" t="b">
        <v>0</v>
      </c>
      <c r="J96">
        <v>94071.96</v>
      </c>
      <c r="K96">
        <v>94072</v>
      </c>
      <c r="L96" t="b">
        <v>0</v>
      </c>
      <c r="M96">
        <v>0</v>
      </c>
      <c r="N96">
        <v>0</v>
      </c>
      <c r="O96" t="b">
        <f t="shared" si="6"/>
        <v>1</v>
      </c>
      <c r="P96">
        <v>0</v>
      </c>
      <c r="Q96">
        <v>0</v>
      </c>
      <c r="R96" t="b">
        <v>1</v>
      </c>
      <c r="S96">
        <v>94071.96</v>
      </c>
      <c r="T96">
        <v>94072</v>
      </c>
      <c r="U96" t="b">
        <f t="shared" si="7"/>
        <v>0</v>
      </c>
      <c r="V96">
        <v>45000</v>
      </c>
      <c r="W96">
        <v>45000</v>
      </c>
      <c r="X96" t="b">
        <f t="shared" si="8"/>
        <v>1</v>
      </c>
      <c r="Y96">
        <v>36000</v>
      </c>
      <c r="Z96">
        <v>36000</v>
      </c>
      <c r="AA96" t="b">
        <f t="shared" si="9"/>
        <v>1</v>
      </c>
      <c r="AB96">
        <v>33072</v>
      </c>
      <c r="AC96">
        <v>33072</v>
      </c>
      <c r="AD96" t="b">
        <f t="shared" si="10"/>
        <v>1</v>
      </c>
      <c r="AE96">
        <v>0</v>
      </c>
      <c r="AF96">
        <v>0</v>
      </c>
      <c r="AG96" t="b">
        <f t="shared" si="11"/>
        <v>1</v>
      </c>
      <c r="AH96">
        <v>69072</v>
      </c>
      <c r="AI96">
        <v>69072</v>
      </c>
      <c r="AJ96" t="b">
        <v>1</v>
      </c>
      <c r="AK96">
        <v>49071.96</v>
      </c>
      <c r="AL96">
        <v>49072</v>
      </c>
      <c r="AM96">
        <v>24999.96</v>
      </c>
      <c r="AN96">
        <v>25000</v>
      </c>
    </row>
    <row r="97" spans="1:40">
      <c r="A97">
        <v>45758</v>
      </c>
      <c r="B97" t="s">
        <v>30</v>
      </c>
      <c r="C97" t="s">
        <v>176</v>
      </c>
      <c r="D97" t="s">
        <v>114</v>
      </c>
      <c r="E97" t="s">
        <v>281</v>
      </c>
      <c r="F97" t="s">
        <v>282</v>
      </c>
      <c r="G97">
        <v>375100</v>
      </c>
      <c r="H97">
        <v>342650</v>
      </c>
      <c r="I97" t="b">
        <v>0</v>
      </c>
      <c r="J97">
        <v>171050</v>
      </c>
      <c r="K97">
        <v>171050</v>
      </c>
      <c r="L97" t="b">
        <v>1</v>
      </c>
      <c r="M97">
        <v>0</v>
      </c>
      <c r="N97">
        <v>0</v>
      </c>
      <c r="O97" t="b">
        <f t="shared" si="6"/>
        <v>1</v>
      </c>
      <c r="P97">
        <v>0</v>
      </c>
      <c r="Q97">
        <v>0</v>
      </c>
      <c r="R97" t="b">
        <v>1</v>
      </c>
      <c r="S97">
        <v>171050</v>
      </c>
      <c r="T97">
        <v>171050</v>
      </c>
      <c r="U97" t="b">
        <f t="shared" si="7"/>
        <v>1</v>
      </c>
      <c r="V97">
        <v>46000</v>
      </c>
      <c r="W97">
        <v>46000</v>
      </c>
      <c r="X97" t="b">
        <f t="shared" si="8"/>
        <v>1</v>
      </c>
      <c r="Y97">
        <v>46000</v>
      </c>
      <c r="Z97">
        <v>46000</v>
      </c>
      <c r="AA97" t="b">
        <f t="shared" si="9"/>
        <v>1</v>
      </c>
      <c r="AB97">
        <v>48380</v>
      </c>
      <c r="AC97">
        <v>48380</v>
      </c>
      <c r="AD97" t="b">
        <f t="shared" si="10"/>
        <v>1</v>
      </c>
      <c r="AE97">
        <v>0</v>
      </c>
      <c r="AF97">
        <v>0</v>
      </c>
      <c r="AG97" t="b">
        <f t="shared" si="11"/>
        <v>1</v>
      </c>
      <c r="AH97">
        <v>94380</v>
      </c>
      <c r="AI97">
        <v>94380</v>
      </c>
      <c r="AJ97" t="b">
        <v>1</v>
      </c>
      <c r="AK97">
        <v>329100</v>
      </c>
      <c r="AL97">
        <v>296650</v>
      </c>
      <c r="AM97">
        <v>76670</v>
      </c>
      <c r="AN97">
        <v>76670</v>
      </c>
    </row>
    <row r="98" spans="1:40">
      <c r="A98">
        <v>45758</v>
      </c>
      <c r="B98" t="s">
        <v>30</v>
      </c>
      <c r="C98" t="s">
        <v>176</v>
      </c>
      <c r="D98" t="s">
        <v>255</v>
      </c>
      <c r="E98" t="s">
        <v>283</v>
      </c>
      <c r="F98" t="s">
        <v>284</v>
      </c>
      <c r="G98">
        <v>24145</v>
      </c>
      <c r="H98">
        <v>24145</v>
      </c>
      <c r="I98" t="b">
        <v>1</v>
      </c>
      <c r="J98">
        <v>24145</v>
      </c>
      <c r="K98">
        <v>24145</v>
      </c>
      <c r="L98" t="b">
        <v>1</v>
      </c>
      <c r="M98">
        <v>0</v>
      </c>
      <c r="N98">
        <v>0</v>
      </c>
      <c r="O98" t="b">
        <f t="shared" si="6"/>
        <v>1</v>
      </c>
      <c r="P98">
        <v>0</v>
      </c>
      <c r="Q98">
        <v>0</v>
      </c>
      <c r="R98" t="b">
        <v>1</v>
      </c>
      <c r="S98">
        <v>24145</v>
      </c>
      <c r="T98">
        <v>24145</v>
      </c>
      <c r="U98" t="b">
        <f t="shared" si="7"/>
        <v>1</v>
      </c>
      <c r="V98">
        <v>0</v>
      </c>
      <c r="W98">
        <v>3453.33</v>
      </c>
      <c r="X98" t="b">
        <f t="shared" si="8"/>
        <v>0</v>
      </c>
      <c r="Y98">
        <v>3453.33</v>
      </c>
      <c r="Z98">
        <v>3453.33</v>
      </c>
      <c r="AA98" t="b">
        <f t="shared" si="9"/>
        <v>1</v>
      </c>
      <c r="AB98">
        <v>14049.87</v>
      </c>
      <c r="AC98">
        <v>14049.87</v>
      </c>
      <c r="AD98" t="b">
        <f t="shared" si="10"/>
        <v>1</v>
      </c>
      <c r="AE98">
        <v>0</v>
      </c>
      <c r="AF98">
        <v>0</v>
      </c>
      <c r="AG98" t="b">
        <f t="shared" si="11"/>
        <v>1</v>
      </c>
      <c r="AH98">
        <v>17503.2</v>
      </c>
      <c r="AI98">
        <v>17503.2</v>
      </c>
      <c r="AJ98" t="b">
        <v>1</v>
      </c>
      <c r="AK98">
        <v>24145</v>
      </c>
      <c r="AL98">
        <v>20691.67</v>
      </c>
      <c r="AM98">
        <v>6641.8</v>
      </c>
      <c r="AN98">
        <v>6641.8</v>
      </c>
    </row>
    <row r="99" spans="1:40">
      <c r="A99">
        <v>45758</v>
      </c>
      <c r="B99" t="s">
        <v>45</v>
      </c>
      <c r="C99" t="s">
        <v>191</v>
      </c>
      <c r="D99" t="s">
        <v>285</v>
      </c>
      <c r="E99" t="s">
        <v>286</v>
      </c>
      <c r="F99" t="s">
        <v>287</v>
      </c>
      <c r="G99">
        <v>5599600</v>
      </c>
      <c r="H99">
        <v>5599600</v>
      </c>
      <c r="I99" t="b">
        <v>1</v>
      </c>
      <c r="J99">
        <v>7613750</v>
      </c>
      <c r="K99">
        <v>7613750</v>
      </c>
      <c r="L99" t="b">
        <v>1</v>
      </c>
      <c r="M99">
        <v>6899640</v>
      </c>
      <c r="N99">
        <v>6899640</v>
      </c>
      <c r="O99" t="b">
        <f t="shared" si="6"/>
        <v>1</v>
      </c>
      <c r="P99">
        <v>0</v>
      </c>
      <c r="Q99">
        <v>0</v>
      </c>
      <c r="R99" t="b">
        <v>1</v>
      </c>
      <c r="S99">
        <v>14513390</v>
      </c>
      <c r="T99">
        <v>14513390</v>
      </c>
      <c r="U99" t="b">
        <f t="shared" si="7"/>
        <v>1</v>
      </c>
      <c r="V99">
        <v>3855949.94</v>
      </c>
      <c r="W99">
        <v>4836572.34</v>
      </c>
      <c r="X99" t="b">
        <f t="shared" si="8"/>
        <v>0</v>
      </c>
      <c r="Y99">
        <v>2547292.34</v>
      </c>
      <c r="Z99">
        <v>2565317.34</v>
      </c>
      <c r="AA99" t="b">
        <f t="shared" si="9"/>
        <v>0</v>
      </c>
      <c r="AB99">
        <v>9834682.66</v>
      </c>
      <c r="AC99">
        <v>9834682.66</v>
      </c>
      <c r="AD99" t="b">
        <f t="shared" si="10"/>
        <v>1</v>
      </c>
      <c r="AE99">
        <v>0</v>
      </c>
      <c r="AF99">
        <v>0</v>
      </c>
      <c r="AG99" t="b">
        <f t="shared" si="11"/>
        <v>1</v>
      </c>
      <c r="AH99">
        <v>12381975</v>
      </c>
      <c r="AI99">
        <v>12400000</v>
      </c>
      <c r="AJ99" t="b">
        <v>0</v>
      </c>
      <c r="AK99">
        <v>1743650.06</v>
      </c>
      <c r="AL99">
        <v>763027.66</v>
      </c>
      <c r="AM99">
        <v>2131415</v>
      </c>
      <c r="AN99">
        <v>2113390</v>
      </c>
    </row>
    <row r="100" spans="1:40">
      <c r="A100">
        <v>45758</v>
      </c>
      <c r="B100" t="s">
        <v>30</v>
      </c>
      <c r="C100" t="s">
        <v>176</v>
      </c>
      <c r="D100" t="s">
        <v>85</v>
      </c>
      <c r="E100" t="s">
        <v>288</v>
      </c>
      <c r="F100" t="s">
        <v>289</v>
      </c>
      <c r="G100">
        <v>2060170.57</v>
      </c>
      <c r="H100">
        <v>2060170.57</v>
      </c>
      <c r="I100" t="b">
        <v>1</v>
      </c>
      <c r="J100">
        <v>2060170.57</v>
      </c>
      <c r="K100">
        <v>2060170.57</v>
      </c>
      <c r="L100" t="b">
        <v>1</v>
      </c>
      <c r="M100">
        <v>2060170.57</v>
      </c>
      <c r="N100">
        <v>2060170.57</v>
      </c>
      <c r="O100" t="b">
        <f t="shared" si="6"/>
        <v>1</v>
      </c>
      <c r="P100">
        <v>0</v>
      </c>
      <c r="Q100">
        <v>0</v>
      </c>
      <c r="R100" t="b">
        <v>1</v>
      </c>
      <c r="S100">
        <v>0</v>
      </c>
      <c r="T100">
        <v>0</v>
      </c>
      <c r="U100" t="b">
        <f t="shared" si="7"/>
        <v>1</v>
      </c>
      <c r="V100">
        <v>968500</v>
      </c>
      <c r="W100">
        <v>994503</v>
      </c>
      <c r="X100" t="b">
        <f t="shared" si="8"/>
        <v>0</v>
      </c>
      <c r="Y100">
        <v>2793503</v>
      </c>
      <c r="Z100">
        <v>2793503</v>
      </c>
      <c r="AA100" t="b">
        <f t="shared" si="9"/>
        <v>1</v>
      </c>
      <c r="AB100">
        <v>2877500</v>
      </c>
      <c r="AC100">
        <v>2877500</v>
      </c>
      <c r="AD100" t="b">
        <f t="shared" si="10"/>
        <v>1</v>
      </c>
      <c r="AE100">
        <v>0</v>
      </c>
      <c r="AF100">
        <v>0</v>
      </c>
      <c r="AG100" t="b">
        <f t="shared" si="11"/>
        <v>1</v>
      </c>
      <c r="AH100">
        <v>83997</v>
      </c>
      <c r="AI100">
        <v>83997</v>
      </c>
      <c r="AJ100" t="b">
        <v>0</v>
      </c>
      <c r="AK100">
        <v>1091670.57</v>
      </c>
      <c r="AL100">
        <v>1065667.57</v>
      </c>
      <c r="AM100">
        <v>83997</v>
      </c>
      <c r="AN100">
        <v>83997</v>
      </c>
    </row>
    <row r="101" spans="1:40">
      <c r="A101">
        <v>45758</v>
      </c>
      <c r="B101" t="s">
        <v>35</v>
      </c>
      <c r="C101" t="s">
        <v>169</v>
      </c>
      <c r="D101" t="s">
        <v>290</v>
      </c>
      <c r="E101" t="s">
        <v>291</v>
      </c>
      <c r="F101" t="s">
        <v>292</v>
      </c>
      <c r="G101">
        <v>1804616</v>
      </c>
      <c r="H101">
        <v>1804616</v>
      </c>
      <c r="I101" t="b">
        <v>1</v>
      </c>
      <c r="J101">
        <v>0</v>
      </c>
      <c r="K101">
        <v>0</v>
      </c>
      <c r="L101" t="b">
        <v>1</v>
      </c>
      <c r="M101">
        <v>1804616</v>
      </c>
      <c r="N101">
        <v>1804616</v>
      </c>
      <c r="O101" t="b">
        <f t="shared" si="6"/>
        <v>1</v>
      </c>
      <c r="P101">
        <v>0</v>
      </c>
      <c r="Q101">
        <v>0</v>
      </c>
      <c r="R101" t="b">
        <v>1</v>
      </c>
      <c r="S101">
        <v>1804616</v>
      </c>
      <c r="T101">
        <v>1804616</v>
      </c>
      <c r="U101" t="b">
        <f t="shared" si="7"/>
        <v>1</v>
      </c>
      <c r="V101">
        <v>82324</v>
      </c>
      <c r="W101">
        <v>133928</v>
      </c>
      <c r="X101" t="b">
        <f t="shared" si="8"/>
        <v>0</v>
      </c>
      <c r="Y101">
        <v>133928</v>
      </c>
      <c r="Z101">
        <v>133928</v>
      </c>
      <c r="AA101" t="b">
        <f t="shared" si="9"/>
        <v>1</v>
      </c>
      <c r="AB101">
        <v>1515043</v>
      </c>
      <c r="AC101">
        <v>1515043</v>
      </c>
      <c r="AD101" t="b">
        <f t="shared" si="10"/>
        <v>1</v>
      </c>
      <c r="AE101">
        <v>11315</v>
      </c>
      <c r="AF101">
        <v>11315</v>
      </c>
      <c r="AG101" t="b">
        <f t="shared" si="11"/>
        <v>1</v>
      </c>
      <c r="AH101">
        <v>1637656</v>
      </c>
      <c r="AI101">
        <v>1637656</v>
      </c>
      <c r="AJ101" t="b">
        <v>1</v>
      </c>
      <c r="AK101">
        <v>1722292</v>
      </c>
      <c r="AL101">
        <v>1670688</v>
      </c>
      <c r="AM101">
        <v>166960</v>
      </c>
      <c r="AN101">
        <v>166960</v>
      </c>
    </row>
    <row r="102" spans="1:40">
      <c r="A102">
        <v>45758</v>
      </c>
      <c r="B102" t="s">
        <v>30</v>
      </c>
      <c r="C102" t="s">
        <v>176</v>
      </c>
      <c r="D102" t="s">
        <v>252</v>
      </c>
      <c r="E102" t="s">
        <v>293</v>
      </c>
      <c r="F102" t="s">
        <v>294</v>
      </c>
      <c r="G102">
        <v>0</v>
      </c>
      <c r="H102">
        <v>0</v>
      </c>
      <c r="I102" t="b">
        <v>1</v>
      </c>
      <c r="J102">
        <v>0</v>
      </c>
      <c r="K102">
        <v>0</v>
      </c>
      <c r="L102" t="b">
        <v>1</v>
      </c>
      <c r="M102">
        <v>1017327</v>
      </c>
      <c r="N102">
        <v>1017327</v>
      </c>
      <c r="O102" t="b">
        <f t="shared" si="6"/>
        <v>1</v>
      </c>
      <c r="P102">
        <v>0</v>
      </c>
      <c r="Q102">
        <v>0</v>
      </c>
      <c r="R102" t="b">
        <v>1</v>
      </c>
      <c r="S102">
        <v>1017327</v>
      </c>
      <c r="T102">
        <v>1017327</v>
      </c>
      <c r="U102" t="b">
        <f t="shared" si="7"/>
        <v>1</v>
      </c>
      <c r="V102">
        <v>33050</v>
      </c>
      <c r="W102">
        <v>54466.43</v>
      </c>
      <c r="X102" t="b">
        <f t="shared" si="8"/>
        <v>0</v>
      </c>
      <c r="Y102">
        <v>496966.43</v>
      </c>
      <c r="Z102">
        <v>496966.43</v>
      </c>
      <c r="AA102" t="b">
        <f t="shared" si="9"/>
        <v>1</v>
      </c>
      <c r="AB102">
        <v>170000</v>
      </c>
      <c r="AC102">
        <v>170000</v>
      </c>
      <c r="AD102" t="b">
        <f t="shared" si="10"/>
        <v>1</v>
      </c>
      <c r="AE102">
        <v>0</v>
      </c>
      <c r="AF102">
        <v>0</v>
      </c>
      <c r="AG102" t="b">
        <f t="shared" si="11"/>
        <v>1</v>
      </c>
      <c r="AH102">
        <v>666966.43</v>
      </c>
      <c r="AI102">
        <v>666966.43</v>
      </c>
      <c r="AJ102" t="b">
        <v>1</v>
      </c>
      <c r="AK102">
        <v>33050</v>
      </c>
      <c r="AL102">
        <v>54466.43</v>
      </c>
      <c r="AM102">
        <v>350360.57</v>
      </c>
      <c r="AN102">
        <v>350360.57</v>
      </c>
    </row>
    <row r="103" spans="1:40">
      <c r="A103">
        <v>45758</v>
      </c>
      <c r="B103" t="s">
        <v>45</v>
      </c>
      <c r="C103" t="s">
        <v>191</v>
      </c>
      <c r="D103" t="s">
        <v>234</v>
      </c>
      <c r="E103" t="s">
        <v>295</v>
      </c>
      <c r="F103" t="s">
        <v>296</v>
      </c>
      <c r="G103">
        <v>0</v>
      </c>
      <c r="H103">
        <v>12000000</v>
      </c>
      <c r="I103" t="b">
        <v>0</v>
      </c>
      <c r="J103">
        <v>0</v>
      </c>
      <c r="K103">
        <v>0</v>
      </c>
      <c r="L103" t="b">
        <v>1</v>
      </c>
      <c r="M103">
        <v>10634</v>
      </c>
      <c r="N103">
        <v>0</v>
      </c>
      <c r="O103" t="b">
        <f t="shared" si="6"/>
        <v>0</v>
      </c>
      <c r="P103">
        <v>0</v>
      </c>
      <c r="Q103">
        <v>0</v>
      </c>
      <c r="R103" t="b">
        <v>1</v>
      </c>
      <c r="S103">
        <v>10634</v>
      </c>
      <c r="T103">
        <v>0</v>
      </c>
      <c r="U103" t="b">
        <f t="shared" si="7"/>
        <v>0</v>
      </c>
      <c r="V103">
        <v>2782500</v>
      </c>
      <c r="W103">
        <v>4042500</v>
      </c>
      <c r="X103" t="b">
        <f t="shared" si="8"/>
        <v>0</v>
      </c>
      <c r="Y103">
        <v>0</v>
      </c>
      <c r="Z103">
        <v>0</v>
      </c>
      <c r="AA103" t="b">
        <f t="shared" si="9"/>
        <v>1</v>
      </c>
      <c r="AB103">
        <v>0</v>
      </c>
      <c r="AC103">
        <v>0</v>
      </c>
      <c r="AD103" t="b">
        <f t="shared" si="10"/>
        <v>1</v>
      </c>
      <c r="AE103">
        <v>0</v>
      </c>
      <c r="AF103">
        <v>0</v>
      </c>
      <c r="AG103" t="b">
        <f t="shared" si="11"/>
        <v>1</v>
      </c>
      <c r="AH103">
        <v>0</v>
      </c>
      <c r="AI103">
        <v>0</v>
      </c>
      <c r="AJ103" t="b">
        <v>1</v>
      </c>
      <c r="AK103">
        <v>2782500</v>
      </c>
      <c r="AL103">
        <v>7957500</v>
      </c>
      <c r="AM103">
        <v>0</v>
      </c>
      <c r="AN103">
        <v>0</v>
      </c>
    </row>
    <row r="104" spans="1:40">
      <c r="A104">
        <v>45758</v>
      </c>
      <c r="B104" t="s">
        <v>45</v>
      </c>
      <c r="C104" t="s">
        <v>191</v>
      </c>
      <c r="D104" t="s">
        <v>234</v>
      </c>
      <c r="E104" t="s">
        <v>297</v>
      </c>
      <c r="F104" t="s">
        <v>298</v>
      </c>
      <c r="G104">
        <v>0</v>
      </c>
      <c r="H104">
        <v>12000000</v>
      </c>
      <c r="I104" t="b">
        <v>0</v>
      </c>
      <c r="J104">
        <v>0</v>
      </c>
      <c r="K104">
        <v>0</v>
      </c>
      <c r="L104" t="b">
        <v>1</v>
      </c>
      <c r="M104">
        <v>24408</v>
      </c>
      <c r="N104">
        <v>0</v>
      </c>
      <c r="O104" t="b">
        <f t="shared" si="6"/>
        <v>0</v>
      </c>
      <c r="P104">
        <v>0</v>
      </c>
      <c r="Q104">
        <v>0</v>
      </c>
      <c r="R104" t="b">
        <v>1</v>
      </c>
      <c r="S104">
        <v>24408</v>
      </c>
      <c r="T104">
        <v>0</v>
      </c>
      <c r="U104" t="b">
        <f t="shared" si="7"/>
        <v>0</v>
      </c>
      <c r="V104">
        <v>4279097.68</v>
      </c>
      <c r="W104">
        <v>3988277</v>
      </c>
      <c r="X104" t="b">
        <f t="shared" si="8"/>
        <v>0</v>
      </c>
      <c r="Y104">
        <v>0</v>
      </c>
      <c r="Z104">
        <v>0</v>
      </c>
      <c r="AA104" t="b">
        <f t="shared" si="9"/>
        <v>1</v>
      </c>
      <c r="AB104">
        <v>0</v>
      </c>
      <c r="AC104">
        <v>0</v>
      </c>
      <c r="AD104" t="b">
        <f t="shared" si="10"/>
        <v>1</v>
      </c>
      <c r="AE104">
        <v>0</v>
      </c>
      <c r="AF104">
        <v>0</v>
      </c>
      <c r="AG104" t="b">
        <f t="shared" si="11"/>
        <v>1</v>
      </c>
      <c r="AH104">
        <v>0</v>
      </c>
      <c r="AI104">
        <v>0</v>
      </c>
      <c r="AJ104" t="b">
        <v>1</v>
      </c>
      <c r="AK104">
        <v>4279097.68</v>
      </c>
      <c r="AL104">
        <v>8011723</v>
      </c>
      <c r="AM104">
        <v>0</v>
      </c>
      <c r="AN104">
        <v>0</v>
      </c>
    </row>
    <row r="105" spans="1:40">
      <c r="A105">
        <v>45758</v>
      </c>
      <c r="B105" t="s">
        <v>45</v>
      </c>
      <c r="C105" t="s">
        <v>191</v>
      </c>
      <c r="D105" t="s">
        <v>234</v>
      </c>
      <c r="E105" t="s">
        <v>299</v>
      </c>
      <c r="F105" t="s">
        <v>300</v>
      </c>
      <c r="G105">
        <v>0</v>
      </c>
      <c r="H105">
        <v>15300000</v>
      </c>
      <c r="I105" t="b">
        <v>0</v>
      </c>
      <c r="J105">
        <v>0</v>
      </c>
      <c r="K105">
        <v>0</v>
      </c>
      <c r="L105" t="b">
        <v>1</v>
      </c>
      <c r="M105">
        <v>8163</v>
      </c>
      <c r="N105">
        <v>0</v>
      </c>
      <c r="O105" t="b">
        <f t="shared" si="6"/>
        <v>0</v>
      </c>
      <c r="P105">
        <v>0</v>
      </c>
      <c r="Q105">
        <v>0</v>
      </c>
      <c r="R105" t="b">
        <v>1</v>
      </c>
      <c r="S105">
        <v>8163</v>
      </c>
      <c r="T105">
        <v>0</v>
      </c>
      <c r="U105" t="b">
        <f t="shared" si="7"/>
        <v>0</v>
      </c>
      <c r="V105">
        <v>5508391.25</v>
      </c>
      <c r="W105">
        <v>5635612.25</v>
      </c>
      <c r="X105" t="b">
        <f t="shared" si="8"/>
        <v>0</v>
      </c>
      <c r="Y105">
        <v>0</v>
      </c>
      <c r="Z105">
        <v>0</v>
      </c>
      <c r="AA105" t="b">
        <f t="shared" si="9"/>
        <v>1</v>
      </c>
      <c r="AB105">
        <v>0</v>
      </c>
      <c r="AC105">
        <v>0</v>
      </c>
      <c r="AD105" t="b">
        <f t="shared" si="10"/>
        <v>1</v>
      </c>
      <c r="AE105">
        <v>0</v>
      </c>
      <c r="AF105">
        <v>0</v>
      </c>
      <c r="AG105" t="b">
        <f t="shared" si="11"/>
        <v>1</v>
      </c>
      <c r="AH105">
        <v>0</v>
      </c>
      <c r="AI105">
        <v>0</v>
      </c>
      <c r="AJ105" t="b">
        <v>1</v>
      </c>
      <c r="AK105">
        <v>5508391.25</v>
      </c>
      <c r="AL105">
        <v>9664387.75</v>
      </c>
      <c r="AM105">
        <v>0</v>
      </c>
      <c r="AN105">
        <v>0</v>
      </c>
    </row>
    <row r="106" spans="1:40">
      <c r="A106">
        <v>45758</v>
      </c>
      <c r="B106" t="s">
        <v>45</v>
      </c>
      <c r="C106" t="s">
        <v>191</v>
      </c>
      <c r="D106" t="s">
        <v>46</v>
      </c>
      <c r="E106" t="s">
        <v>301</v>
      </c>
      <c r="F106" t="s">
        <v>302</v>
      </c>
      <c r="G106">
        <v>515900</v>
      </c>
      <c r="H106">
        <v>515900</v>
      </c>
      <c r="I106" t="b">
        <v>1</v>
      </c>
      <c r="J106">
        <v>1548800</v>
      </c>
      <c r="K106">
        <v>1548800</v>
      </c>
      <c r="L106" t="b">
        <v>1</v>
      </c>
      <c r="M106">
        <v>0</v>
      </c>
      <c r="N106">
        <v>0</v>
      </c>
      <c r="O106" t="b">
        <f t="shared" si="6"/>
        <v>1</v>
      </c>
      <c r="P106">
        <v>515900</v>
      </c>
      <c r="Q106">
        <v>515900</v>
      </c>
      <c r="R106" t="b">
        <v>0</v>
      </c>
      <c r="S106">
        <v>1032900</v>
      </c>
      <c r="T106">
        <v>1032900</v>
      </c>
      <c r="U106" t="b">
        <f t="shared" si="7"/>
        <v>1</v>
      </c>
      <c r="V106">
        <v>213434.99</v>
      </c>
      <c r="W106">
        <v>302103.99</v>
      </c>
      <c r="X106" t="b">
        <f t="shared" si="8"/>
        <v>0</v>
      </c>
      <c r="Y106">
        <v>351863.99</v>
      </c>
      <c r="Z106">
        <v>351863.99</v>
      </c>
      <c r="AA106" t="b">
        <f t="shared" si="9"/>
        <v>1</v>
      </c>
      <c r="AB106">
        <v>481036.01</v>
      </c>
      <c r="AC106">
        <v>481036.01</v>
      </c>
      <c r="AD106" t="b">
        <f t="shared" si="10"/>
        <v>1</v>
      </c>
      <c r="AE106">
        <v>0</v>
      </c>
      <c r="AF106">
        <v>0</v>
      </c>
      <c r="AG106" t="b">
        <f t="shared" si="11"/>
        <v>1</v>
      </c>
      <c r="AH106">
        <v>832900</v>
      </c>
      <c r="AI106">
        <v>832900</v>
      </c>
      <c r="AJ106" t="b">
        <v>1</v>
      </c>
      <c r="AK106">
        <v>302465.01</v>
      </c>
      <c r="AL106">
        <v>213796.01</v>
      </c>
      <c r="AM106">
        <v>200000</v>
      </c>
      <c r="AN106">
        <v>200000</v>
      </c>
    </row>
    <row r="107" spans="1:40">
      <c r="A107">
        <v>45758</v>
      </c>
      <c r="B107" t="s">
        <v>30</v>
      </c>
      <c r="C107" t="s">
        <v>191</v>
      </c>
      <c r="D107" t="s">
        <v>46</v>
      </c>
      <c r="E107" t="s">
        <v>303</v>
      </c>
      <c r="F107" t="s">
        <v>304</v>
      </c>
      <c r="G107">
        <v>2150500</v>
      </c>
      <c r="H107">
        <v>2150500</v>
      </c>
      <c r="I107" t="b">
        <v>1</v>
      </c>
      <c r="J107">
        <v>0</v>
      </c>
      <c r="K107">
        <v>0</v>
      </c>
      <c r="L107" t="b">
        <v>1</v>
      </c>
      <c r="M107">
        <v>2150500</v>
      </c>
      <c r="N107">
        <v>2150500</v>
      </c>
      <c r="O107" t="b">
        <f t="shared" si="6"/>
        <v>1</v>
      </c>
      <c r="P107">
        <v>0</v>
      </c>
      <c r="Q107">
        <v>0</v>
      </c>
      <c r="R107" t="b">
        <v>1</v>
      </c>
      <c r="S107">
        <v>2150500</v>
      </c>
      <c r="T107">
        <v>2150500</v>
      </c>
      <c r="U107" t="b">
        <f t="shared" si="7"/>
        <v>1</v>
      </c>
      <c r="V107">
        <v>1561642</v>
      </c>
      <c r="W107">
        <v>1561642.5</v>
      </c>
      <c r="X107" t="b">
        <f t="shared" si="8"/>
        <v>0</v>
      </c>
      <c r="Y107">
        <v>299730</v>
      </c>
      <c r="Z107">
        <v>299730</v>
      </c>
      <c r="AA107" t="b">
        <f t="shared" si="9"/>
        <v>1</v>
      </c>
      <c r="AB107">
        <v>1550770</v>
      </c>
      <c r="AC107">
        <v>1550770</v>
      </c>
      <c r="AD107" t="b">
        <f t="shared" si="10"/>
        <v>1</v>
      </c>
      <c r="AE107">
        <v>0</v>
      </c>
      <c r="AF107">
        <v>0</v>
      </c>
      <c r="AG107" t="b">
        <f t="shared" si="11"/>
        <v>1</v>
      </c>
      <c r="AH107">
        <v>1850500</v>
      </c>
      <c r="AI107">
        <v>1850500</v>
      </c>
      <c r="AJ107" t="b">
        <v>1</v>
      </c>
      <c r="AK107">
        <v>588858</v>
      </c>
      <c r="AL107">
        <v>588857.5</v>
      </c>
      <c r="AM107">
        <v>300000</v>
      </c>
      <c r="AN107">
        <v>300000</v>
      </c>
    </row>
    <row r="108" spans="1:40">
      <c r="A108">
        <v>45758</v>
      </c>
      <c r="B108" t="s">
        <v>78</v>
      </c>
      <c r="C108" t="s">
        <v>169</v>
      </c>
      <c r="D108" t="s">
        <v>79</v>
      </c>
      <c r="E108" t="s">
        <v>305</v>
      </c>
      <c r="F108" t="s">
        <v>306</v>
      </c>
      <c r="G108">
        <v>224730</v>
      </c>
      <c r="H108">
        <v>224730</v>
      </c>
      <c r="I108" t="b">
        <v>1</v>
      </c>
      <c r="J108">
        <v>224730</v>
      </c>
      <c r="K108">
        <v>224730</v>
      </c>
      <c r="L108" t="b">
        <v>1</v>
      </c>
      <c r="M108">
        <v>0</v>
      </c>
      <c r="N108">
        <v>0</v>
      </c>
      <c r="O108" t="b">
        <f t="shared" si="6"/>
        <v>1</v>
      </c>
      <c r="P108">
        <v>0</v>
      </c>
      <c r="Q108">
        <v>0</v>
      </c>
      <c r="R108" t="b">
        <v>1</v>
      </c>
      <c r="S108">
        <v>224730</v>
      </c>
      <c r="T108">
        <v>224730</v>
      </c>
      <c r="U108" t="b">
        <f t="shared" si="7"/>
        <v>1</v>
      </c>
      <c r="V108">
        <v>180250</v>
      </c>
      <c r="W108">
        <v>180250</v>
      </c>
      <c r="X108" t="b">
        <f t="shared" si="8"/>
        <v>1</v>
      </c>
      <c r="Y108">
        <v>180250</v>
      </c>
      <c r="Z108">
        <v>180250</v>
      </c>
      <c r="AA108" t="b">
        <f t="shared" si="9"/>
        <v>1</v>
      </c>
      <c r="AB108">
        <v>0</v>
      </c>
      <c r="AC108">
        <v>0</v>
      </c>
      <c r="AD108" t="b">
        <f t="shared" si="10"/>
        <v>1</v>
      </c>
      <c r="AE108">
        <v>0</v>
      </c>
      <c r="AF108">
        <v>0</v>
      </c>
      <c r="AG108" t="b">
        <f t="shared" si="11"/>
        <v>1</v>
      </c>
      <c r="AH108">
        <v>180250</v>
      </c>
      <c r="AI108">
        <v>180250</v>
      </c>
      <c r="AJ108" t="b">
        <v>1</v>
      </c>
      <c r="AK108">
        <v>44480</v>
      </c>
      <c r="AL108">
        <v>44480</v>
      </c>
      <c r="AM108">
        <v>44480</v>
      </c>
      <c r="AN108">
        <v>44480</v>
      </c>
    </row>
    <row r="109" spans="1:40">
      <c r="A109">
        <v>45758</v>
      </c>
      <c r="B109" t="s">
        <v>45</v>
      </c>
      <c r="C109" t="s">
        <v>191</v>
      </c>
      <c r="D109" t="s">
        <v>64</v>
      </c>
      <c r="E109" t="s">
        <v>307</v>
      </c>
      <c r="F109" t="s">
        <v>308</v>
      </c>
      <c r="G109">
        <v>0</v>
      </c>
      <c r="H109">
        <v>0</v>
      </c>
      <c r="I109" t="b">
        <v>1</v>
      </c>
      <c r="J109">
        <v>0</v>
      </c>
      <c r="K109">
        <v>0</v>
      </c>
      <c r="L109" t="b">
        <v>1</v>
      </c>
      <c r="M109">
        <v>0</v>
      </c>
      <c r="N109">
        <v>0</v>
      </c>
      <c r="O109" t="b">
        <f t="shared" si="6"/>
        <v>1</v>
      </c>
      <c r="P109">
        <v>0</v>
      </c>
      <c r="Q109">
        <v>0</v>
      </c>
      <c r="R109" t="b">
        <v>1</v>
      </c>
      <c r="S109">
        <v>0</v>
      </c>
      <c r="T109">
        <v>0</v>
      </c>
      <c r="U109" t="b">
        <f t="shared" si="7"/>
        <v>1</v>
      </c>
      <c r="V109">
        <v>0</v>
      </c>
      <c r="W109">
        <v>0</v>
      </c>
      <c r="X109" t="b">
        <f t="shared" si="8"/>
        <v>1</v>
      </c>
      <c r="Y109">
        <v>138700</v>
      </c>
      <c r="Z109">
        <v>138700</v>
      </c>
      <c r="AA109" t="b">
        <f t="shared" si="9"/>
        <v>1</v>
      </c>
      <c r="AB109">
        <v>138700</v>
      </c>
      <c r="AC109">
        <v>138700</v>
      </c>
      <c r="AD109" t="b">
        <f t="shared" si="10"/>
        <v>1</v>
      </c>
      <c r="AE109">
        <v>0</v>
      </c>
      <c r="AF109">
        <v>0</v>
      </c>
      <c r="AG109" t="b">
        <f t="shared" si="11"/>
        <v>1</v>
      </c>
      <c r="AH109">
        <v>0</v>
      </c>
      <c r="AI109">
        <v>0</v>
      </c>
      <c r="AJ109" t="b">
        <v>1</v>
      </c>
      <c r="AK109">
        <v>0</v>
      </c>
      <c r="AL109">
        <v>0</v>
      </c>
      <c r="AM109">
        <v>0</v>
      </c>
      <c r="AN109">
        <v>0</v>
      </c>
    </row>
    <row r="110" spans="1:40">
      <c r="A110">
        <v>45758</v>
      </c>
      <c r="B110" t="s">
        <v>35</v>
      </c>
      <c r="C110" t="s">
        <v>169</v>
      </c>
      <c r="D110" t="s">
        <v>55</v>
      </c>
      <c r="E110" t="s">
        <v>309</v>
      </c>
      <c r="F110" t="s">
        <v>310</v>
      </c>
      <c r="G110">
        <v>0</v>
      </c>
      <c r="H110">
        <v>0</v>
      </c>
      <c r="I110" t="b">
        <v>1</v>
      </c>
      <c r="J110">
        <v>0</v>
      </c>
      <c r="K110">
        <v>0</v>
      </c>
      <c r="L110" t="b">
        <v>1</v>
      </c>
      <c r="M110">
        <v>0</v>
      </c>
      <c r="N110">
        <v>0</v>
      </c>
      <c r="O110" t="b">
        <f t="shared" si="6"/>
        <v>1</v>
      </c>
      <c r="P110">
        <v>0</v>
      </c>
      <c r="Q110">
        <v>0</v>
      </c>
      <c r="R110" t="b">
        <v>1</v>
      </c>
      <c r="S110">
        <v>0</v>
      </c>
      <c r="T110">
        <v>0</v>
      </c>
      <c r="U110" t="b">
        <f t="shared" si="7"/>
        <v>1</v>
      </c>
      <c r="V110">
        <v>0</v>
      </c>
      <c r="W110">
        <v>0</v>
      </c>
      <c r="X110" t="b">
        <f t="shared" si="8"/>
        <v>1</v>
      </c>
      <c r="Y110">
        <v>15000</v>
      </c>
      <c r="Z110">
        <v>15000</v>
      </c>
      <c r="AA110" t="b">
        <f t="shared" si="9"/>
        <v>1</v>
      </c>
      <c r="AB110">
        <v>15000</v>
      </c>
      <c r="AC110">
        <v>15000</v>
      </c>
      <c r="AD110" t="b">
        <f t="shared" si="10"/>
        <v>1</v>
      </c>
      <c r="AE110">
        <v>0</v>
      </c>
      <c r="AF110">
        <v>0</v>
      </c>
      <c r="AG110" t="b">
        <f t="shared" si="11"/>
        <v>1</v>
      </c>
      <c r="AH110">
        <v>0</v>
      </c>
      <c r="AI110">
        <v>0</v>
      </c>
      <c r="AJ110" t="b">
        <v>1</v>
      </c>
      <c r="AK110">
        <v>0</v>
      </c>
      <c r="AL110">
        <v>0</v>
      </c>
      <c r="AM110">
        <v>0</v>
      </c>
      <c r="AN110">
        <v>0</v>
      </c>
    </row>
    <row r="111" spans="1:40">
      <c r="A111">
        <v>45758</v>
      </c>
      <c r="B111" t="s">
        <v>35</v>
      </c>
      <c r="C111" t="s">
        <v>169</v>
      </c>
      <c r="D111" t="s">
        <v>55</v>
      </c>
      <c r="E111" t="s">
        <v>311</v>
      </c>
      <c r="F111" t="s">
        <v>312</v>
      </c>
      <c r="G111">
        <v>0</v>
      </c>
      <c r="H111">
        <v>0</v>
      </c>
      <c r="I111" t="b">
        <v>1</v>
      </c>
      <c r="J111">
        <v>0</v>
      </c>
      <c r="K111">
        <v>0</v>
      </c>
      <c r="L111" t="b">
        <v>1</v>
      </c>
      <c r="M111">
        <v>0</v>
      </c>
      <c r="N111">
        <v>0</v>
      </c>
      <c r="O111" t="b">
        <f t="shared" si="6"/>
        <v>1</v>
      </c>
      <c r="P111">
        <v>0</v>
      </c>
      <c r="Q111">
        <v>0</v>
      </c>
      <c r="R111" t="b">
        <v>1</v>
      </c>
      <c r="S111">
        <v>0</v>
      </c>
      <c r="T111">
        <v>0</v>
      </c>
      <c r="U111" t="b">
        <f t="shared" si="7"/>
        <v>1</v>
      </c>
      <c r="V111">
        <v>0</v>
      </c>
      <c r="W111">
        <v>0</v>
      </c>
      <c r="X111" t="b">
        <f t="shared" si="8"/>
        <v>1</v>
      </c>
      <c r="Y111">
        <v>52056</v>
      </c>
      <c r="Z111">
        <v>52056</v>
      </c>
      <c r="AA111" t="b">
        <f t="shared" si="9"/>
        <v>1</v>
      </c>
      <c r="AB111">
        <v>52056</v>
      </c>
      <c r="AC111">
        <v>52056</v>
      </c>
      <c r="AD111" t="b">
        <f t="shared" si="10"/>
        <v>1</v>
      </c>
      <c r="AE111">
        <v>0</v>
      </c>
      <c r="AF111">
        <v>0</v>
      </c>
      <c r="AG111" t="b">
        <f t="shared" si="11"/>
        <v>1</v>
      </c>
      <c r="AH111">
        <v>0</v>
      </c>
      <c r="AI111">
        <v>0</v>
      </c>
      <c r="AJ111" t="b">
        <v>1</v>
      </c>
      <c r="AK111">
        <v>0</v>
      </c>
      <c r="AL111">
        <v>0</v>
      </c>
      <c r="AM111">
        <v>0</v>
      </c>
      <c r="AN111">
        <v>0</v>
      </c>
    </row>
    <row r="112" spans="1:40">
      <c r="A112">
        <v>45758</v>
      </c>
      <c r="B112" t="s">
        <v>30</v>
      </c>
      <c r="C112" t="s">
        <v>176</v>
      </c>
      <c r="D112" t="s">
        <v>85</v>
      </c>
      <c r="E112" t="s">
        <v>313</v>
      </c>
      <c r="F112" t="s">
        <v>314</v>
      </c>
      <c r="G112">
        <v>0</v>
      </c>
      <c r="H112">
        <v>0</v>
      </c>
      <c r="I112" t="b">
        <v>1</v>
      </c>
      <c r="J112">
        <v>0</v>
      </c>
      <c r="K112">
        <v>0</v>
      </c>
      <c r="L112" t="b">
        <v>1</v>
      </c>
      <c r="M112">
        <v>0</v>
      </c>
      <c r="N112">
        <v>0</v>
      </c>
      <c r="O112" t="b">
        <f t="shared" si="6"/>
        <v>1</v>
      </c>
      <c r="P112">
        <v>0</v>
      </c>
      <c r="Q112">
        <v>0</v>
      </c>
      <c r="R112" t="b">
        <v>1</v>
      </c>
      <c r="S112">
        <v>0</v>
      </c>
      <c r="T112">
        <v>0</v>
      </c>
      <c r="U112" t="b">
        <f t="shared" si="7"/>
        <v>1</v>
      </c>
      <c r="V112">
        <v>573790.29</v>
      </c>
      <c r="W112">
        <v>603830.29</v>
      </c>
      <c r="X112" t="b">
        <f t="shared" si="8"/>
        <v>0</v>
      </c>
      <c r="Y112">
        <v>751830.29</v>
      </c>
      <c r="Z112">
        <v>751830.29</v>
      </c>
      <c r="AA112" t="b">
        <f t="shared" si="9"/>
        <v>1</v>
      </c>
      <c r="AB112">
        <v>790000</v>
      </c>
      <c r="AC112">
        <v>790000</v>
      </c>
      <c r="AD112" t="b">
        <f t="shared" si="10"/>
        <v>1</v>
      </c>
      <c r="AE112">
        <v>0</v>
      </c>
      <c r="AF112">
        <v>0</v>
      </c>
      <c r="AG112" t="b">
        <f t="shared" si="11"/>
        <v>1</v>
      </c>
      <c r="AH112">
        <v>38169.71</v>
      </c>
      <c r="AI112">
        <v>38169.71</v>
      </c>
      <c r="AJ112" t="b">
        <v>0</v>
      </c>
      <c r="AK112">
        <v>573790.29</v>
      </c>
      <c r="AL112">
        <v>603830.29</v>
      </c>
      <c r="AM112">
        <v>38169.71</v>
      </c>
      <c r="AN112">
        <v>38169.71</v>
      </c>
    </row>
    <row r="113" spans="1:40">
      <c r="A113">
        <v>45758</v>
      </c>
      <c r="B113" t="s">
        <v>45</v>
      </c>
      <c r="C113" t="s">
        <v>191</v>
      </c>
      <c r="D113" t="s">
        <v>64</v>
      </c>
      <c r="E113" t="s">
        <v>315</v>
      </c>
      <c r="F113" t="s">
        <v>316</v>
      </c>
      <c r="G113">
        <v>0</v>
      </c>
      <c r="H113">
        <v>0</v>
      </c>
      <c r="I113" t="b">
        <v>1</v>
      </c>
      <c r="J113">
        <v>699894</v>
      </c>
      <c r="K113">
        <v>699894</v>
      </c>
      <c r="L113" t="b">
        <v>1</v>
      </c>
      <c r="M113">
        <v>699894</v>
      </c>
      <c r="N113">
        <v>699894</v>
      </c>
      <c r="O113" t="b">
        <f t="shared" si="6"/>
        <v>1</v>
      </c>
      <c r="P113">
        <v>0</v>
      </c>
      <c r="Q113">
        <v>0</v>
      </c>
      <c r="R113" t="b">
        <v>1</v>
      </c>
      <c r="S113">
        <v>0</v>
      </c>
      <c r="T113">
        <v>0</v>
      </c>
      <c r="U113" t="b">
        <f t="shared" si="7"/>
        <v>1</v>
      </c>
      <c r="V113">
        <v>259000</v>
      </c>
      <c r="W113">
        <v>458120</v>
      </c>
      <c r="X113" t="b">
        <f t="shared" si="8"/>
        <v>0</v>
      </c>
      <c r="Y113">
        <v>293950</v>
      </c>
      <c r="Z113">
        <v>303120</v>
      </c>
      <c r="AA113" t="b">
        <f t="shared" si="9"/>
        <v>0</v>
      </c>
      <c r="AB113">
        <v>303120</v>
      </c>
      <c r="AC113">
        <v>303120</v>
      </c>
      <c r="AD113" t="b">
        <f t="shared" si="10"/>
        <v>1</v>
      </c>
      <c r="AE113">
        <v>0</v>
      </c>
      <c r="AF113">
        <v>0</v>
      </c>
      <c r="AG113" t="b">
        <f t="shared" si="11"/>
        <v>1</v>
      </c>
      <c r="AH113">
        <v>9170</v>
      </c>
      <c r="AI113">
        <v>0</v>
      </c>
      <c r="AJ113" t="b">
        <v>0</v>
      </c>
      <c r="AK113">
        <v>259000</v>
      </c>
      <c r="AL113">
        <v>458120</v>
      </c>
      <c r="AM113">
        <v>9170</v>
      </c>
      <c r="AN113">
        <v>0</v>
      </c>
    </row>
    <row r="114" spans="1:40">
      <c r="A114">
        <v>45758</v>
      </c>
      <c r="B114" t="s">
        <v>30</v>
      </c>
      <c r="C114" t="s">
        <v>176</v>
      </c>
      <c r="D114" t="s">
        <v>96</v>
      </c>
      <c r="E114" t="s">
        <v>317</v>
      </c>
      <c r="F114" t="s">
        <v>318</v>
      </c>
      <c r="G114">
        <v>0</v>
      </c>
      <c r="H114">
        <v>0</v>
      </c>
      <c r="I114" t="b">
        <v>1</v>
      </c>
      <c r="J114">
        <v>286859.98</v>
      </c>
      <c r="K114">
        <v>286859.98</v>
      </c>
      <c r="L114" t="b">
        <v>1</v>
      </c>
      <c r="M114">
        <v>301859.98</v>
      </c>
      <c r="N114">
        <v>301859.98</v>
      </c>
      <c r="O114" t="b">
        <f t="shared" si="6"/>
        <v>1</v>
      </c>
      <c r="P114">
        <v>0</v>
      </c>
      <c r="Q114">
        <v>0</v>
      </c>
      <c r="R114" t="b">
        <v>1</v>
      </c>
      <c r="S114">
        <v>15000</v>
      </c>
      <c r="T114">
        <v>15000</v>
      </c>
      <c r="U114" t="b">
        <f t="shared" si="7"/>
        <v>1</v>
      </c>
      <c r="V114">
        <v>0</v>
      </c>
      <c r="W114">
        <v>0</v>
      </c>
      <c r="X114" t="b">
        <f t="shared" si="8"/>
        <v>1</v>
      </c>
      <c r="Y114">
        <v>94000</v>
      </c>
      <c r="Z114">
        <v>94000</v>
      </c>
      <c r="AA114" t="b">
        <f t="shared" si="9"/>
        <v>1</v>
      </c>
      <c r="AB114">
        <v>94000</v>
      </c>
      <c r="AC114">
        <v>94000</v>
      </c>
      <c r="AD114" t="b">
        <f t="shared" si="10"/>
        <v>1</v>
      </c>
      <c r="AE114">
        <v>0</v>
      </c>
      <c r="AF114">
        <v>0</v>
      </c>
      <c r="AG114" t="b">
        <f t="shared" si="11"/>
        <v>1</v>
      </c>
      <c r="AH114">
        <v>0</v>
      </c>
      <c r="AI114">
        <v>0</v>
      </c>
      <c r="AJ114" t="b">
        <v>1</v>
      </c>
      <c r="AK114">
        <v>0</v>
      </c>
      <c r="AL114">
        <v>0</v>
      </c>
      <c r="AM114">
        <v>15000</v>
      </c>
      <c r="AN114">
        <v>15000</v>
      </c>
    </row>
    <row r="115" spans="1:40">
      <c r="A115">
        <v>45758</v>
      </c>
      <c r="B115" t="s">
        <v>30</v>
      </c>
      <c r="C115" t="s">
        <v>176</v>
      </c>
      <c r="D115" t="s">
        <v>319</v>
      </c>
      <c r="E115" t="s">
        <v>320</v>
      </c>
      <c r="F115" t="s">
        <v>321</v>
      </c>
      <c r="G115">
        <v>0</v>
      </c>
      <c r="H115">
        <v>0</v>
      </c>
      <c r="I115" t="b">
        <v>1</v>
      </c>
      <c r="J115">
        <v>2226654</v>
      </c>
      <c r="K115">
        <v>2226654</v>
      </c>
      <c r="L115" t="b">
        <v>1</v>
      </c>
      <c r="M115">
        <v>2117000</v>
      </c>
      <c r="N115">
        <v>2117000</v>
      </c>
      <c r="O115" t="b">
        <f t="shared" si="6"/>
        <v>1</v>
      </c>
      <c r="P115">
        <v>0</v>
      </c>
      <c r="Q115">
        <v>0</v>
      </c>
      <c r="R115" t="b">
        <v>1</v>
      </c>
      <c r="S115">
        <v>109654</v>
      </c>
      <c r="T115">
        <v>109654</v>
      </c>
      <c r="U115" t="b">
        <f t="shared" si="7"/>
        <v>1</v>
      </c>
      <c r="V115">
        <v>1283640</v>
      </c>
      <c r="W115">
        <v>1335025.02</v>
      </c>
      <c r="X115" t="b">
        <f t="shared" si="8"/>
        <v>0</v>
      </c>
      <c r="Y115">
        <v>1260505.02</v>
      </c>
      <c r="Z115">
        <v>1260505.02</v>
      </c>
      <c r="AA115" t="b">
        <f t="shared" si="9"/>
        <v>1</v>
      </c>
      <c r="AB115">
        <v>1258076.02</v>
      </c>
      <c r="AC115">
        <v>1258076.02</v>
      </c>
      <c r="AD115" t="b">
        <f t="shared" si="10"/>
        <v>1</v>
      </c>
      <c r="AE115">
        <v>2429</v>
      </c>
      <c r="AF115">
        <v>2429</v>
      </c>
      <c r="AG115" t="b">
        <f t="shared" si="11"/>
        <v>1</v>
      </c>
      <c r="AH115">
        <v>0</v>
      </c>
      <c r="AI115">
        <v>0</v>
      </c>
      <c r="AJ115" t="b">
        <v>1</v>
      </c>
      <c r="AK115">
        <v>1283640</v>
      </c>
      <c r="AL115">
        <v>1335025.02</v>
      </c>
      <c r="AM115">
        <v>109654</v>
      </c>
      <c r="AN115">
        <v>109654</v>
      </c>
    </row>
    <row r="116" spans="1:40">
      <c r="A116">
        <v>45758</v>
      </c>
      <c r="B116" t="s">
        <v>30</v>
      </c>
      <c r="C116" t="s">
        <v>176</v>
      </c>
      <c r="D116" t="s">
        <v>322</v>
      </c>
      <c r="E116" t="s">
        <v>323</v>
      </c>
      <c r="F116" t="s">
        <v>324</v>
      </c>
      <c r="G116">
        <v>581460</v>
      </c>
      <c r="H116">
        <v>581460</v>
      </c>
      <c r="I116" t="b">
        <v>1</v>
      </c>
      <c r="J116">
        <v>581460</v>
      </c>
      <c r="K116">
        <v>581460</v>
      </c>
      <c r="L116" t="b">
        <v>1</v>
      </c>
      <c r="M116">
        <v>0</v>
      </c>
      <c r="N116">
        <v>0</v>
      </c>
      <c r="O116" t="b">
        <f t="shared" si="6"/>
        <v>1</v>
      </c>
      <c r="P116">
        <v>581460</v>
      </c>
      <c r="Q116">
        <v>581460</v>
      </c>
      <c r="R116" t="b">
        <v>0</v>
      </c>
      <c r="S116">
        <v>0</v>
      </c>
      <c r="T116">
        <v>0</v>
      </c>
      <c r="U116" t="b">
        <f t="shared" si="7"/>
        <v>1</v>
      </c>
      <c r="V116">
        <v>83363</v>
      </c>
      <c r="W116">
        <v>83363</v>
      </c>
      <c r="X116" t="b">
        <f t="shared" si="8"/>
        <v>1</v>
      </c>
      <c r="Y116">
        <v>197038</v>
      </c>
      <c r="Z116">
        <v>197038</v>
      </c>
      <c r="AA116" t="b">
        <f t="shared" si="9"/>
        <v>1</v>
      </c>
      <c r="AB116">
        <v>243675</v>
      </c>
      <c r="AC116">
        <v>243675</v>
      </c>
      <c r="AD116" t="b">
        <f t="shared" si="10"/>
        <v>1</v>
      </c>
      <c r="AE116">
        <v>0</v>
      </c>
      <c r="AF116">
        <v>0</v>
      </c>
      <c r="AG116" t="b">
        <f t="shared" si="11"/>
        <v>1</v>
      </c>
      <c r="AH116">
        <v>46637</v>
      </c>
      <c r="AI116">
        <v>46637</v>
      </c>
      <c r="AJ116" t="b">
        <v>0</v>
      </c>
      <c r="AK116">
        <v>498097</v>
      </c>
      <c r="AL116">
        <v>498097</v>
      </c>
      <c r="AM116">
        <v>46637</v>
      </c>
      <c r="AN116">
        <v>46637</v>
      </c>
    </row>
    <row r="117" spans="1:40">
      <c r="A117">
        <v>45758</v>
      </c>
      <c r="B117" t="s">
        <v>35</v>
      </c>
      <c r="C117" t="s">
        <v>169</v>
      </c>
      <c r="D117" t="s">
        <v>55</v>
      </c>
      <c r="E117" t="s">
        <v>325</v>
      </c>
      <c r="F117" t="s">
        <v>326</v>
      </c>
      <c r="G117">
        <v>0</v>
      </c>
      <c r="H117">
        <v>0</v>
      </c>
      <c r="I117" t="b">
        <v>1</v>
      </c>
      <c r="J117">
        <v>0</v>
      </c>
      <c r="K117">
        <v>0</v>
      </c>
      <c r="L117" t="b">
        <v>1</v>
      </c>
      <c r="M117">
        <v>0</v>
      </c>
      <c r="N117">
        <v>0</v>
      </c>
      <c r="O117" t="b">
        <f t="shared" si="6"/>
        <v>1</v>
      </c>
      <c r="P117">
        <v>0</v>
      </c>
      <c r="Q117">
        <v>0</v>
      </c>
      <c r="R117" t="b">
        <v>1</v>
      </c>
      <c r="S117">
        <v>0</v>
      </c>
      <c r="T117">
        <v>0</v>
      </c>
      <c r="U117" t="b">
        <f t="shared" si="7"/>
        <v>1</v>
      </c>
      <c r="V117">
        <v>0</v>
      </c>
      <c r="W117">
        <v>0</v>
      </c>
      <c r="X117" t="b">
        <f t="shared" si="8"/>
        <v>1</v>
      </c>
      <c r="Y117">
        <v>42110</v>
      </c>
      <c r="Z117">
        <v>42110</v>
      </c>
      <c r="AA117" t="b">
        <f t="shared" si="9"/>
        <v>1</v>
      </c>
      <c r="AB117">
        <v>42110</v>
      </c>
      <c r="AC117">
        <v>42110</v>
      </c>
      <c r="AD117" t="b">
        <f t="shared" si="10"/>
        <v>1</v>
      </c>
      <c r="AE117">
        <v>0</v>
      </c>
      <c r="AF117">
        <v>0</v>
      </c>
      <c r="AG117" t="b">
        <f t="shared" si="11"/>
        <v>1</v>
      </c>
      <c r="AH117">
        <v>0</v>
      </c>
      <c r="AI117">
        <v>0</v>
      </c>
      <c r="AJ117" t="b">
        <v>1</v>
      </c>
      <c r="AK117">
        <v>0</v>
      </c>
      <c r="AL117">
        <v>0</v>
      </c>
      <c r="AM117">
        <v>0</v>
      </c>
      <c r="AN117">
        <v>0</v>
      </c>
    </row>
    <row r="118" spans="1:40">
      <c r="A118">
        <v>45758</v>
      </c>
      <c r="B118" t="s">
        <v>78</v>
      </c>
      <c r="C118" t="s">
        <v>169</v>
      </c>
      <c r="D118" t="s">
        <v>79</v>
      </c>
      <c r="E118" t="s">
        <v>327</v>
      </c>
      <c r="F118" t="s">
        <v>328</v>
      </c>
      <c r="G118">
        <v>0</v>
      </c>
      <c r="H118">
        <v>0</v>
      </c>
      <c r="I118" t="b">
        <v>1</v>
      </c>
      <c r="J118">
        <v>0</v>
      </c>
      <c r="K118">
        <v>0</v>
      </c>
      <c r="L118" t="b">
        <v>1</v>
      </c>
      <c r="M118">
        <v>0</v>
      </c>
      <c r="N118">
        <v>0</v>
      </c>
      <c r="O118" t="b">
        <f t="shared" si="6"/>
        <v>1</v>
      </c>
      <c r="P118">
        <v>0</v>
      </c>
      <c r="Q118">
        <v>0</v>
      </c>
      <c r="R118" t="b">
        <v>1</v>
      </c>
      <c r="S118">
        <v>0</v>
      </c>
      <c r="T118">
        <v>0</v>
      </c>
      <c r="U118" t="b">
        <f t="shared" si="7"/>
        <v>1</v>
      </c>
      <c r="V118">
        <v>0</v>
      </c>
      <c r="W118">
        <v>0</v>
      </c>
      <c r="X118" t="b">
        <f t="shared" si="8"/>
        <v>1</v>
      </c>
      <c r="Y118">
        <v>330740</v>
      </c>
      <c r="Z118">
        <v>330740</v>
      </c>
      <c r="AA118" t="b">
        <f t="shared" si="9"/>
        <v>1</v>
      </c>
      <c r="AB118">
        <v>330740</v>
      </c>
      <c r="AC118">
        <v>330740</v>
      </c>
      <c r="AD118" t="b">
        <f t="shared" si="10"/>
        <v>1</v>
      </c>
      <c r="AE118">
        <v>0</v>
      </c>
      <c r="AF118">
        <v>0</v>
      </c>
      <c r="AG118" t="b">
        <f t="shared" si="11"/>
        <v>1</v>
      </c>
      <c r="AH118">
        <v>0</v>
      </c>
      <c r="AI118">
        <v>0</v>
      </c>
      <c r="AJ118" t="b">
        <v>1</v>
      </c>
      <c r="AK118">
        <v>0</v>
      </c>
      <c r="AL118">
        <v>0</v>
      </c>
      <c r="AM118">
        <v>0</v>
      </c>
      <c r="AN118">
        <v>0</v>
      </c>
    </row>
    <row r="119" spans="1:40">
      <c r="A119">
        <v>45758</v>
      </c>
      <c r="B119" t="s">
        <v>30</v>
      </c>
      <c r="C119" t="s">
        <v>176</v>
      </c>
      <c r="D119" t="s">
        <v>151</v>
      </c>
      <c r="E119" t="s">
        <v>329</v>
      </c>
      <c r="F119" t="s">
        <v>330</v>
      </c>
      <c r="G119">
        <v>3500020</v>
      </c>
      <c r="H119">
        <v>4180020</v>
      </c>
      <c r="I119" t="b">
        <v>0</v>
      </c>
      <c r="J119">
        <v>0</v>
      </c>
      <c r="K119">
        <v>680000</v>
      </c>
      <c r="L119" t="b">
        <v>0</v>
      </c>
      <c r="M119">
        <v>2839466</v>
      </c>
      <c r="N119">
        <v>2820020</v>
      </c>
      <c r="O119" t="b">
        <f t="shared" si="6"/>
        <v>0</v>
      </c>
      <c r="P119">
        <v>0</v>
      </c>
      <c r="Q119">
        <v>0</v>
      </c>
      <c r="R119" t="b">
        <v>1</v>
      </c>
      <c r="S119">
        <v>2839466</v>
      </c>
      <c r="T119">
        <v>3500020</v>
      </c>
      <c r="U119" t="b">
        <f t="shared" si="7"/>
        <v>0</v>
      </c>
      <c r="V119">
        <v>3027640.8</v>
      </c>
      <c r="W119">
        <v>3033592.8</v>
      </c>
      <c r="X119" t="b">
        <f t="shared" si="8"/>
        <v>0</v>
      </c>
      <c r="Y119">
        <v>1187782</v>
      </c>
      <c r="Z119">
        <v>1187782</v>
      </c>
      <c r="AA119" t="b">
        <f t="shared" si="9"/>
        <v>1</v>
      </c>
      <c r="AB119">
        <v>1612238</v>
      </c>
      <c r="AC119">
        <v>1612238</v>
      </c>
      <c r="AD119" t="b">
        <f t="shared" si="10"/>
        <v>1</v>
      </c>
      <c r="AE119">
        <v>0</v>
      </c>
      <c r="AF119">
        <v>0</v>
      </c>
      <c r="AG119" t="b">
        <f t="shared" si="11"/>
        <v>1</v>
      </c>
      <c r="AH119">
        <v>2800020</v>
      </c>
      <c r="AI119">
        <v>2800020</v>
      </c>
      <c r="AJ119" t="b">
        <v>1</v>
      </c>
      <c r="AK119">
        <v>472379.2</v>
      </c>
      <c r="AL119">
        <v>1146427.2</v>
      </c>
      <c r="AM119">
        <v>20000</v>
      </c>
      <c r="AN119">
        <v>700000</v>
      </c>
    </row>
    <row r="120" spans="1:40">
      <c r="A120">
        <v>45758</v>
      </c>
      <c r="B120" t="s">
        <v>30</v>
      </c>
      <c r="C120" t="s">
        <v>176</v>
      </c>
      <c r="D120" t="s">
        <v>206</v>
      </c>
      <c r="E120" t="s">
        <v>331</v>
      </c>
      <c r="F120" t="s">
        <v>332</v>
      </c>
      <c r="G120">
        <v>2929136.25</v>
      </c>
      <c r="H120">
        <v>2929136.25</v>
      </c>
      <c r="I120" t="b">
        <v>1</v>
      </c>
      <c r="J120">
        <v>4753266.25</v>
      </c>
      <c r="K120">
        <v>4753266.25</v>
      </c>
      <c r="L120" t="b">
        <v>1</v>
      </c>
      <c r="M120">
        <v>0</v>
      </c>
      <c r="N120">
        <v>0</v>
      </c>
      <c r="O120" t="b">
        <f t="shared" si="6"/>
        <v>1</v>
      </c>
      <c r="P120">
        <v>0</v>
      </c>
      <c r="Q120">
        <v>0</v>
      </c>
      <c r="R120" t="b">
        <v>1</v>
      </c>
      <c r="S120">
        <v>4753266.25</v>
      </c>
      <c r="T120">
        <v>4753266.25</v>
      </c>
      <c r="U120" t="b">
        <f t="shared" si="7"/>
        <v>1</v>
      </c>
      <c r="V120">
        <v>924455</v>
      </c>
      <c r="W120">
        <v>924455</v>
      </c>
      <c r="X120" t="b">
        <f t="shared" si="8"/>
        <v>1</v>
      </c>
      <c r="Y120">
        <v>924455</v>
      </c>
      <c r="Z120">
        <v>924455</v>
      </c>
      <c r="AA120" t="b">
        <f t="shared" si="9"/>
        <v>1</v>
      </c>
      <c r="AB120">
        <v>3115821.31</v>
      </c>
      <c r="AC120">
        <v>3115821.31</v>
      </c>
      <c r="AD120" t="b">
        <f t="shared" si="10"/>
        <v>1</v>
      </c>
      <c r="AE120">
        <v>0</v>
      </c>
      <c r="AF120">
        <v>0</v>
      </c>
      <c r="AG120" t="b">
        <f t="shared" si="11"/>
        <v>1</v>
      </c>
      <c r="AH120">
        <v>4040276.31</v>
      </c>
      <c r="AI120">
        <v>4040276.31</v>
      </c>
      <c r="AJ120" t="b">
        <v>1</v>
      </c>
      <c r="AK120">
        <v>2004681.25</v>
      </c>
      <c r="AL120">
        <v>2004681.25</v>
      </c>
      <c r="AM120">
        <v>712989.94</v>
      </c>
      <c r="AN120">
        <v>712989.94</v>
      </c>
    </row>
    <row r="121" spans="1:40">
      <c r="A121">
        <v>45758</v>
      </c>
      <c r="B121" t="s">
        <v>35</v>
      </c>
      <c r="C121" t="s">
        <v>169</v>
      </c>
      <c r="D121" t="s">
        <v>93</v>
      </c>
      <c r="E121" t="s">
        <v>333</v>
      </c>
      <c r="F121" t="s">
        <v>334</v>
      </c>
      <c r="G121">
        <v>0</v>
      </c>
      <c r="H121">
        <v>1372057.5</v>
      </c>
      <c r="I121" t="b">
        <v>0</v>
      </c>
      <c r="J121">
        <v>0</v>
      </c>
      <c r="K121">
        <v>1372057.5</v>
      </c>
      <c r="L121" t="b">
        <v>0</v>
      </c>
      <c r="M121">
        <v>0</v>
      </c>
      <c r="N121">
        <v>0</v>
      </c>
      <c r="O121" t="b">
        <f t="shared" si="6"/>
        <v>1</v>
      </c>
      <c r="P121">
        <v>0</v>
      </c>
      <c r="Q121">
        <v>1372057.5</v>
      </c>
      <c r="R121" t="b">
        <v>0</v>
      </c>
      <c r="S121">
        <v>0</v>
      </c>
      <c r="T121">
        <v>0</v>
      </c>
      <c r="U121" t="b">
        <f t="shared" si="7"/>
        <v>1</v>
      </c>
      <c r="V121">
        <v>985399</v>
      </c>
      <c r="W121">
        <v>985399</v>
      </c>
      <c r="X121" t="b">
        <f t="shared" si="8"/>
        <v>1</v>
      </c>
      <c r="Y121">
        <v>1021439</v>
      </c>
      <c r="Z121">
        <v>1021439</v>
      </c>
      <c r="AA121" t="b">
        <f t="shared" si="9"/>
        <v>1</v>
      </c>
      <c r="AB121">
        <v>1021439</v>
      </c>
      <c r="AC121">
        <v>1021439</v>
      </c>
      <c r="AD121" t="b">
        <f t="shared" si="10"/>
        <v>1</v>
      </c>
      <c r="AE121">
        <v>0</v>
      </c>
      <c r="AF121">
        <v>0</v>
      </c>
      <c r="AG121" t="b">
        <f t="shared" si="11"/>
        <v>1</v>
      </c>
      <c r="AH121">
        <v>0</v>
      </c>
      <c r="AI121">
        <v>0</v>
      </c>
      <c r="AJ121" t="b">
        <v>1</v>
      </c>
      <c r="AK121">
        <v>985399</v>
      </c>
      <c r="AL121">
        <v>386658.5</v>
      </c>
      <c r="AM121">
        <v>0</v>
      </c>
      <c r="AN121">
        <v>0</v>
      </c>
    </row>
    <row r="122" spans="1:40">
      <c r="A122">
        <v>45758</v>
      </c>
      <c r="B122" t="s">
        <v>30</v>
      </c>
      <c r="C122" t="s">
        <v>176</v>
      </c>
      <c r="D122" t="s">
        <v>335</v>
      </c>
      <c r="E122" t="s">
        <v>336</v>
      </c>
      <c r="F122" t="s">
        <v>337</v>
      </c>
      <c r="G122">
        <v>0</v>
      </c>
      <c r="H122">
        <v>0</v>
      </c>
      <c r="I122" t="b">
        <v>1</v>
      </c>
      <c r="J122">
        <v>63910</v>
      </c>
      <c r="K122">
        <v>63910</v>
      </c>
      <c r="L122" t="b">
        <v>1</v>
      </c>
      <c r="M122">
        <v>64000</v>
      </c>
      <c r="N122">
        <v>64000</v>
      </c>
      <c r="O122" t="b">
        <f t="shared" si="6"/>
        <v>1</v>
      </c>
      <c r="P122">
        <v>0</v>
      </c>
      <c r="Q122">
        <v>0</v>
      </c>
      <c r="R122" t="b">
        <v>1</v>
      </c>
      <c r="S122">
        <v>90</v>
      </c>
      <c r="T122">
        <v>90</v>
      </c>
      <c r="U122" t="b">
        <f t="shared" si="7"/>
        <v>1</v>
      </c>
      <c r="V122">
        <v>0</v>
      </c>
      <c r="W122">
        <v>0</v>
      </c>
      <c r="X122" t="b">
        <f t="shared" si="8"/>
        <v>1</v>
      </c>
      <c r="Y122">
        <v>12149.44</v>
      </c>
      <c r="Z122">
        <v>700</v>
      </c>
      <c r="AA122" t="b">
        <f t="shared" si="9"/>
        <v>0</v>
      </c>
      <c r="AB122">
        <v>700</v>
      </c>
      <c r="AC122">
        <v>700</v>
      </c>
      <c r="AD122" t="b">
        <f t="shared" si="10"/>
        <v>1</v>
      </c>
      <c r="AE122">
        <v>0</v>
      </c>
      <c r="AF122">
        <v>0</v>
      </c>
      <c r="AG122" t="b">
        <f t="shared" si="11"/>
        <v>1</v>
      </c>
      <c r="AH122">
        <v>11449.44</v>
      </c>
      <c r="AI122">
        <v>0</v>
      </c>
      <c r="AJ122" t="b">
        <v>0</v>
      </c>
      <c r="AK122">
        <v>0</v>
      </c>
      <c r="AL122">
        <v>0</v>
      </c>
      <c r="AM122">
        <v>11539.44</v>
      </c>
      <c r="AN122">
        <v>90</v>
      </c>
    </row>
    <row r="123" spans="1:40">
      <c r="A123">
        <v>45758</v>
      </c>
      <c r="B123" t="s">
        <v>30</v>
      </c>
      <c r="C123" t="s">
        <v>176</v>
      </c>
      <c r="D123" t="s">
        <v>338</v>
      </c>
      <c r="E123" t="s">
        <v>339</v>
      </c>
      <c r="F123" t="s">
        <v>340</v>
      </c>
      <c r="G123">
        <v>13665000</v>
      </c>
      <c r="H123">
        <v>13665000</v>
      </c>
      <c r="I123" t="b">
        <v>1</v>
      </c>
      <c r="J123">
        <v>8295000</v>
      </c>
      <c r="K123">
        <v>8295000</v>
      </c>
      <c r="L123" t="b">
        <v>1</v>
      </c>
      <c r="M123">
        <v>33211000</v>
      </c>
      <c r="N123">
        <v>33211000</v>
      </c>
      <c r="O123" t="b">
        <f t="shared" si="6"/>
        <v>1</v>
      </c>
      <c r="P123">
        <v>0</v>
      </c>
      <c r="Q123">
        <v>0</v>
      </c>
      <c r="R123" t="b">
        <v>1</v>
      </c>
      <c r="S123">
        <v>41506000</v>
      </c>
      <c r="T123">
        <v>41506000</v>
      </c>
      <c r="U123" t="b">
        <f t="shared" si="7"/>
        <v>1</v>
      </c>
      <c r="V123">
        <v>31640035.8</v>
      </c>
      <c r="W123">
        <v>31879447.28</v>
      </c>
      <c r="X123" t="b">
        <f t="shared" si="8"/>
        <v>0</v>
      </c>
      <c r="Y123">
        <v>18769147.36</v>
      </c>
      <c r="Z123">
        <v>18768742.36</v>
      </c>
      <c r="AA123" t="b">
        <f t="shared" si="9"/>
        <v>0</v>
      </c>
      <c r="AB123">
        <v>21458605.47</v>
      </c>
      <c r="AC123">
        <v>21458605.47</v>
      </c>
      <c r="AD123" t="b">
        <f t="shared" si="10"/>
        <v>1</v>
      </c>
      <c r="AE123">
        <v>4535000</v>
      </c>
      <c r="AF123">
        <v>4535000</v>
      </c>
      <c r="AG123" t="b">
        <f t="shared" si="11"/>
        <v>1</v>
      </c>
      <c r="AH123">
        <v>35692752.83</v>
      </c>
      <c r="AI123">
        <v>35692347.83</v>
      </c>
      <c r="AJ123" t="b">
        <v>0</v>
      </c>
      <c r="AK123">
        <v>17975035.8</v>
      </c>
      <c r="AL123">
        <v>18214447.28</v>
      </c>
      <c r="AM123">
        <v>5813247.17</v>
      </c>
      <c r="AN123">
        <v>5813652.17</v>
      </c>
    </row>
    <row r="124" spans="1:40">
      <c r="A124">
        <v>45758</v>
      </c>
      <c r="B124" t="s">
        <v>45</v>
      </c>
      <c r="C124" t="s">
        <v>191</v>
      </c>
      <c r="D124" t="s">
        <v>49</v>
      </c>
      <c r="E124" t="s">
        <v>341</v>
      </c>
      <c r="F124" t="s">
        <v>342</v>
      </c>
      <c r="G124">
        <v>0</v>
      </c>
      <c r="H124">
        <v>0</v>
      </c>
      <c r="I124" t="b">
        <v>1</v>
      </c>
      <c r="J124">
        <v>7760453</v>
      </c>
      <c r="K124">
        <v>7760453</v>
      </c>
      <c r="L124" t="b">
        <v>1</v>
      </c>
      <c r="M124">
        <v>4904900</v>
      </c>
      <c r="N124">
        <v>4904900</v>
      </c>
      <c r="O124" t="b">
        <f t="shared" si="6"/>
        <v>1</v>
      </c>
      <c r="P124">
        <v>0</v>
      </c>
      <c r="Q124">
        <v>0</v>
      </c>
      <c r="R124" t="b">
        <v>1</v>
      </c>
      <c r="S124">
        <v>2855553</v>
      </c>
      <c r="T124">
        <v>2855553</v>
      </c>
      <c r="U124" t="b">
        <f t="shared" si="7"/>
        <v>1</v>
      </c>
      <c r="V124">
        <v>4576291.19</v>
      </c>
      <c r="W124">
        <v>4610958.19</v>
      </c>
      <c r="X124" t="b">
        <f t="shared" si="8"/>
        <v>0</v>
      </c>
      <c r="Y124">
        <v>1337624.19</v>
      </c>
      <c r="Z124">
        <v>1337624.19</v>
      </c>
      <c r="AA124" t="b">
        <f t="shared" si="9"/>
        <v>1</v>
      </c>
      <c r="AB124">
        <v>219954.19</v>
      </c>
      <c r="AC124">
        <v>219954.19</v>
      </c>
      <c r="AD124" t="b">
        <f t="shared" si="10"/>
        <v>1</v>
      </c>
      <c r="AE124">
        <v>6450</v>
      </c>
      <c r="AF124">
        <v>6450</v>
      </c>
      <c r="AG124" t="b">
        <f t="shared" si="11"/>
        <v>1</v>
      </c>
      <c r="AH124">
        <v>1111220</v>
      </c>
      <c r="AI124">
        <v>1111220</v>
      </c>
      <c r="AJ124" t="b">
        <v>1</v>
      </c>
      <c r="AK124">
        <v>4576291.19</v>
      </c>
      <c r="AL124">
        <v>4610958.19</v>
      </c>
      <c r="AM124">
        <v>1744333</v>
      </c>
      <c r="AN124">
        <v>1744333</v>
      </c>
    </row>
    <row r="125" spans="1:40">
      <c r="A125">
        <v>45758</v>
      </c>
      <c r="B125" t="s">
        <v>30</v>
      </c>
      <c r="C125" t="s">
        <v>176</v>
      </c>
      <c r="D125" t="s">
        <v>343</v>
      </c>
      <c r="E125" t="s">
        <v>344</v>
      </c>
      <c r="F125" t="s">
        <v>345</v>
      </c>
      <c r="G125">
        <v>0</v>
      </c>
      <c r="H125">
        <v>0</v>
      </c>
      <c r="I125" t="b">
        <v>1</v>
      </c>
      <c r="J125">
        <v>0</v>
      </c>
      <c r="K125">
        <v>11000</v>
      </c>
      <c r="L125" t="b">
        <v>0</v>
      </c>
      <c r="M125">
        <v>10000</v>
      </c>
      <c r="N125">
        <v>10000</v>
      </c>
      <c r="O125" t="b">
        <f t="shared" si="6"/>
        <v>1</v>
      </c>
      <c r="P125">
        <v>0</v>
      </c>
      <c r="Q125">
        <v>0</v>
      </c>
      <c r="R125" t="b">
        <v>1</v>
      </c>
      <c r="S125">
        <v>10000</v>
      </c>
      <c r="T125">
        <v>1000</v>
      </c>
      <c r="U125" t="b">
        <f t="shared" si="7"/>
        <v>0</v>
      </c>
      <c r="V125">
        <v>0</v>
      </c>
      <c r="W125">
        <v>0</v>
      </c>
      <c r="X125" t="b">
        <f t="shared" si="8"/>
        <v>1</v>
      </c>
      <c r="Y125">
        <v>0</v>
      </c>
      <c r="Z125">
        <v>0</v>
      </c>
      <c r="AA125" t="b">
        <f t="shared" si="9"/>
        <v>1</v>
      </c>
      <c r="AB125">
        <v>0</v>
      </c>
      <c r="AC125">
        <v>0</v>
      </c>
      <c r="AD125" t="b">
        <f t="shared" si="10"/>
        <v>1</v>
      </c>
      <c r="AE125">
        <v>0</v>
      </c>
      <c r="AF125">
        <v>0</v>
      </c>
      <c r="AG125" t="b">
        <f t="shared" si="11"/>
        <v>1</v>
      </c>
      <c r="AH125">
        <v>0</v>
      </c>
      <c r="AI125">
        <v>0</v>
      </c>
      <c r="AJ125" t="b">
        <v>1</v>
      </c>
      <c r="AK125">
        <v>0</v>
      </c>
      <c r="AL125">
        <v>0</v>
      </c>
      <c r="AM125">
        <v>10000</v>
      </c>
      <c r="AN125">
        <v>1000</v>
      </c>
    </row>
    <row r="126" spans="1:40">
      <c r="A126">
        <v>45758</v>
      </c>
      <c r="B126" t="s">
        <v>30</v>
      </c>
      <c r="C126" t="s">
        <v>176</v>
      </c>
      <c r="D126" t="s">
        <v>96</v>
      </c>
      <c r="E126" t="s">
        <v>346</v>
      </c>
      <c r="F126" t="s">
        <v>347</v>
      </c>
      <c r="G126">
        <v>0</v>
      </c>
      <c r="H126">
        <v>0</v>
      </c>
      <c r="I126" t="b">
        <v>1</v>
      </c>
      <c r="J126">
        <v>0</v>
      </c>
      <c r="K126">
        <v>0</v>
      </c>
      <c r="L126" t="b">
        <v>1</v>
      </c>
      <c r="M126">
        <v>0</v>
      </c>
      <c r="N126">
        <v>0</v>
      </c>
      <c r="O126" t="b">
        <f t="shared" si="6"/>
        <v>1</v>
      </c>
      <c r="P126">
        <v>0</v>
      </c>
      <c r="Q126">
        <v>0</v>
      </c>
      <c r="R126" t="b">
        <v>1</v>
      </c>
      <c r="S126">
        <v>0</v>
      </c>
      <c r="T126">
        <v>0</v>
      </c>
      <c r="U126" t="b">
        <f t="shared" si="7"/>
        <v>1</v>
      </c>
      <c r="V126">
        <v>0</v>
      </c>
      <c r="W126">
        <v>0</v>
      </c>
      <c r="X126" t="b">
        <f t="shared" si="8"/>
        <v>1</v>
      </c>
      <c r="Y126">
        <v>330000</v>
      </c>
      <c r="Z126">
        <v>330000</v>
      </c>
      <c r="AA126" t="b">
        <f t="shared" si="9"/>
        <v>1</v>
      </c>
      <c r="AB126">
        <v>330000</v>
      </c>
      <c r="AC126">
        <v>330000</v>
      </c>
      <c r="AD126" t="b">
        <f t="shared" si="10"/>
        <v>1</v>
      </c>
      <c r="AE126">
        <v>0</v>
      </c>
      <c r="AF126">
        <v>0</v>
      </c>
      <c r="AG126" t="b">
        <f t="shared" si="11"/>
        <v>1</v>
      </c>
      <c r="AH126">
        <v>0</v>
      </c>
      <c r="AI126">
        <v>0</v>
      </c>
      <c r="AJ126" t="b">
        <v>1</v>
      </c>
      <c r="AK126">
        <v>0</v>
      </c>
      <c r="AL126">
        <v>0</v>
      </c>
      <c r="AM126">
        <v>0</v>
      </c>
      <c r="AN126">
        <v>0</v>
      </c>
    </row>
    <row r="127" spans="1:40">
      <c r="A127">
        <v>45758</v>
      </c>
      <c r="B127" t="s">
        <v>78</v>
      </c>
      <c r="C127" t="s">
        <v>169</v>
      </c>
      <c r="D127" t="s">
        <v>79</v>
      </c>
      <c r="E127" t="s">
        <v>348</v>
      </c>
      <c r="F127" t="s">
        <v>349</v>
      </c>
      <c r="G127">
        <v>1679447</v>
      </c>
      <c r="H127">
        <v>1679447</v>
      </c>
      <c r="I127" t="b">
        <v>1</v>
      </c>
      <c r="J127">
        <v>909447</v>
      </c>
      <c r="K127">
        <v>909447</v>
      </c>
      <c r="L127" t="b">
        <v>1</v>
      </c>
      <c r="M127">
        <v>0</v>
      </c>
      <c r="N127">
        <v>0</v>
      </c>
      <c r="O127" t="b">
        <f t="shared" si="6"/>
        <v>1</v>
      </c>
      <c r="P127">
        <v>0</v>
      </c>
      <c r="Q127">
        <v>0</v>
      </c>
      <c r="R127" t="b">
        <v>1</v>
      </c>
      <c r="S127">
        <v>909447</v>
      </c>
      <c r="T127">
        <v>909447</v>
      </c>
      <c r="U127" t="b">
        <f t="shared" si="7"/>
        <v>1</v>
      </c>
      <c r="V127">
        <v>351760</v>
      </c>
      <c r="W127">
        <v>364700</v>
      </c>
      <c r="X127" t="b">
        <f t="shared" si="8"/>
        <v>0</v>
      </c>
      <c r="Y127">
        <v>614211</v>
      </c>
      <c r="Z127">
        <v>614211</v>
      </c>
      <c r="AA127" t="b">
        <f t="shared" si="9"/>
        <v>1</v>
      </c>
      <c r="AB127">
        <v>110540</v>
      </c>
      <c r="AC127">
        <v>110540</v>
      </c>
      <c r="AD127" t="b">
        <f t="shared" si="10"/>
        <v>1</v>
      </c>
      <c r="AE127">
        <v>0</v>
      </c>
      <c r="AF127">
        <v>0</v>
      </c>
      <c r="AG127" t="b">
        <f t="shared" si="11"/>
        <v>1</v>
      </c>
      <c r="AH127">
        <v>724751</v>
      </c>
      <c r="AI127">
        <v>724751</v>
      </c>
      <c r="AJ127" t="b">
        <v>1</v>
      </c>
      <c r="AK127">
        <v>1327687</v>
      </c>
      <c r="AL127">
        <v>1314747</v>
      </c>
      <c r="AM127">
        <v>184696</v>
      </c>
      <c r="AN127">
        <v>184696</v>
      </c>
    </row>
    <row r="128" spans="1:40">
      <c r="A128">
        <v>45758</v>
      </c>
      <c r="B128" t="s">
        <v>78</v>
      </c>
      <c r="C128" t="s">
        <v>169</v>
      </c>
      <c r="D128" t="s">
        <v>105</v>
      </c>
      <c r="E128" t="s">
        <v>350</v>
      </c>
      <c r="F128" t="s">
        <v>351</v>
      </c>
      <c r="G128">
        <v>0</v>
      </c>
      <c r="H128">
        <v>0</v>
      </c>
      <c r="I128" t="b">
        <v>1</v>
      </c>
      <c r="J128">
        <v>337700</v>
      </c>
      <c r="K128">
        <v>337700</v>
      </c>
      <c r="L128" t="b">
        <v>1</v>
      </c>
      <c r="M128">
        <v>337700</v>
      </c>
      <c r="N128">
        <v>337700</v>
      </c>
      <c r="O128" t="b">
        <f t="shared" si="6"/>
        <v>1</v>
      </c>
      <c r="P128">
        <v>0</v>
      </c>
      <c r="Q128">
        <v>0</v>
      </c>
      <c r="R128" t="b">
        <v>1</v>
      </c>
      <c r="S128">
        <v>0</v>
      </c>
      <c r="T128">
        <v>0</v>
      </c>
      <c r="U128" t="b">
        <f t="shared" si="7"/>
        <v>1</v>
      </c>
      <c r="V128">
        <v>0</v>
      </c>
      <c r="W128">
        <v>0</v>
      </c>
      <c r="X128" t="b">
        <f t="shared" si="8"/>
        <v>1</v>
      </c>
      <c r="Y128">
        <v>255000</v>
      </c>
      <c r="Z128">
        <v>255000</v>
      </c>
      <c r="AA128" t="b">
        <f t="shared" si="9"/>
        <v>1</v>
      </c>
      <c r="AB128">
        <v>255000</v>
      </c>
      <c r="AC128">
        <v>255000</v>
      </c>
      <c r="AD128" t="b">
        <f t="shared" si="10"/>
        <v>1</v>
      </c>
      <c r="AE128">
        <v>0</v>
      </c>
      <c r="AF128">
        <v>0</v>
      </c>
      <c r="AG128" t="b">
        <f t="shared" si="11"/>
        <v>1</v>
      </c>
      <c r="AH128">
        <v>0</v>
      </c>
      <c r="AI128">
        <v>0</v>
      </c>
      <c r="AJ128" t="b">
        <v>1</v>
      </c>
      <c r="AK128">
        <v>0</v>
      </c>
      <c r="AL128">
        <v>0</v>
      </c>
      <c r="AM128">
        <v>0</v>
      </c>
      <c r="AN128">
        <v>0</v>
      </c>
    </row>
    <row r="129" spans="1:40">
      <c r="A129">
        <v>45758</v>
      </c>
      <c r="B129" t="s">
        <v>78</v>
      </c>
      <c r="C129" t="s">
        <v>169</v>
      </c>
      <c r="D129" t="s">
        <v>79</v>
      </c>
      <c r="E129" t="s">
        <v>352</v>
      </c>
      <c r="F129" t="s">
        <v>353</v>
      </c>
      <c r="G129">
        <v>86020</v>
      </c>
      <c r="H129">
        <v>86020</v>
      </c>
      <c r="I129" t="b">
        <v>1</v>
      </c>
      <c r="J129">
        <v>656271</v>
      </c>
      <c r="K129">
        <v>656271</v>
      </c>
      <c r="L129" t="b">
        <v>1</v>
      </c>
      <c r="M129">
        <v>656271</v>
      </c>
      <c r="N129">
        <v>656271</v>
      </c>
      <c r="O129" t="b">
        <f t="shared" si="6"/>
        <v>1</v>
      </c>
      <c r="P129">
        <v>0</v>
      </c>
      <c r="Q129">
        <v>0</v>
      </c>
      <c r="R129" t="b">
        <v>1</v>
      </c>
      <c r="S129">
        <v>0</v>
      </c>
      <c r="T129">
        <v>0</v>
      </c>
      <c r="U129" t="b">
        <f t="shared" si="7"/>
        <v>1</v>
      </c>
      <c r="V129">
        <v>0</v>
      </c>
      <c r="W129">
        <v>0</v>
      </c>
      <c r="X129" t="b">
        <f t="shared" si="8"/>
        <v>1</v>
      </c>
      <c r="Y129">
        <v>490814</v>
      </c>
      <c r="Z129">
        <v>490814</v>
      </c>
      <c r="AA129" t="b">
        <f t="shared" si="9"/>
        <v>1</v>
      </c>
      <c r="AB129">
        <v>490814</v>
      </c>
      <c r="AC129">
        <v>490814</v>
      </c>
      <c r="AD129" t="b">
        <f t="shared" si="10"/>
        <v>1</v>
      </c>
      <c r="AE129">
        <v>0</v>
      </c>
      <c r="AF129">
        <v>0</v>
      </c>
      <c r="AG129" t="b">
        <f t="shared" si="11"/>
        <v>1</v>
      </c>
      <c r="AH129">
        <v>0</v>
      </c>
      <c r="AI129">
        <v>0</v>
      </c>
      <c r="AJ129" t="b">
        <v>1</v>
      </c>
      <c r="AK129">
        <v>86020</v>
      </c>
      <c r="AL129">
        <v>86020</v>
      </c>
      <c r="AM129">
        <v>0</v>
      </c>
      <c r="AN129">
        <v>0</v>
      </c>
    </row>
    <row r="130" spans="1:40">
      <c r="A130">
        <v>45758</v>
      </c>
      <c r="B130" t="s">
        <v>30</v>
      </c>
      <c r="C130" t="s">
        <v>176</v>
      </c>
      <c r="D130" t="s">
        <v>114</v>
      </c>
      <c r="E130" t="s">
        <v>354</v>
      </c>
      <c r="F130" t="s">
        <v>355</v>
      </c>
      <c r="G130">
        <v>121792</v>
      </c>
      <c r="H130">
        <v>121792</v>
      </c>
      <c r="I130" t="b">
        <v>1</v>
      </c>
      <c r="J130">
        <v>121792</v>
      </c>
      <c r="K130">
        <v>121792</v>
      </c>
      <c r="L130" t="b">
        <v>1</v>
      </c>
      <c r="M130">
        <v>115008</v>
      </c>
      <c r="N130">
        <v>115008</v>
      </c>
      <c r="O130" t="b">
        <f t="shared" si="6"/>
        <v>1</v>
      </c>
      <c r="P130">
        <v>0</v>
      </c>
      <c r="Q130">
        <v>0</v>
      </c>
      <c r="R130" t="b">
        <v>1</v>
      </c>
      <c r="S130">
        <v>6784</v>
      </c>
      <c r="T130">
        <v>6784</v>
      </c>
      <c r="U130" t="b">
        <f t="shared" si="7"/>
        <v>1</v>
      </c>
      <c r="V130">
        <v>0</v>
      </c>
      <c r="W130">
        <v>0</v>
      </c>
      <c r="X130" t="b">
        <f t="shared" si="8"/>
        <v>1</v>
      </c>
      <c r="Y130">
        <v>0</v>
      </c>
      <c r="Z130">
        <v>0</v>
      </c>
      <c r="AA130" t="b">
        <f t="shared" si="9"/>
        <v>1</v>
      </c>
      <c r="AB130">
        <v>0</v>
      </c>
      <c r="AC130">
        <v>0</v>
      </c>
      <c r="AD130" t="b">
        <f t="shared" si="10"/>
        <v>1</v>
      </c>
      <c r="AE130">
        <v>0</v>
      </c>
      <c r="AF130">
        <v>0</v>
      </c>
      <c r="AG130" t="b">
        <f t="shared" si="11"/>
        <v>1</v>
      </c>
      <c r="AH130">
        <v>0</v>
      </c>
      <c r="AI130">
        <v>0</v>
      </c>
      <c r="AJ130" t="b">
        <v>1</v>
      </c>
      <c r="AK130">
        <v>121792</v>
      </c>
      <c r="AL130">
        <v>121792</v>
      </c>
      <c r="AM130">
        <v>6784</v>
      </c>
      <c r="AN130">
        <v>6784</v>
      </c>
    </row>
    <row r="131" spans="1:40">
      <c r="A131">
        <v>45758</v>
      </c>
      <c r="B131" t="s">
        <v>45</v>
      </c>
      <c r="C131" t="s">
        <v>191</v>
      </c>
      <c r="D131" t="s">
        <v>356</v>
      </c>
      <c r="E131" t="s">
        <v>357</v>
      </c>
      <c r="F131" t="s">
        <v>358</v>
      </c>
      <c r="G131">
        <v>0</v>
      </c>
      <c r="H131">
        <v>0</v>
      </c>
      <c r="I131" t="b">
        <v>1</v>
      </c>
      <c r="J131">
        <v>284211</v>
      </c>
      <c r="K131">
        <v>284211</v>
      </c>
      <c r="L131" t="b">
        <v>1</v>
      </c>
      <c r="M131">
        <v>284211</v>
      </c>
      <c r="N131">
        <v>284211</v>
      </c>
      <c r="O131" t="b">
        <f t="shared" ref="O131:O194" si="12">M131=N131</f>
        <v>1</v>
      </c>
      <c r="P131">
        <v>0</v>
      </c>
      <c r="Q131">
        <v>0</v>
      </c>
      <c r="R131" t="b">
        <v>1</v>
      </c>
      <c r="S131">
        <v>0</v>
      </c>
      <c r="T131">
        <v>0</v>
      </c>
      <c r="U131" t="b">
        <f t="shared" ref="U131:U194" si="13">S131=T131</f>
        <v>1</v>
      </c>
      <c r="V131">
        <v>175000</v>
      </c>
      <c r="W131">
        <v>175000</v>
      </c>
      <c r="X131" t="b">
        <f t="shared" ref="X131:X194" si="14">V131=W131</f>
        <v>1</v>
      </c>
      <c r="Y131">
        <v>0</v>
      </c>
      <c r="Z131">
        <v>0</v>
      </c>
      <c r="AA131" t="b">
        <f t="shared" ref="AA131:AA194" si="15">Y131=Z131</f>
        <v>1</v>
      </c>
      <c r="AB131">
        <v>0</v>
      </c>
      <c r="AC131">
        <v>0</v>
      </c>
      <c r="AD131" t="b">
        <f t="shared" ref="AD131:AD194" si="16">AB131=AC131</f>
        <v>1</v>
      </c>
      <c r="AE131">
        <v>0</v>
      </c>
      <c r="AF131">
        <v>0</v>
      </c>
      <c r="AG131" t="b">
        <f t="shared" ref="AG131:AG194" si="17">AE131=AF131</f>
        <v>1</v>
      </c>
      <c r="AH131">
        <v>0</v>
      </c>
      <c r="AI131">
        <v>0</v>
      </c>
      <c r="AJ131" t="b">
        <v>1</v>
      </c>
      <c r="AK131">
        <v>175000</v>
      </c>
      <c r="AL131">
        <v>175000</v>
      </c>
      <c r="AM131">
        <v>0</v>
      </c>
      <c r="AN131">
        <v>0</v>
      </c>
    </row>
    <row r="132" spans="1:40">
      <c r="A132">
        <v>45758</v>
      </c>
      <c r="B132" t="s">
        <v>35</v>
      </c>
      <c r="C132" t="s">
        <v>169</v>
      </c>
      <c r="D132" t="s">
        <v>55</v>
      </c>
      <c r="E132" t="s">
        <v>359</v>
      </c>
      <c r="F132" t="s">
        <v>360</v>
      </c>
      <c r="G132">
        <v>0</v>
      </c>
      <c r="H132">
        <v>0</v>
      </c>
      <c r="I132" t="b">
        <v>1</v>
      </c>
      <c r="J132">
        <v>0</v>
      </c>
      <c r="K132">
        <v>0</v>
      </c>
      <c r="L132" t="b">
        <v>1</v>
      </c>
      <c r="M132">
        <v>0</v>
      </c>
      <c r="N132">
        <v>0</v>
      </c>
      <c r="O132" t="b">
        <f t="shared" si="12"/>
        <v>1</v>
      </c>
      <c r="P132">
        <v>0</v>
      </c>
      <c r="Q132">
        <v>0</v>
      </c>
      <c r="R132" t="b">
        <v>1</v>
      </c>
      <c r="S132">
        <v>0</v>
      </c>
      <c r="T132">
        <v>0</v>
      </c>
      <c r="U132" t="b">
        <f t="shared" si="13"/>
        <v>1</v>
      </c>
      <c r="V132">
        <v>0</v>
      </c>
      <c r="W132">
        <v>0</v>
      </c>
      <c r="X132" t="b">
        <f t="shared" si="14"/>
        <v>1</v>
      </c>
      <c r="Y132">
        <v>22800</v>
      </c>
      <c r="Z132">
        <v>22800</v>
      </c>
      <c r="AA132" t="b">
        <f t="shared" si="15"/>
        <v>1</v>
      </c>
      <c r="AB132">
        <v>22800</v>
      </c>
      <c r="AC132">
        <v>22800</v>
      </c>
      <c r="AD132" t="b">
        <f t="shared" si="16"/>
        <v>1</v>
      </c>
      <c r="AE132">
        <v>0</v>
      </c>
      <c r="AF132">
        <v>0</v>
      </c>
      <c r="AG132" t="b">
        <f t="shared" si="17"/>
        <v>1</v>
      </c>
      <c r="AH132">
        <v>0</v>
      </c>
      <c r="AI132">
        <v>0</v>
      </c>
      <c r="AJ132" t="b">
        <v>1</v>
      </c>
      <c r="AK132">
        <v>0</v>
      </c>
      <c r="AL132">
        <v>0</v>
      </c>
      <c r="AM132">
        <v>0</v>
      </c>
      <c r="AN132">
        <v>0</v>
      </c>
    </row>
    <row r="133" spans="1:40">
      <c r="A133">
        <v>45758</v>
      </c>
      <c r="B133" t="s">
        <v>78</v>
      </c>
      <c r="C133" t="s">
        <v>169</v>
      </c>
      <c r="D133" t="s">
        <v>267</v>
      </c>
      <c r="E133" t="s">
        <v>361</v>
      </c>
      <c r="F133" t="s">
        <v>362</v>
      </c>
      <c r="G133">
        <v>186450</v>
      </c>
      <c r="H133">
        <v>186450</v>
      </c>
      <c r="I133" t="b">
        <v>1</v>
      </c>
      <c r="J133">
        <v>186450</v>
      </c>
      <c r="K133">
        <v>186450</v>
      </c>
      <c r="L133" t="b">
        <v>1</v>
      </c>
      <c r="M133">
        <v>186450</v>
      </c>
      <c r="N133">
        <v>186450</v>
      </c>
      <c r="O133" t="b">
        <f t="shared" si="12"/>
        <v>1</v>
      </c>
      <c r="P133">
        <v>0</v>
      </c>
      <c r="Q133">
        <v>0</v>
      </c>
      <c r="R133" t="b">
        <v>1</v>
      </c>
      <c r="S133">
        <v>0</v>
      </c>
      <c r="T133">
        <v>0</v>
      </c>
      <c r="U133" t="b">
        <f t="shared" si="13"/>
        <v>1</v>
      </c>
      <c r="V133">
        <v>0</v>
      </c>
      <c r="W133">
        <v>0</v>
      </c>
      <c r="X133" t="b">
        <f t="shared" si="14"/>
        <v>1</v>
      </c>
      <c r="Y133">
        <v>15000</v>
      </c>
      <c r="Z133">
        <v>15000</v>
      </c>
      <c r="AA133" t="b">
        <f t="shared" si="15"/>
        <v>1</v>
      </c>
      <c r="AB133">
        <v>15000</v>
      </c>
      <c r="AC133">
        <v>15000</v>
      </c>
      <c r="AD133" t="b">
        <f t="shared" si="16"/>
        <v>1</v>
      </c>
      <c r="AE133">
        <v>0</v>
      </c>
      <c r="AF133">
        <v>0</v>
      </c>
      <c r="AG133" t="b">
        <f t="shared" si="17"/>
        <v>1</v>
      </c>
      <c r="AH133">
        <v>0</v>
      </c>
      <c r="AI133">
        <v>0</v>
      </c>
      <c r="AJ133" t="b">
        <v>1</v>
      </c>
      <c r="AK133">
        <v>186450</v>
      </c>
      <c r="AL133">
        <v>186450</v>
      </c>
      <c r="AM133">
        <v>0</v>
      </c>
      <c r="AN133">
        <v>0</v>
      </c>
    </row>
    <row r="134" spans="1:40">
      <c r="A134">
        <v>45758</v>
      </c>
      <c r="B134" t="s">
        <v>30</v>
      </c>
      <c r="C134" t="s">
        <v>176</v>
      </c>
      <c r="D134" t="s">
        <v>363</v>
      </c>
      <c r="E134" t="s">
        <v>364</v>
      </c>
      <c r="F134" t="s">
        <v>365</v>
      </c>
      <c r="G134">
        <v>0</v>
      </c>
      <c r="H134">
        <v>0</v>
      </c>
      <c r="I134" t="b">
        <v>1</v>
      </c>
      <c r="J134">
        <v>197144</v>
      </c>
      <c r="K134">
        <v>197144</v>
      </c>
      <c r="L134" t="b">
        <v>1</v>
      </c>
      <c r="M134">
        <v>0</v>
      </c>
      <c r="N134">
        <v>0</v>
      </c>
      <c r="O134" t="b">
        <f t="shared" si="12"/>
        <v>1</v>
      </c>
      <c r="P134">
        <v>0</v>
      </c>
      <c r="Q134">
        <v>0</v>
      </c>
      <c r="R134" t="b">
        <v>1</v>
      </c>
      <c r="S134">
        <v>197144</v>
      </c>
      <c r="T134">
        <v>197144</v>
      </c>
      <c r="U134" t="b">
        <f t="shared" si="13"/>
        <v>1</v>
      </c>
      <c r="V134">
        <v>88880</v>
      </c>
      <c r="W134">
        <v>88880</v>
      </c>
      <c r="X134" t="b">
        <f t="shared" si="14"/>
        <v>1</v>
      </c>
      <c r="Y134">
        <v>126380</v>
      </c>
      <c r="Z134">
        <v>126380</v>
      </c>
      <c r="AA134" t="b">
        <f t="shared" si="15"/>
        <v>1</v>
      </c>
      <c r="AB134">
        <v>27392.32</v>
      </c>
      <c r="AC134">
        <v>27392.32</v>
      </c>
      <c r="AD134" t="b">
        <f t="shared" si="16"/>
        <v>1</v>
      </c>
      <c r="AE134">
        <v>0</v>
      </c>
      <c r="AF134">
        <v>0</v>
      </c>
      <c r="AG134" t="b">
        <f t="shared" si="17"/>
        <v>1</v>
      </c>
      <c r="AH134">
        <v>153772.32</v>
      </c>
      <c r="AI134">
        <v>153772.32</v>
      </c>
      <c r="AJ134" t="b">
        <v>1</v>
      </c>
      <c r="AK134">
        <v>88880</v>
      </c>
      <c r="AL134">
        <v>88880</v>
      </c>
      <c r="AM134">
        <v>43371.68</v>
      </c>
      <c r="AN134">
        <v>43371.68</v>
      </c>
    </row>
    <row r="135" spans="1:40">
      <c r="A135">
        <v>45758</v>
      </c>
      <c r="B135" t="s">
        <v>30</v>
      </c>
      <c r="C135" t="s">
        <v>176</v>
      </c>
      <c r="D135" t="s">
        <v>151</v>
      </c>
      <c r="E135" t="s">
        <v>366</v>
      </c>
      <c r="F135" t="s">
        <v>367</v>
      </c>
      <c r="G135">
        <v>1200000</v>
      </c>
      <c r="H135">
        <v>1200000</v>
      </c>
      <c r="I135" t="b">
        <v>1</v>
      </c>
      <c r="J135">
        <v>0</v>
      </c>
      <c r="K135">
        <v>0</v>
      </c>
      <c r="L135" t="b">
        <v>1</v>
      </c>
      <c r="M135">
        <v>0</v>
      </c>
      <c r="N135">
        <v>0</v>
      </c>
      <c r="O135" t="b">
        <f t="shared" si="12"/>
        <v>1</v>
      </c>
      <c r="P135">
        <v>0</v>
      </c>
      <c r="Q135">
        <v>0</v>
      </c>
      <c r="R135" t="b">
        <v>1</v>
      </c>
      <c r="S135">
        <v>0</v>
      </c>
      <c r="T135">
        <v>0</v>
      </c>
      <c r="U135" t="b">
        <f t="shared" si="13"/>
        <v>1</v>
      </c>
      <c r="V135">
        <v>1200000</v>
      </c>
      <c r="W135">
        <v>1200000</v>
      </c>
      <c r="X135" t="b">
        <f t="shared" si="14"/>
        <v>1</v>
      </c>
      <c r="Y135">
        <v>0</v>
      </c>
      <c r="Z135">
        <v>0</v>
      </c>
      <c r="AA135" t="b">
        <f t="shared" si="15"/>
        <v>1</v>
      </c>
      <c r="AB135">
        <v>0</v>
      </c>
      <c r="AC135">
        <v>0</v>
      </c>
      <c r="AD135" t="b">
        <f t="shared" si="16"/>
        <v>1</v>
      </c>
      <c r="AE135">
        <v>0</v>
      </c>
      <c r="AF135">
        <v>0</v>
      </c>
      <c r="AG135" t="b">
        <f t="shared" si="17"/>
        <v>1</v>
      </c>
      <c r="AH135">
        <v>0</v>
      </c>
      <c r="AI135">
        <v>0</v>
      </c>
      <c r="AJ135" t="b">
        <v>1</v>
      </c>
      <c r="AK135">
        <v>0</v>
      </c>
      <c r="AL135">
        <v>0</v>
      </c>
      <c r="AM135">
        <v>0</v>
      </c>
      <c r="AN135">
        <v>0</v>
      </c>
    </row>
    <row r="136" spans="1:40">
      <c r="A136">
        <v>45758</v>
      </c>
      <c r="B136" t="s">
        <v>30</v>
      </c>
      <c r="C136" t="s">
        <v>176</v>
      </c>
      <c r="D136" t="s">
        <v>203</v>
      </c>
      <c r="E136" t="s">
        <v>368</v>
      </c>
      <c r="F136" t="s">
        <v>369</v>
      </c>
      <c r="G136">
        <v>0</v>
      </c>
      <c r="H136">
        <v>0</v>
      </c>
      <c r="I136" t="b">
        <v>1</v>
      </c>
      <c r="J136">
        <v>17248</v>
      </c>
      <c r="K136">
        <v>17248</v>
      </c>
      <c r="L136" t="b">
        <v>1</v>
      </c>
      <c r="M136">
        <v>17248</v>
      </c>
      <c r="N136">
        <v>17248</v>
      </c>
      <c r="O136" t="b">
        <f t="shared" si="12"/>
        <v>1</v>
      </c>
      <c r="P136">
        <v>0</v>
      </c>
      <c r="Q136">
        <v>0</v>
      </c>
      <c r="R136" t="b">
        <v>1</v>
      </c>
      <c r="S136">
        <v>0</v>
      </c>
      <c r="T136">
        <v>0</v>
      </c>
      <c r="U136" t="b">
        <f t="shared" si="13"/>
        <v>1</v>
      </c>
      <c r="V136">
        <v>0</v>
      </c>
      <c r="W136">
        <v>0</v>
      </c>
      <c r="X136" t="b">
        <f t="shared" si="14"/>
        <v>1</v>
      </c>
      <c r="Y136">
        <v>0</v>
      </c>
      <c r="Z136">
        <v>0</v>
      </c>
      <c r="AA136" t="b">
        <f t="shared" si="15"/>
        <v>1</v>
      </c>
      <c r="AB136">
        <v>0</v>
      </c>
      <c r="AC136">
        <v>0</v>
      </c>
      <c r="AD136" t="b">
        <f t="shared" si="16"/>
        <v>1</v>
      </c>
      <c r="AE136">
        <v>0</v>
      </c>
      <c r="AF136">
        <v>0</v>
      </c>
      <c r="AG136" t="b">
        <f t="shared" si="17"/>
        <v>1</v>
      </c>
      <c r="AH136">
        <v>0</v>
      </c>
      <c r="AI136">
        <v>0</v>
      </c>
      <c r="AJ136" t="b">
        <v>1</v>
      </c>
      <c r="AK136">
        <v>0</v>
      </c>
      <c r="AL136">
        <v>0</v>
      </c>
      <c r="AM136">
        <v>0</v>
      </c>
      <c r="AN136">
        <v>0</v>
      </c>
    </row>
    <row r="137" spans="1:40">
      <c r="A137">
        <v>45758</v>
      </c>
      <c r="B137" t="s">
        <v>30</v>
      </c>
      <c r="C137" t="s">
        <v>176</v>
      </c>
      <c r="D137" t="s">
        <v>370</v>
      </c>
      <c r="E137" t="s">
        <v>371</v>
      </c>
      <c r="F137" t="s">
        <v>372</v>
      </c>
      <c r="G137">
        <v>0</v>
      </c>
      <c r="H137">
        <v>0</v>
      </c>
      <c r="I137" t="b">
        <v>1</v>
      </c>
      <c r="J137">
        <v>0</v>
      </c>
      <c r="K137">
        <v>0</v>
      </c>
      <c r="L137" t="b">
        <v>1</v>
      </c>
      <c r="M137">
        <v>0</v>
      </c>
      <c r="N137">
        <v>0</v>
      </c>
      <c r="O137" t="b">
        <f t="shared" si="12"/>
        <v>1</v>
      </c>
      <c r="P137">
        <v>0</v>
      </c>
      <c r="Q137">
        <v>0</v>
      </c>
      <c r="R137" t="b">
        <v>1</v>
      </c>
      <c r="S137">
        <v>0</v>
      </c>
      <c r="T137">
        <v>0</v>
      </c>
      <c r="U137" t="b">
        <f t="shared" si="13"/>
        <v>1</v>
      </c>
      <c r="V137">
        <v>41100</v>
      </c>
      <c r="W137">
        <v>59695</v>
      </c>
      <c r="X137" t="b">
        <f t="shared" si="14"/>
        <v>0</v>
      </c>
      <c r="Y137">
        <v>59695</v>
      </c>
      <c r="Z137">
        <v>59695</v>
      </c>
      <c r="AA137" t="b">
        <f t="shared" si="15"/>
        <v>1</v>
      </c>
      <c r="AB137">
        <v>59695</v>
      </c>
      <c r="AC137">
        <v>59695</v>
      </c>
      <c r="AD137" t="b">
        <f t="shared" si="16"/>
        <v>1</v>
      </c>
      <c r="AE137">
        <v>0</v>
      </c>
      <c r="AF137">
        <v>0</v>
      </c>
      <c r="AG137" t="b">
        <f t="shared" si="17"/>
        <v>1</v>
      </c>
      <c r="AH137">
        <v>0</v>
      </c>
      <c r="AI137">
        <v>0</v>
      </c>
      <c r="AJ137" t="b">
        <v>1</v>
      </c>
      <c r="AK137">
        <v>41100</v>
      </c>
      <c r="AL137">
        <v>59695</v>
      </c>
      <c r="AM137">
        <v>0</v>
      </c>
      <c r="AN137">
        <v>0</v>
      </c>
    </row>
    <row r="138" spans="1:40">
      <c r="A138">
        <v>45758</v>
      </c>
      <c r="B138" t="s">
        <v>30</v>
      </c>
      <c r="C138" t="s">
        <v>176</v>
      </c>
      <c r="D138" t="s">
        <v>373</v>
      </c>
      <c r="E138" t="s">
        <v>374</v>
      </c>
      <c r="F138" t="s">
        <v>375</v>
      </c>
      <c r="G138">
        <v>1000000</v>
      </c>
      <c r="H138">
        <v>1000000</v>
      </c>
      <c r="I138" t="b">
        <v>1</v>
      </c>
      <c r="J138">
        <v>0</v>
      </c>
      <c r="K138">
        <v>0</v>
      </c>
      <c r="L138" t="b">
        <v>1</v>
      </c>
      <c r="M138">
        <v>0</v>
      </c>
      <c r="N138">
        <v>0</v>
      </c>
      <c r="O138" t="b">
        <f t="shared" si="12"/>
        <v>1</v>
      </c>
      <c r="P138">
        <v>0</v>
      </c>
      <c r="Q138">
        <v>0</v>
      </c>
      <c r="R138" t="b">
        <v>1</v>
      </c>
      <c r="S138">
        <v>0</v>
      </c>
      <c r="T138">
        <v>0</v>
      </c>
      <c r="U138" t="b">
        <f t="shared" si="13"/>
        <v>1</v>
      </c>
      <c r="V138">
        <v>0</v>
      </c>
      <c r="W138">
        <v>559134.47</v>
      </c>
      <c r="X138" t="b">
        <f t="shared" si="14"/>
        <v>0</v>
      </c>
      <c r="Y138">
        <v>559134.47</v>
      </c>
      <c r="Z138">
        <v>559134.47</v>
      </c>
      <c r="AA138" t="b">
        <f t="shared" si="15"/>
        <v>1</v>
      </c>
      <c r="AB138">
        <v>559134.47</v>
      </c>
      <c r="AC138">
        <v>559134.47</v>
      </c>
      <c r="AD138" t="b">
        <f t="shared" si="16"/>
        <v>1</v>
      </c>
      <c r="AE138">
        <v>0</v>
      </c>
      <c r="AF138">
        <v>0</v>
      </c>
      <c r="AG138" t="b">
        <f t="shared" si="17"/>
        <v>1</v>
      </c>
      <c r="AH138">
        <v>0</v>
      </c>
      <c r="AI138">
        <v>0</v>
      </c>
      <c r="AJ138" t="b">
        <v>1</v>
      </c>
      <c r="AK138">
        <v>1000000</v>
      </c>
      <c r="AL138">
        <v>440865.53</v>
      </c>
      <c r="AM138">
        <v>0</v>
      </c>
      <c r="AN138">
        <v>0</v>
      </c>
    </row>
    <row r="139" spans="1:40">
      <c r="A139">
        <v>45758</v>
      </c>
      <c r="B139" t="s">
        <v>35</v>
      </c>
      <c r="C139" t="s">
        <v>169</v>
      </c>
      <c r="D139" t="s">
        <v>211</v>
      </c>
      <c r="E139" t="s">
        <v>376</v>
      </c>
      <c r="F139" t="s">
        <v>377</v>
      </c>
      <c r="G139">
        <v>0</v>
      </c>
      <c r="H139">
        <v>0</v>
      </c>
      <c r="I139" t="b">
        <v>1</v>
      </c>
      <c r="J139">
        <v>0</v>
      </c>
      <c r="K139">
        <v>0</v>
      </c>
      <c r="L139" t="b">
        <v>1</v>
      </c>
      <c r="M139">
        <v>0</v>
      </c>
      <c r="N139">
        <v>0</v>
      </c>
      <c r="O139" t="b">
        <f t="shared" si="12"/>
        <v>1</v>
      </c>
      <c r="P139">
        <v>0</v>
      </c>
      <c r="Q139">
        <v>0</v>
      </c>
      <c r="R139" t="b">
        <v>1</v>
      </c>
      <c r="S139">
        <v>0</v>
      </c>
      <c r="T139">
        <v>0</v>
      </c>
      <c r="U139" t="b">
        <f t="shared" si="13"/>
        <v>1</v>
      </c>
      <c r="V139">
        <v>10000</v>
      </c>
      <c r="W139">
        <v>24024</v>
      </c>
      <c r="X139" t="b">
        <f t="shared" si="14"/>
        <v>0</v>
      </c>
      <c r="Y139">
        <v>24024</v>
      </c>
      <c r="Z139">
        <v>24024</v>
      </c>
      <c r="AA139" t="b">
        <f t="shared" si="15"/>
        <v>1</v>
      </c>
      <c r="AB139">
        <v>23884</v>
      </c>
      <c r="AC139">
        <v>23884</v>
      </c>
      <c r="AD139" t="b">
        <f t="shared" si="16"/>
        <v>1</v>
      </c>
      <c r="AE139">
        <v>0</v>
      </c>
      <c r="AF139">
        <v>0</v>
      </c>
      <c r="AG139" t="b">
        <f t="shared" si="17"/>
        <v>1</v>
      </c>
      <c r="AH139">
        <v>140</v>
      </c>
      <c r="AI139">
        <v>140</v>
      </c>
      <c r="AJ139" t="b">
        <v>1</v>
      </c>
      <c r="AK139">
        <v>10000</v>
      </c>
      <c r="AL139">
        <v>24024</v>
      </c>
      <c r="AM139">
        <v>140</v>
      </c>
      <c r="AN139">
        <v>140</v>
      </c>
    </row>
    <row r="140" spans="1:40">
      <c r="A140">
        <v>45758</v>
      </c>
      <c r="B140" t="s">
        <v>30</v>
      </c>
      <c r="C140" t="s">
        <v>176</v>
      </c>
      <c r="D140" t="s">
        <v>114</v>
      </c>
      <c r="E140" t="s">
        <v>378</v>
      </c>
      <c r="F140" t="s">
        <v>379</v>
      </c>
      <c r="G140">
        <v>1456383.5</v>
      </c>
      <c r="H140">
        <v>1456383.5</v>
      </c>
      <c r="I140" t="b">
        <v>1</v>
      </c>
      <c r="J140">
        <v>1456383.5</v>
      </c>
      <c r="K140">
        <v>1456383.5</v>
      </c>
      <c r="L140" t="b">
        <v>1</v>
      </c>
      <c r="M140">
        <v>943616.5</v>
      </c>
      <c r="N140">
        <v>943616.5</v>
      </c>
      <c r="O140" t="b">
        <f t="shared" si="12"/>
        <v>1</v>
      </c>
      <c r="P140">
        <v>0</v>
      </c>
      <c r="Q140">
        <v>0</v>
      </c>
      <c r="R140" t="b">
        <v>1</v>
      </c>
      <c r="S140">
        <v>2400000</v>
      </c>
      <c r="T140">
        <v>2400000</v>
      </c>
      <c r="U140" t="b">
        <f t="shared" si="13"/>
        <v>1</v>
      </c>
      <c r="V140">
        <v>1051839.85</v>
      </c>
      <c r="W140">
        <v>1079750.09</v>
      </c>
      <c r="X140" t="b">
        <f t="shared" si="14"/>
        <v>0</v>
      </c>
      <c r="Y140">
        <v>1036880.09</v>
      </c>
      <c r="Z140">
        <v>1036880.09</v>
      </c>
      <c r="AA140" t="b">
        <f t="shared" si="15"/>
        <v>1</v>
      </c>
      <c r="AB140">
        <v>763119.91</v>
      </c>
      <c r="AC140">
        <v>763119.91</v>
      </c>
      <c r="AD140" t="b">
        <f t="shared" si="16"/>
        <v>1</v>
      </c>
      <c r="AE140">
        <v>0</v>
      </c>
      <c r="AF140">
        <v>0</v>
      </c>
      <c r="AG140" t="b">
        <f t="shared" si="17"/>
        <v>1</v>
      </c>
      <c r="AH140">
        <v>1800000</v>
      </c>
      <c r="AI140">
        <v>1800000</v>
      </c>
      <c r="AJ140" t="b">
        <v>1</v>
      </c>
      <c r="AK140">
        <v>404543.65</v>
      </c>
      <c r="AL140">
        <v>376633.41</v>
      </c>
      <c r="AM140">
        <v>600000</v>
      </c>
      <c r="AN140">
        <v>600000</v>
      </c>
    </row>
    <row r="141" spans="1:40">
      <c r="A141">
        <v>45758</v>
      </c>
      <c r="B141" t="s">
        <v>35</v>
      </c>
      <c r="C141" t="s">
        <v>169</v>
      </c>
      <c r="D141" t="s">
        <v>55</v>
      </c>
      <c r="E141" t="s">
        <v>380</v>
      </c>
      <c r="F141" t="s">
        <v>381</v>
      </c>
      <c r="G141">
        <v>0</v>
      </c>
      <c r="H141">
        <v>0</v>
      </c>
      <c r="I141" t="b">
        <v>1</v>
      </c>
      <c r="J141">
        <v>0</v>
      </c>
      <c r="K141">
        <v>0</v>
      </c>
      <c r="L141" t="b">
        <v>1</v>
      </c>
      <c r="M141">
        <v>290</v>
      </c>
      <c r="N141">
        <v>0</v>
      </c>
      <c r="O141" t="b">
        <f t="shared" si="12"/>
        <v>0</v>
      </c>
      <c r="P141">
        <v>0</v>
      </c>
      <c r="Q141">
        <v>0</v>
      </c>
      <c r="R141" t="b">
        <v>1</v>
      </c>
      <c r="S141">
        <v>290</v>
      </c>
      <c r="T141">
        <v>0</v>
      </c>
      <c r="U141" t="b">
        <f t="shared" si="13"/>
        <v>0</v>
      </c>
      <c r="V141">
        <v>0</v>
      </c>
      <c r="W141">
        <v>0</v>
      </c>
      <c r="X141" t="b">
        <f t="shared" si="14"/>
        <v>1</v>
      </c>
      <c r="Y141">
        <v>8391</v>
      </c>
      <c r="Z141">
        <v>8391</v>
      </c>
      <c r="AA141" t="b">
        <f t="shared" si="15"/>
        <v>1</v>
      </c>
      <c r="AB141">
        <v>8391</v>
      </c>
      <c r="AC141">
        <v>8391</v>
      </c>
      <c r="AD141" t="b">
        <f t="shared" si="16"/>
        <v>1</v>
      </c>
      <c r="AE141">
        <v>0</v>
      </c>
      <c r="AF141">
        <v>0</v>
      </c>
      <c r="AG141" t="b">
        <f t="shared" si="17"/>
        <v>1</v>
      </c>
      <c r="AH141">
        <v>0</v>
      </c>
      <c r="AI141">
        <v>0</v>
      </c>
      <c r="AJ141" t="b">
        <v>1</v>
      </c>
      <c r="AK141">
        <v>0</v>
      </c>
      <c r="AL141">
        <v>0</v>
      </c>
      <c r="AM141">
        <v>0</v>
      </c>
      <c r="AN141">
        <v>0</v>
      </c>
    </row>
    <row r="142" spans="1:40">
      <c r="A142">
        <v>45758</v>
      </c>
      <c r="B142" t="s">
        <v>30</v>
      </c>
      <c r="C142" t="s">
        <v>176</v>
      </c>
      <c r="D142" t="s">
        <v>85</v>
      </c>
      <c r="E142" t="s">
        <v>382</v>
      </c>
      <c r="F142" t="s">
        <v>383</v>
      </c>
      <c r="G142">
        <v>500000</v>
      </c>
      <c r="H142">
        <v>500000</v>
      </c>
      <c r="I142" t="b">
        <v>1</v>
      </c>
      <c r="J142">
        <v>2500043</v>
      </c>
      <c r="K142">
        <v>2500043</v>
      </c>
      <c r="L142" t="b">
        <v>1</v>
      </c>
      <c r="M142">
        <v>2500000</v>
      </c>
      <c r="N142">
        <v>2500000</v>
      </c>
      <c r="O142" t="b">
        <f t="shared" si="12"/>
        <v>1</v>
      </c>
      <c r="P142">
        <v>0</v>
      </c>
      <c r="Q142">
        <v>0</v>
      </c>
      <c r="R142" t="b">
        <v>1</v>
      </c>
      <c r="S142">
        <v>43</v>
      </c>
      <c r="T142">
        <v>43</v>
      </c>
      <c r="U142" t="b">
        <f t="shared" si="13"/>
        <v>1</v>
      </c>
      <c r="V142">
        <v>0</v>
      </c>
      <c r="W142">
        <v>0</v>
      </c>
      <c r="X142" t="b">
        <f t="shared" si="14"/>
        <v>1</v>
      </c>
      <c r="Y142">
        <v>1100000</v>
      </c>
      <c r="Z142">
        <v>1100000</v>
      </c>
      <c r="AA142" t="b">
        <f t="shared" si="15"/>
        <v>1</v>
      </c>
      <c r="AB142">
        <v>1100000</v>
      </c>
      <c r="AC142">
        <v>1100000</v>
      </c>
      <c r="AD142" t="b">
        <f t="shared" si="16"/>
        <v>1</v>
      </c>
      <c r="AE142">
        <v>0</v>
      </c>
      <c r="AF142">
        <v>0</v>
      </c>
      <c r="AG142" t="b">
        <f t="shared" si="17"/>
        <v>1</v>
      </c>
      <c r="AH142">
        <v>0</v>
      </c>
      <c r="AI142">
        <v>0</v>
      </c>
      <c r="AJ142" t="b">
        <v>1</v>
      </c>
      <c r="AK142">
        <v>500000</v>
      </c>
      <c r="AL142">
        <v>500000</v>
      </c>
      <c r="AM142">
        <v>43</v>
      </c>
      <c r="AN142">
        <v>43</v>
      </c>
    </row>
    <row r="143" spans="1:40">
      <c r="A143">
        <v>45758</v>
      </c>
      <c r="B143" t="s">
        <v>30</v>
      </c>
      <c r="C143" t="s">
        <v>176</v>
      </c>
      <c r="D143" t="s">
        <v>96</v>
      </c>
      <c r="E143" t="s">
        <v>384</v>
      </c>
      <c r="F143" t="s">
        <v>385</v>
      </c>
      <c r="G143">
        <v>0</v>
      </c>
      <c r="H143">
        <v>0</v>
      </c>
      <c r="I143" t="b">
        <v>1</v>
      </c>
      <c r="J143">
        <v>0</v>
      </c>
      <c r="K143">
        <v>0</v>
      </c>
      <c r="L143" t="b">
        <v>1</v>
      </c>
      <c r="M143">
        <v>0</v>
      </c>
      <c r="N143">
        <v>0</v>
      </c>
      <c r="O143" t="b">
        <f t="shared" si="12"/>
        <v>1</v>
      </c>
      <c r="P143">
        <v>0</v>
      </c>
      <c r="Q143">
        <v>0</v>
      </c>
      <c r="R143" t="b">
        <v>1</v>
      </c>
      <c r="S143">
        <v>0</v>
      </c>
      <c r="T143">
        <v>0</v>
      </c>
      <c r="U143" t="b">
        <f t="shared" si="13"/>
        <v>1</v>
      </c>
      <c r="V143">
        <v>0</v>
      </c>
      <c r="W143">
        <v>0</v>
      </c>
      <c r="X143" t="b">
        <f t="shared" si="14"/>
        <v>1</v>
      </c>
      <c r="Y143">
        <v>180000</v>
      </c>
      <c r="Z143">
        <v>180000</v>
      </c>
      <c r="AA143" t="b">
        <f t="shared" si="15"/>
        <v>1</v>
      </c>
      <c r="AB143">
        <v>180000</v>
      </c>
      <c r="AC143">
        <v>180000</v>
      </c>
      <c r="AD143" t="b">
        <f t="shared" si="16"/>
        <v>1</v>
      </c>
      <c r="AE143">
        <v>0</v>
      </c>
      <c r="AF143">
        <v>0</v>
      </c>
      <c r="AG143" t="b">
        <f t="shared" si="17"/>
        <v>1</v>
      </c>
      <c r="AH143">
        <v>0</v>
      </c>
      <c r="AI143">
        <v>0</v>
      </c>
      <c r="AJ143" t="b">
        <v>1</v>
      </c>
      <c r="AK143">
        <v>0</v>
      </c>
      <c r="AL143">
        <v>0</v>
      </c>
      <c r="AM143">
        <v>0</v>
      </c>
      <c r="AN143">
        <v>0</v>
      </c>
    </row>
    <row r="144" spans="1:40">
      <c r="A144">
        <v>45758</v>
      </c>
      <c r="B144" t="s">
        <v>45</v>
      </c>
      <c r="C144" t="s">
        <v>191</v>
      </c>
      <c r="D144" t="s">
        <v>52</v>
      </c>
      <c r="E144" t="s">
        <v>386</v>
      </c>
      <c r="F144" t="s">
        <v>387</v>
      </c>
      <c r="G144">
        <v>0</v>
      </c>
      <c r="H144">
        <v>0</v>
      </c>
      <c r="I144" t="b">
        <v>1</v>
      </c>
      <c r="J144">
        <v>0</v>
      </c>
      <c r="K144">
        <v>7892880</v>
      </c>
      <c r="L144" t="b">
        <v>0</v>
      </c>
      <c r="M144">
        <v>7894260</v>
      </c>
      <c r="N144">
        <v>7894260</v>
      </c>
      <c r="O144" t="b">
        <f t="shared" si="12"/>
        <v>1</v>
      </c>
      <c r="P144">
        <v>0</v>
      </c>
      <c r="Q144">
        <v>0</v>
      </c>
      <c r="R144" t="b">
        <v>1</v>
      </c>
      <c r="S144">
        <v>7894260</v>
      </c>
      <c r="T144">
        <v>1380</v>
      </c>
      <c r="U144" t="b">
        <f t="shared" si="13"/>
        <v>0</v>
      </c>
      <c r="V144">
        <v>982055.76</v>
      </c>
      <c r="W144">
        <v>1002047.76</v>
      </c>
      <c r="X144" t="b">
        <f t="shared" si="14"/>
        <v>0</v>
      </c>
      <c r="Y144">
        <v>4785048.76</v>
      </c>
      <c r="Z144">
        <v>4785048.76</v>
      </c>
      <c r="AA144" t="b">
        <f t="shared" si="15"/>
        <v>1</v>
      </c>
      <c r="AB144">
        <v>4735048.76</v>
      </c>
      <c r="AC144">
        <v>4735048.76</v>
      </c>
      <c r="AD144" t="b">
        <f t="shared" si="16"/>
        <v>1</v>
      </c>
      <c r="AE144">
        <v>50000</v>
      </c>
      <c r="AF144">
        <v>50000</v>
      </c>
      <c r="AG144" t="b">
        <f t="shared" si="17"/>
        <v>1</v>
      </c>
      <c r="AH144">
        <v>0</v>
      </c>
      <c r="AI144">
        <v>0</v>
      </c>
      <c r="AJ144" t="b">
        <v>1</v>
      </c>
      <c r="AK144">
        <v>982055.76</v>
      </c>
      <c r="AL144">
        <v>1002047.76</v>
      </c>
      <c r="AM144">
        <v>7894260</v>
      </c>
      <c r="AN144">
        <v>1380</v>
      </c>
    </row>
    <row r="145" spans="1:40">
      <c r="A145">
        <v>45758</v>
      </c>
      <c r="B145" t="s">
        <v>30</v>
      </c>
      <c r="C145" t="s">
        <v>176</v>
      </c>
      <c r="D145" t="s">
        <v>96</v>
      </c>
      <c r="E145" t="s">
        <v>388</v>
      </c>
      <c r="F145" t="s">
        <v>389</v>
      </c>
      <c r="G145">
        <v>0</v>
      </c>
      <c r="H145">
        <v>0</v>
      </c>
      <c r="I145" t="b">
        <v>1</v>
      </c>
      <c r="J145">
        <v>0</v>
      </c>
      <c r="K145">
        <v>0</v>
      </c>
      <c r="L145" t="b">
        <v>1</v>
      </c>
      <c r="M145">
        <v>0</v>
      </c>
      <c r="N145">
        <v>0</v>
      </c>
      <c r="O145" t="b">
        <f t="shared" si="12"/>
        <v>1</v>
      </c>
      <c r="P145">
        <v>0</v>
      </c>
      <c r="Q145">
        <v>0</v>
      </c>
      <c r="R145" t="b">
        <v>1</v>
      </c>
      <c r="S145">
        <v>0</v>
      </c>
      <c r="T145">
        <v>0</v>
      </c>
      <c r="U145" t="b">
        <f t="shared" si="13"/>
        <v>1</v>
      </c>
      <c r="V145">
        <v>142768</v>
      </c>
      <c r="W145">
        <v>267108.3</v>
      </c>
      <c r="X145" t="b">
        <f t="shared" si="14"/>
        <v>0</v>
      </c>
      <c r="Y145">
        <v>428608.3</v>
      </c>
      <c r="Z145">
        <v>428608.3</v>
      </c>
      <c r="AA145" t="b">
        <f t="shared" si="15"/>
        <v>1</v>
      </c>
      <c r="AB145">
        <v>486500</v>
      </c>
      <c r="AC145">
        <v>486500</v>
      </c>
      <c r="AD145" t="b">
        <f t="shared" si="16"/>
        <v>1</v>
      </c>
      <c r="AE145">
        <v>0</v>
      </c>
      <c r="AF145">
        <v>0</v>
      </c>
      <c r="AG145" t="b">
        <f t="shared" si="17"/>
        <v>1</v>
      </c>
      <c r="AH145">
        <v>57891.7</v>
      </c>
      <c r="AI145">
        <v>57891.7</v>
      </c>
      <c r="AJ145" t="b">
        <v>0</v>
      </c>
      <c r="AK145">
        <v>142768</v>
      </c>
      <c r="AL145">
        <v>267108.3</v>
      </c>
      <c r="AM145">
        <v>57891.7</v>
      </c>
      <c r="AN145">
        <v>57891.7</v>
      </c>
    </row>
    <row r="146" spans="1:40">
      <c r="A146">
        <v>45758</v>
      </c>
      <c r="B146" t="s">
        <v>45</v>
      </c>
      <c r="C146" t="s">
        <v>191</v>
      </c>
      <c r="D146" t="s">
        <v>64</v>
      </c>
      <c r="E146" t="s">
        <v>390</v>
      </c>
      <c r="F146" t="s">
        <v>391</v>
      </c>
      <c r="G146">
        <v>0</v>
      </c>
      <c r="H146">
        <v>0</v>
      </c>
      <c r="I146" t="b">
        <v>1</v>
      </c>
      <c r="J146">
        <v>0</v>
      </c>
      <c r="K146">
        <v>0</v>
      </c>
      <c r="L146" t="b">
        <v>1</v>
      </c>
      <c r="M146">
        <v>0</v>
      </c>
      <c r="N146">
        <v>0</v>
      </c>
      <c r="O146" t="b">
        <f t="shared" si="12"/>
        <v>1</v>
      </c>
      <c r="P146">
        <v>0</v>
      </c>
      <c r="Q146">
        <v>0</v>
      </c>
      <c r="R146" t="b">
        <v>1</v>
      </c>
      <c r="S146">
        <v>0</v>
      </c>
      <c r="T146">
        <v>0</v>
      </c>
      <c r="U146" t="b">
        <f t="shared" si="13"/>
        <v>1</v>
      </c>
      <c r="V146">
        <v>99741.6</v>
      </c>
      <c r="W146">
        <v>99741.6</v>
      </c>
      <c r="X146" t="b">
        <f t="shared" si="14"/>
        <v>1</v>
      </c>
      <c r="Y146">
        <v>119741.6</v>
      </c>
      <c r="Z146">
        <v>119741.6</v>
      </c>
      <c r="AA146" t="b">
        <f t="shared" si="15"/>
        <v>1</v>
      </c>
      <c r="AB146">
        <v>119741</v>
      </c>
      <c r="AC146">
        <v>119741</v>
      </c>
      <c r="AD146" t="b">
        <f t="shared" si="16"/>
        <v>1</v>
      </c>
      <c r="AE146">
        <v>0</v>
      </c>
      <c r="AF146">
        <v>0</v>
      </c>
      <c r="AG146" t="b">
        <f t="shared" si="17"/>
        <v>1</v>
      </c>
      <c r="AH146">
        <v>0.6</v>
      </c>
      <c r="AI146">
        <v>0.6</v>
      </c>
      <c r="AJ146" t="b">
        <v>1</v>
      </c>
      <c r="AK146">
        <v>99741.6</v>
      </c>
      <c r="AL146">
        <v>99741.6</v>
      </c>
      <c r="AM146">
        <v>0.6</v>
      </c>
      <c r="AN146">
        <v>0.6</v>
      </c>
    </row>
    <row r="147" spans="1:40">
      <c r="A147">
        <v>45758</v>
      </c>
      <c r="B147" t="s">
        <v>30</v>
      </c>
      <c r="C147" t="s">
        <v>176</v>
      </c>
      <c r="D147" t="s">
        <v>85</v>
      </c>
      <c r="E147" t="s">
        <v>392</v>
      </c>
      <c r="F147" t="s">
        <v>393</v>
      </c>
      <c r="G147">
        <v>2741972</v>
      </c>
      <c r="H147">
        <v>2741972</v>
      </c>
      <c r="I147" t="b">
        <v>1</v>
      </c>
      <c r="J147">
        <v>0</v>
      </c>
      <c r="K147">
        <v>0</v>
      </c>
      <c r="L147" t="b">
        <v>1</v>
      </c>
      <c r="M147">
        <v>0</v>
      </c>
      <c r="N147">
        <v>0</v>
      </c>
      <c r="O147" t="b">
        <f t="shared" si="12"/>
        <v>1</v>
      </c>
      <c r="P147">
        <v>0</v>
      </c>
      <c r="Q147">
        <v>0</v>
      </c>
      <c r="R147" t="b">
        <v>1</v>
      </c>
      <c r="S147">
        <v>0</v>
      </c>
      <c r="T147">
        <v>0</v>
      </c>
      <c r="U147" t="b">
        <f t="shared" si="13"/>
        <v>1</v>
      </c>
      <c r="V147">
        <v>0</v>
      </c>
      <c r="W147">
        <v>0</v>
      </c>
      <c r="X147" t="b">
        <f t="shared" si="14"/>
        <v>1</v>
      </c>
      <c r="Y147">
        <v>658382</v>
      </c>
      <c r="Z147">
        <v>658382</v>
      </c>
      <c r="AA147" t="b">
        <f t="shared" si="15"/>
        <v>1</v>
      </c>
      <c r="AB147">
        <v>657910</v>
      </c>
      <c r="AC147">
        <v>657910</v>
      </c>
      <c r="AD147" t="b">
        <f t="shared" si="16"/>
        <v>1</v>
      </c>
      <c r="AE147">
        <v>0</v>
      </c>
      <c r="AF147">
        <v>0</v>
      </c>
      <c r="AG147" t="b">
        <f t="shared" si="17"/>
        <v>1</v>
      </c>
      <c r="AH147">
        <v>472</v>
      </c>
      <c r="AI147">
        <v>472</v>
      </c>
      <c r="AJ147" t="b">
        <v>1</v>
      </c>
      <c r="AK147">
        <v>2741972</v>
      </c>
      <c r="AL147">
        <v>2741972</v>
      </c>
      <c r="AM147">
        <v>472</v>
      </c>
      <c r="AN147">
        <v>472</v>
      </c>
    </row>
    <row r="148" spans="1:40">
      <c r="A148">
        <v>45758</v>
      </c>
      <c r="B148" t="s">
        <v>30</v>
      </c>
      <c r="C148" t="s">
        <v>176</v>
      </c>
      <c r="D148" t="s">
        <v>255</v>
      </c>
      <c r="E148" t="s">
        <v>394</v>
      </c>
      <c r="F148" t="s">
        <v>395</v>
      </c>
      <c r="G148">
        <v>0</v>
      </c>
      <c r="H148">
        <v>0</v>
      </c>
      <c r="I148" t="b">
        <v>1</v>
      </c>
      <c r="J148">
        <v>1920687</v>
      </c>
      <c r="K148">
        <v>1920687</v>
      </c>
      <c r="L148" t="b">
        <v>1</v>
      </c>
      <c r="M148">
        <v>1871000</v>
      </c>
      <c r="N148">
        <v>1871000</v>
      </c>
      <c r="O148" t="b">
        <f t="shared" si="12"/>
        <v>1</v>
      </c>
      <c r="P148">
        <v>0</v>
      </c>
      <c r="Q148">
        <v>0</v>
      </c>
      <c r="R148" t="b">
        <v>1</v>
      </c>
      <c r="S148">
        <v>49687</v>
      </c>
      <c r="T148">
        <v>49687</v>
      </c>
      <c r="U148" t="b">
        <f t="shared" si="13"/>
        <v>1</v>
      </c>
      <c r="V148">
        <v>745579</v>
      </c>
      <c r="W148">
        <v>742817.44</v>
      </c>
      <c r="X148" t="b">
        <f t="shared" si="14"/>
        <v>0</v>
      </c>
      <c r="Y148">
        <v>1222217.48</v>
      </c>
      <c r="Z148">
        <v>1204302.48</v>
      </c>
      <c r="AA148" t="b">
        <f t="shared" si="15"/>
        <v>0</v>
      </c>
      <c r="AB148">
        <v>779853.52</v>
      </c>
      <c r="AC148">
        <v>779853.52</v>
      </c>
      <c r="AD148" t="b">
        <f t="shared" si="16"/>
        <v>1</v>
      </c>
      <c r="AE148">
        <v>200000</v>
      </c>
      <c r="AF148">
        <v>200000</v>
      </c>
      <c r="AG148" t="b">
        <f t="shared" si="17"/>
        <v>1</v>
      </c>
      <c r="AH148">
        <v>242363.96</v>
      </c>
      <c r="AI148">
        <v>224448.96</v>
      </c>
      <c r="AJ148" t="b">
        <v>0</v>
      </c>
      <c r="AK148">
        <v>745579</v>
      </c>
      <c r="AL148">
        <v>742817.44</v>
      </c>
      <c r="AM148">
        <v>192676.96</v>
      </c>
      <c r="AN148">
        <v>174761.96</v>
      </c>
    </row>
    <row r="149" spans="1:40">
      <c r="A149">
        <v>45758</v>
      </c>
      <c r="B149" t="s">
        <v>30</v>
      </c>
      <c r="C149" t="s">
        <v>176</v>
      </c>
      <c r="D149" t="s">
        <v>96</v>
      </c>
      <c r="E149" t="s">
        <v>396</v>
      </c>
      <c r="F149" t="s">
        <v>397</v>
      </c>
      <c r="G149">
        <v>0</v>
      </c>
      <c r="H149">
        <v>0</v>
      </c>
      <c r="I149" t="b">
        <v>1</v>
      </c>
      <c r="J149">
        <v>0</v>
      </c>
      <c r="K149">
        <v>0</v>
      </c>
      <c r="L149" t="b">
        <v>1</v>
      </c>
      <c r="M149">
        <v>0</v>
      </c>
      <c r="N149">
        <v>0</v>
      </c>
      <c r="O149" t="b">
        <f t="shared" si="12"/>
        <v>1</v>
      </c>
      <c r="P149">
        <v>0</v>
      </c>
      <c r="Q149">
        <v>0</v>
      </c>
      <c r="R149" t="b">
        <v>1</v>
      </c>
      <c r="S149">
        <v>0</v>
      </c>
      <c r="T149">
        <v>0</v>
      </c>
      <c r="U149" t="b">
        <f t="shared" si="13"/>
        <v>1</v>
      </c>
      <c r="V149">
        <v>0</v>
      </c>
      <c r="W149">
        <v>0</v>
      </c>
      <c r="X149" t="b">
        <f t="shared" si="14"/>
        <v>1</v>
      </c>
      <c r="Y149">
        <v>26000</v>
      </c>
      <c r="Z149">
        <v>26000</v>
      </c>
      <c r="AA149" t="b">
        <f t="shared" si="15"/>
        <v>1</v>
      </c>
      <c r="AB149">
        <v>26000</v>
      </c>
      <c r="AC149">
        <v>26000</v>
      </c>
      <c r="AD149" t="b">
        <f t="shared" si="16"/>
        <v>1</v>
      </c>
      <c r="AE149">
        <v>0</v>
      </c>
      <c r="AF149">
        <v>0</v>
      </c>
      <c r="AG149" t="b">
        <f t="shared" si="17"/>
        <v>1</v>
      </c>
      <c r="AH149">
        <v>0</v>
      </c>
      <c r="AI149">
        <v>0</v>
      </c>
      <c r="AJ149" t="b">
        <v>1</v>
      </c>
      <c r="AK149">
        <v>0</v>
      </c>
      <c r="AL149">
        <v>0</v>
      </c>
      <c r="AM149">
        <v>0</v>
      </c>
      <c r="AN149">
        <v>0</v>
      </c>
    </row>
    <row r="150" spans="1:40">
      <c r="A150">
        <v>45758</v>
      </c>
      <c r="B150" t="s">
        <v>30</v>
      </c>
      <c r="C150" t="s">
        <v>176</v>
      </c>
      <c r="D150" t="s">
        <v>85</v>
      </c>
      <c r="E150" t="s">
        <v>398</v>
      </c>
      <c r="F150" t="s">
        <v>399</v>
      </c>
      <c r="G150">
        <v>800166</v>
      </c>
      <c r="H150">
        <v>800166</v>
      </c>
      <c r="I150" t="b">
        <v>1</v>
      </c>
      <c r="J150">
        <v>15800720</v>
      </c>
      <c r="K150">
        <v>15800720</v>
      </c>
      <c r="L150" t="b">
        <v>1</v>
      </c>
      <c r="M150">
        <v>14900720.39</v>
      </c>
      <c r="N150">
        <v>14900720.39</v>
      </c>
      <c r="O150" t="b">
        <f t="shared" si="12"/>
        <v>1</v>
      </c>
      <c r="P150">
        <v>0</v>
      </c>
      <c r="Q150">
        <v>0</v>
      </c>
      <c r="R150" t="b">
        <v>1</v>
      </c>
      <c r="S150">
        <v>899999.61</v>
      </c>
      <c r="T150">
        <v>899999.61</v>
      </c>
      <c r="U150" t="b">
        <f t="shared" si="13"/>
        <v>1</v>
      </c>
      <c r="V150">
        <v>2378944.5</v>
      </c>
      <c r="W150">
        <v>2868336.67</v>
      </c>
      <c r="X150" t="b">
        <f t="shared" si="14"/>
        <v>0</v>
      </c>
      <c r="Y150">
        <v>6289754.67</v>
      </c>
      <c r="Z150">
        <v>6416420.67</v>
      </c>
      <c r="AA150" t="b">
        <f t="shared" si="15"/>
        <v>0</v>
      </c>
      <c r="AB150">
        <v>5959838.19</v>
      </c>
      <c r="AC150">
        <v>5959838.19</v>
      </c>
      <c r="AD150" t="b">
        <f t="shared" si="16"/>
        <v>1</v>
      </c>
      <c r="AE150">
        <v>0</v>
      </c>
      <c r="AF150">
        <v>0</v>
      </c>
      <c r="AG150" t="b">
        <f t="shared" si="17"/>
        <v>1</v>
      </c>
      <c r="AH150">
        <v>329916.48</v>
      </c>
      <c r="AI150">
        <v>456582.48</v>
      </c>
      <c r="AJ150" t="b">
        <v>0</v>
      </c>
      <c r="AK150">
        <v>1578778.5</v>
      </c>
      <c r="AL150">
        <v>2068170.67</v>
      </c>
      <c r="AM150">
        <v>570083.13</v>
      </c>
      <c r="AN150">
        <v>443417.13</v>
      </c>
    </row>
    <row r="151" spans="1:40">
      <c r="A151">
        <v>45758</v>
      </c>
      <c r="B151" t="s">
        <v>35</v>
      </c>
      <c r="C151" t="s">
        <v>169</v>
      </c>
      <c r="D151" t="s">
        <v>400</v>
      </c>
      <c r="E151" t="s">
        <v>401</v>
      </c>
      <c r="F151" t="s">
        <v>402</v>
      </c>
      <c r="G151">
        <v>0</v>
      </c>
      <c r="H151">
        <v>0</v>
      </c>
      <c r="I151" t="b">
        <v>1</v>
      </c>
      <c r="J151">
        <v>339093</v>
      </c>
      <c r="K151">
        <v>339093</v>
      </c>
      <c r="L151" t="b">
        <v>1</v>
      </c>
      <c r="M151">
        <v>339093</v>
      </c>
      <c r="N151">
        <v>339093</v>
      </c>
      <c r="O151" t="b">
        <f t="shared" si="12"/>
        <v>1</v>
      </c>
      <c r="P151">
        <v>0</v>
      </c>
      <c r="Q151">
        <v>0</v>
      </c>
      <c r="R151" t="b">
        <v>1</v>
      </c>
      <c r="S151">
        <v>0</v>
      </c>
      <c r="T151">
        <v>0</v>
      </c>
      <c r="U151" t="b">
        <f t="shared" si="13"/>
        <v>1</v>
      </c>
      <c r="V151">
        <v>0</v>
      </c>
      <c r="W151">
        <v>0</v>
      </c>
      <c r="X151" t="b">
        <f t="shared" si="14"/>
        <v>1</v>
      </c>
      <c r="Y151">
        <v>58820</v>
      </c>
      <c r="Z151">
        <v>58820</v>
      </c>
      <c r="AA151" t="b">
        <f t="shared" si="15"/>
        <v>1</v>
      </c>
      <c r="AB151">
        <v>58820</v>
      </c>
      <c r="AC151">
        <v>58820</v>
      </c>
      <c r="AD151" t="b">
        <f t="shared" si="16"/>
        <v>1</v>
      </c>
      <c r="AE151">
        <v>0</v>
      </c>
      <c r="AF151">
        <v>0</v>
      </c>
      <c r="AG151" t="b">
        <f t="shared" si="17"/>
        <v>1</v>
      </c>
      <c r="AH151">
        <v>0</v>
      </c>
      <c r="AI151">
        <v>0</v>
      </c>
      <c r="AJ151" t="b">
        <v>1</v>
      </c>
      <c r="AK151">
        <v>0</v>
      </c>
      <c r="AL151">
        <v>0</v>
      </c>
      <c r="AM151">
        <v>0</v>
      </c>
      <c r="AN151">
        <v>0</v>
      </c>
    </row>
    <row r="152" spans="1:40">
      <c r="A152">
        <v>45758</v>
      </c>
      <c r="B152" t="s">
        <v>35</v>
      </c>
      <c r="C152" t="s">
        <v>169</v>
      </c>
      <c r="D152" t="s">
        <v>55</v>
      </c>
      <c r="E152" t="s">
        <v>403</v>
      </c>
      <c r="F152" t="s">
        <v>404</v>
      </c>
      <c r="G152">
        <v>0</v>
      </c>
      <c r="H152">
        <v>0</v>
      </c>
      <c r="I152" t="b">
        <v>1</v>
      </c>
      <c r="J152">
        <v>0</v>
      </c>
      <c r="K152">
        <v>0</v>
      </c>
      <c r="L152" t="b">
        <v>1</v>
      </c>
      <c r="M152">
        <v>0</v>
      </c>
      <c r="N152">
        <v>0</v>
      </c>
      <c r="O152" t="b">
        <f t="shared" si="12"/>
        <v>1</v>
      </c>
      <c r="P152">
        <v>0</v>
      </c>
      <c r="Q152">
        <v>0</v>
      </c>
      <c r="R152" t="b">
        <v>1</v>
      </c>
      <c r="S152">
        <v>0</v>
      </c>
      <c r="T152">
        <v>0</v>
      </c>
      <c r="U152" t="b">
        <f t="shared" si="13"/>
        <v>1</v>
      </c>
      <c r="V152">
        <v>0</v>
      </c>
      <c r="W152">
        <v>0</v>
      </c>
      <c r="X152" t="b">
        <f t="shared" si="14"/>
        <v>1</v>
      </c>
      <c r="Y152">
        <v>36830</v>
      </c>
      <c r="Z152">
        <v>36830</v>
      </c>
      <c r="AA152" t="b">
        <f t="shared" si="15"/>
        <v>1</v>
      </c>
      <c r="AB152">
        <v>36830</v>
      </c>
      <c r="AC152">
        <v>36830</v>
      </c>
      <c r="AD152" t="b">
        <f t="shared" si="16"/>
        <v>1</v>
      </c>
      <c r="AE152">
        <v>0</v>
      </c>
      <c r="AF152">
        <v>0</v>
      </c>
      <c r="AG152" t="b">
        <f t="shared" si="17"/>
        <v>1</v>
      </c>
      <c r="AH152">
        <v>0</v>
      </c>
      <c r="AI152">
        <v>0</v>
      </c>
      <c r="AJ152" t="b">
        <v>1</v>
      </c>
      <c r="AK152">
        <v>0</v>
      </c>
      <c r="AL152">
        <v>0</v>
      </c>
      <c r="AM152">
        <v>0</v>
      </c>
      <c r="AN152">
        <v>0</v>
      </c>
    </row>
    <row r="153" spans="1:40">
      <c r="A153">
        <v>45758</v>
      </c>
      <c r="B153" t="s">
        <v>45</v>
      </c>
      <c r="C153" t="s">
        <v>191</v>
      </c>
      <c r="D153" t="s">
        <v>82</v>
      </c>
      <c r="E153" t="s">
        <v>405</v>
      </c>
      <c r="F153" t="s">
        <v>406</v>
      </c>
      <c r="G153">
        <v>0</v>
      </c>
      <c r="H153">
        <v>0</v>
      </c>
      <c r="I153" t="b">
        <v>1</v>
      </c>
      <c r="J153">
        <v>2475150</v>
      </c>
      <c r="K153">
        <v>2475150</v>
      </c>
      <c r="L153" t="b">
        <v>1</v>
      </c>
      <c r="M153">
        <v>2475150</v>
      </c>
      <c r="N153">
        <v>2475150</v>
      </c>
      <c r="O153" t="b">
        <f t="shared" si="12"/>
        <v>1</v>
      </c>
      <c r="P153">
        <v>0</v>
      </c>
      <c r="Q153">
        <v>0</v>
      </c>
      <c r="R153" t="b">
        <v>1</v>
      </c>
      <c r="S153">
        <v>0</v>
      </c>
      <c r="T153">
        <v>0</v>
      </c>
      <c r="U153" t="b">
        <f t="shared" si="13"/>
        <v>1</v>
      </c>
      <c r="V153">
        <v>0</v>
      </c>
      <c r="W153">
        <v>0</v>
      </c>
      <c r="X153" t="b">
        <f t="shared" si="14"/>
        <v>1</v>
      </c>
      <c r="Y153">
        <v>187950</v>
      </c>
      <c r="Z153">
        <v>187950</v>
      </c>
      <c r="AA153" t="b">
        <f t="shared" si="15"/>
        <v>1</v>
      </c>
      <c r="AB153">
        <v>187950</v>
      </c>
      <c r="AC153">
        <v>187950</v>
      </c>
      <c r="AD153" t="b">
        <f t="shared" si="16"/>
        <v>1</v>
      </c>
      <c r="AE153">
        <v>0</v>
      </c>
      <c r="AF153">
        <v>0</v>
      </c>
      <c r="AG153" t="b">
        <f t="shared" si="17"/>
        <v>1</v>
      </c>
      <c r="AH153">
        <v>0</v>
      </c>
      <c r="AI153">
        <v>0</v>
      </c>
      <c r="AJ153" t="b">
        <v>1</v>
      </c>
      <c r="AK153">
        <v>0</v>
      </c>
      <c r="AL153">
        <v>0</v>
      </c>
      <c r="AM153">
        <v>0</v>
      </c>
      <c r="AN153">
        <v>0</v>
      </c>
    </row>
    <row r="154" spans="1:40">
      <c r="A154">
        <v>45758</v>
      </c>
      <c r="B154" t="s">
        <v>30</v>
      </c>
      <c r="C154" t="s">
        <v>176</v>
      </c>
      <c r="D154" t="s">
        <v>206</v>
      </c>
      <c r="E154" t="s">
        <v>407</v>
      </c>
      <c r="F154" t="s">
        <v>408</v>
      </c>
      <c r="G154">
        <v>0</v>
      </c>
      <c r="H154">
        <v>0</v>
      </c>
      <c r="I154" t="b">
        <v>1</v>
      </c>
      <c r="J154">
        <v>0</v>
      </c>
      <c r="K154">
        <v>0</v>
      </c>
      <c r="L154" t="b">
        <v>1</v>
      </c>
      <c r="M154">
        <v>0</v>
      </c>
      <c r="N154">
        <v>0</v>
      </c>
      <c r="O154" t="b">
        <f t="shared" si="12"/>
        <v>1</v>
      </c>
      <c r="P154">
        <v>0</v>
      </c>
      <c r="Q154">
        <v>0</v>
      </c>
      <c r="R154" t="b">
        <v>1</v>
      </c>
      <c r="S154">
        <v>0</v>
      </c>
      <c r="T154">
        <v>0</v>
      </c>
      <c r="U154" t="b">
        <f t="shared" si="13"/>
        <v>1</v>
      </c>
      <c r="V154">
        <v>0</v>
      </c>
      <c r="W154">
        <v>0</v>
      </c>
      <c r="X154" t="b">
        <f t="shared" si="14"/>
        <v>1</v>
      </c>
      <c r="Y154">
        <v>263100</v>
      </c>
      <c r="Z154">
        <v>263100</v>
      </c>
      <c r="AA154" t="b">
        <f t="shared" si="15"/>
        <v>1</v>
      </c>
      <c r="AB154">
        <v>263100</v>
      </c>
      <c r="AC154">
        <v>263100</v>
      </c>
      <c r="AD154" t="b">
        <f t="shared" si="16"/>
        <v>1</v>
      </c>
      <c r="AE154">
        <v>0</v>
      </c>
      <c r="AF154">
        <v>0</v>
      </c>
      <c r="AG154" t="b">
        <f t="shared" si="17"/>
        <v>1</v>
      </c>
      <c r="AH154">
        <v>0</v>
      </c>
      <c r="AI154">
        <v>0</v>
      </c>
      <c r="AJ154" t="b">
        <v>1</v>
      </c>
      <c r="AK154">
        <v>0</v>
      </c>
      <c r="AL154">
        <v>0</v>
      </c>
      <c r="AM154">
        <v>0</v>
      </c>
      <c r="AN154">
        <v>0</v>
      </c>
    </row>
    <row r="155" spans="1:40">
      <c r="A155">
        <v>45741</v>
      </c>
      <c r="B155" t="s">
        <v>35</v>
      </c>
      <c r="C155" t="s">
        <v>169</v>
      </c>
      <c r="D155" t="s">
        <v>93</v>
      </c>
      <c r="E155" t="s">
        <v>409</v>
      </c>
      <c r="F155" t="s">
        <v>410</v>
      </c>
      <c r="G155">
        <v>0</v>
      </c>
      <c r="H155">
        <v>0</v>
      </c>
      <c r="I155" t="b">
        <v>1</v>
      </c>
      <c r="J155">
        <v>0</v>
      </c>
      <c r="K155">
        <v>3416869.5</v>
      </c>
      <c r="L155" t="b">
        <v>0</v>
      </c>
      <c r="M155">
        <v>3554369.5</v>
      </c>
      <c r="N155">
        <v>3554369.5</v>
      </c>
      <c r="O155" t="b">
        <f t="shared" si="12"/>
        <v>1</v>
      </c>
      <c r="P155">
        <v>0</v>
      </c>
      <c r="Q155">
        <v>0</v>
      </c>
      <c r="R155" t="b">
        <v>1</v>
      </c>
      <c r="S155">
        <v>3554369.5</v>
      </c>
      <c r="T155">
        <v>137500</v>
      </c>
      <c r="U155" t="b">
        <f t="shared" si="13"/>
        <v>0</v>
      </c>
      <c r="V155">
        <v>2623008.77</v>
      </c>
      <c r="W155">
        <v>2623008.77</v>
      </c>
      <c r="X155" t="b">
        <f t="shared" si="14"/>
        <v>1</v>
      </c>
      <c r="Y155">
        <v>1942440</v>
      </c>
      <c r="Z155">
        <v>1942440</v>
      </c>
      <c r="AA155" t="b">
        <f t="shared" si="15"/>
        <v>1</v>
      </c>
      <c r="AB155">
        <v>1942440</v>
      </c>
      <c r="AC155">
        <v>1942440</v>
      </c>
      <c r="AD155" t="b">
        <f t="shared" si="16"/>
        <v>1</v>
      </c>
      <c r="AE155">
        <v>0</v>
      </c>
      <c r="AF155">
        <v>0</v>
      </c>
      <c r="AG155" t="b">
        <f t="shared" si="17"/>
        <v>1</v>
      </c>
      <c r="AH155">
        <v>0</v>
      </c>
      <c r="AI155">
        <v>0</v>
      </c>
      <c r="AJ155" t="b">
        <v>1</v>
      </c>
      <c r="AK155">
        <v>2623008.77</v>
      </c>
      <c r="AL155">
        <v>2623008.77</v>
      </c>
      <c r="AM155">
        <v>3554369.5</v>
      </c>
      <c r="AN155">
        <v>137500</v>
      </c>
    </row>
    <row r="156" spans="1:40">
      <c r="A156">
        <v>45741</v>
      </c>
      <c r="B156" t="s">
        <v>45</v>
      </c>
      <c r="C156" t="s">
        <v>191</v>
      </c>
      <c r="D156" t="s">
        <v>61</v>
      </c>
      <c r="E156" t="s">
        <v>411</v>
      </c>
      <c r="F156" t="s">
        <v>412</v>
      </c>
      <c r="G156">
        <v>0</v>
      </c>
      <c r="H156">
        <v>0</v>
      </c>
      <c r="I156" t="b">
        <v>1</v>
      </c>
      <c r="J156">
        <v>0</v>
      </c>
      <c r="K156">
        <v>1568753</v>
      </c>
      <c r="L156" t="b">
        <v>0</v>
      </c>
      <c r="M156">
        <v>1568753</v>
      </c>
      <c r="N156">
        <v>1568753</v>
      </c>
      <c r="O156" t="b">
        <f t="shared" si="12"/>
        <v>1</v>
      </c>
      <c r="P156">
        <v>0</v>
      </c>
      <c r="Q156">
        <v>0</v>
      </c>
      <c r="R156" t="b">
        <v>1</v>
      </c>
      <c r="S156">
        <v>1568753</v>
      </c>
      <c r="T156">
        <v>0</v>
      </c>
      <c r="U156" t="b">
        <f t="shared" si="13"/>
        <v>0</v>
      </c>
      <c r="V156">
        <v>745067.14</v>
      </c>
      <c r="W156">
        <v>849067.14</v>
      </c>
      <c r="X156" t="b">
        <f t="shared" si="14"/>
        <v>0</v>
      </c>
      <c r="Y156">
        <v>1211651.14</v>
      </c>
      <c r="Z156">
        <v>1211651.14</v>
      </c>
      <c r="AA156" t="b">
        <f t="shared" si="15"/>
        <v>1</v>
      </c>
      <c r="AB156">
        <v>1211650</v>
      </c>
      <c r="AC156">
        <v>1211650</v>
      </c>
      <c r="AD156" t="b">
        <f t="shared" si="16"/>
        <v>1</v>
      </c>
      <c r="AE156">
        <v>0</v>
      </c>
      <c r="AF156">
        <v>0</v>
      </c>
      <c r="AG156" t="b">
        <f t="shared" si="17"/>
        <v>1</v>
      </c>
      <c r="AH156">
        <v>1.14</v>
      </c>
      <c r="AI156">
        <v>1.14</v>
      </c>
      <c r="AJ156" t="b">
        <v>1</v>
      </c>
      <c r="AK156">
        <v>745067.14</v>
      </c>
      <c r="AL156">
        <v>849067.14</v>
      </c>
      <c r="AM156">
        <v>1568754.14</v>
      </c>
      <c r="AN156">
        <v>1.14</v>
      </c>
    </row>
    <row r="157" spans="1:40">
      <c r="A157">
        <v>45741</v>
      </c>
      <c r="B157" t="s">
        <v>35</v>
      </c>
      <c r="C157" t="s">
        <v>169</v>
      </c>
      <c r="D157" t="s">
        <v>413</v>
      </c>
      <c r="E157" t="s">
        <v>414</v>
      </c>
      <c r="F157" t="s">
        <v>415</v>
      </c>
      <c r="G157">
        <v>0</v>
      </c>
      <c r="H157">
        <v>0</v>
      </c>
      <c r="I157" t="b">
        <v>1</v>
      </c>
      <c r="J157">
        <v>0</v>
      </c>
      <c r="K157">
        <v>0</v>
      </c>
      <c r="L157" t="b">
        <v>1</v>
      </c>
      <c r="M157">
        <v>0</v>
      </c>
      <c r="N157">
        <v>0</v>
      </c>
      <c r="O157" t="b">
        <f t="shared" si="12"/>
        <v>1</v>
      </c>
      <c r="P157">
        <v>0</v>
      </c>
      <c r="Q157">
        <v>0</v>
      </c>
      <c r="R157" t="b">
        <v>1</v>
      </c>
      <c r="S157">
        <v>0</v>
      </c>
      <c r="T157">
        <v>0</v>
      </c>
      <c r="U157" t="b">
        <f t="shared" si="13"/>
        <v>1</v>
      </c>
      <c r="V157">
        <v>45451</v>
      </c>
      <c r="W157">
        <v>102685</v>
      </c>
      <c r="X157" t="b">
        <f t="shared" si="14"/>
        <v>0</v>
      </c>
      <c r="Y157">
        <v>102685</v>
      </c>
      <c r="Z157">
        <v>102685</v>
      </c>
      <c r="AA157" t="b">
        <f t="shared" si="15"/>
        <v>1</v>
      </c>
      <c r="AB157">
        <v>102685</v>
      </c>
      <c r="AC157">
        <v>102685</v>
      </c>
      <c r="AD157" t="b">
        <f t="shared" si="16"/>
        <v>1</v>
      </c>
      <c r="AE157">
        <v>0</v>
      </c>
      <c r="AF157">
        <v>0</v>
      </c>
      <c r="AG157" t="b">
        <f t="shared" si="17"/>
        <v>1</v>
      </c>
      <c r="AH157">
        <v>0</v>
      </c>
      <c r="AI157">
        <v>0</v>
      </c>
      <c r="AJ157" t="b">
        <v>1</v>
      </c>
      <c r="AK157">
        <v>45451</v>
      </c>
      <c r="AL157">
        <v>102685</v>
      </c>
      <c r="AM157">
        <v>0</v>
      </c>
      <c r="AN157">
        <v>0</v>
      </c>
    </row>
    <row r="158" spans="1:40">
      <c r="A158">
        <v>45741</v>
      </c>
      <c r="B158" t="s">
        <v>45</v>
      </c>
      <c r="C158" t="s">
        <v>191</v>
      </c>
      <c r="D158" t="s">
        <v>82</v>
      </c>
      <c r="E158" t="s">
        <v>416</v>
      </c>
      <c r="F158" t="s">
        <v>417</v>
      </c>
      <c r="G158">
        <v>0</v>
      </c>
      <c r="H158">
        <v>0</v>
      </c>
      <c r="I158" t="b">
        <v>1</v>
      </c>
      <c r="J158">
        <v>0</v>
      </c>
      <c r="K158">
        <v>0</v>
      </c>
      <c r="L158" t="b">
        <v>1</v>
      </c>
      <c r="M158">
        <v>0</v>
      </c>
      <c r="N158">
        <v>0</v>
      </c>
      <c r="O158" t="b">
        <f t="shared" si="12"/>
        <v>1</v>
      </c>
      <c r="P158">
        <v>0</v>
      </c>
      <c r="Q158">
        <v>0</v>
      </c>
      <c r="R158" t="b">
        <v>1</v>
      </c>
      <c r="S158">
        <v>0</v>
      </c>
      <c r="T158">
        <v>0</v>
      </c>
      <c r="U158" t="b">
        <f t="shared" si="13"/>
        <v>1</v>
      </c>
      <c r="V158">
        <v>0</v>
      </c>
      <c r="W158">
        <v>0</v>
      </c>
      <c r="X158" t="b">
        <f t="shared" si="14"/>
        <v>1</v>
      </c>
      <c r="Y158">
        <v>1312055</v>
      </c>
      <c r="Z158">
        <v>1312055</v>
      </c>
      <c r="AA158" t="b">
        <f t="shared" si="15"/>
        <v>1</v>
      </c>
      <c r="AB158">
        <v>1312055</v>
      </c>
      <c r="AC158">
        <v>1312055</v>
      </c>
      <c r="AD158" t="b">
        <f t="shared" si="16"/>
        <v>1</v>
      </c>
      <c r="AE158">
        <v>0</v>
      </c>
      <c r="AF158">
        <v>0</v>
      </c>
      <c r="AG158" t="b">
        <f t="shared" si="17"/>
        <v>1</v>
      </c>
      <c r="AH158">
        <v>0</v>
      </c>
      <c r="AI158">
        <v>0</v>
      </c>
      <c r="AJ158" t="b">
        <v>1</v>
      </c>
      <c r="AK158">
        <v>0</v>
      </c>
      <c r="AL158">
        <v>0</v>
      </c>
      <c r="AM158">
        <v>0</v>
      </c>
      <c r="AN158">
        <v>0</v>
      </c>
    </row>
    <row r="159" spans="1:40">
      <c r="A159">
        <v>45741</v>
      </c>
      <c r="B159" t="s">
        <v>35</v>
      </c>
      <c r="C159" t="s">
        <v>169</v>
      </c>
      <c r="D159" t="s">
        <v>127</v>
      </c>
      <c r="E159" t="s">
        <v>418</v>
      </c>
      <c r="F159" t="s">
        <v>419</v>
      </c>
      <c r="G159">
        <v>0</v>
      </c>
      <c r="H159">
        <v>0</v>
      </c>
      <c r="I159" t="b">
        <v>1</v>
      </c>
      <c r="J159">
        <v>0</v>
      </c>
      <c r="K159">
        <v>0</v>
      </c>
      <c r="L159" t="b">
        <v>1</v>
      </c>
      <c r="M159">
        <v>0</v>
      </c>
      <c r="N159">
        <v>0</v>
      </c>
      <c r="O159" t="b">
        <f t="shared" si="12"/>
        <v>1</v>
      </c>
      <c r="P159">
        <v>0</v>
      </c>
      <c r="Q159">
        <v>0</v>
      </c>
      <c r="R159" t="b">
        <v>1</v>
      </c>
      <c r="S159">
        <v>0</v>
      </c>
      <c r="T159">
        <v>0</v>
      </c>
      <c r="U159" t="b">
        <f t="shared" si="13"/>
        <v>1</v>
      </c>
      <c r="V159">
        <v>0</v>
      </c>
      <c r="W159">
        <v>0</v>
      </c>
      <c r="X159" t="b">
        <f t="shared" si="14"/>
        <v>1</v>
      </c>
      <c r="Y159">
        <v>33353</v>
      </c>
      <c r="Z159">
        <v>33353</v>
      </c>
      <c r="AA159" t="b">
        <f t="shared" si="15"/>
        <v>1</v>
      </c>
      <c r="AB159">
        <v>33353</v>
      </c>
      <c r="AC159">
        <v>33353</v>
      </c>
      <c r="AD159" t="b">
        <f t="shared" si="16"/>
        <v>1</v>
      </c>
      <c r="AE159">
        <v>0</v>
      </c>
      <c r="AF159">
        <v>0</v>
      </c>
      <c r="AG159" t="b">
        <f t="shared" si="17"/>
        <v>1</v>
      </c>
      <c r="AH159">
        <v>0</v>
      </c>
      <c r="AI159">
        <v>0</v>
      </c>
      <c r="AJ159" t="b">
        <v>1</v>
      </c>
      <c r="AK159">
        <v>0</v>
      </c>
      <c r="AL159">
        <v>0</v>
      </c>
      <c r="AM159">
        <v>0</v>
      </c>
      <c r="AN159">
        <v>0</v>
      </c>
    </row>
    <row r="160" spans="1:40">
      <c r="A160">
        <v>45741</v>
      </c>
      <c r="B160" t="s">
        <v>78</v>
      </c>
      <c r="C160" t="s">
        <v>169</v>
      </c>
      <c r="D160" t="s">
        <v>79</v>
      </c>
      <c r="E160" t="s">
        <v>420</v>
      </c>
      <c r="F160" t="s">
        <v>421</v>
      </c>
      <c r="G160">
        <v>1142097</v>
      </c>
      <c r="H160">
        <v>1142097</v>
      </c>
      <c r="I160" t="b">
        <v>1</v>
      </c>
      <c r="J160">
        <v>3631001</v>
      </c>
      <c r="K160">
        <v>3631001</v>
      </c>
      <c r="L160" t="b">
        <v>1</v>
      </c>
      <c r="M160">
        <v>3602429.6</v>
      </c>
      <c r="N160">
        <v>3600229.6</v>
      </c>
      <c r="O160" t="b">
        <f t="shared" si="12"/>
        <v>0</v>
      </c>
      <c r="P160">
        <v>0</v>
      </c>
      <c r="Q160">
        <v>0</v>
      </c>
      <c r="R160" t="b">
        <v>1</v>
      </c>
      <c r="S160">
        <v>28571.4</v>
      </c>
      <c r="T160">
        <v>30771.4</v>
      </c>
      <c r="U160" t="b">
        <f t="shared" si="13"/>
        <v>0</v>
      </c>
      <c r="V160">
        <v>838510</v>
      </c>
      <c r="W160">
        <v>870000</v>
      </c>
      <c r="X160" t="b">
        <f t="shared" si="14"/>
        <v>0</v>
      </c>
      <c r="Y160">
        <v>2261631</v>
      </c>
      <c r="Z160">
        <v>2261631</v>
      </c>
      <c r="AA160" t="b">
        <f t="shared" si="15"/>
        <v>1</v>
      </c>
      <c r="AB160">
        <v>3090870.27</v>
      </c>
      <c r="AC160">
        <v>2261631</v>
      </c>
      <c r="AD160" t="b">
        <f t="shared" si="16"/>
        <v>0</v>
      </c>
      <c r="AE160">
        <v>0</v>
      </c>
      <c r="AF160">
        <v>0</v>
      </c>
      <c r="AG160" t="b">
        <f t="shared" si="17"/>
        <v>1</v>
      </c>
      <c r="AH160">
        <v>829239.27</v>
      </c>
      <c r="AI160">
        <v>0</v>
      </c>
      <c r="AJ160" t="b">
        <v>0</v>
      </c>
      <c r="AK160">
        <v>303587</v>
      </c>
      <c r="AL160">
        <v>272097</v>
      </c>
      <c r="AM160">
        <v>860010.67</v>
      </c>
      <c r="AN160">
        <v>30771.4</v>
      </c>
    </row>
    <row r="161" spans="1:40">
      <c r="A161">
        <v>45741</v>
      </c>
      <c r="B161" t="s">
        <v>30</v>
      </c>
      <c r="C161" t="s">
        <v>176</v>
      </c>
      <c r="D161" t="s">
        <v>85</v>
      </c>
      <c r="E161" t="s">
        <v>422</v>
      </c>
      <c r="F161" t="s">
        <v>423</v>
      </c>
      <c r="G161">
        <v>0</v>
      </c>
      <c r="H161">
        <v>0</v>
      </c>
      <c r="I161" t="b">
        <v>1</v>
      </c>
      <c r="J161">
        <v>2500000</v>
      </c>
      <c r="K161">
        <v>2500000</v>
      </c>
      <c r="L161" t="b">
        <v>1</v>
      </c>
      <c r="M161">
        <v>2500000</v>
      </c>
      <c r="N161">
        <v>2500000</v>
      </c>
      <c r="O161" t="b">
        <f t="shared" si="12"/>
        <v>1</v>
      </c>
      <c r="P161">
        <v>0</v>
      </c>
      <c r="Q161">
        <v>0</v>
      </c>
      <c r="R161" t="b">
        <v>1</v>
      </c>
      <c r="S161">
        <v>0</v>
      </c>
      <c r="T161">
        <v>0</v>
      </c>
      <c r="U161" t="b">
        <f t="shared" si="13"/>
        <v>1</v>
      </c>
      <c r="V161">
        <v>0</v>
      </c>
      <c r="W161">
        <v>0</v>
      </c>
      <c r="X161" t="b">
        <f t="shared" si="14"/>
        <v>1</v>
      </c>
      <c r="Y161">
        <v>11000</v>
      </c>
      <c r="Z161">
        <v>156000</v>
      </c>
      <c r="AA161" t="b">
        <f t="shared" si="15"/>
        <v>0</v>
      </c>
      <c r="AB161">
        <v>156000</v>
      </c>
      <c r="AC161">
        <v>156000</v>
      </c>
      <c r="AD161" t="b">
        <f t="shared" si="16"/>
        <v>1</v>
      </c>
      <c r="AE161">
        <v>0</v>
      </c>
      <c r="AF161">
        <v>0</v>
      </c>
      <c r="AG161" t="b">
        <f t="shared" si="17"/>
        <v>1</v>
      </c>
      <c r="AH161">
        <v>145000</v>
      </c>
      <c r="AI161">
        <v>0</v>
      </c>
      <c r="AJ161" t="b">
        <v>0</v>
      </c>
      <c r="AK161">
        <v>0</v>
      </c>
      <c r="AL161">
        <v>0</v>
      </c>
      <c r="AM161">
        <v>145000</v>
      </c>
      <c r="AN161">
        <v>0</v>
      </c>
    </row>
    <row r="162" spans="1:40">
      <c r="A162">
        <v>45741</v>
      </c>
      <c r="B162" t="s">
        <v>45</v>
      </c>
      <c r="C162" t="s">
        <v>191</v>
      </c>
      <c r="D162" t="s">
        <v>143</v>
      </c>
      <c r="E162" t="s">
        <v>424</v>
      </c>
      <c r="F162" t="s">
        <v>425</v>
      </c>
      <c r="G162">
        <v>0</v>
      </c>
      <c r="H162">
        <v>0</v>
      </c>
      <c r="I162" t="b">
        <v>1</v>
      </c>
      <c r="J162">
        <v>0</v>
      </c>
      <c r="K162">
        <v>0</v>
      </c>
      <c r="L162" t="b">
        <v>1</v>
      </c>
      <c r="M162">
        <v>0</v>
      </c>
      <c r="N162">
        <v>0</v>
      </c>
      <c r="O162" t="b">
        <f t="shared" si="12"/>
        <v>1</v>
      </c>
      <c r="P162">
        <v>0</v>
      </c>
      <c r="Q162">
        <v>0</v>
      </c>
      <c r="R162" t="b">
        <v>1</v>
      </c>
      <c r="S162">
        <v>0</v>
      </c>
      <c r="T162">
        <v>0</v>
      </c>
      <c r="U162" t="b">
        <f t="shared" si="13"/>
        <v>1</v>
      </c>
      <c r="V162">
        <v>0</v>
      </c>
      <c r="W162">
        <v>0</v>
      </c>
      <c r="X162" t="b">
        <f t="shared" si="14"/>
        <v>1</v>
      </c>
      <c r="Y162">
        <v>55000</v>
      </c>
      <c r="Z162">
        <v>55000</v>
      </c>
      <c r="AA162" t="b">
        <f t="shared" si="15"/>
        <v>1</v>
      </c>
      <c r="AB162">
        <v>55000</v>
      </c>
      <c r="AC162">
        <v>55000</v>
      </c>
      <c r="AD162" t="b">
        <f t="shared" si="16"/>
        <v>1</v>
      </c>
      <c r="AE162">
        <v>0</v>
      </c>
      <c r="AF162">
        <v>0</v>
      </c>
      <c r="AG162" t="b">
        <f t="shared" si="17"/>
        <v>1</v>
      </c>
      <c r="AH162">
        <v>0</v>
      </c>
      <c r="AI162">
        <v>0</v>
      </c>
      <c r="AJ162" t="b">
        <v>1</v>
      </c>
      <c r="AK162">
        <v>0</v>
      </c>
      <c r="AL162">
        <v>0</v>
      </c>
      <c r="AM162">
        <v>0</v>
      </c>
      <c r="AN162">
        <v>0</v>
      </c>
    </row>
    <row r="163" spans="1:40">
      <c r="A163">
        <v>45741</v>
      </c>
      <c r="B163" t="s">
        <v>35</v>
      </c>
      <c r="C163" t="s">
        <v>169</v>
      </c>
      <c r="D163" t="s">
        <v>93</v>
      </c>
      <c r="E163" t="s">
        <v>426</v>
      </c>
      <c r="F163" t="s">
        <v>427</v>
      </c>
      <c r="G163">
        <v>0</v>
      </c>
      <c r="H163">
        <v>3011623.2</v>
      </c>
      <c r="I163" t="b">
        <v>0</v>
      </c>
      <c r="J163">
        <v>0</v>
      </c>
      <c r="K163">
        <v>3011623.2</v>
      </c>
      <c r="L163" t="b">
        <v>0</v>
      </c>
      <c r="M163">
        <v>3011623.2</v>
      </c>
      <c r="N163">
        <v>3011623.2</v>
      </c>
      <c r="O163" t="b">
        <f t="shared" si="12"/>
        <v>1</v>
      </c>
      <c r="P163">
        <v>0</v>
      </c>
      <c r="Q163">
        <v>0</v>
      </c>
      <c r="R163" t="b">
        <v>1</v>
      </c>
      <c r="S163">
        <v>3011623.2</v>
      </c>
      <c r="T163">
        <v>0</v>
      </c>
      <c r="U163" t="b">
        <f t="shared" si="13"/>
        <v>0</v>
      </c>
      <c r="V163">
        <v>827000</v>
      </c>
      <c r="W163">
        <v>830100</v>
      </c>
      <c r="X163" t="b">
        <f t="shared" si="14"/>
        <v>0</v>
      </c>
      <c r="Y163">
        <v>5690525</v>
      </c>
      <c r="Z163">
        <v>5690525</v>
      </c>
      <c r="AA163" t="b">
        <f t="shared" si="15"/>
        <v>1</v>
      </c>
      <c r="AB163">
        <v>5660425</v>
      </c>
      <c r="AC163">
        <v>5660425</v>
      </c>
      <c r="AD163" t="b">
        <f t="shared" si="16"/>
        <v>1</v>
      </c>
      <c r="AE163">
        <v>6500</v>
      </c>
      <c r="AF163">
        <v>6500</v>
      </c>
      <c r="AG163" t="b">
        <f t="shared" si="17"/>
        <v>1</v>
      </c>
      <c r="AH163">
        <v>23600</v>
      </c>
      <c r="AI163">
        <v>23600</v>
      </c>
      <c r="AJ163" t="b">
        <v>1</v>
      </c>
      <c r="AK163">
        <v>827000</v>
      </c>
      <c r="AL163">
        <v>2181523.2</v>
      </c>
      <c r="AM163">
        <v>3035223.2</v>
      </c>
      <c r="AN163">
        <v>23600</v>
      </c>
    </row>
    <row r="164" spans="1:40">
      <c r="A164">
        <v>45741</v>
      </c>
      <c r="B164" t="s">
        <v>45</v>
      </c>
      <c r="C164" t="s">
        <v>191</v>
      </c>
      <c r="D164" t="s">
        <v>285</v>
      </c>
      <c r="E164" t="s">
        <v>428</v>
      </c>
      <c r="F164" t="s">
        <v>429</v>
      </c>
      <c r="G164">
        <v>0</v>
      </c>
      <c r="H164">
        <v>0</v>
      </c>
      <c r="I164" t="b">
        <v>1</v>
      </c>
      <c r="J164">
        <v>14000000</v>
      </c>
      <c r="K164">
        <v>14000000</v>
      </c>
      <c r="L164" t="b">
        <v>1</v>
      </c>
      <c r="M164">
        <v>14000000</v>
      </c>
      <c r="N164">
        <v>14000000</v>
      </c>
      <c r="O164" t="b">
        <f t="shared" si="12"/>
        <v>1</v>
      </c>
      <c r="P164">
        <v>0</v>
      </c>
      <c r="Q164">
        <v>0</v>
      </c>
      <c r="R164" t="b">
        <v>1</v>
      </c>
      <c r="S164">
        <v>0</v>
      </c>
      <c r="T164">
        <v>0</v>
      </c>
      <c r="U164" t="b">
        <f t="shared" si="13"/>
        <v>1</v>
      </c>
      <c r="V164">
        <v>150000</v>
      </c>
      <c r="W164">
        <v>550000</v>
      </c>
      <c r="X164" t="b">
        <f t="shared" si="14"/>
        <v>0</v>
      </c>
      <c r="Y164">
        <v>2044032</v>
      </c>
      <c r="Z164">
        <v>3294032</v>
      </c>
      <c r="AA164" t="b">
        <f t="shared" si="15"/>
        <v>0</v>
      </c>
      <c r="AB164">
        <v>3294032</v>
      </c>
      <c r="AC164">
        <v>3294032</v>
      </c>
      <c r="AD164" t="b">
        <f t="shared" si="16"/>
        <v>1</v>
      </c>
      <c r="AE164">
        <v>0</v>
      </c>
      <c r="AF164">
        <v>0</v>
      </c>
      <c r="AG164" t="b">
        <f t="shared" si="17"/>
        <v>1</v>
      </c>
      <c r="AH164">
        <v>1250000</v>
      </c>
      <c r="AI164">
        <v>0</v>
      </c>
      <c r="AJ164" t="b">
        <v>0</v>
      </c>
      <c r="AK164">
        <v>150000</v>
      </c>
      <c r="AL164">
        <v>550000</v>
      </c>
      <c r="AM164">
        <v>1250000</v>
      </c>
      <c r="AN164">
        <v>0</v>
      </c>
    </row>
    <row r="165" spans="1:40">
      <c r="A165">
        <v>45741</v>
      </c>
      <c r="B165" t="s">
        <v>35</v>
      </c>
      <c r="C165" t="s">
        <v>169</v>
      </c>
      <c r="D165" t="s">
        <v>124</v>
      </c>
      <c r="E165" t="s">
        <v>430</v>
      </c>
      <c r="F165" t="s">
        <v>431</v>
      </c>
      <c r="G165">
        <v>0</v>
      </c>
      <c r="H165">
        <v>0</v>
      </c>
      <c r="I165" t="b">
        <v>1</v>
      </c>
      <c r="J165">
        <v>0</v>
      </c>
      <c r="K165">
        <v>0</v>
      </c>
      <c r="L165" t="b">
        <v>1</v>
      </c>
      <c r="M165">
        <v>0</v>
      </c>
      <c r="N165">
        <v>0</v>
      </c>
      <c r="O165" t="b">
        <f t="shared" si="12"/>
        <v>1</v>
      </c>
      <c r="P165">
        <v>0</v>
      </c>
      <c r="Q165">
        <v>0</v>
      </c>
      <c r="R165" t="b">
        <v>1</v>
      </c>
      <c r="S165">
        <v>0</v>
      </c>
      <c r="T165">
        <v>0</v>
      </c>
      <c r="U165" t="b">
        <f t="shared" si="13"/>
        <v>1</v>
      </c>
      <c r="V165">
        <v>0</v>
      </c>
      <c r="W165">
        <v>0</v>
      </c>
      <c r="X165" t="b">
        <f t="shared" si="14"/>
        <v>1</v>
      </c>
      <c r="Y165">
        <v>585000.79</v>
      </c>
      <c r="Z165">
        <v>585000.79</v>
      </c>
      <c r="AA165" t="b">
        <f t="shared" si="15"/>
        <v>1</v>
      </c>
      <c r="AB165">
        <v>585000.79</v>
      </c>
      <c r="AC165">
        <v>585000.79</v>
      </c>
      <c r="AD165" t="b">
        <f t="shared" si="16"/>
        <v>1</v>
      </c>
      <c r="AE165">
        <v>0</v>
      </c>
      <c r="AF165">
        <v>0</v>
      </c>
      <c r="AG165" t="b">
        <f t="shared" si="17"/>
        <v>1</v>
      </c>
      <c r="AH165">
        <v>0</v>
      </c>
      <c r="AI165">
        <v>0</v>
      </c>
      <c r="AJ165" t="b">
        <v>1</v>
      </c>
      <c r="AK165">
        <v>0</v>
      </c>
      <c r="AL165">
        <v>0</v>
      </c>
      <c r="AM165">
        <v>0</v>
      </c>
      <c r="AN165">
        <v>0</v>
      </c>
    </row>
    <row r="166" spans="1:40">
      <c r="A166">
        <v>45741</v>
      </c>
      <c r="B166" t="s">
        <v>45</v>
      </c>
      <c r="C166" t="s">
        <v>191</v>
      </c>
      <c r="D166" t="s">
        <v>432</v>
      </c>
      <c r="E166" t="s">
        <v>433</v>
      </c>
      <c r="F166" t="s">
        <v>434</v>
      </c>
      <c r="G166">
        <v>0</v>
      </c>
      <c r="H166">
        <v>0</v>
      </c>
      <c r="I166" t="b">
        <v>1</v>
      </c>
      <c r="J166">
        <v>0</v>
      </c>
      <c r="K166">
        <v>928816</v>
      </c>
      <c r="L166" t="b">
        <v>0</v>
      </c>
      <c r="M166">
        <v>928816</v>
      </c>
      <c r="N166">
        <v>928816</v>
      </c>
      <c r="O166" t="b">
        <f t="shared" si="12"/>
        <v>1</v>
      </c>
      <c r="P166">
        <v>0</v>
      </c>
      <c r="Q166">
        <v>0</v>
      </c>
      <c r="R166" t="b">
        <v>1</v>
      </c>
      <c r="S166">
        <v>928816</v>
      </c>
      <c r="T166">
        <v>0</v>
      </c>
      <c r="U166" t="b">
        <f t="shared" si="13"/>
        <v>0</v>
      </c>
      <c r="V166">
        <v>0</v>
      </c>
      <c r="W166">
        <v>0</v>
      </c>
      <c r="X166" t="b">
        <f t="shared" si="14"/>
        <v>1</v>
      </c>
      <c r="Y166">
        <v>0</v>
      </c>
      <c r="Z166">
        <v>0</v>
      </c>
      <c r="AA166" t="b">
        <f t="shared" si="15"/>
        <v>1</v>
      </c>
      <c r="AB166">
        <v>0</v>
      </c>
      <c r="AC166">
        <v>0</v>
      </c>
      <c r="AD166" t="b">
        <f t="shared" si="16"/>
        <v>1</v>
      </c>
      <c r="AE166">
        <v>0</v>
      </c>
      <c r="AF166">
        <v>0</v>
      </c>
      <c r="AG166" t="b">
        <f t="shared" si="17"/>
        <v>1</v>
      </c>
      <c r="AH166">
        <v>0</v>
      </c>
      <c r="AI166">
        <v>0</v>
      </c>
      <c r="AJ166" t="b">
        <v>1</v>
      </c>
      <c r="AK166">
        <v>0</v>
      </c>
      <c r="AL166">
        <v>0</v>
      </c>
      <c r="AM166">
        <v>928816</v>
      </c>
      <c r="AN166">
        <v>0</v>
      </c>
    </row>
    <row r="167" spans="1:40">
      <c r="A167">
        <v>45741</v>
      </c>
      <c r="B167" t="s">
        <v>30</v>
      </c>
      <c r="C167" t="s">
        <v>176</v>
      </c>
      <c r="D167" t="s">
        <v>96</v>
      </c>
      <c r="E167" t="s">
        <v>435</v>
      </c>
      <c r="F167" t="s">
        <v>436</v>
      </c>
      <c r="G167">
        <v>399072.26</v>
      </c>
      <c r="H167">
        <v>399072.26</v>
      </c>
      <c r="I167" t="b">
        <v>1</v>
      </c>
      <c r="J167">
        <v>399072.26</v>
      </c>
      <c r="K167">
        <v>399072.26</v>
      </c>
      <c r="L167" t="b">
        <v>1</v>
      </c>
      <c r="M167">
        <v>0</v>
      </c>
      <c r="N167">
        <v>0</v>
      </c>
      <c r="O167" t="b">
        <f t="shared" si="12"/>
        <v>1</v>
      </c>
      <c r="P167">
        <v>399072.26</v>
      </c>
      <c r="Q167">
        <v>399072.26</v>
      </c>
      <c r="R167" t="b">
        <v>0</v>
      </c>
      <c r="S167">
        <v>0</v>
      </c>
      <c r="T167">
        <v>0</v>
      </c>
      <c r="U167" t="b">
        <f t="shared" si="13"/>
        <v>1</v>
      </c>
      <c r="V167">
        <v>0</v>
      </c>
      <c r="W167">
        <v>0</v>
      </c>
      <c r="X167" t="b">
        <f t="shared" si="14"/>
        <v>1</v>
      </c>
      <c r="Y167">
        <v>0</v>
      </c>
      <c r="Z167">
        <v>0</v>
      </c>
      <c r="AA167" t="b">
        <f t="shared" si="15"/>
        <v>1</v>
      </c>
      <c r="AB167">
        <v>0</v>
      </c>
      <c r="AC167">
        <v>0</v>
      </c>
      <c r="AD167" t="b">
        <f t="shared" si="16"/>
        <v>1</v>
      </c>
      <c r="AE167">
        <v>0</v>
      </c>
      <c r="AF167">
        <v>0</v>
      </c>
      <c r="AG167" t="b">
        <f t="shared" si="17"/>
        <v>1</v>
      </c>
      <c r="AH167">
        <v>0</v>
      </c>
      <c r="AI167">
        <v>0</v>
      </c>
      <c r="AJ167" t="b">
        <v>1</v>
      </c>
      <c r="AK167">
        <v>399072.26</v>
      </c>
      <c r="AL167">
        <v>399072.26</v>
      </c>
      <c r="AM167">
        <v>0</v>
      </c>
      <c r="AN167">
        <v>0</v>
      </c>
    </row>
    <row r="168" spans="1:40">
      <c r="A168">
        <v>45741</v>
      </c>
      <c r="B168" t="s">
        <v>78</v>
      </c>
      <c r="C168" t="s">
        <v>169</v>
      </c>
      <c r="D168" t="s">
        <v>79</v>
      </c>
      <c r="E168" t="s">
        <v>437</v>
      </c>
      <c r="F168" t="s">
        <v>438</v>
      </c>
      <c r="G168">
        <v>207625</v>
      </c>
      <c r="H168">
        <v>207625</v>
      </c>
      <c r="I168" t="b">
        <v>1</v>
      </c>
      <c r="J168">
        <v>1668425</v>
      </c>
      <c r="K168">
        <v>1668425</v>
      </c>
      <c r="L168" t="b">
        <v>1</v>
      </c>
      <c r="M168">
        <v>1668425</v>
      </c>
      <c r="N168">
        <v>1668425</v>
      </c>
      <c r="O168" t="b">
        <f t="shared" si="12"/>
        <v>1</v>
      </c>
      <c r="P168">
        <v>0</v>
      </c>
      <c r="Q168">
        <v>0</v>
      </c>
      <c r="R168" t="b">
        <v>1</v>
      </c>
      <c r="S168">
        <v>0</v>
      </c>
      <c r="T168">
        <v>0</v>
      </c>
      <c r="U168" t="b">
        <f t="shared" si="13"/>
        <v>1</v>
      </c>
      <c r="V168">
        <v>0</v>
      </c>
      <c r="W168">
        <v>0</v>
      </c>
      <c r="X168" t="b">
        <f t="shared" si="14"/>
        <v>1</v>
      </c>
      <c r="Y168">
        <v>0</v>
      </c>
      <c r="Z168">
        <v>0</v>
      </c>
      <c r="AA168" t="b">
        <f t="shared" si="15"/>
        <v>1</v>
      </c>
      <c r="AB168">
        <v>0</v>
      </c>
      <c r="AC168">
        <v>0</v>
      </c>
      <c r="AD168" t="b">
        <f t="shared" si="16"/>
        <v>1</v>
      </c>
      <c r="AE168">
        <v>0</v>
      </c>
      <c r="AF168">
        <v>0</v>
      </c>
      <c r="AG168" t="b">
        <f t="shared" si="17"/>
        <v>1</v>
      </c>
      <c r="AH168">
        <v>0</v>
      </c>
      <c r="AI168">
        <v>0</v>
      </c>
      <c r="AJ168" t="b">
        <v>1</v>
      </c>
      <c r="AK168">
        <v>207625</v>
      </c>
      <c r="AL168">
        <v>207625</v>
      </c>
      <c r="AM168">
        <v>0</v>
      </c>
      <c r="AN168">
        <v>0</v>
      </c>
    </row>
    <row r="169" spans="1:40">
      <c r="A169">
        <v>45741</v>
      </c>
      <c r="B169" t="s">
        <v>78</v>
      </c>
      <c r="C169" t="s">
        <v>169</v>
      </c>
      <c r="D169" t="s">
        <v>225</v>
      </c>
      <c r="E169" t="s">
        <v>439</v>
      </c>
      <c r="F169" t="s">
        <v>440</v>
      </c>
      <c r="G169">
        <v>0</v>
      </c>
      <c r="H169">
        <v>0</v>
      </c>
      <c r="I169" t="b">
        <v>1</v>
      </c>
      <c r="J169">
        <v>0</v>
      </c>
      <c r="K169">
        <v>0</v>
      </c>
      <c r="L169" t="b">
        <v>1</v>
      </c>
      <c r="M169">
        <v>0</v>
      </c>
      <c r="N169">
        <v>0</v>
      </c>
      <c r="O169" t="b">
        <f t="shared" si="12"/>
        <v>1</v>
      </c>
      <c r="P169">
        <v>0</v>
      </c>
      <c r="Q169">
        <v>0</v>
      </c>
      <c r="R169" t="b">
        <v>1</v>
      </c>
      <c r="S169">
        <v>0</v>
      </c>
      <c r="T169">
        <v>0</v>
      </c>
      <c r="U169" t="b">
        <f t="shared" si="13"/>
        <v>1</v>
      </c>
      <c r="V169">
        <v>0</v>
      </c>
      <c r="W169">
        <v>0</v>
      </c>
      <c r="X169" t="b">
        <f t="shared" si="14"/>
        <v>1</v>
      </c>
      <c r="Y169">
        <v>15407</v>
      </c>
      <c r="Z169">
        <v>15407</v>
      </c>
      <c r="AA169" t="b">
        <f t="shared" si="15"/>
        <v>1</v>
      </c>
      <c r="AB169">
        <v>15407</v>
      </c>
      <c r="AC169">
        <v>15407</v>
      </c>
      <c r="AD169" t="b">
        <f t="shared" si="16"/>
        <v>1</v>
      </c>
      <c r="AE169">
        <v>0</v>
      </c>
      <c r="AF169">
        <v>0</v>
      </c>
      <c r="AG169" t="b">
        <f t="shared" si="17"/>
        <v>1</v>
      </c>
      <c r="AH169">
        <v>0</v>
      </c>
      <c r="AI169">
        <v>0</v>
      </c>
      <c r="AJ169" t="b">
        <v>1</v>
      </c>
      <c r="AK169">
        <v>0</v>
      </c>
      <c r="AL169">
        <v>0</v>
      </c>
      <c r="AM169">
        <v>0</v>
      </c>
      <c r="AN169">
        <v>0</v>
      </c>
    </row>
    <row r="170" spans="1:40">
      <c r="A170">
        <v>45741</v>
      </c>
      <c r="B170" t="s">
        <v>30</v>
      </c>
      <c r="C170" t="s">
        <v>176</v>
      </c>
      <c r="D170" t="s">
        <v>441</v>
      </c>
      <c r="E170" t="s">
        <v>442</v>
      </c>
      <c r="F170" t="s">
        <v>443</v>
      </c>
      <c r="G170">
        <v>0</v>
      </c>
      <c r="H170">
        <v>0</v>
      </c>
      <c r="I170" t="b">
        <v>1</v>
      </c>
      <c r="J170">
        <v>0</v>
      </c>
      <c r="K170">
        <v>0</v>
      </c>
      <c r="L170" t="b">
        <v>1</v>
      </c>
      <c r="M170">
        <v>0</v>
      </c>
      <c r="N170">
        <v>0</v>
      </c>
      <c r="O170" t="b">
        <f t="shared" si="12"/>
        <v>1</v>
      </c>
      <c r="P170">
        <v>0</v>
      </c>
      <c r="Q170">
        <v>0</v>
      </c>
      <c r="R170" t="b">
        <v>1</v>
      </c>
      <c r="S170">
        <v>0</v>
      </c>
      <c r="T170">
        <v>0</v>
      </c>
      <c r="U170" t="b">
        <f t="shared" si="13"/>
        <v>1</v>
      </c>
      <c r="V170">
        <v>0</v>
      </c>
      <c r="W170">
        <v>0</v>
      </c>
      <c r="X170" t="b">
        <f t="shared" si="14"/>
        <v>1</v>
      </c>
      <c r="Y170">
        <v>14500</v>
      </c>
      <c r="Z170">
        <v>14500</v>
      </c>
      <c r="AA170" t="b">
        <f t="shared" si="15"/>
        <v>1</v>
      </c>
      <c r="AB170">
        <v>14500</v>
      </c>
      <c r="AC170">
        <v>14500</v>
      </c>
      <c r="AD170" t="b">
        <f t="shared" si="16"/>
        <v>1</v>
      </c>
      <c r="AE170">
        <v>0</v>
      </c>
      <c r="AF170">
        <v>0</v>
      </c>
      <c r="AG170" t="b">
        <f t="shared" si="17"/>
        <v>1</v>
      </c>
      <c r="AH170">
        <v>0</v>
      </c>
      <c r="AI170">
        <v>0</v>
      </c>
      <c r="AJ170" t="b">
        <v>1</v>
      </c>
      <c r="AK170">
        <v>0</v>
      </c>
      <c r="AL170">
        <v>0</v>
      </c>
      <c r="AM170">
        <v>0</v>
      </c>
      <c r="AN170">
        <v>0</v>
      </c>
    </row>
    <row r="171" spans="1:40">
      <c r="A171">
        <v>45741</v>
      </c>
      <c r="B171" t="s">
        <v>35</v>
      </c>
      <c r="C171" t="s">
        <v>169</v>
      </c>
      <c r="D171" t="s">
        <v>444</v>
      </c>
      <c r="E171" t="s">
        <v>445</v>
      </c>
      <c r="F171" t="s">
        <v>446</v>
      </c>
      <c r="G171">
        <v>175142</v>
      </c>
      <c r="H171">
        <v>175142</v>
      </c>
      <c r="I171" t="b">
        <v>1</v>
      </c>
      <c r="J171">
        <v>175142</v>
      </c>
      <c r="K171">
        <v>175142</v>
      </c>
      <c r="L171" t="b">
        <v>1</v>
      </c>
      <c r="M171">
        <v>175142</v>
      </c>
      <c r="N171">
        <v>175142</v>
      </c>
      <c r="O171" t="b">
        <f t="shared" si="12"/>
        <v>1</v>
      </c>
      <c r="P171">
        <v>0</v>
      </c>
      <c r="Q171">
        <v>0</v>
      </c>
      <c r="R171" t="b">
        <v>1</v>
      </c>
      <c r="S171">
        <v>0</v>
      </c>
      <c r="T171">
        <v>0</v>
      </c>
      <c r="U171" t="b">
        <f t="shared" si="13"/>
        <v>1</v>
      </c>
      <c r="V171">
        <v>140066</v>
      </c>
      <c r="W171">
        <v>140066</v>
      </c>
      <c r="X171" t="b">
        <f t="shared" si="14"/>
        <v>1</v>
      </c>
      <c r="Y171">
        <v>192445</v>
      </c>
      <c r="Z171">
        <v>192445</v>
      </c>
      <c r="AA171" t="b">
        <f t="shared" si="15"/>
        <v>1</v>
      </c>
      <c r="AB171">
        <v>192445</v>
      </c>
      <c r="AC171">
        <v>192445</v>
      </c>
      <c r="AD171" t="b">
        <f t="shared" si="16"/>
        <v>1</v>
      </c>
      <c r="AE171">
        <v>0</v>
      </c>
      <c r="AF171">
        <v>0</v>
      </c>
      <c r="AG171" t="b">
        <f t="shared" si="17"/>
        <v>1</v>
      </c>
      <c r="AH171">
        <v>0</v>
      </c>
      <c r="AI171">
        <v>0</v>
      </c>
      <c r="AJ171" t="b">
        <v>1</v>
      </c>
      <c r="AK171">
        <v>35076</v>
      </c>
      <c r="AL171">
        <v>35076</v>
      </c>
      <c r="AM171">
        <v>0</v>
      </c>
      <c r="AN171">
        <v>0</v>
      </c>
    </row>
    <row r="172" spans="1:40">
      <c r="A172">
        <v>45741</v>
      </c>
      <c r="B172" t="s">
        <v>30</v>
      </c>
      <c r="C172" t="s">
        <v>176</v>
      </c>
      <c r="D172" t="s">
        <v>58</v>
      </c>
      <c r="E172" t="s">
        <v>447</v>
      </c>
      <c r="F172" t="s">
        <v>448</v>
      </c>
      <c r="G172">
        <v>0</v>
      </c>
      <c r="H172">
        <v>0</v>
      </c>
      <c r="I172" t="b">
        <v>1</v>
      </c>
      <c r="J172">
        <v>0</v>
      </c>
      <c r="K172">
        <v>0</v>
      </c>
      <c r="L172" t="b">
        <v>1</v>
      </c>
      <c r="M172">
        <v>1232800</v>
      </c>
      <c r="N172">
        <v>1232800</v>
      </c>
      <c r="O172" t="b">
        <f t="shared" si="12"/>
        <v>1</v>
      </c>
      <c r="P172">
        <v>0</v>
      </c>
      <c r="Q172">
        <v>0</v>
      </c>
      <c r="R172" t="b">
        <v>1</v>
      </c>
      <c r="S172">
        <v>1232800</v>
      </c>
      <c r="T172">
        <v>1232800</v>
      </c>
      <c r="U172" t="b">
        <f t="shared" si="13"/>
        <v>1</v>
      </c>
      <c r="V172">
        <v>54100</v>
      </c>
      <c r="W172">
        <v>54100</v>
      </c>
      <c r="X172" t="b">
        <f t="shared" si="14"/>
        <v>1</v>
      </c>
      <c r="Y172">
        <v>54100</v>
      </c>
      <c r="Z172">
        <v>54100</v>
      </c>
      <c r="AA172" t="b">
        <f t="shared" si="15"/>
        <v>1</v>
      </c>
      <c r="AB172">
        <v>907484</v>
      </c>
      <c r="AC172">
        <v>907484</v>
      </c>
      <c r="AD172" t="b">
        <f t="shared" si="16"/>
        <v>1</v>
      </c>
      <c r="AE172">
        <v>0</v>
      </c>
      <c r="AF172">
        <v>0</v>
      </c>
      <c r="AG172" t="b">
        <f t="shared" si="17"/>
        <v>1</v>
      </c>
      <c r="AH172">
        <v>961584</v>
      </c>
      <c r="AI172">
        <v>961584</v>
      </c>
      <c r="AJ172" t="b">
        <v>1</v>
      </c>
      <c r="AK172">
        <v>54100</v>
      </c>
      <c r="AL172">
        <v>54100</v>
      </c>
      <c r="AM172">
        <v>271216</v>
      </c>
      <c r="AN172">
        <v>271216</v>
      </c>
    </row>
    <row r="173" spans="1:40">
      <c r="A173">
        <v>45741</v>
      </c>
      <c r="B173" t="s">
        <v>45</v>
      </c>
      <c r="C173" t="s">
        <v>191</v>
      </c>
      <c r="D173" t="s">
        <v>449</v>
      </c>
      <c r="E173" t="s">
        <v>450</v>
      </c>
      <c r="F173" t="s">
        <v>451</v>
      </c>
      <c r="G173">
        <v>0</v>
      </c>
      <c r="H173">
        <v>1197840</v>
      </c>
      <c r="I173" t="b">
        <v>0</v>
      </c>
      <c r="J173">
        <v>5855518</v>
      </c>
      <c r="K173">
        <v>7053358</v>
      </c>
      <c r="L173" t="b">
        <v>0</v>
      </c>
      <c r="M173">
        <v>0</v>
      </c>
      <c r="N173">
        <v>0</v>
      </c>
      <c r="O173" t="b">
        <f t="shared" si="12"/>
        <v>1</v>
      </c>
      <c r="P173">
        <v>0</v>
      </c>
      <c r="Q173">
        <v>0</v>
      </c>
      <c r="R173" t="b">
        <v>1</v>
      </c>
      <c r="S173">
        <v>5855518</v>
      </c>
      <c r="T173">
        <v>7053358</v>
      </c>
      <c r="U173" t="b">
        <f t="shared" si="13"/>
        <v>0</v>
      </c>
      <c r="V173">
        <v>944609.45</v>
      </c>
      <c r="W173">
        <v>1027945.06</v>
      </c>
      <c r="X173" t="b">
        <f t="shared" si="14"/>
        <v>0</v>
      </c>
      <c r="Y173">
        <v>1073620.06</v>
      </c>
      <c r="Z173">
        <v>1073620.06</v>
      </c>
      <c r="AA173" t="b">
        <f t="shared" si="15"/>
        <v>1</v>
      </c>
      <c r="AB173">
        <v>2932529.94</v>
      </c>
      <c r="AC173">
        <v>2932529.94</v>
      </c>
      <c r="AD173" t="b">
        <f t="shared" si="16"/>
        <v>1</v>
      </c>
      <c r="AE173">
        <v>6150</v>
      </c>
      <c r="AF173">
        <v>6150</v>
      </c>
      <c r="AG173" t="b">
        <f t="shared" si="17"/>
        <v>1</v>
      </c>
      <c r="AH173">
        <v>4000000</v>
      </c>
      <c r="AI173">
        <v>4000000</v>
      </c>
      <c r="AJ173" t="b">
        <v>1</v>
      </c>
      <c r="AK173">
        <v>944609.45</v>
      </c>
      <c r="AL173">
        <v>169894.94</v>
      </c>
      <c r="AM173">
        <v>1855518</v>
      </c>
      <c r="AN173">
        <v>3053358</v>
      </c>
    </row>
    <row r="174" spans="1:40">
      <c r="A174">
        <v>45741</v>
      </c>
      <c r="B174" t="s">
        <v>35</v>
      </c>
      <c r="C174" t="s">
        <v>169</v>
      </c>
      <c r="D174" t="s">
        <v>452</v>
      </c>
      <c r="E174" t="s">
        <v>453</v>
      </c>
      <c r="F174" t="s">
        <v>454</v>
      </c>
      <c r="G174">
        <v>317178.4</v>
      </c>
      <c r="H174">
        <v>317178.4</v>
      </c>
      <c r="I174" t="b">
        <v>1</v>
      </c>
      <c r="J174">
        <v>317178.4</v>
      </c>
      <c r="K174">
        <v>317178.4</v>
      </c>
      <c r="L174" t="b">
        <v>1</v>
      </c>
      <c r="M174">
        <v>317178</v>
      </c>
      <c r="N174">
        <v>317178</v>
      </c>
      <c r="O174" t="b">
        <f t="shared" si="12"/>
        <v>1</v>
      </c>
      <c r="P174">
        <v>0</v>
      </c>
      <c r="Q174">
        <v>0</v>
      </c>
      <c r="R174" t="b">
        <v>1</v>
      </c>
      <c r="S174">
        <v>0.4</v>
      </c>
      <c r="T174">
        <v>0.4</v>
      </c>
      <c r="U174" t="b">
        <f t="shared" si="13"/>
        <v>1</v>
      </c>
      <c r="V174">
        <v>0</v>
      </c>
      <c r="W174">
        <v>0</v>
      </c>
      <c r="X174" t="b">
        <f t="shared" si="14"/>
        <v>1</v>
      </c>
      <c r="Y174">
        <v>58437.5</v>
      </c>
      <c r="Z174">
        <v>58437.5</v>
      </c>
      <c r="AA174" t="b">
        <f t="shared" si="15"/>
        <v>1</v>
      </c>
      <c r="AB174">
        <v>58437.5</v>
      </c>
      <c r="AC174">
        <v>58437.5</v>
      </c>
      <c r="AD174" t="b">
        <f t="shared" si="16"/>
        <v>1</v>
      </c>
      <c r="AE174">
        <v>0</v>
      </c>
      <c r="AF174">
        <v>0</v>
      </c>
      <c r="AG174" t="b">
        <f t="shared" si="17"/>
        <v>1</v>
      </c>
      <c r="AH174">
        <v>0</v>
      </c>
      <c r="AI174">
        <v>0</v>
      </c>
      <c r="AJ174" t="b">
        <v>1</v>
      </c>
      <c r="AK174">
        <v>317178.4</v>
      </c>
      <c r="AL174">
        <v>317178.4</v>
      </c>
      <c r="AM174">
        <v>0.4</v>
      </c>
      <c r="AN174">
        <v>0.4</v>
      </c>
    </row>
    <row r="175" spans="1:40">
      <c r="A175">
        <v>45741</v>
      </c>
      <c r="B175" t="s">
        <v>30</v>
      </c>
      <c r="C175" t="s">
        <v>176</v>
      </c>
      <c r="D175" t="s">
        <v>338</v>
      </c>
      <c r="E175" t="s">
        <v>455</v>
      </c>
      <c r="F175" t="s">
        <v>456</v>
      </c>
      <c r="G175">
        <v>5492385.06</v>
      </c>
      <c r="H175">
        <v>5492385.06</v>
      </c>
      <c r="I175" t="b">
        <v>1</v>
      </c>
      <c r="J175">
        <v>5492385.06</v>
      </c>
      <c r="K175">
        <v>5492385.06</v>
      </c>
      <c r="L175" t="b">
        <v>1</v>
      </c>
      <c r="M175">
        <v>5492385.06</v>
      </c>
      <c r="N175">
        <v>5492385.06</v>
      </c>
      <c r="O175" t="b">
        <f t="shared" si="12"/>
        <v>1</v>
      </c>
      <c r="P175">
        <v>0</v>
      </c>
      <c r="Q175">
        <v>0</v>
      </c>
      <c r="R175" t="b">
        <v>1</v>
      </c>
      <c r="S175">
        <v>0</v>
      </c>
      <c r="T175">
        <v>0</v>
      </c>
      <c r="U175" t="b">
        <f t="shared" si="13"/>
        <v>1</v>
      </c>
      <c r="V175">
        <v>0</v>
      </c>
      <c r="W175">
        <v>0</v>
      </c>
      <c r="X175" t="b">
        <f t="shared" si="14"/>
        <v>1</v>
      </c>
      <c r="Y175">
        <v>350000</v>
      </c>
      <c r="Z175">
        <v>350000</v>
      </c>
      <c r="AA175" t="b">
        <f t="shared" si="15"/>
        <v>1</v>
      </c>
      <c r="AB175">
        <v>350000</v>
      </c>
      <c r="AC175">
        <v>350000</v>
      </c>
      <c r="AD175" t="b">
        <f t="shared" si="16"/>
        <v>1</v>
      </c>
      <c r="AE175">
        <v>0</v>
      </c>
      <c r="AF175">
        <v>0</v>
      </c>
      <c r="AG175" t="b">
        <f t="shared" si="17"/>
        <v>1</v>
      </c>
      <c r="AH175">
        <v>0</v>
      </c>
      <c r="AI175">
        <v>0</v>
      </c>
      <c r="AJ175" t="b">
        <v>1</v>
      </c>
      <c r="AK175">
        <v>5492385.06</v>
      </c>
      <c r="AL175">
        <v>5492385.06</v>
      </c>
      <c r="AM175">
        <v>0</v>
      </c>
      <c r="AN175">
        <v>0</v>
      </c>
    </row>
    <row r="176" spans="1:40">
      <c r="A176">
        <v>45741</v>
      </c>
      <c r="B176" t="s">
        <v>78</v>
      </c>
      <c r="C176" t="s">
        <v>169</v>
      </c>
      <c r="D176" t="s">
        <v>79</v>
      </c>
      <c r="E176" t="s">
        <v>457</v>
      </c>
      <c r="F176" t="s">
        <v>458</v>
      </c>
      <c r="G176">
        <v>0</v>
      </c>
      <c r="H176">
        <v>0</v>
      </c>
      <c r="I176" t="b">
        <v>1</v>
      </c>
      <c r="J176">
        <v>0</v>
      </c>
      <c r="K176">
        <v>0</v>
      </c>
      <c r="L176" t="b">
        <v>1</v>
      </c>
      <c r="M176">
        <v>0</v>
      </c>
      <c r="N176">
        <v>0</v>
      </c>
      <c r="O176" t="b">
        <f t="shared" si="12"/>
        <v>1</v>
      </c>
      <c r="P176">
        <v>0</v>
      </c>
      <c r="Q176">
        <v>0</v>
      </c>
      <c r="R176" t="b">
        <v>1</v>
      </c>
      <c r="S176">
        <v>0</v>
      </c>
      <c r="T176">
        <v>0</v>
      </c>
      <c r="U176" t="b">
        <f t="shared" si="13"/>
        <v>1</v>
      </c>
      <c r="V176">
        <v>0</v>
      </c>
      <c r="W176">
        <v>0</v>
      </c>
      <c r="X176" t="b">
        <f t="shared" si="14"/>
        <v>1</v>
      </c>
      <c r="Y176">
        <v>0</v>
      </c>
      <c r="Z176">
        <v>0</v>
      </c>
      <c r="AA176" t="b">
        <f t="shared" si="15"/>
        <v>1</v>
      </c>
      <c r="AB176">
        <v>34233</v>
      </c>
      <c r="AC176">
        <v>34233</v>
      </c>
      <c r="AD176" t="b">
        <f t="shared" si="16"/>
        <v>1</v>
      </c>
      <c r="AE176">
        <v>126649</v>
      </c>
      <c r="AF176">
        <v>126649</v>
      </c>
      <c r="AG176" t="b">
        <f t="shared" si="17"/>
        <v>1</v>
      </c>
      <c r="AH176">
        <v>92416</v>
      </c>
      <c r="AI176">
        <v>92416</v>
      </c>
      <c r="AJ176" t="b">
        <v>0</v>
      </c>
      <c r="AK176">
        <v>0</v>
      </c>
      <c r="AL176">
        <v>0</v>
      </c>
      <c r="AM176">
        <v>92416</v>
      </c>
      <c r="AN176">
        <v>92416</v>
      </c>
    </row>
    <row r="177" spans="1:40">
      <c r="A177">
        <v>45741</v>
      </c>
      <c r="B177" t="s">
        <v>35</v>
      </c>
      <c r="C177" t="s">
        <v>169</v>
      </c>
      <c r="D177" t="s">
        <v>93</v>
      </c>
      <c r="E177" t="s">
        <v>459</v>
      </c>
      <c r="F177" t="s">
        <v>460</v>
      </c>
      <c r="G177">
        <v>0</v>
      </c>
      <c r="H177">
        <v>0</v>
      </c>
      <c r="I177" t="b">
        <v>1</v>
      </c>
      <c r="J177">
        <v>0</v>
      </c>
      <c r="K177">
        <v>0</v>
      </c>
      <c r="L177" t="b">
        <v>1</v>
      </c>
      <c r="M177">
        <v>0</v>
      </c>
      <c r="N177">
        <v>0</v>
      </c>
      <c r="O177" t="b">
        <f t="shared" si="12"/>
        <v>1</v>
      </c>
      <c r="P177">
        <v>0</v>
      </c>
      <c r="Q177">
        <v>0</v>
      </c>
      <c r="R177" t="b">
        <v>1</v>
      </c>
      <c r="S177">
        <v>0</v>
      </c>
      <c r="T177">
        <v>0</v>
      </c>
      <c r="U177" t="b">
        <f t="shared" si="13"/>
        <v>1</v>
      </c>
      <c r="V177">
        <v>0</v>
      </c>
      <c r="W177">
        <v>0</v>
      </c>
      <c r="X177" t="b">
        <f t="shared" si="14"/>
        <v>1</v>
      </c>
      <c r="Y177">
        <v>110000</v>
      </c>
      <c r="Z177">
        <v>110000</v>
      </c>
      <c r="AA177" t="b">
        <f t="shared" si="15"/>
        <v>1</v>
      </c>
      <c r="AB177">
        <v>110000</v>
      </c>
      <c r="AC177">
        <v>110000</v>
      </c>
      <c r="AD177" t="b">
        <f t="shared" si="16"/>
        <v>1</v>
      </c>
      <c r="AE177">
        <v>0</v>
      </c>
      <c r="AF177">
        <v>0</v>
      </c>
      <c r="AG177" t="b">
        <f t="shared" si="17"/>
        <v>1</v>
      </c>
      <c r="AH177">
        <v>0</v>
      </c>
      <c r="AI177">
        <v>0</v>
      </c>
      <c r="AJ177" t="b">
        <v>1</v>
      </c>
      <c r="AK177">
        <v>0</v>
      </c>
      <c r="AL177">
        <v>0</v>
      </c>
      <c r="AM177">
        <v>0</v>
      </c>
      <c r="AN177">
        <v>0</v>
      </c>
    </row>
    <row r="178" spans="1:40">
      <c r="A178">
        <v>45741</v>
      </c>
      <c r="B178" t="s">
        <v>30</v>
      </c>
      <c r="C178" t="s">
        <v>176</v>
      </c>
      <c r="D178" t="s">
        <v>255</v>
      </c>
      <c r="E178" t="s">
        <v>461</v>
      </c>
      <c r="F178" t="s">
        <v>462</v>
      </c>
      <c r="G178">
        <v>0</v>
      </c>
      <c r="H178">
        <v>0</v>
      </c>
      <c r="I178" t="b">
        <v>1</v>
      </c>
      <c r="J178">
        <v>0</v>
      </c>
      <c r="K178">
        <v>0</v>
      </c>
      <c r="L178" t="b">
        <v>1</v>
      </c>
      <c r="M178">
        <v>0</v>
      </c>
      <c r="N178">
        <v>0</v>
      </c>
      <c r="O178" t="b">
        <f t="shared" si="12"/>
        <v>1</v>
      </c>
      <c r="P178">
        <v>0</v>
      </c>
      <c r="Q178">
        <v>0</v>
      </c>
      <c r="R178" t="b">
        <v>1</v>
      </c>
      <c r="S178">
        <v>0</v>
      </c>
      <c r="T178">
        <v>0</v>
      </c>
      <c r="U178" t="b">
        <f t="shared" si="13"/>
        <v>1</v>
      </c>
      <c r="V178">
        <v>0</v>
      </c>
      <c r="W178">
        <v>0</v>
      </c>
      <c r="X178" t="b">
        <f t="shared" si="14"/>
        <v>1</v>
      </c>
      <c r="Y178">
        <v>6000</v>
      </c>
      <c r="Z178">
        <v>6000</v>
      </c>
      <c r="AA178" t="b">
        <f t="shared" si="15"/>
        <v>1</v>
      </c>
      <c r="AB178">
        <v>6000</v>
      </c>
      <c r="AC178">
        <v>6000</v>
      </c>
      <c r="AD178" t="b">
        <f t="shared" si="16"/>
        <v>1</v>
      </c>
      <c r="AE178">
        <v>0</v>
      </c>
      <c r="AF178">
        <v>0</v>
      </c>
      <c r="AG178" t="b">
        <f t="shared" si="17"/>
        <v>1</v>
      </c>
      <c r="AH178">
        <v>0</v>
      </c>
      <c r="AI178">
        <v>0</v>
      </c>
      <c r="AJ178" t="b">
        <v>1</v>
      </c>
      <c r="AK178">
        <v>0</v>
      </c>
      <c r="AL178">
        <v>0</v>
      </c>
      <c r="AM178">
        <v>0</v>
      </c>
      <c r="AN178">
        <v>0</v>
      </c>
    </row>
    <row r="179" spans="1:40">
      <c r="A179">
        <v>45741</v>
      </c>
      <c r="B179" t="s">
        <v>45</v>
      </c>
      <c r="C179" t="s">
        <v>191</v>
      </c>
      <c r="D179" t="s">
        <v>130</v>
      </c>
      <c r="E179" t="s">
        <v>463</v>
      </c>
      <c r="F179" t="s">
        <v>464</v>
      </c>
      <c r="G179">
        <v>250000</v>
      </c>
      <c r="H179">
        <v>250000</v>
      </c>
      <c r="I179" t="b">
        <v>1</v>
      </c>
      <c r="J179">
        <v>250000</v>
      </c>
      <c r="K179">
        <v>250000</v>
      </c>
      <c r="L179" t="b">
        <v>1</v>
      </c>
      <c r="M179">
        <v>250000</v>
      </c>
      <c r="N179">
        <v>250000</v>
      </c>
      <c r="O179" t="b">
        <f t="shared" si="12"/>
        <v>1</v>
      </c>
      <c r="P179">
        <v>0</v>
      </c>
      <c r="Q179">
        <v>0</v>
      </c>
      <c r="R179" t="b">
        <v>1</v>
      </c>
      <c r="S179">
        <v>0</v>
      </c>
      <c r="T179">
        <v>0</v>
      </c>
      <c r="U179" t="b">
        <f t="shared" si="13"/>
        <v>1</v>
      </c>
      <c r="V179">
        <v>0</v>
      </c>
      <c r="W179">
        <v>0</v>
      </c>
      <c r="X179" t="b">
        <f t="shared" si="14"/>
        <v>1</v>
      </c>
      <c r="Y179">
        <v>1139500</v>
      </c>
      <c r="Z179">
        <v>1139500</v>
      </c>
      <c r="AA179" t="b">
        <f t="shared" si="15"/>
        <v>1</v>
      </c>
      <c r="AB179">
        <v>1139500</v>
      </c>
      <c r="AC179">
        <v>1139500</v>
      </c>
      <c r="AD179" t="b">
        <f t="shared" si="16"/>
        <v>1</v>
      </c>
      <c r="AE179">
        <v>0</v>
      </c>
      <c r="AF179">
        <v>0</v>
      </c>
      <c r="AG179" t="b">
        <f t="shared" si="17"/>
        <v>1</v>
      </c>
      <c r="AH179">
        <v>0</v>
      </c>
      <c r="AI179">
        <v>0</v>
      </c>
      <c r="AJ179" t="b">
        <v>1</v>
      </c>
      <c r="AK179">
        <v>250000</v>
      </c>
      <c r="AL179">
        <v>250000</v>
      </c>
      <c r="AM179">
        <v>0</v>
      </c>
      <c r="AN179">
        <v>0</v>
      </c>
    </row>
    <row r="180" spans="1:40">
      <c r="A180">
        <v>45741</v>
      </c>
      <c r="B180" t="s">
        <v>35</v>
      </c>
      <c r="C180" t="s">
        <v>169</v>
      </c>
      <c r="D180" t="s">
        <v>55</v>
      </c>
      <c r="E180" t="s">
        <v>465</v>
      </c>
      <c r="F180" t="s">
        <v>466</v>
      </c>
      <c r="G180">
        <v>0</v>
      </c>
      <c r="H180">
        <v>0</v>
      </c>
      <c r="I180" t="b">
        <v>1</v>
      </c>
      <c r="J180">
        <v>0</v>
      </c>
      <c r="K180">
        <v>0</v>
      </c>
      <c r="L180" t="b">
        <v>1</v>
      </c>
      <c r="M180">
        <v>0</v>
      </c>
      <c r="N180">
        <v>0</v>
      </c>
      <c r="O180" t="b">
        <f t="shared" si="12"/>
        <v>1</v>
      </c>
      <c r="P180">
        <v>0</v>
      </c>
      <c r="Q180">
        <v>0</v>
      </c>
      <c r="R180" t="b">
        <v>1</v>
      </c>
      <c r="S180">
        <v>0</v>
      </c>
      <c r="T180">
        <v>0</v>
      </c>
      <c r="U180" t="b">
        <f t="shared" si="13"/>
        <v>1</v>
      </c>
      <c r="V180">
        <v>0</v>
      </c>
      <c r="W180">
        <v>0</v>
      </c>
      <c r="X180" t="b">
        <f t="shared" si="14"/>
        <v>1</v>
      </c>
      <c r="Y180">
        <v>7552</v>
      </c>
      <c r="Z180">
        <v>7552</v>
      </c>
      <c r="AA180" t="b">
        <f t="shared" si="15"/>
        <v>1</v>
      </c>
      <c r="AB180">
        <v>7552</v>
      </c>
      <c r="AC180">
        <v>7552</v>
      </c>
      <c r="AD180" t="b">
        <f t="shared" si="16"/>
        <v>1</v>
      </c>
      <c r="AE180">
        <v>0</v>
      </c>
      <c r="AF180">
        <v>0</v>
      </c>
      <c r="AG180" t="b">
        <f t="shared" si="17"/>
        <v>1</v>
      </c>
      <c r="AH180">
        <v>0</v>
      </c>
      <c r="AI180">
        <v>0</v>
      </c>
      <c r="AJ180" t="b">
        <v>1</v>
      </c>
      <c r="AK180">
        <v>0</v>
      </c>
      <c r="AL180">
        <v>0</v>
      </c>
      <c r="AM180">
        <v>0</v>
      </c>
      <c r="AN180">
        <v>0</v>
      </c>
    </row>
    <row r="181" spans="1:40">
      <c r="A181">
        <v>45741</v>
      </c>
      <c r="B181" t="s">
        <v>30</v>
      </c>
      <c r="C181" t="s">
        <v>176</v>
      </c>
      <c r="D181" t="s">
        <v>85</v>
      </c>
      <c r="E181" t="s">
        <v>467</v>
      </c>
      <c r="F181" t="s">
        <v>468</v>
      </c>
      <c r="G181">
        <v>0</v>
      </c>
      <c r="H181">
        <v>0</v>
      </c>
      <c r="I181" t="b">
        <v>1</v>
      </c>
      <c r="J181">
        <v>0</v>
      </c>
      <c r="K181">
        <v>0</v>
      </c>
      <c r="L181" t="b">
        <v>1</v>
      </c>
      <c r="M181">
        <v>0</v>
      </c>
      <c r="N181">
        <v>0</v>
      </c>
      <c r="O181" t="b">
        <f t="shared" si="12"/>
        <v>1</v>
      </c>
      <c r="P181">
        <v>0</v>
      </c>
      <c r="Q181">
        <v>0</v>
      </c>
      <c r="R181" t="b">
        <v>1</v>
      </c>
      <c r="S181">
        <v>0</v>
      </c>
      <c r="T181">
        <v>0</v>
      </c>
      <c r="U181" t="b">
        <f t="shared" si="13"/>
        <v>1</v>
      </c>
      <c r="V181">
        <v>0</v>
      </c>
      <c r="W181">
        <v>0</v>
      </c>
      <c r="X181" t="b">
        <f t="shared" si="14"/>
        <v>1</v>
      </c>
      <c r="Y181">
        <v>40000</v>
      </c>
      <c r="Z181">
        <v>40000</v>
      </c>
      <c r="AA181" t="b">
        <f t="shared" si="15"/>
        <v>1</v>
      </c>
      <c r="AB181">
        <v>40000</v>
      </c>
      <c r="AC181">
        <v>40000</v>
      </c>
      <c r="AD181" t="b">
        <f t="shared" si="16"/>
        <v>1</v>
      </c>
      <c r="AE181">
        <v>0</v>
      </c>
      <c r="AF181">
        <v>0</v>
      </c>
      <c r="AG181" t="b">
        <f t="shared" si="17"/>
        <v>1</v>
      </c>
      <c r="AH181">
        <v>0</v>
      </c>
      <c r="AI181">
        <v>0</v>
      </c>
      <c r="AJ181" t="b">
        <v>1</v>
      </c>
      <c r="AK181">
        <v>0</v>
      </c>
      <c r="AL181">
        <v>0</v>
      </c>
      <c r="AM181">
        <v>0</v>
      </c>
      <c r="AN181">
        <v>0</v>
      </c>
    </row>
    <row r="182" spans="1:40">
      <c r="A182">
        <v>45741</v>
      </c>
      <c r="B182" t="s">
        <v>45</v>
      </c>
      <c r="C182" t="s">
        <v>191</v>
      </c>
      <c r="D182" t="s">
        <v>49</v>
      </c>
      <c r="E182" t="s">
        <v>469</v>
      </c>
      <c r="F182" t="s">
        <v>470</v>
      </c>
      <c r="G182">
        <v>0</v>
      </c>
      <c r="H182">
        <v>0</v>
      </c>
      <c r="I182" t="b">
        <v>1</v>
      </c>
      <c r="J182">
        <v>5313598</v>
      </c>
      <c r="K182">
        <v>5313598</v>
      </c>
      <c r="L182" t="b">
        <v>1</v>
      </c>
      <c r="M182">
        <v>5313598</v>
      </c>
      <c r="N182">
        <v>5313598</v>
      </c>
      <c r="O182" t="b">
        <f t="shared" si="12"/>
        <v>1</v>
      </c>
      <c r="P182">
        <v>0</v>
      </c>
      <c r="Q182">
        <v>0</v>
      </c>
      <c r="R182" t="b">
        <v>1</v>
      </c>
      <c r="S182">
        <v>0</v>
      </c>
      <c r="T182">
        <v>0</v>
      </c>
      <c r="U182" t="b">
        <f t="shared" si="13"/>
        <v>1</v>
      </c>
      <c r="V182">
        <v>0</v>
      </c>
      <c r="W182">
        <v>0</v>
      </c>
      <c r="X182" t="b">
        <f t="shared" si="14"/>
        <v>1</v>
      </c>
      <c r="Y182">
        <v>0</v>
      </c>
      <c r="Z182">
        <v>0</v>
      </c>
      <c r="AA182" t="b">
        <f t="shared" si="15"/>
        <v>1</v>
      </c>
      <c r="AB182">
        <v>0</v>
      </c>
      <c r="AC182">
        <v>0</v>
      </c>
      <c r="AD182" t="b">
        <f t="shared" si="16"/>
        <v>1</v>
      </c>
      <c r="AE182">
        <v>0</v>
      </c>
      <c r="AF182">
        <v>0</v>
      </c>
      <c r="AG182" t="b">
        <f t="shared" si="17"/>
        <v>1</v>
      </c>
      <c r="AH182">
        <v>0</v>
      </c>
      <c r="AI182">
        <v>0</v>
      </c>
      <c r="AJ182" t="b">
        <v>1</v>
      </c>
      <c r="AK182">
        <v>0</v>
      </c>
      <c r="AL182">
        <v>0</v>
      </c>
      <c r="AM182">
        <v>0</v>
      </c>
      <c r="AN182">
        <v>0</v>
      </c>
    </row>
    <row r="183" spans="1:40">
      <c r="A183">
        <v>45741</v>
      </c>
      <c r="B183" t="s">
        <v>45</v>
      </c>
      <c r="C183" t="s">
        <v>191</v>
      </c>
      <c r="D183" t="s">
        <v>356</v>
      </c>
      <c r="E183" t="s">
        <v>471</v>
      </c>
      <c r="F183" t="s">
        <v>472</v>
      </c>
      <c r="G183">
        <v>0</v>
      </c>
      <c r="H183">
        <v>0</v>
      </c>
      <c r="I183" t="b">
        <v>1</v>
      </c>
      <c r="J183">
        <v>0</v>
      </c>
      <c r="K183">
        <v>0</v>
      </c>
      <c r="L183" t="b">
        <v>1</v>
      </c>
      <c r="M183">
        <v>0</v>
      </c>
      <c r="N183">
        <v>0</v>
      </c>
      <c r="O183" t="b">
        <f t="shared" si="12"/>
        <v>1</v>
      </c>
      <c r="P183">
        <v>0</v>
      </c>
      <c r="Q183">
        <v>0</v>
      </c>
      <c r="R183" t="b">
        <v>1</v>
      </c>
      <c r="S183">
        <v>0</v>
      </c>
      <c r="T183">
        <v>0</v>
      </c>
      <c r="U183" t="b">
        <f t="shared" si="13"/>
        <v>1</v>
      </c>
      <c r="V183">
        <v>0</v>
      </c>
      <c r="W183">
        <v>0</v>
      </c>
      <c r="X183" t="b">
        <f t="shared" si="14"/>
        <v>1</v>
      </c>
      <c r="Y183">
        <v>10725</v>
      </c>
      <c r="Z183">
        <v>10725</v>
      </c>
      <c r="AA183" t="b">
        <f t="shared" si="15"/>
        <v>1</v>
      </c>
      <c r="AB183">
        <v>10725</v>
      </c>
      <c r="AC183">
        <v>10725</v>
      </c>
      <c r="AD183" t="b">
        <f t="shared" si="16"/>
        <v>1</v>
      </c>
      <c r="AE183">
        <v>0</v>
      </c>
      <c r="AF183">
        <v>0</v>
      </c>
      <c r="AG183" t="b">
        <f t="shared" si="17"/>
        <v>1</v>
      </c>
      <c r="AH183">
        <v>0</v>
      </c>
      <c r="AI183">
        <v>0</v>
      </c>
      <c r="AJ183" t="b">
        <v>1</v>
      </c>
      <c r="AK183">
        <v>0</v>
      </c>
      <c r="AL183">
        <v>0</v>
      </c>
      <c r="AM183">
        <v>0</v>
      </c>
      <c r="AN183">
        <v>0</v>
      </c>
    </row>
    <row r="184" spans="1:40">
      <c r="A184">
        <v>45741</v>
      </c>
      <c r="B184" t="s">
        <v>30</v>
      </c>
      <c r="C184" t="s">
        <v>176</v>
      </c>
      <c r="D184" t="s">
        <v>58</v>
      </c>
      <c r="E184" t="s">
        <v>473</v>
      </c>
      <c r="F184" t="s">
        <v>474</v>
      </c>
      <c r="G184">
        <v>0</v>
      </c>
      <c r="H184">
        <v>0</v>
      </c>
      <c r="I184" t="b">
        <v>1</v>
      </c>
      <c r="J184">
        <v>0</v>
      </c>
      <c r="K184">
        <v>0</v>
      </c>
      <c r="L184" t="b">
        <v>1</v>
      </c>
      <c r="M184">
        <v>0</v>
      </c>
      <c r="N184">
        <v>0</v>
      </c>
      <c r="O184" t="b">
        <f t="shared" si="12"/>
        <v>1</v>
      </c>
      <c r="P184">
        <v>0</v>
      </c>
      <c r="Q184">
        <v>0</v>
      </c>
      <c r="R184" t="b">
        <v>1</v>
      </c>
      <c r="S184">
        <v>0</v>
      </c>
      <c r="T184">
        <v>0</v>
      </c>
      <c r="U184" t="b">
        <f t="shared" si="13"/>
        <v>1</v>
      </c>
      <c r="V184">
        <v>1399430</v>
      </c>
      <c r="W184">
        <v>1399430</v>
      </c>
      <c r="X184" t="b">
        <f t="shared" si="14"/>
        <v>1</v>
      </c>
      <c r="Y184">
        <v>261201</v>
      </c>
      <c r="Z184">
        <v>261201</v>
      </c>
      <c r="AA184" t="b">
        <f t="shared" si="15"/>
        <v>1</v>
      </c>
      <c r="AB184">
        <v>250771</v>
      </c>
      <c r="AC184">
        <v>250771</v>
      </c>
      <c r="AD184" t="b">
        <f t="shared" si="16"/>
        <v>1</v>
      </c>
      <c r="AE184">
        <v>0</v>
      </c>
      <c r="AF184">
        <v>0</v>
      </c>
      <c r="AG184" t="b">
        <f t="shared" si="17"/>
        <v>1</v>
      </c>
      <c r="AH184">
        <v>10430</v>
      </c>
      <c r="AI184">
        <v>10430</v>
      </c>
      <c r="AJ184" t="b">
        <v>1</v>
      </c>
      <c r="AK184">
        <v>1399430</v>
      </c>
      <c r="AL184">
        <v>1399430</v>
      </c>
      <c r="AM184">
        <v>10430</v>
      </c>
      <c r="AN184">
        <v>10430</v>
      </c>
    </row>
    <row r="185" spans="1:40">
      <c r="A185">
        <v>45741</v>
      </c>
      <c r="B185" t="s">
        <v>30</v>
      </c>
      <c r="C185" t="s">
        <v>176</v>
      </c>
      <c r="D185" t="s">
        <v>475</v>
      </c>
      <c r="E185" t="s">
        <v>476</v>
      </c>
      <c r="F185" t="s">
        <v>477</v>
      </c>
      <c r="G185">
        <v>0</v>
      </c>
      <c r="H185">
        <v>0</v>
      </c>
      <c r="I185" t="b">
        <v>1</v>
      </c>
      <c r="J185">
        <v>0</v>
      </c>
      <c r="K185">
        <v>0</v>
      </c>
      <c r="L185" t="b">
        <v>1</v>
      </c>
      <c r="M185">
        <v>0</v>
      </c>
      <c r="N185">
        <v>0</v>
      </c>
      <c r="O185" t="b">
        <f t="shared" si="12"/>
        <v>1</v>
      </c>
      <c r="P185">
        <v>138800</v>
      </c>
      <c r="Q185">
        <v>138800</v>
      </c>
      <c r="R185" t="b">
        <v>0</v>
      </c>
      <c r="S185">
        <v>138800</v>
      </c>
      <c r="T185">
        <v>138800</v>
      </c>
      <c r="U185" t="b">
        <f t="shared" si="13"/>
        <v>1</v>
      </c>
      <c r="V185">
        <v>0</v>
      </c>
      <c r="W185">
        <v>0</v>
      </c>
      <c r="X185" t="b">
        <f t="shared" si="14"/>
        <v>1</v>
      </c>
      <c r="Y185">
        <v>0</v>
      </c>
      <c r="Z185">
        <v>0</v>
      </c>
      <c r="AA185" t="b">
        <f t="shared" si="15"/>
        <v>1</v>
      </c>
      <c r="AB185">
        <v>0</v>
      </c>
      <c r="AC185">
        <v>0</v>
      </c>
      <c r="AD185" t="b">
        <f t="shared" si="16"/>
        <v>1</v>
      </c>
      <c r="AE185">
        <v>0</v>
      </c>
      <c r="AF185">
        <v>0</v>
      </c>
      <c r="AG185" t="b">
        <f t="shared" si="17"/>
        <v>1</v>
      </c>
      <c r="AH185">
        <v>0</v>
      </c>
      <c r="AI185">
        <v>0</v>
      </c>
      <c r="AJ185" t="b">
        <v>1</v>
      </c>
      <c r="AK185">
        <v>0</v>
      </c>
      <c r="AL185">
        <v>0</v>
      </c>
      <c r="AM185">
        <v>138800</v>
      </c>
      <c r="AN185">
        <v>138800</v>
      </c>
    </row>
    <row r="186" spans="1:40">
      <c r="A186">
        <v>45741</v>
      </c>
      <c r="B186" t="s">
        <v>30</v>
      </c>
      <c r="C186" t="s">
        <v>176</v>
      </c>
      <c r="D186" t="s">
        <v>478</v>
      </c>
      <c r="E186" t="s">
        <v>479</v>
      </c>
      <c r="F186" t="s">
        <v>480</v>
      </c>
      <c r="G186">
        <v>0</v>
      </c>
      <c r="H186">
        <v>0</v>
      </c>
      <c r="I186" t="b">
        <v>1</v>
      </c>
      <c r="J186">
        <v>0</v>
      </c>
      <c r="K186">
        <v>0</v>
      </c>
      <c r="L186" t="b">
        <v>1</v>
      </c>
      <c r="M186">
        <v>0</v>
      </c>
      <c r="N186">
        <v>0</v>
      </c>
      <c r="O186" t="b">
        <f t="shared" si="12"/>
        <v>1</v>
      </c>
      <c r="P186">
        <v>0</v>
      </c>
      <c r="Q186">
        <v>0</v>
      </c>
      <c r="R186" t="b">
        <v>1</v>
      </c>
      <c r="S186">
        <v>0</v>
      </c>
      <c r="T186">
        <v>0</v>
      </c>
      <c r="U186" t="b">
        <f t="shared" si="13"/>
        <v>1</v>
      </c>
      <c r="V186">
        <v>0</v>
      </c>
      <c r="W186">
        <v>0</v>
      </c>
      <c r="X186" t="b">
        <f t="shared" si="14"/>
        <v>1</v>
      </c>
      <c r="Y186">
        <v>12350</v>
      </c>
      <c r="Z186">
        <v>12350</v>
      </c>
      <c r="AA186" t="b">
        <f t="shared" si="15"/>
        <v>1</v>
      </c>
      <c r="AB186">
        <v>12350</v>
      </c>
      <c r="AC186">
        <v>12350</v>
      </c>
      <c r="AD186" t="b">
        <f t="shared" si="16"/>
        <v>1</v>
      </c>
      <c r="AE186">
        <v>0</v>
      </c>
      <c r="AF186">
        <v>0</v>
      </c>
      <c r="AG186" t="b">
        <f t="shared" si="17"/>
        <v>1</v>
      </c>
      <c r="AH186">
        <v>0</v>
      </c>
      <c r="AI186">
        <v>0</v>
      </c>
      <c r="AJ186" t="b">
        <v>1</v>
      </c>
      <c r="AK186">
        <v>0</v>
      </c>
      <c r="AL186">
        <v>0</v>
      </c>
      <c r="AM186">
        <v>0</v>
      </c>
      <c r="AN186">
        <v>0</v>
      </c>
    </row>
    <row r="187" spans="1:40">
      <c r="A187">
        <v>45741</v>
      </c>
      <c r="B187" t="s">
        <v>35</v>
      </c>
      <c r="C187" t="s">
        <v>169</v>
      </c>
      <c r="D187" t="s">
        <v>211</v>
      </c>
      <c r="E187" t="s">
        <v>481</v>
      </c>
      <c r="F187" t="s">
        <v>482</v>
      </c>
      <c r="G187">
        <v>0</v>
      </c>
      <c r="H187">
        <v>0</v>
      </c>
      <c r="I187" t="b">
        <v>1</v>
      </c>
      <c r="J187">
        <v>0</v>
      </c>
      <c r="K187">
        <v>0</v>
      </c>
      <c r="L187" t="b">
        <v>1</v>
      </c>
      <c r="M187">
        <v>1263051.28</v>
      </c>
      <c r="N187">
        <v>1263051.28</v>
      </c>
      <c r="O187" t="b">
        <f t="shared" si="12"/>
        <v>1</v>
      </c>
      <c r="P187">
        <v>0</v>
      </c>
      <c r="Q187">
        <v>0</v>
      </c>
      <c r="R187" t="b">
        <v>1</v>
      </c>
      <c r="S187">
        <v>1263051.28</v>
      </c>
      <c r="T187">
        <v>1263051.28</v>
      </c>
      <c r="U187" t="b">
        <f t="shared" si="13"/>
        <v>1</v>
      </c>
      <c r="V187">
        <v>151500</v>
      </c>
      <c r="W187">
        <v>151500</v>
      </c>
      <c r="X187" t="b">
        <f t="shared" si="14"/>
        <v>1</v>
      </c>
      <c r="Y187">
        <v>151500</v>
      </c>
      <c r="Z187">
        <v>151500</v>
      </c>
      <c r="AA187" t="b">
        <f t="shared" si="15"/>
        <v>1</v>
      </c>
      <c r="AB187">
        <v>961551.28</v>
      </c>
      <c r="AC187">
        <v>961551.28</v>
      </c>
      <c r="AD187" t="b">
        <f t="shared" si="16"/>
        <v>1</v>
      </c>
      <c r="AE187">
        <v>0</v>
      </c>
      <c r="AF187">
        <v>0</v>
      </c>
      <c r="AG187" t="b">
        <f t="shared" si="17"/>
        <v>1</v>
      </c>
      <c r="AH187">
        <v>1113051.28</v>
      </c>
      <c r="AI187">
        <v>1113051.28</v>
      </c>
      <c r="AJ187" t="b">
        <v>1</v>
      </c>
      <c r="AK187">
        <v>151500</v>
      </c>
      <c r="AL187">
        <v>151500</v>
      </c>
      <c r="AM187">
        <v>150000</v>
      </c>
      <c r="AN187">
        <v>150000</v>
      </c>
    </row>
    <row r="188" spans="1:40">
      <c r="A188">
        <v>45741</v>
      </c>
      <c r="B188" t="s">
        <v>45</v>
      </c>
      <c r="C188" t="s">
        <v>191</v>
      </c>
      <c r="D188" t="s">
        <v>234</v>
      </c>
      <c r="E188" t="s">
        <v>483</v>
      </c>
      <c r="F188" t="s">
        <v>484</v>
      </c>
      <c r="G188">
        <v>3900000</v>
      </c>
      <c r="H188">
        <v>3900000</v>
      </c>
      <c r="I188" t="b">
        <v>1</v>
      </c>
      <c r="J188">
        <v>0</v>
      </c>
      <c r="K188">
        <v>0</v>
      </c>
      <c r="L188" t="b">
        <v>1</v>
      </c>
      <c r="M188">
        <v>0</v>
      </c>
      <c r="N188">
        <v>0</v>
      </c>
      <c r="O188" t="b">
        <f t="shared" si="12"/>
        <v>1</v>
      </c>
      <c r="P188">
        <v>0</v>
      </c>
      <c r="Q188">
        <v>0</v>
      </c>
      <c r="R188" t="b">
        <v>1</v>
      </c>
      <c r="S188">
        <v>0</v>
      </c>
      <c r="T188">
        <v>0</v>
      </c>
      <c r="U188" t="b">
        <f t="shared" si="13"/>
        <v>1</v>
      </c>
      <c r="V188">
        <v>3521618</v>
      </c>
      <c r="W188">
        <v>3521802</v>
      </c>
      <c r="X188" t="b">
        <f t="shared" si="14"/>
        <v>0</v>
      </c>
      <c r="Y188">
        <v>2721802</v>
      </c>
      <c r="Z188">
        <v>2721802</v>
      </c>
      <c r="AA188" t="b">
        <f t="shared" si="15"/>
        <v>1</v>
      </c>
      <c r="AB188">
        <v>2721802</v>
      </c>
      <c r="AC188">
        <v>2721802</v>
      </c>
      <c r="AD188" t="b">
        <f t="shared" si="16"/>
        <v>1</v>
      </c>
      <c r="AE188">
        <v>0</v>
      </c>
      <c r="AF188">
        <v>0</v>
      </c>
      <c r="AG188" t="b">
        <f t="shared" si="17"/>
        <v>1</v>
      </c>
      <c r="AH188">
        <v>0</v>
      </c>
      <c r="AI188">
        <v>0</v>
      </c>
      <c r="AJ188" t="b">
        <v>1</v>
      </c>
      <c r="AK188">
        <v>378382</v>
      </c>
      <c r="AL188">
        <v>378198</v>
      </c>
      <c r="AM188">
        <v>0</v>
      </c>
      <c r="AN188">
        <v>0</v>
      </c>
    </row>
    <row r="189" spans="1:40">
      <c r="A189">
        <v>45741</v>
      </c>
      <c r="B189" t="s">
        <v>30</v>
      </c>
      <c r="C189" t="s">
        <v>176</v>
      </c>
      <c r="D189" t="s">
        <v>85</v>
      </c>
      <c r="E189" t="s">
        <v>485</v>
      </c>
      <c r="F189" t="s">
        <v>486</v>
      </c>
      <c r="G189">
        <v>0</v>
      </c>
      <c r="H189">
        <v>0</v>
      </c>
      <c r="I189" t="b">
        <v>1</v>
      </c>
      <c r="J189">
        <v>0</v>
      </c>
      <c r="K189">
        <v>0</v>
      </c>
      <c r="L189" t="b">
        <v>1</v>
      </c>
      <c r="M189">
        <v>0</v>
      </c>
      <c r="N189">
        <v>0</v>
      </c>
      <c r="O189" t="b">
        <f t="shared" si="12"/>
        <v>1</v>
      </c>
      <c r="P189">
        <v>0</v>
      </c>
      <c r="Q189">
        <v>0</v>
      </c>
      <c r="R189" t="b">
        <v>1</v>
      </c>
      <c r="S189">
        <v>0</v>
      </c>
      <c r="T189">
        <v>0</v>
      </c>
      <c r="U189" t="b">
        <f t="shared" si="13"/>
        <v>1</v>
      </c>
      <c r="V189">
        <v>0</v>
      </c>
      <c r="W189">
        <v>0</v>
      </c>
      <c r="X189" t="b">
        <f t="shared" si="14"/>
        <v>1</v>
      </c>
      <c r="Y189">
        <v>49700</v>
      </c>
      <c r="Z189">
        <v>49700</v>
      </c>
      <c r="AA189" t="b">
        <f t="shared" si="15"/>
        <v>1</v>
      </c>
      <c r="AB189">
        <v>49700</v>
      </c>
      <c r="AC189">
        <v>49700</v>
      </c>
      <c r="AD189" t="b">
        <f t="shared" si="16"/>
        <v>1</v>
      </c>
      <c r="AE189">
        <v>0</v>
      </c>
      <c r="AF189">
        <v>0</v>
      </c>
      <c r="AG189" t="b">
        <f t="shared" si="17"/>
        <v>1</v>
      </c>
      <c r="AH189">
        <v>0</v>
      </c>
      <c r="AI189">
        <v>0</v>
      </c>
      <c r="AJ189" t="b">
        <v>1</v>
      </c>
      <c r="AK189">
        <v>0</v>
      </c>
      <c r="AL189">
        <v>0</v>
      </c>
      <c r="AM189">
        <v>0</v>
      </c>
      <c r="AN189">
        <v>0</v>
      </c>
    </row>
    <row r="190" spans="1:40">
      <c r="A190">
        <v>45741</v>
      </c>
      <c r="B190" t="s">
        <v>30</v>
      </c>
      <c r="C190" t="s">
        <v>176</v>
      </c>
      <c r="D190" t="s">
        <v>322</v>
      </c>
      <c r="E190" t="s">
        <v>487</v>
      </c>
      <c r="F190" t="s">
        <v>488</v>
      </c>
      <c r="G190">
        <v>0</v>
      </c>
      <c r="H190">
        <v>0</v>
      </c>
      <c r="I190" t="b">
        <v>1</v>
      </c>
      <c r="J190">
        <v>0</v>
      </c>
      <c r="K190">
        <v>0</v>
      </c>
      <c r="L190" t="b">
        <v>1</v>
      </c>
      <c r="M190">
        <v>0</v>
      </c>
      <c r="N190">
        <v>0</v>
      </c>
      <c r="O190" t="b">
        <f t="shared" si="12"/>
        <v>1</v>
      </c>
      <c r="P190">
        <v>0</v>
      </c>
      <c r="Q190">
        <v>0</v>
      </c>
      <c r="R190" t="b">
        <v>1</v>
      </c>
      <c r="S190">
        <v>0</v>
      </c>
      <c r="T190">
        <v>0</v>
      </c>
      <c r="U190" t="b">
        <f t="shared" si="13"/>
        <v>1</v>
      </c>
      <c r="V190">
        <v>0</v>
      </c>
      <c r="W190">
        <v>0</v>
      </c>
      <c r="X190" t="b">
        <f t="shared" si="14"/>
        <v>1</v>
      </c>
      <c r="Y190">
        <v>26000</v>
      </c>
      <c r="Z190">
        <v>26000</v>
      </c>
      <c r="AA190" t="b">
        <f t="shared" si="15"/>
        <v>1</v>
      </c>
      <c r="AB190">
        <v>26000</v>
      </c>
      <c r="AC190">
        <v>26000</v>
      </c>
      <c r="AD190" t="b">
        <f t="shared" si="16"/>
        <v>1</v>
      </c>
      <c r="AE190">
        <v>0</v>
      </c>
      <c r="AF190">
        <v>0</v>
      </c>
      <c r="AG190" t="b">
        <f t="shared" si="17"/>
        <v>1</v>
      </c>
      <c r="AH190">
        <v>0</v>
      </c>
      <c r="AI190">
        <v>0</v>
      </c>
      <c r="AJ190" t="b">
        <v>1</v>
      </c>
      <c r="AK190">
        <v>0</v>
      </c>
      <c r="AL190">
        <v>0</v>
      </c>
      <c r="AM190">
        <v>0</v>
      </c>
      <c r="AN190">
        <v>0</v>
      </c>
    </row>
    <row r="191" spans="1:40">
      <c r="A191">
        <v>45741</v>
      </c>
      <c r="B191" t="s">
        <v>30</v>
      </c>
      <c r="C191" t="s">
        <v>176</v>
      </c>
      <c r="D191" t="s">
        <v>96</v>
      </c>
      <c r="E191" t="s">
        <v>489</v>
      </c>
      <c r="F191" t="s">
        <v>490</v>
      </c>
      <c r="G191">
        <v>0</v>
      </c>
      <c r="H191">
        <v>0</v>
      </c>
      <c r="I191" t="b">
        <v>1</v>
      </c>
      <c r="J191">
        <v>0</v>
      </c>
      <c r="K191">
        <v>0</v>
      </c>
      <c r="L191" t="b">
        <v>1</v>
      </c>
      <c r="M191">
        <v>0</v>
      </c>
      <c r="N191">
        <v>0</v>
      </c>
      <c r="O191" t="b">
        <f t="shared" si="12"/>
        <v>1</v>
      </c>
      <c r="P191">
        <v>0</v>
      </c>
      <c r="Q191">
        <v>0</v>
      </c>
      <c r="R191" t="b">
        <v>1</v>
      </c>
      <c r="S191">
        <v>0</v>
      </c>
      <c r="T191">
        <v>0</v>
      </c>
      <c r="U191" t="b">
        <f t="shared" si="13"/>
        <v>1</v>
      </c>
      <c r="V191">
        <v>0</v>
      </c>
      <c r="W191">
        <v>0</v>
      </c>
      <c r="X191" t="b">
        <f t="shared" si="14"/>
        <v>1</v>
      </c>
      <c r="Y191">
        <v>39500</v>
      </c>
      <c r="Z191">
        <v>39500</v>
      </c>
      <c r="AA191" t="b">
        <f t="shared" si="15"/>
        <v>1</v>
      </c>
      <c r="AB191">
        <v>39500</v>
      </c>
      <c r="AC191">
        <v>39500</v>
      </c>
      <c r="AD191" t="b">
        <f t="shared" si="16"/>
        <v>1</v>
      </c>
      <c r="AE191">
        <v>0</v>
      </c>
      <c r="AF191">
        <v>0</v>
      </c>
      <c r="AG191" t="b">
        <f t="shared" si="17"/>
        <v>1</v>
      </c>
      <c r="AH191">
        <v>0</v>
      </c>
      <c r="AI191">
        <v>0</v>
      </c>
      <c r="AJ191" t="b">
        <v>1</v>
      </c>
      <c r="AK191">
        <v>0</v>
      </c>
      <c r="AL191">
        <v>0</v>
      </c>
      <c r="AM191">
        <v>0</v>
      </c>
      <c r="AN191">
        <v>0</v>
      </c>
    </row>
    <row r="192" spans="1:40">
      <c r="A192">
        <v>45741</v>
      </c>
      <c r="B192" t="s">
        <v>30</v>
      </c>
      <c r="C192" t="s">
        <v>176</v>
      </c>
      <c r="D192" t="s">
        <v>96</v>
      </c>
      <c r="E192" t="s">
        <v>491</v>
      </c>
      <c r="F192" t="s">
        <v>492</v>
      </c>
      <c r="G192">
        <v>0</v>
      </c>
      <c r="H192">
        <v>0</v>
      </c>
      <c r="I192" t="b">
        <v>1</v>
      </c>
      <c r="J192">
        <v>0</v>
      </c>
      <c r="K192">
        <v>0</v>
      </c>
      <c r="L192" t="b">
        <v>1</v>
      </c>
      <c r="M192">
        <v>0</v>
      </c>
      <c r="N192">
        <v>0</v>
      </c>
      <c r="O192" t="b">
        <f t="shared" si="12"/>
        <v>1</v>
      </c>
      <c r="P192">
        <v>0</v>
      </c>
      <c r="Q192">
        <v>0</v>
      </c>
      <c r="R192" t="b">
        <v>1</v>
      </c>
      <c r="S192">
        <v>0</v>
      </c>
      <c r="T192">
        <v>0</v>
      </c>
      <c r="U192" t="b">
        <f t="shared" si="13"/>
        <v>1</v>
      </c>
      <c r="V192">
        <v>0</v>
      </c>
      <c r="W192">
        <v>0</v>
      </c>
      <c r="X192" t="b">
        <f t="shared" si="14"/>
        <v>1</v>
      </c>
      <c r="Y192">
        <v>3500</v>
      </c>
      <c r="Z192">
        <v>3500</v>
      </c>
      <c r="AA192" t="b">
        <f t="shared" si="15"/>
        <v>1</v>
      </c>
      <c r="AB192">
        <v>3500</v>
      </c>
      <c r="AC192">
        <v>3500</v>
      </c>
      <c r="AD192" t="b">
        <f t="shared" si="16"/>
        <v>1</v>
      </c>
      <c r="AE192">
        <v>0</v>
      </c>
      <c r="AF192">
        <v>0</v>
      </c>
      <c r="AG192" t="b">
        <f t="shared" si="17"/>
        <v>1</v>
      </c>
      <c r="AH192">
        <v>0</v>
      </c>
      <c r="AI192">
        <v>0</v>
      </c>
      <c r="AJ192" t="b">
        <v>1</v>
      </c>
      <c r="AK192">
        <v>0</v>
      </c>
      <c r="AL192">
        <v>0</v>
      </c>
      <c r="AM192">
        <v>0</v>
      </c>
      <c r="AN192">
        <v>0</v>
      </c>
    </row>
    <row r="193" spans="1:40">
      <c r="A193">
        <v>45741</v>
      </c>
      <c r="B193" t="s">
        <v>30</v>
      </c>
      <c r="C193" t="s">
        <v>176</v>
      </c>
      <c r="D193" t="s">
        <v>85</v>
      </c>
      <c r="E193" t="s">
        <v>493</v>
      </c>
      <c r="F193" t="s">
        <v>494</v>
      </c>
      <c r="G193">
        <v>0</v>
      </c>
      <c r="H193">
        <v>0</v>
      </c>
      <c r="I193" t="b">
        <v>1</v>
      </c>
      <c r="J193">
        <v>0</v>
      </c>
      <c r="K193">
        <v>0</v>
      </c>
      <c r="L193" t="b">
        <v>1</v>
      </c>
      <c r="M193">
        <v>0</v>
      </c>
      <c r="N193">
        <v>0</v>
      </c>
      <c r="O193" t="b">
        <f t="shared" si="12"/>
        <v>1</v>
      </c>
      <c r="P193">
        <v>0</v>
      </c>
      <c r="Q193">
        <v>0</v>
      </c>
      <c r="R193" t="b">
        <v>1</v>
      </c>
      <c r="S193">
        <v>0</v>
      </c>
      <c r="T193">
        <v>0</v>
      </c>
      <c r="U193" t="b">
        <f t="shared" si="13"/>
        <v>1</v>
      </c>
      <c r="V193">
        <v>0</v>
      </c>
      <c r="W193">
        <v>0</v>
      </c>
      <c r="X193" t="b">
        <f t="shared" si="14"/>
        <v>1</v>
      </c>
      <c r="Y193">
        <v>3500</v>
      </c>
      <c r="Z193">
        <v>3500</v>
      </c>
      <c r="AA193" t="b">
        <f t="shared" si="15"/>
        <v>1</v>
      </c>
      <c r="AB193">
        <v>3500</v>
      </c>
      <c r="AC193">
        <v>3500</v>
      </c>
      <c r="AD193" t="b">
        <f t="shared" si="16"/>
        <v>1</v>
      </c>
      <c r="AE193">
        <v>0</v>
      </c>
      <c r="AF193">
        <v>0</v>
      </c>
      <c r="AG193" t="b">
        <f t="shared" si="17"/>
        <v>1</v>
      </c>
      <c r="AH193">
        <v>0</v>
      </c>
      <c r="AI193">
        <v>0</v>
      </c>
      <c r="AJ193" t="b">
        <v>1</v>
      </c>
      <c r="AK193">
        <v>0</v>
      </c>
      <c r="AL193">
        <v>0</v>
      </c>
      <c r="AM193">
        <v>0</v>
      </c>
      <c r="AN193">
        <v>0</v>
      </c>
    </row>
    <row r="194" spans="1:40">
      <c r="A194">
        <v>45741</v>
      </c>
      <c r="B194" t="s">
        <v>45</v>
      </c>
      <c r="C194" t="s">
        <v>191</v>
      </c>
      <c r="D194" t="s">
        <v>49</v>
      </c>
      <c r="E194" t="s">
        <v>495</v>
      </c>
      <c r="F194" t="s">
        <v>496</v>
      </c>
      <c r="G194">
        <v>0</v>
      </c>
      <c r="H194">
        <v>0</v>
      </c>
      <c r="I194" t="b">
        <v>1</v>
      </c>
      <c r="J194">
        <v>0</v>
      </c>
      <c r="K194">
        <v>0</v>
      </c>
      <c r="L194" t="b">
        <v>1</v>
      </c>
      <c r="M194">
        <v>6623</v>
      </c>
      <c r="N194">
        <v>0</v>
      </c>
      <c r="O194" t="b">
        <f t="shared" si="12"/>
        <v>0</v>
      </c>
      <c r="P194">
        <v>0</v>
      </c>
      <c r="Q194">
        <v>0</v>
      </c>
      <c r="R194" t="b">
        <v>1</v>
      </c>
      <c r="S194">
        <v>6623</v>
      </c>
      <c r="T194">
        <v>0</v>
      </c>
      <c r="U194" t="b">
        <f t="shared" si="13"/>
        <v>0</v>
      </c>
      <c r="V194">
        <v>1153952.5</v>
      </c>
      <c r="W194">
        <v>1163442.5</v>
      </c>
      <c r="X194" t="b">
        <f t="shared" si="14"/>
        <v>0</v>
      </c>
      <c r="Y194">
        <v>3154805.5</v>
      </c>
      <c r="Z194">
        <v>3154805.5</v>
      </c>
      <c r="AA194" t="b">
        <f t="shared" si="15"/>
        <v>1</v>
      </c>
      <c r="AB194">
        <v>3154806</v>
      </c>
      <c r="AC194">
        <v>3154806</v>
      </c>
      <c r="AD194" t="b">
        <f t="shared" si="16"/>
        <v>1</v>
      </c>
      <c r="AE194">
        <v>0</v>
      </c>
      <c r="AF194">
        <v>0</v>
      </c>
      <c r="AG194" t="b">
        <f t="shared" si="17"/>
        <v>1</v>
      </c>
      <c r="AH194">
        <v>0.5</v>
      </c>
      <c r="AI194">
        <v>0.5</v>
      </c>
      <c r="AJ194" t="b">
        <v>0</v>
      </c>
      <c r="AK194">
        <v>1153952.5</v>
      </c>
      <c r="AL194">
        <v>1163442.5</v>
      </c>
      <c r="AM194">
        <v>0.5</v>
      </c>
      <c r="AN194">
        <v>0.5</v>
      </c>
    </row>
    <row r="195" spans="1:40">
      <c r="A195">
        <v>45741</v>
      </c>
      <c r="B195" t="s">
        <v>30</v>
      </c>
      <c r="C195" t="s">
        <v>176</v>
      </c>
      <c r="D195" t="s">
        <v>114</v>
      </c>
      <c r="E195" t="s">
        <v>497</v>
      </c>
      <c r="F195" t="s">
        <v>498</v>
      </c>
      <c r="G195">
        <v>309507</v>
      </c>
      <c r="H195">
        <v>309507</v>
      </c>
      <c r="I195" t="b">
        <v>1</v>
      </c>
      <c r="J195">
        <v>309507</v>
      </c>
      <c r="K195">
        <v>309507</v>
      </c>
      <c r="L195" t="b">
        <v>1</v>
      </c>
      <c r="M195">
        <v>326914</v>
      </c>
      <c r="N195">
        <v>326914</v>
      </c>
      <c r="O195" t="b">
        <f t="shared" ref="O195:O238" si="18">M195=N195</f>
        <v>1</v>
      </c>
      <c r="P195">
        <v>0</v>
      </c>
      <c r="Q195">
        <v>0</v>
      </c>
      <c r="R195" t="b">
        <v>1</v>
      </c>
      <c r="S195">
        <v>17407</v>
      </c>
      <c r="T195">
        <v>17407</v>
      </c>
      <c r="U195" t="b">
        <f t="shared" ref="U195:U238" si="19">S195=T195</f>
        <v>1</v>
      </c>
      <c r="V195">
        <v>0</v>
      </c>
      <c r="W195">
        <v>0</v>
      </c>
      <c r="X195" t="b">
        <f t="shared" ref="X195:X238" si="20">V195=W195</f>
        <v>1</v>
      </c>
      <c r="Y195">
        <v>0</v>
      </c>
      <c r="Z195">
        <v>0</v>
      </c>
      <c r="AA195" t="b">
        <f t="shared" ref="AA195:AA238" si="21">Y195=Z195</f>
        <v>1</v>
      </c>
      <c r="AB195">
        <v>0</v>
      </c>
      <c r="AC195">
        <v>0</v>
      </c>
      <c r="AD195" t="b">
        <f t="shared" ref="AD195:AD238" si="22">AB195=AC195</f>
        <v>1</v>
      </c>
      <c r="AE195">
        <v>0</v>
      </c>
      <c r="AF195">
        <v>0</v>
      </c>
      <c r="AG195" t="b">
        <f t="shared" ref="AG195:AG238" si="23">AE195=AF195</f>
        <v>1</v>
      </c>
      <c r="AH195">
        <v>0</v>
      </c>
      <c r="AI195">
        <v>0</v>
      </c>
      <c r="AJ195" t="b">
        <v>1</v>
      </c>
      <c r="AK195">
        <v>309507</v>
      </c>
      <c r="AL195">
        <v>309507</v>
      </c>
      <c r="AM195">
        <v>17407</v>
      </c>
      <c r="AN195">
        <v>17407</v>
      </c>
    </row>
    <row r="196" spans="1:40">
      <c r="A196">
        <v>45741</v>
      </c>
      <c r="B196" t="s">
        <v>35</v>
      </c>
      <c r="C196" t="s">
        <v>169</v>
      </c>
      <c r="D196" t="s">
        <v>211</v>
      </c>
      <c r="E196" t="s">
        <v>499</v>
      </c>
      <c r="F196" t="s">
        <v>500</v>
      </c>
      <c r="G196">
        <v>522500</v>
      </c>
      <c r="H196">
        <v>522500</v>
      </c>
      <c r="I196" t="b">
        <v>1</v>
      </c>
      <c r="J196">
        <v>522500</v>
      </c>
      <c r="K196">
        <v>522500</v>
      </c>
      <c r="L196" t="b">
        <v>1</v>
      </c>
      <c r="M196">
        <v>0</v>
      </c>
      <c r="N196">
        <v>0</v>
      </c>
      <c r="O196" t="b">
        <f t="shared" si="18"/>
        <v>1</v>
      </c>
      <c r="P196">
        <v>0</v>
      </c>
      <c r="Q196">
        <v>0</v>
      </c>
      <c r="R196" t="b">
        <v>1</v>
      </c>
      <c r="S196">
        <v>522500</v>
      </c>
      <c r="T196">
        <v>522500</v>
      </c>
      <c r="U196" t="b">
        <f t="shared" si="19"/>
        <v>1</v>
      </c>
      <c r="V196">
        <v>59205</v>
      </c>
      <c r="W196">
        <v>68559</v>
      </c>
      <c r="X196" t="b">
        <f t="shared" si="20"/>
        <v>0</v>
      </c>
      <c r="Y196">
        <v>68559</v>
      </c>
      <c r="Z196">
        <v>68559</v>
      </c>
      <c r="AA196" t="b">
        <f t="shared" si="21"/>
        <v>1</v>
      </c>
      <c r="AB196">
        <v>131441</v>
      </c>
      <c r="AC196">
        <v>131441</v>
      </c>
      <c r="AD196" t="b">
        <f t="shared" si="22"/>
        <v>1</v>
      </c>
      <c r="AE196">
        <v>0</v>
      </c>
      <c r="AF196">
        <v>0</v>
      </c>
      <c r="AG196" t="b">
        <f t="shared" si="23"/>
        <v>1</v>
      </c>
      <c r="AH196">
        <v>200000</v>
      </c>
      <c r="AI196">
        <v>200000</v>
      </c>
      <c r="AJ196" t="b">
        <v>1</v>
      </c>
      <c r="AK196">
        <v>463295</v>
      </c>
      <c r="AL196">
        <v>453941</v>
      </c>
      <c r="AM196">
        <v>322500</v>
      </c>
      <c r="AN196">
        <v>322500</v>
      </c>
    </row>
    <row r="197" spans="1:40">
      <c r="A197">
        <v>45741</v>
      </c>
      <c r="B197" t="s">
        <v>30</v>
      </c>
      <c r="C197" t="s">
        <v>176</v>
      </c>
      <c r="D197" t="s">
        <v>96</v>
      </c>
      <c r="E197" t="s">
        <v>501</v>
      </c>
      <c r="F197" t="s">
        <v>502</v>
      </c>
      <c r="G197">
        <v>0</v>
      </c>
      <c r="H197">
        <v>0</v>
      </c>
      <c r="I197" t="b">
        <v>1</v>
      </c>
      <c r="J197">
        <v>292464.5</v>
      </c>
      <c r="K197">
        <v>292464.5</v>
      </c>
      <c r="L197" t="b">
        <v>1</v>
      </c>
      <c r="M197">
        <v>292462</v>
      </c>
      <c r="N197">
        <v>292462</v>
      </c>
      <c r="O197" t="b">
        <f t="shared" si="18"/>
        <v>1</v>
      </c>
      <c r="P197">
        <v>0</v>
      </c>
      <c r="Q197">
        <v>0</v>
      </c>
      <c r="R197" t="b">
        <v>1</v>
      </c>
      <c r="S197">
        <v>2.5</v>
      </c>
      <c r="T197">
        <v>2.5</v>
      </c>
      <c r="U197" t="b">
        <f t="shared" si="19"/>
        <v>1</v>
      </c>
      <c r="V197">
        <v>0</v>
      </c>
      <c r="W197">
        <v>0</v>
      </c>
      <c r="X197" t="b">
        <f t="shared" si="20"/>
        <v>1</v>
      </c>
      <c r="Y197">
        <v>0</v>
      </c>
      <c r="Z197">
        <v>0</v>
      </c>
      <c r="AA197" t="b">
        <f t="shared" si="21"/>
        <v>1</v>
      </c>
      <c r="AB197">
        <v>0</v>
      </c>
      <c r="AC197">
        <v>0</v>
      </c>
      <c r="AD197" t="b">
        <f t="shared" si="22"/>
        <v>1</v>
      </c>
      <c r="AE197">
        <v>0</v>
      </c>
      <c r="AF197">
        <v>0</v>
      </c>
      <c r="AG197" t="b">
        <f t="shared" si="23"/>
        <v>1</v>
      </c>
      <c r="AH197">
        <v>0</v>
      </c>
      <c r="AI197">
        <v>0</v>
      </c>
      <c r="AJ197" t="b">
        <v>1</v>
      </c>
      <c r="AK197">
        <v>0</v>
      </c>
      <c r="AL197">
        <v>0</v>
      </c>
      <c r="AM197">
        <v>2.5</v>
      </c>
      <c r="AN197">
        <v>2.5</v>
      </c>
    </row>
    <row r="198" spans="1:40">
      <c r="A198">
        <v>45741</v>
      </c>
      <c r="B198" t="s">
        <v>78</v>
      </c>
      <c r="C198" t="s">
        <v>169</v>
      </c>
      <c r="D198" t="s">
        <v>105</v>
      </c>
      <c r="E198" t="s">
        <v>503</v>
      </c>
      <c r="F198" t="s">
        <v>504</v>
      </c>
      <c r="G198">
        <v>0</v>
      </c>
      <c r="H198">
        <v>0</v>
      </c>
      <c r="I198" t="b">
        <v>1</v>
      </c>
      <c r="J198">
        <v>308665</v>
      </c>
      <c r="K198">
        <v>308665</v>
      </c>
      <c r="L198" t="b">
        <v>1</v>
      </c>
      <c r="M198">
        <v>308665</v>
      </c>
      <c r="N198">
        <v>308665</v>
      </c>
      <c r="O198" t="b">
        <f t="shared" si="18"/>
        <v>1</v>
      </c>
      <c r="P198">
        <v>0</v>
      </c>
      <c r="Q198">
        <v>0</v>
      </c>
      <c r="R198" t="b">
        <v>1</v>
      </c>
      <c r="S198">
        <v>0</v>
      </c>
      <c r="T198">
        <v>0</v>
      </c>
      <c r="U198" t="b">
        <f t="shared" si="19"/>
        <v>1</v>
      </c>
      <c r="V198">
        <v>0</v>
      </c>
      <c r="W198">
        <v>0</v>
      </c>
      <c r="X198" t="b">
        <f t="shared" si="20"/>
        <v>1</v>
      </c>
      <c r="Y198">
        <v>0</v>
      </c>
      <c r="Z198">
        <v>0</v>
      </c>
      <c r="AA198" t="b">
        <f t="shared" si="21"/>
        <v>1</v>
      </c>
      <c r="AB198">
        <v>0</v>
      </c>
      <c r="AC198">
        <v>0</v>
      </c>
      <c r="AD198" t="b">
        <f t="shared" si="22"/>
        <v>1</v>
      </c>
      <c r="AE198">
        <v>0</v>
      </c>
      <c r="AF198">
        <v>0</v>
      </c>
      <c r="AG198" t="b">
        <f t="shared" si="23"/>
        <v>1</v>
      </c>
      <c r="AH198">
        <v>0</v>
      </c>
      <c r="AI198">
        <v>0</v>
      </c>
      <c r="AJ198" t="b">
        <v>1</v>
      </c>
      <c r="AK198">
        <v>0</v>
      </c>
      <c r="AL198">
        <v>0</v>
      </c>
      <c r="AM198">
        <v>0</v>
      </c>
      <c r="AN198">
        <v>0</v>
      </c>
    </row>
    <row r="199" spans="1:40">
      <c r="A199">
        <v>45741</v>
      </c>
      <c r="B199" t="s">
        <v>35</v>
      </c>
      <c r="C199" t="s">
        <v>169</v>
      </c>
      <c r="D199" t="s">
        <v>413</v>
      </c>
      <c r="E199" t="s">
        <v>505</v>
      </c>
      <c r="F199" t="s">
        <v>506</v>
      </c>
      <c r="G199">
        <v>0</v>
      </c>
      <c r="H199">
        <v>0</v>
      </c>
      <c r="I199" t="b">
        <v>1</v>
      </c>
      <c r="J199">
        <v>0</v>
      </c>
      <c r="K199">
        <v>1792010</v>
      </c>
      <c r="L199" t="b">
        <v>0</v>
      </c>
      <c r="M199">
        <v>1809610</v>
      </c>
      <c r="N199">
        <v>1809610</v>
      </c>
      <c r="O199" t="b">
        <f t="shared" si="18"/>
        <v>1</v>
      </c>
      <c r="P199">
        <v>0</v>
      </c>
      <c r="Q199">
        <v>0</v>
      </c>
      <c r="R199" t="b">
        <v>1</v>
      </c>
      <c r="S199">
        <v>1809610</v>
      </c>
      <c r="T199">
        <v>17600</v>
      </c>
      <c r="U199" t="b">
        <f t="shared" si="19"/>
        <v>0</v>
      </c>
      <c r="V199">
        <v>0</v>
      </c>
      <c r="W199">
        <v>0</v>
      </c>
      <c r="X199" t="b">
        <f t="shared" si="20"/>
        <v>1</v>
      </c>
      <c r="Y199">
        <v>28800</v>
      </c>
      <c r="Z199">
        <v>28800</v>
      </c>
      <c r="AA199" t="b">
        <f t="shared" si="21"/>
        <v>1</v>
      </c>
      <c r="AB199">
        <v>28800</v>
      </c>
      <c r="AC199">
        <v>28800</v>
      </c>
      <c r="AD199" t="b">
        <f t="shared" si="22"/>
        <v>1</v>
      </c>
      <c r="AE199">
        <v>0</v>
      </c>
      <c r="AF199">
        <v>0</v>
      </c>
      <c r="AG199" t="b">
        <f t="shared" si="23"/>
        <v>1</v>
      </c>
      <c r="AH199">
        <v>0</v>
      </c>
      <c r="AI199">
        <v>0</v>
      </c>
      <c r="AJ199" t="b">
        <v>1</v>
      </c>
      <c r="AK199">
        <v>0</v>
      </c>
      <c r="AL199">
        <v>0</v>
      </c>
      <c r="AM199">
        <v>1809610</v>
      </c>
      <c r="AN199">
        <v>17600</v>
      </c>
    </row>
    <row r="200" spans="1:40">
      <c r="A200">
        <v>45741</v>
      </c>
      <c r="B200" t="s">
        <v>78</v>
      </c>
      <c r="C200" t="s">
        <v>169</v>
      </c>
      <c r="D200" t="s">
        <v>267</v>
      </c>
      <c r="E200" t="s">
        <v>507</v>
      </c>
      <c r="F200" t="s">
        <v>508</v>
      </c>
      <c r="G200">
        <v>0</v>
      </c>
      <c r="H200">
        <v>0</v>
      </c>
      <c r="I200" t="b">
        <v>1</v>
      </c>
      <c r="J200">
        <v>0</v>
      </c>
      <c r="K200">
        <v>0</v>
      </c>
      <c r="L200" t="b">
        <v>1</v>
      </c>
      <c r="M200">
        <v>0</v>
      </c>
      <c r="N200">
        <v>0</v>
      </c>
      <c r="O200" t="b">
        <f t="shared" si="18"/>
        <v>1</v>
      </c>
      <c r="P200">
        <v>0</v>
      </c>
      <c r="Q200">
        <v>0</v>
      </c>
      <c r="R200" t="b">
        <v>1</v>
      </c>
      <c r="S200">
        <v>0</v>
      </c>
      <c r="T200">
        <v>0</v>
      </c>
      <c r="U200" t="b">
        <f t="shared" si="19"/>
        <v>1</v>
      </c>
      <c r="V200">
        <v>0</v>
      </c>
      <c r="W200">
        <v>0</v>
      </c>
      <c r="X200" t="b">
        <f t="shared" si="20"/>
        <v>1</v>
      </c>
      <c r="Y200">
        <v>81200</v>
      </c>
      <c r="Z200">
        <v>81200</v>
      </c>
      <c r="AA200" t="b">
        <f t="shared" si="21"/>
        <v>1</v>
      </c>
      <c r="AB200">
        <v>81200</v>
      </c>
      <c r="AC200">
        <v>81200</v>
      </c>
      <c r="AD200" t="b">
        <f t="shared" si="22"/>
        <v>1</v>
      </c>
      <c r="AE200">
        <v>0</v>
      </c>
      <c r="AF200">
        <v>0</v>
      </c>
      <c r="AG200" t="b">
        <f t="shared" si="23"/>
        <v>1</v>
      </c>
      <c r="AH200">
        <v>0</v>
      </c>
      <c r="AI200">
        <v>0</v>
      </c>
      <c r="AJ200" t="b">
        <v>1</v>
      </c>
      <c r="AK200">
        <v>0</v>
      </c>
      <c r="AL200">
        <v>0</v>
      </c>
      <c r="AM200">
        <v>0</v>
      </c>
      <c r="AN200">
        <v>0</v>
      </c>
    </row>
    <row r="201" spans="1:40">
      <c r="A201">
        <v>45741</v>
      </c>
      <c r="B201" t="s">
        <v>30</v>
      </c>
      <c r="C201" t="s">
        <v>176</v>
      </c>
      <c r="D201" t="s">
        <v>85</v>
      </c>
      <c r="E201" t="s">
        <v>509</v>
      </c>
      <c r="F201" t="s">
        <v>510</v>
      </c>
      <c r="G201">
        <v>0</v>
      </c>
      <c r="H201">
        <v>0</v>
      </c>
      <c r="I201" t="b">
        <v>1</v>
      </c>
      <c r="J201">
        <v>0</v>
      </c>
      <c r="K201">
        <v>0</v>
      </c>
      <c r="L201" t="b">
        <v>1</v>
      </c>
      <c r="M201">
        <v>0</v>
      </c>
      <c r="N201">
        <v>0</v>
      </c>
      <c r="O201" t="b">
        <f t="shared" si="18"/>
        <v>1</v>
      </c>
      <c r="P201">
        <v>0</v>
      </c>
      <c r="Q201">
        <v>0</v>
      </c>
      <c r="R201" t="b">
        <v>1</v>
      </c>
      <c r="S201">
        <v>0</v>
      </c>
      <c r="T201">
        <v>0</v>
      </c>
      <c r="U201" t="b">
        <f t="shared" si="19"/>
        <v>1</v>
      </c>
      <c r="V201">
        <v>0</v>
      </c>
      <c r="W201">
        <v>0</v>
      </c>
      <c r="X201" t="b">
        <f t="shared" si="20"/>
        <v>1</v>
      </c>
      <c r="Y201">
        <v>32000</v>
      </c>
      <c r="Z201">
        <v>32000</v>
      </c>
      <c r="AA201" t="b">
        <f t="shared" si="21"/>
        <v>1</v>
      </c>
      <c r="AB201">
        <v>32000</v>
      </c>
      <c r="AC201">
        <v>32000</v>
      </c>
      <c r="AD201" t="b">
        <f t="shared" si="22"/>
        <v>1</v>
      </c>
      <c r="AE201">
        <v>0</v>
      </c>
      <c r="AF201">
        <v>0</v>
      </c>
      <c r="AG201" t="b">
        <f t="shared" si="23"/>
        <v>1</v>
      </c>
      <c r="AH201">
        <v>0</v>
      </c>
      <c r="AI201">
        <v>0</v>
      </c>
      <c r="AJ201" t="b">
        <v>1</v>
      </c>
      <c r="AK201">
        <v>0</v>
      </c>
      <c r="AL201">
        <v>0</v>
      </c>
      <c r="AM201">
        <v>0</v>
      </c>
      <c r="AN201">
        <v>0</v>
      </c>
    </row>
    <row r="202" spans="1:40">
      <c r="A202">
        <v>45741</v>
      </c>
      <c r="B202" t="s">
        <v>30</v>
      </c>
      <c r="C202" t="s">
        <v>176</v>
      </c>
      <c r="D202" t="s">
        <v>511</v>
      </c>
      <c r="E202" t="s">
        <v>512</v>
      </c>
      <c r="F202" t="s">
        <v>513</v>
      </c>
      <c r="G202">
        <v>0</v>
      </c>
      <c r="H202">
        <v>0</v>
      </c>
      <c r="I202" t="b">
        <v>1</v>
      </c>
      <c r="J202">
        <v>0</v>
      </c>
      <c r="K202">
        <v>0</v>
      </c>
      <c r="L202" t="b">
        <v>1</v>
      </c>
      <c r="M202">
        <v>0</v>
      </c>
      <c r="N202">
        <v>0</v>
      </c>
      <c r="O202" t="b">
        <f t="shared" si="18"/>
        <v>1</v>
      </c>
      <c r="P202">
        <v>0</v>
      </c>
      <c r="Q202">
        <v>0</v>
      </c>
      <c r="R202" t="b">
        <v>1</v>
      </c>
      <c r="S202">
        <v>0</v>
      </c>
      <c r="T202">
        <v>0</v>
      </c>
      <c r="U202" t="b">
        <f t="shared" si="19"/>
        <v>1</v>
      </c>
      <c r="V202">
        <v>0</v>
      </c>
      <c r="W202">
        <v>0</v>
      </c>
      <c r="X202" t="b">
        <f t="shared" si="20"/>
        <v>1</v>
      </c>
      <c r="Y202">
        <v>83600</v>
      </c>
      <c r="Z202">
        <v>83600</v>
      </c>
      <c r="AA202" t="b">
        <f t="shared" si="21"/>
        <v>1</v>
      </c>
      <c r="AB202">
        <v>83600</v>
      </c>
      <c r="AC202">
        <v>83600</v>
      </c>
      <c r="AD202" t="b">
        <f t="shared" si="22"/>
        <v>1</v>
      </c>
      <c r="AE202">
        <v>0</v>
      </c>
      <c r="AF202">
        <v>0</v>
      </c>
      <c r="AG202" t="b">
        <f t="shared" si="23"/>
        <v>1</v>
      </c>
      <c r="AH202">
        <v>0</v>
      </c>
      <c r="AI202">
        <v>0</v>
      </c>
      <c r="AJ202" t="b">
        <v>1</v>
      </c>
      <c r="AK202">
        <v>0</v>
      </c>
      <c r="AL202">
        <v>0</v>
      </c>
      <c r="AM202">
        <v>0</v>
      </c>
      <c r="AN202">
        <v>0</v>
      </c>
    </row>
    <row r="203" spans="1:40">
      <c r="A203">
        <v>45741</v>
      </c>
      <c r="B203" t="s">
        <v>45</v>
      </c>
      <c r="C203" t="s">
        <v>191</v>
      </c>
      <c r="D203" t="s">
        <v>356</v>
      </c>
      <c r="E203" t="s">
        <v>514</v>
      </c>
      <c r="F203" t="s">
        <v>515</v>
      </c>
      <c r="G203">
        <v>0</v>
      </c>
      <c r="H203">
        <v>0</v>
      </c>
      <c r="I203" t="b">
        <v>1</v>
      </c>
      <c r="J203">
        <v>12321475</v>
      </c>
      <c r="K203">
        <v>12321475</v>
      </c>
      <c r="L203" t="b">
        <v>1</v>
      </c>
      <c r="M203">
        <v>6346</v>
      </c>
      <c r="N203">
        <v>0</v>
      </c>
      <c r="O203" t="b">
        <f t="shared" si="18"/>
        <v>0</v>
      </c>
      <c r="P203">
        <v>0</v>
      </c>
      <c r="Q203">
        <v>0</v>
      </c>
      <c r="R203" t="b">
        <v>1</v>
      </c>
      <c r="S203">
        <v>12327821</v>
      </c>
      <c r="T203">
        <v>12321475</v>
      </c>
      <c r="U203" t="b">
        <f t="shared" si="19"/>
        <v>0</v>
      </c>
      <c r="V203">
        <v>1441584</v>
      </c>
      <c r="W203">
        <v>1573290</v>
      </c>
      <c r="X203" t="b">
        <f t="shared" si="20"/>
        <v>0</v>
      </c>
      <c r="Y203">
        <v>4949540</v>
      </c>
      <c r="Z203">
        <v>4949540</v>
      </c>
      <c r="AA203" t="b">
        <f t="shared" si="21"/>
        <v>1</v>
      </c>
      <c r="AB203">
        <v>4987863</v>
      </c>
      <c r="AC203">
        <v>4987863</v>
      </c>
      <c r="AD203" t="b">
        <f t="shared" si="22"/>
        <v>1</v>
      </c>
      <c r="AE203">
        <v>37403</v>
      </c>
      <c r="AF203">
        <v>37403</v>
      </c>
      <c r="AG203" t="b">
        <f t="shared" si="23"/>
        <v>1</v>
      </c>
      <c r="AH203">
        <v>9900000</v>
      </c>
      <c r="AI203">
        <v>9900000</v>
      </c>
      <c r="AJ203" t="b">
        <v>1</v>
      </c>
      <c r="AK203">
        <v>1441584</v>
      </c>
      <c r="AL203">
        <v>1573290</v>
      </c>
      <c r="AM203">
        <v>2421475</v>
      </c>
      <c r="AN203">
        <v>2421475</v>
      </c>
    </row>
    <row r="204" spans="1:40">
      <c r="A204">
        <v>45741</v>
      </c>
      <c r="B204" t="s">
        <v>45</v>
      </c>
      <c r="C204" t="s">
        <v>191</v>
      </c>
      <c r="D204" t="s">
        <v>64</v>
      </c>
      <c r="E204" t="s">
        <v>516</v>
      </c>
      <c r="F204" t="s">
        <v>517</v>
      </c>
      <c r="G204">
        <v>0</v>
      </c>
      <c r="H204">
        <v>0</v>
      </c>
      <c r="I204" t="b">
        <v>1</v>
      </c>
      <c r="J204">
        <v>0</v>
      </c>
      <c r="K204">
        <v>0</v>
      </c>
      <c r="L204" t="b">
        <v>1</v>
      </c>
      <c r="M204">
        <v>0</v>
      </c>
      <c r="N204">
        <v>0</v>
      </c>
      <c r="O204" t="b">
        <f t="shared" si="18"/>
        <v>1</v>
      </c>
      <c r="P204">
        <v>0</v>
      </c>
      <c r="Q204">
        <v>0</v>
      </c>
      <c r="R204" t="b">
        <v>1</v>
      </c>
      <c r="S204">
        <v>0</v>
      </c>
      <c r="T204">
        <v>0</v>
      </c>
      <c r="U204" t="b">
        <f t="shared" si="19"/>
        <v>1</v>
      </c>
      <c r="V204">
        <v>0</v>
      </c>
      <c r="W204">
        <v>0</v>
      </c>
      <c r="X204" t="b">
        <f t="shared" si="20"/>
        <v>1</v>
      </c>
      <c r="Y204">
        <v>3075000</v>
      </c>
      <c r="Z204">
        <v>3075000</v>
      </c>
      <c r="AA204" t="b">
        <f t="shared" si="21"/>
        <v>1</v>
      </c>
      <c r="AB204">
        <v>3075000</v>
      </c>
      <c r="AC204">
        <v>3075000</v>
      </c>
      <c r="AD204" t="b">
        <f t="shared" si="22"/>
        <v>1</v>
      </c>
      <c r="AE204">
        <v>0</v>
      </c>
      <c r="AF204">
        <v>0</v>
      </c>
      <c r="AG204" t="b">
        <f t="shared" si="23"/>
        <v>1</v>
      </c>
      <c r="AH204">
        <v>0</v>
      </c>
      <c r="AI204">
        <v>0</v>
      </c>
      <c r="AJ204" t="b">
        <v>1</v>
      </c>
      <c r="AK204">
        <v>0</v>
      </c>
      <c r="AL204">
        <v>0</v>
      </c>
      <c r="AM204">
        <v>0</v>
      </c>
      <c r="AN204">
        <v>0</v>
      </c>
    </row>
    <row r="205" spans="1:40">
      <c r="A205">
        <v>45741</v>
      </c>
      <c r="B205" t="s">
        <v>35</v>
      </c>
      <c r="C205" t="s">
        <v>169</v>
      </c>
      <c r="D205" t="s">
        <v>222</v>
      </c>
      <c r="E205" t="s">
        <v>518</v>
      </c>
      <c r="F205" t="s">
        <v>519</v>
      </c>
      <c r="G205">
        <v>2000000</v>
      </c>
      <c r="H205">
        <v>2000000</v>
      </c>
      <c r="I205" t="b">
        <v>1</v>
      </c>
      <c r="J205">
        <v>0</v>
      </c>
      <c r="K205">
        <v>0</v>
      </c>
      <c r="L205" t="b">
        <v>1</v>
      </c>
      <c r="M205">
        <v>2000000</v>
      </c>
      <c r="N205">
        <v>2000000</v>
      </c>
      <c r="O205" t="b">
        <f t="shared" si="18"/>
        <v>1</v>
      </c>
      <c r="P205">
        <v>0</v>
      </c>
      <c r="Q205">
        <v>0</v>
      </c>
      <c r="R205" t="b">
        <v>1</v>
      </c>
      <c r="S205">
        <v>2000000</v>
      </c>
      <c r="T205">
        <v>2000000</v>
      </c>
      <c r="U205" t="b">
        <f t="shared" si="19"/>
        <v>1</v>
      </c>
      <c r="V205">
        <v>837893.5</v>
      </c>
      <c r="W205">
        <v>837893</v>
      </c>
      <c r="X205" t="b">
        <f t="shared" si="20"/>
        <v>0</v>
      </c>
      <c r="Y205">
        <v>205612</v>
      </c>
      <c r="Z205">
        <v>205612</v>
      </c>
      <c r="AA205" t="b">
        <f t="shared" si="21"/>
        <v>1</v>
      </c>
      <c r="AB205">
        <v>1068006</v>
      </c>
      <c r="AC205">
        <v>1068006</v>
      </c>
      <c r="AD205" t="b">
        <f t="shared" si="22"/>
        <v>1</v>
      </c>
      <c r="AE205">
        <v>0</v>
      </c>
      <c r="AF205">
        <v>0</v>
      </c>
      <c r="AG205" t="b">
        <f t="shared" si="23"/>
        <v>1</v>
      </c>
      <c r="AH205">
        <v>1273618</v>
      </c>
      <c r="AI205">
        <v>1273618</v>
      </c>
      <c r="AJ205" t="b">
        <v>1</v>
      </c>
      <c r="AK205">
        <v>1162106.5</v>
      </c>
      <c r="AL205">
        <v>1162107</v>
      </c>
      <c r="AM205">
        <v>726382</v>
      </c>
      <c r="AN205">
        <v>726382</v>
      </c>
    </row>
    <row r="206" spans="1:40">
      <c r="A206">
        <v>45741</v>
      </c>
      <c r="B206" t="s">
        <v>30</v>
      </c>
      <c r="C206" t="s">
        <v>176</v>
      </c>
      <c r="D206" t="s">
        <v>520</v>
      </c>
      <c r="E206" t="s">
        <v>521</v>
      </c>
      <c r="F206" t="s">
        <v>522</v>
      </c>
      <c r="G206">
        <v>349503</v>
      </c>
      <c r="H206">
        <v>349503</v>
      </c>
      <c r="I206" t="b">
        <v>1</v>
      </c>
      <c r="J206">
        <v>349503</v>
      </c>
      <c r="K206">
        <v>349503</v>
      </c>
      <c r="L206" t="b">
        <v>1</v>
      </c>
      <c r="M206">
        <v>0</v>
      </c>
      <c r="N206">
        <v>0</v>
      </c>
      <c r="O206" t="b">
        <f t="shared" si="18"/>
        <v>1</v>
      </c>
      <c r="P206">
        <v>0</v>
      </c>
      <c r="Q206">
        <v>0</v>
      </c>
      <c r="R206" t="b">
        <v>1</v>
      </c>
      <c r="S206">
        <v>349503</v>
      </c>
      <c r="T206">
        <v>349503</v>
      </c>
      <c r="U206" t="b">
        <f t="shared" si="19"/>
        <v>1</v>
      </c>
      <c r="V206">
        <v>58146.67</v>
      </c>
      <c r="W206">
        <v>58146.67</v>
      </c>
      <c r="X206" t="b">
        <f t="shared" si="20"/>
        <v>1</v>
      </c>
      <c r="Y206">
        <v>58146.67</v>
      </c>
      <c r="Z206">
        <v>58146.67</v>
      </c>
      <c r="AA206" t="b">
        <f t="shared" si="21"/>
        <v>1</v>
      </c>
      <c r="AB206">
        <v>0</v>
      </c>
      <c r="AC206">
        <v>0</v>
      </c>
      <c r="AD206" t="b">
        <f t="shared" si="22"/>
        <v>1</v>
      </c>
      <c r="AE206">
        <v>89000</v>
      </c>
      <c r="AF206">
        <v>89000</v>
      </c>
      <c r="AG206" t="b">
        <f t="shared" si="23"/>
        <v>1</v>
      </c>
      <c r="AH206">
        <v>30853.33</v>
      </c>
      <c r="AI206">
        <v>30853.33</v>
      </c>
      <c r="AJ206" t="b">
        <v>0</v>
      </c>
      <c r="AK206">
        <v>291356.33</v>
      </c>
      <c r="AL206">
        <v>291356.33</v>
      </c>
      <c r="AM206">
        <v>380356.33</v>
      </c>
      <c r="AN206">
        <v>318649.67</v>
      </c>
    </row>
    <row r="207" spans="1:40">
      <c r="A207">
        <v>45741</v>
      </c>
      <c r="B207" t="s">
        <v>30</v>
      </c>
      <c r="C207" t="s">
        <v>176</v>
      </c>
      <c r="D207" t="s">
        <v>96</v>
      </c>
      <c r="E207" t="s">
        <v>523</v>
      </c>
      <c r="F207" t="s">
        <v>524</v>
      </c>
      <c r="G207">
        <v>0</v>
      </c>
      <c r="H207">
        <v>0</v>
      </c>
      <c r="I207" t="b">
        <v>1</v>
      </c>
      <c r="J207">
        <v>0</v>
      </c>
      <c r="K207">
        <v>0</v>
      </c>
      <c r="L207" t="b">
        <v>1</v>
      </c>
      <c r="M207">
        <v>0</v>
      </c>
      <c r="N207">
        <v>0</v>
      </c>
      <c r="O207" t="b">
        <f t="shared" si="18"/>
        <v>1</v>
      </c>
      <c r="P207">
        <v>0</v>
      </c>
      <c r="Q207">
        <v>0</v>
      </c>
      <c r="R207" t="b">
        <v>1</v>
      </c>
      <c r="S207">
        <v>0</v>
      </c>
      <c r="T207">
        <v>0</v>
      </c>
      <c r="U207" t="b">
        <f t="shared" si="19"/>
        <v>1</v>
      </c>
      <c r="V207">
        <v>0</v>
      </c>
      <c r="W207">
        <v>0</v>
      </c>
      <c r="X207" t="b">
        <f t="shared" si="20"/>
        <v>1</v>
      </c>
      <c r="Y207">
        <v>461394</v>
      </c>
      <c r="Z207">
        <v>461394</v>
      </c>
      <c r="AA207" t="b">
        <f t="shared" si="21"/>
        <v>1</v>
      </c>
      <c r="AB207">
        <v>461394</v>
      </c>
      <c r="AC207">
        <v>461394</v>
      </c>
      <c r="AD207" t="b">
        <f t="shared" si="22"/>
        <v>1</v>
      </c>
      <c r="AE207">
        <v>0</v>
      </c>
      <c r="AF207">
        <v>0</v>
      </c>
      <c r="AG207" t="b">
        <f t="shared" si="23"/>
        <v>1</v>
      </c>
      <c r="AH207">
        <v>0</v>
      </c>
      <c r="AI207">
        <v>0</v>
      </c>
      <c r="AJ207" t="b">
        <v>1</v>
      </c>
      <c r="AK207">
        <v>0</v>
      </c>
      <c r="AL207">
        <v>0</v>
      </c>
      <c r="AM207">
        <v>0</v>
      </c>
      <c r="AN207">
        <v>0</v>
      </c>
    </row>
    <row r="208" spans="1:40">
      <c r="A208">
        <v>45741</v>
      </c>
      <c r="B208" t="s">
        <v>45</v>
      </c>
      <c r="C208" t="s">
        <v>191</v>
      </c>
      <c r="D208" t="s">
        <v>525</v>
      </c>
      <c r="E208" t="s">
        <v>526</v>
      </c>
      <c r="F208" t="s">
        <v>527</v>
      </c>
      <c r="G208">
        <v>0</v>
      </c>
      <c r="H208">
        <v>0</v>
      </c>
      <c r="I208" t="b">
        <v>1</v>
      </c>
      <c r="J208">
        <v>0</v>
      </c>
      <c r="K208">
        <v>0</v>
      </c>
      <c r="L208" t="b">
        <v>1</v>
      </c>
      <c r="M208">
        <v>0</v>
      </c>
      <c r="N208">
        <v>0</v>
      </c>
      <c r="O208" t="b">
        <f t="shared" si="18"/>
        <v>1</v>
      </c>
      <c r="P208">
        <v>0</v>
      </c>
      <c r="Q208">
        <v>0</v>
      </c>
      <c r="R208" t="b">
        <v>1</v>
      </c>
      <c r="S208">
        <v>0</v>
      </c>
      <c r="T208">
        <v>0</v>
      </c>
      <c r="U208" t="b">
        <f t="shared" si="19"/>
        <v>1</v>
      </c>
      <c r="V208">
        <v>0</v>
      </c>
      <c r="W208">
        <v>0</v>
      </c>
      <c r="X208" t="b">
        <f t="shared" si="20"/>
        <v>1</v>
      </c>
      <c r="Y208">
        <v>541000</v>
      </c>
      <c r="Z208">
        <v>541000</v>
      </c>
      <c r="AA208" t="b">
        <f t="shared" si="21"/>
        <v>1</v>
      </c>
      <c r="AB208">
        <v>541000</v>
      </c>
      <c r="AC208">
        <v>541000</v>
      </c>
      <c r="AD208" t="b">
        <f t="shared" si="22"/>
        <v>1</v>
      </c>
      <c r="AE208">
        <v>0</v>
      </c>
      <c r="AF208">
        <v>0</v>
      </c>
      <c r="AG208" t="b">
        <f t="shared" si="23"/>
        <v>1</v>
      </c>
      <c r="AH208">
        <v>0</v>
      </c>
      <c r="AI208">
        <v>0</v>
      </c>
      <c r="AJ208" t="b">
        <v>1</v>
      </c>
      <c r="AK208">
        <v>0</v>
      </c>
      <c r="AL208">
        <v>0</v>
      </c>
      <c r="AM208">
        <v>0</v>
      </c>
      <c r="AN208">
        <v>0</v>
      </c>
    </row>
    <row r="209" spans="1:40">
      <c r="A209">
        <v>45741</v>
      </c>
      <c r="B209" t="s">
        <v>30</v>
      </c>
      <c r="C209" t="s">
        <v>176</v>
      </c>
      <c r="D209" t="s">
        <v>58</v>
      </c>
      <c r="E209" t="s">
        <v>528</v>
      </c>
      <c r="F209" t="s">
        <v>529</v>
      </c>
      <c r="G209">
        <v>738000</v>
      </c>
      <c r="H209">
        <v>738000</v>
      </c>
      <c r="I209" t="b">
        <v>1</v>
      </c>
      <c r="J209">
        <v>738000</v>
      </c>
      <c r="K209">
        <v>738000</v>
      </c>
      <c r="L209" t="b">
        <v>1</v>
      </c>
      <c r="M209">
        <v>0</v>
      </c>
      <c r="N209">
        <v>0</v>
      </c>
      <c r="O209" t="b">
        <f t="shared" si="18"/>
        <v>1</v>
      </c>
      <c r="P209">
        <v>0</v>
      </c>
      <c r="Q209">
        <v>0</v>
      </c>
      <c r="R209" t="b">
        <v>1</v>
      </c>
      <c r="S209">
        <v>738000</v>
      </c>
      <c r="T209">
        <v>738000</v>
      </c>
      <c r="U209" t="b">
        <f t="shared" si="19"/>
        <v>1</v>
      </c>
      <c r="V209">
        <v>0</v>
      </c>
      <c r="W209">
        <v>0</v>
      </c>
      <c r="X209" t="b">
        <f t="shared" si="20"/>
        <v>1</v>
      </c>
      <c r="Y209">
        <v>0</v>
      </c>
      <c r="Z209">
        <v>0</v>
      </c>
      <c r="AA209" t="b">
        <f t="shared" si="21"/>
        <v>1</v>
      </c>
      <c r="AB209">
        <v>575640</v>
      </c>
      <c r="AC209">
        <v>575640</v>
      </c>
      <c r="AD209" t="b">
        <f t="shared" si="22"/>
        <v>1</v>
      </c>
      <c r="AE209">
        <v>0</v>
      </c>
      <c r="AF209">
        <v>0</v>
      </c>
      <c r="AG209" t="b">
        <f t="shared" si="23"/>
        <v>1</v>
      </c>
      <c r="AH209">
        <v>575640</v>
      </c>
      <c r="AI209">
        <v>575640</v>
      </c>
      <c r="AJ209" t="b">
        <v>1</v>
      </c>
      <c r="AK209">
        <v>738000</v>
      </c>
      <c r="AL209">
        <v>738000</v>
      </c>
      <c r="AM209">
        <v>162360</v>
      </c>
      <c r="AN209">
        <v>162360</v>
      </c>
    </row>
    <row r="210" spans="1:40">
      <c r="A210">
        <v>45741</v>
      </c>
      <c r="B210" t="s">
        <v>30</v>
      </c>
      <c r="C210" t="s">
        <v>176</v>
      </c>
      <c r="D210" t="s">
        <v>58</v>
      </c>
      <c r="E210" t="s">
        <v>530</v>
      </c>
      <c r="F210" t="s">
        <v>531</v>
      </c>
      <c r="G210">
        <v>0</v>
      </c>
      <c r="H210">
        <v>0</v>
      </c>
      <c r="I210" t="b">
        <v>1</v>
      </c>
      <c r="J210">
        <v>0</v>
      </c>
      <c r="K210">
        <v>0</v>
      </c>
      <c r="L210" t="b">
        <v>1</v>
      </c>
      <c r="M210">
        <v>0</v>
      </c>
      <c r="N210">
        <v>0</v>
      </c>
      <c r="O210" t="b">
        <f t="shared" si="18"/>
        <v>1</v>
      </c>
      <c r="P210">
        <v>0</v>
      </c>
      <c r="Q210">
        <v>0</v>
      </c>
      <c r="R210" t="b">
        <v>1</v>
      </c>
      <c r="S210">
        <v>0</v>
      </c>
      <c r="T210">
        <v>0</v>
      </c>
      <c r="U210" t="b">
        <f t="shared" si="19"/>
        <v>1</v>
      </c>
      <c r="V210">
        <v>0</v>
      </c>
      <c r="W210">
        <v>0</v>
      </c>
      <c r="X210" t="b">
        <f t="shared" si="20"/>
        <v>1</v>
      </c>
      <c r="Y210">
        <v>191318</v>
      </c>
      <c r="Z210">
        <v>191318</v>
      </c>
      <c r="AA210" t="b">
        <f t="shared" si="21"/>
        <v>1</v>
      </c>
      <c r="AB210">
        <v>191318</v>
      </c>
      <c r="AC210">
        <v>193885.79</v>
      </c>
      <c r="AD210" t="b">
        <f t="shared" si="22"/>
        <v>0</v>
      </c>
      <c r="AE210">
        <v>0</v>
      </c>
      <c r="AF210">
        <v>0</v>
      </c>
      <c r="AG210" t="b">
        <f t="shared" si="23"/>
        <v>1</v>
      </c>
      <c r="AH210">
        <v>0</v>
      </c>
      <c r="AI210">
        <v>2567.79</v>
      </c>
      <c r="AJ210" t="b">
        <v>0</v>
      </c>
      <c r="AK210">
        <v>0</v>
      </c>
      <c r="AL210">
        <v>0</v>
      </c>
      <c r="AM210">
        <v>0</v>
      </c>
      <c r="AN210">
        <v>2567.79</v>
      </c>
    </row>
    <row r="211" spans="1:40">
      <c r="A211">
        <v>45741</v>
      </c>
      <c r="B211" t="s">
        <v>30</v>
      </c>
      <c r="C211" t="s">
        <v>176</v>
      </c>
      <c r="D211" t="s">
        <v>85</v>
      </c>
      <c r="E211" t="s">
        <v>532</v>
      </c>
      <c r="F211" t="s">
        <v>533</v>
      </c>
      <c r="G211">
        <v>0</v>
      </c>
      <c r="H211">
        <v>0</v>
      </c>
      <c r="I211" t="b">
        <v>1</v>
      </c>
      <c r="J211">
        <v>1440862</v>
      </c>
      <c r="K211">
        <v>1440862</v>
      </c>
      <c r="L211" t="b">
        <v>1</v>
      </c>
      <c r="M211">
        <v>1301935</v>
      </c>
      <c r="N211">
        <v>1301935</v>
      </c>
      <c r="O211" t="b">
        <f t="shared" si="18"/>
        <v>1</v>
      </c>
      <c r="P211">
        <v>0</v>
      </c>
      <c r="Q211">
        <v>0</v>
      </c>
      <c r="R211" t="b">
        <v>1</v>
      </c>
      <c r="S211">
        <v>138927</v>
      </c>
      <c r="T211">
        <v>138927</v>
      </c>
      <c r="U211" t="b">
        <f t="shared" si="19"/>
        <v>1</v>
      </c>
      <c r="V211">
        <v>0</v>
      </c>
      <c r="W211">
        <v>0</v>
      </c>
      <c r="X211" t="b">
        <f t="shared" si="20"/>
        <v>1</v>
      </c>
      <c r="Y211">
        <v>0</v>
      </c>
      <c r="Z211">
        <v>0</v>
      </c>
      <c r="AA211" t="b">
        <f t="shared" si="21"/>
        <v>1</v>
      </c>
      <c r="AB211">
        <v>0</v>
      </c>
      <c r="AC211">
        <v>0</v>
      </c>
      <c r="AD211" t="b">
        <f t="shared" si="22"/>
        <v>1</v>
      </c>
      <c r="AE211">
        <v>0</v>
      </c>
      <c r="AF211">
        <v>0</v>
      </c>
      <c r="AG211" t="b">
        <f t="shared" si="23"/>
        <v>1</v>
      </c>
      <c r="AH211">
        <v>0</v>
      </c>
      <c r="AI211">
        <v>0</v>
      </c>
      <c r="AJ211" t="b">
        <v>1</v>
      </c>
      <c r="AK211">
        <v>0</v>
      </c>
      <c r="AL211">
        <v>0</v>
      </c>
      <c r="AM211">
        <v>138927</v>
      </c>
      <c r="AN211">
        <v>138927</v>
      </c>
    </row>
    <row r="212" spans="1:40">
      <c r="A212">
        <v>45741</v>
      </c>
      <c r="B212" t="s">
        <v>45</v>
      </c>
      <c r="C212" t="s">
        <v>191</v>
      </c>
      <c r="D212" t="s">
        <v>234</v>
      </c>
      <c r="E212" t="s">
        <v>534</v>
      </c>
      <c r="F212" t="s">
        <v>535</v>
      </c>
      <c r="G212">
        <v>0</v>
      </c>
      <c r="H212">
        <v>0</v>
      </c>
      <c r="I212" t="b">
        <v>1</v>
      </c>
      <c r="J212">
        <v>0</v>
      </c>
      <c r="K212">
        <v>10700000</v>
      </c>
      <c r="L212" t="b">
        <v>0</v>
      </c>
      <c r="M212">
        <v>0</v>
      </c>
      <c r="N212">
        <v>0</v>
      </c>
      <c r="O212" t="b">
        <f t="shared" si="18"/>
        <v>1</v>
      </c>
      <c r="P212">
        <v>0</v>
      </c>
      <c r="Q212">
        <v>0</v>
      </c>
      <c r="R212" t="b">
        <v>1</v>
      </c>
      <c r="S212">
        <v>0</v>
      </c>
      <c r="T212">
        <v>10700000</v>
      </c>
      <c r="U212" t="b">
        <f t="shared" si="19"/>
        <v>0</v>
      </c>
      <c r="V212">
        <v>3873219</v>
      </c>
      <c r="W212">
        <v>4425233</v>
      </c>
      <c r="X212" t="b">
        <f t="shared" si="20"/>
        <v>0</v>
      </c>
      <c r="Y212">
        <v>4364828</v>
      </c>
      <c r="Z212">
        <v>4853328</v>
      </c>
      <c r="AA212" t="b">
        <f t="shared" si="21"/>
        <v>0</v>
      </c>
      <c r="AB212">
        <v>3846672</v>
      </c>
      <c r="AC212">
        <v>3846672</v>
      </c>
      <c r="AD212" t="b">
        <f t="shared" si="22"/>
        <v>1</v>
      </c>
      <c r="AE212">
        <v>0</v>
      </c>
      <c r="AF212">
        <v>0</v>
      </c>
      <c r="AG212" t="b">
        <f t="shared" si="23"/>
        <v>1</v>
      </c>
      <c r="AH212">
        <v>8211500</v>
      </c>
      <c r="AI212">
        <v>8700000</v>
      </c>
      <c r="AJ212" t="b">
        <v>0</v>
      </c>
      <c r="AK212">
        <v>3873219</v>
      </c>
      <c r="AL212">
        <v>4425233</v>
      </c>
      <c r="AM212">
        <v>8211500</v>
      </c>
      <c r="AN212">
        <v>2000000</v>
      </c>
    </row>
    <row r="213" spans="1:40">
      <c r="A213">
        <v>45741</v>
      </c>
      <c r="B213" t="s">
        <v>30</v>
      </c>
      <c r="C213" t="s">
        <v>176</v>
      </c>
      <c r="D213" t="s">
        <v>151</v>
      </c>
      <c r="E213" t="s">
        <v>536</v>
      </c>
      <c r="F213" t="s">
        <v>537</v>
      </c>
      <c r="G213">
        <v>0</v>
      </c>
      <c r="H213">
        <v>0</v>
      </c>
      <c r="I213" t="b">
        <v>1</v>
      </c>
      <c r="J213">
        <v>516000</v>
      </c>
      <c r="K213">
        <v>516000</v>
      </c>
      <c r="L213" t="b">
        <v>1</v>
      </c>
      <c r="M213">
        <v>0</v>
      </c>
      <c r="N213">
        <v>0</v>
      </c>
      <c r="O213" t="b">
        <f t="shared" si="18"/>
        <v>1</v>
      </c>
      <c r="P213">
        <v>0</v>
      </c>
      <c r="Q213">
        <v>0</v>
      </c>
      <c r="R213" t="b">
        <v>1</v>
      </c>
      <c r="S213">
        <v>516000</v>
      </c>
      <c r="T213">
        <v>516000</v>
      </c>
      <c r="U213" t="b">
        <f t="shared" si="19"/>
        <v>1</v>
      </c>
      <c r="V213">
        <v>0</v>
      </c>
      <c r="W213">
        <v>0</v>
      </c>
      <c r="X213" t="b">
        <f t="shared" si="20"/>
        <v>1</v>
      </c>
      <c r="Y213">
        <v>0</v>
      </c>
      <c r="Z213">
        <v>0</v>
      </c>
      <c r="AA213" t="b">
        <f t="shared" si="21"/>
        <v>1</v>
      </c>
      <c r="AB213">
        <v>500000</v>
      </c>
      <c r="AC213">
        <v>500000</v>
      </c>
      <c r="AD213" t="b">
        <f t="shared" si="22"/>
        <v>1</v>
      </c>
      <c r="AE213">
        <v>0</v>
      </c>
      <c r="AF213">
        <v>0</v>
      </c>
      <c r="AG213" t="b">
        <f t="shared" si="23"/>
        <v>1</v>
      </c>
      <c r="AH213">
        <v>500000</v>
      </c>
      <c r="AI213">
        <v>500000</v>
      </c>
      <c r="AJ213" t="b">
        <v>1</v>
      </c>
      <c r="AK213">
        <v>0</v>
      </c>
      <c r="AL213">
        <v>0</v>
      </c>
      <c r="AM213">
        <v>16000</v>
      </c>
      <c r="AN213">
        <v>16000</v>
      </c>
    </row>
    <row r="214" spans="1:40">
      <c r="A214">
        <v>45741</v>
      </c>
      <c r="B214" t="s">
        <v>45</v>
      </c>
      <c r="C214" t="s">
        <v>191</v>
      </c>
      <c r="D214" t="s">
        <v>234</v>
      </c>
      <c r="E214" t="s">
        <v>538</v>
      </c>
      <c r="F214" t="s">
        <v>539</v>
      </c>
      <c r="G214">
        <v>0</v>
      </c>
      <c r="H214">
        <v>0</v>
      </c>
      <c r="I214" t="b">
        <v>1</v>
      </c>
      <c r="J214">
        <v>0</v>
      </c>
      <c r="K214">
        <v>0</v>
      </c>
      <c r="L214" t="b">
        <v>1</v>
      </c>
      <c r="M214">
        <v>0</v>
      </c>
      <c r="N214">
        <v>0</v>
      </c>
      <c r="O214" t="b">
        <f t="shared" si="18"/>
        <v>1</v>
      </c>
      <c r="P214">
        <v>0</v>
      </c>
      <c r="Q214">
        <v>0</v>
      </c>
      <c r="R214" t="b">
        <v>1</v>
      </c>
      <c r="S214">
        <v>0</v>
      </c>
      <c r="T214">
        <v>0</v>
      </c>
      <c r="U214" t="b">
        <f t="shared" si="19"/>
        <v>1</v>
      </c>
      <c r="V214">
        <v>0</v>
      </c>
      <c r="W214">
        <v>0</v>
      </c>
      <c r="X214" t="b">
        <f t="shared" si="20"/>
        <v>1</v>
      </c>
      <c r="Y214">
        <v>319500</v>
      </c>
      <c r="Z214">
        <v>329500</v>
      </c>
      <c r="AA214" t="b">
        <f t="shared" si="21"/>
        <v>0</v>
      </c>
      <c r="AB214">
        <v>329500</v>
      </c>
      <c r="AC214">
        <v>329500</v>
      </c>
      <c r="AD214" t="b">
        <f t="shared" si="22"/>
        <v>1</v>
      </c>
      <c r="AE214">
        <v>0</v>
      </c>
      <c r="AF214">
        <v>0</v>
      </c>
      <c r="AG214" t="b">
        <f t="shared" si="23"/>
        <v>1</v>
      </c>
      <c r="AH214">
        <v>10000</v>
      </c>
      <c r="AI214">
        <v>0</v>
      </c>
      <c r="AJ214" t="b">
        <v>0</v>
      </c>
      <c r="AK214">
        <v>0</v>
      </c>
      <c r="AL214">
        <v>0</v>
      </c>
      <c r="AM214">
        <v>10000</v>
      </c>
      <c r="AN214">
        <v>0</v>
      </c>
    </row>
    <row r="215" spans="1:40">
      <c r="A215">
        <v>45741</v>
      </c>
      <c r="B215" t="s">
        <v>45</v>
      </c>
      <c r="C215" t="s">
        <v>191</v>
      </c>
      <c r="D215" t="s">
        <v>234</v>
      </c>
      <c r="E215" t="s">
        <v>540</v>
      </c>
      <c r="F215" t="s">
        <v>541</v>
      </c>
      <c r="G215">
        <v>0</v>
      </c>
      <c r="H215">
        <v>0</v>
      </c>
      <c r="I215" t="b">
        <v>1</v>
      </c>
      <c r="J215">
        <v>0</v>
      </c>
      <c r="K215">
        <v>0</v>
      </c>
      <c r="L215" t="b">
        <v>1</v>
      </c>
      <c r="M215">
        <v>190438.5</v>
      </c>
      <c r="N215">
        <v>0</v>
      </c>
      <c r="O215" t="b">
        <f t="shared" si="18"/>
        <v>0</v>
      </c>
      <c r="P215">
        <v>0</v>
      </c>
      <c r="Q215">
        <v>0</v>
      </c>
      <c r="R215" t="b">
        <v>1</v>
      </c>
      <c r="S215">
        <v>190438.5</v>
      </c>
      <c r="T215">
        <v>0</v>
      </c>
      <c r="U215" t="b">
        <f t="shared" si="19"/>
        <v>0</v>
      </c>
      <c r="V215">
        <v>77239.69</v>
      </c>
      <c r="W215">
        <v>77239.69</v>
      </c>
      <c r="X215" t="b">
        <f t="shared" si="20"/>
        <v>1</v>
      </c>
      <c r="Y215">
        <v>1930784.69</v>
      </c>
      <c r="Z215">
        <v>1930784.69</v>
      </c>
      <c r="AA215" t="b">
        <f t="shared" si="21"/>
        <v>1</v>
      </c>
      <c r="AB215">
        <v>1930784.5</v>
      </c>
      <c r="AC215">
        <v>1930784.5</v>
      </c>
      <c r="AD215" t="b">
        <f t="shared" si="22"/>
        <v>1</v>
      </c>
      <c r="AE215">
        <v>0</v>
      </c>
      <c r="AF215">
        <v>0</v>
      </c>
      <c r="AG215" t="b">
        <f t="shared" si="23"/>
        <v>1</v>
      </c>
      <c r="AH215">
        <v>0.19</v>
      </c>
      <c r="AI215">
        <v>0.19</v>
      </c>
      <c r="AJ215" t="b">
        <v>1</v>
      </c>
      <c r="AK215">
        <v>77239.69</v>
      </c>
      <c r="AL215">
        <v>77239.69</v>
      </c>
      <c r="AM215">
        <v>0.19</v>
      </c>
      <c r="AN215">
        <v>0.19</v>
      </c>
    </row>
    <row r="216" spans="1:40">
      <c r="A216">
        <v>45741</v>
      </c>
      <c r="B216" t="s">
        <v>30</v>
      </c>
      <c r="C216" t="s">
        <v>176</v>
      </c>
      <c r="D216" t="s">
        <v>542</v>
      </c>
      <c r="E216" t="s">
        <v>543</v>
      </c>
      <c r="F216" t="s">
        <v>544</v>
      </c>
      <c r="G216">
        <v>0</v>
      </c>
      <c r="H216">
        <v>0</v>
      </c>
      <c r="I216" t="b">
        <v>1</v>
      </c>
      <c r="J216">
        <v>0</v>
      </c>
      <c r="K216">
        <v>0</v>
      </c>
      <c r="L216" t="b">
        <v>1</v>
      </c>
      <c r="M216">
        <v>0</v>
      </c>
      <c r="N216">
        <v>0</v>
      </c>
      <c r="O216" t="b">
        <f t="shared" si="18"/>
        <v>1</v>
      </c>
      <c r="P216">
        <v>0</v>
      </c>
      <c r="Q216">
        <v>0</v>
      </c>
      <c r="R216" t="b">
        <v>1</v>
      </c>
      <c r="S216">
        <v>0</v>
      </c>
      <c r="T216">
        <v>0</v>
      </c>
      <c r="U216" t="b">
        <f t="shared" si="19"/>
        <v>1</v>
      </c>
      <c r="V216">
        <v>42750</v>
      </c>
      <c r="W216">
        <v>42750</v>
      </c>
      <c r="X216" t="b">
        <f t="shared" si="20"/>
        <v>1</v>
      </c>
      <c r="Y216">
        <v>46313</v>
      </c>
      <c r="Z216">
        <v>46313</v>
      </c>
      <c r="AA216" t="b">
        <f t="shared" si="21"/>
        <v>1</v>
      </c>
      <c r="AB216">
        <v>46313</v>
      </c>
      <c r="AC216">
        <v>46313</v>
      </c>
      <c r="AD216" t="b">
        <f t="shared" si="22"/>
        <v>1</v>
      </c>
      <c r="AE216">
        <v>0</v>
      </c>
      <c r="AF216">
        <v>0</v>
      </c>
      <c r="AG216" t="b">
        <f t="shared" si="23"/>
        <v>1</v>
      </c>
      <c r="AH216">
        <v>0</v>
      </c>
      <c r="AI216">
        <v>0</v>
      </c>
      <c r="AJ216" t="b">
        <v>1</v>
      </c>
      <c r="AK216">
        <v>42750</v>
      </c>
      <c r="AL216">
        <v>42750</v>
      </c>
      <c r="AM216">
        <v>0</v>
      </c>
      <c r="AN216">
        <v>0</v>
      </c>
    </row>
    <row r="217" spans="1:40">
      <c r="A217">
        <v>45741</v>
      </c>
      <c r="B217" t="s">
        <v>45</v>
      </c>
      <c r="C217" t="s">
        <v>191</v>
      </c>
      <c r="D217" t="s">
        <v>545</v>
      </c>
      <c r="E217" t="s">
        <v>546</v>
      </c>
      <c r="F217" t="s">
        <v>547</v>
      </c>
      <c r="G217">
        <v>0</v>
      </c>
      <c r="H217">
        <v>0</v>
      </c>
      <c r="I217" t="b">
        <v>1</v>
      </c>
      <c r="J217">
        <v>0</v>
      </c>
      <c r="K217">
        <v>0</v>
      </c>
      <c r="L217" t="b">
        <v>1</v>
      </c>
      <c r="M217">
        <v>0</v>
      </c>
      <c r="N217">
        <v>0</v>
      </c>
      <c r="O217" t="b">
        <f t="shared" si="18"/>
        <v>1</v>
      </c>
      <c r="P217">
        <v>0</v>
      </c>
      <c r="Q217">
        <v>0</v>
      </c>
      <c r="R217" t="b">
        <v>1</v>
      </c>
      <c r="S217">
        <v>0</v>
      </c>
      <c r="T217">
        <v>0</v>
      </c>
      <c r="U217" t="b">
        <f t="shared" si="19"/>
        <v>1</v>
      </c>
      <c r="V217">
        <v>0</v>
      </c>
      <c r="W217">
        <v>0</v>
      </c>
      <c r="X217" t="b">
        <f t="shared" si="20"/>
        <v>1</v>
      </c>
      <c r="Y217">
        <v>1553200</v>
      </c>
      <c r="Z217">
        <v>1553200</v>
      </c>
      <c r="AA217" t="b">
        <f t="shared" si="21"/>
        <v>1</v>
      </c>
      <c r="AB217">
        <v>1553200</v>
      </c>
      <c r="AC217">
        <v>1553200</v>
      </c>
      <c r="AD217" t="b">
        <f t="shared" si="22"/>
        <v>1</v>
      </c>
      <c r="AE217">
        <v>0</v>
      </c>
      <c r="AF217">
        <v>0</v>
      </c>
      <c r="AG217" t="b">
        <f t="shared" si="23"/>
        <v>1</v>
      </c>
      <c r="AH217">
        <v>0</v>
      </c>
      <c r="AI217">
        <v>0</v>
      </c>
      <c r="AJ217" t="b">
        <v>1</v>
      </c>
      <c r="AK217">
        <v>0</v>
      </c>
      <c r="AL217">
        <v>0</v>
      </c>
      <c r="AM217">
        <v>0</v>
      </c>
      <c r="AN217">
        <v>0</v>
      </c>
    </row>
    <row r="218" spans="1:40">
      <c r="A218">
        <v>45741</v>
      </c>
      <c r="B218" t="s">
        <v>35</v>
      </c>
      <c r="C218" t="s">
        <v>169</v>
      </c>
      <c r="D218" t="s">
        <v>548</v>
      </c>
      <c r="E218" t="s">
        <v>549</v>
      </c>
      <c r="F218" t="s">
        <v>550</v>
      </c>
      <c r="G218">
        <v>0</v>
      </c>
      <c r="H218">
        <v>0</v>
      </c>
      <c r="I218" t="b">
        <v>1</v>
      </c>
      <c r="J218">
        <v>0</v>
      </c>
      <c r="K218">
        <v>0</v>
      </c>
      <c r="L218" t="b">
        <v>1</v>
      </c>
      <c r="M218">
        <v>0</v>
      </c>
      <c r="N218">
        <v>0</v>
      </c>
      <c r="O218" t="b">
        <f t="shared" si="18"/>
        <v>1</v>
      </c>
      <c r="P218">
        <v>0</v>
      </c>
      <c r="Q218">
        <v>0</v>
      </c>
      <c r="R218" t="b">
        <v>1</v>
      </c>
      <c r="S218">
        <v>0</v>
      </c>
      <c r="T218">
        <v>0</v>
      </c>
      <c r="U218" t="b">
        <f t="shared" si="19"/>
        <v>1</v>
      </c>
      <c r="V218">
        <v>0</v>
      </c>
      <c r="W218">
        <v>0</v>
      </c>
      <c r="X218" t="b">
        <f t="shared" si="20"/>
        <v>1</v>
      </c>
      <c r="Y218">
        <v>4000</v>
      </c>
      <c r="Z218">
        <v>4000</v>
      </c>
      <c r="AA218" t="b">
        <f t="shared" si="21"/>
        <v>1</v>
      </c>
      <c r="AB218">
        <v>4000</v>
      </c>
      <c r="AC218">
        <v>4000</v>
      </c>
      <c r="AD218" t="b">
        <f t="shared" si="22"/>
        <v>1</v>
      </c>
      <c r="AE218">
        <v>0</v>
      </c>
      <c r="AF218">
        <v>0</v>
      </c>
      <c r="AG218" t="b">
        <f t="shared" si="23"/>
        <v>1</v>
      </c>
      <c r="AH218">
        <v>0</v>
      </c>
      <c r="AI218">
        <v>0</v>
      </c>
      <c r="AJ218" t="b">
        <v>1</v>
      </c>
      <c r="AK218">
        <v>0</v>
      </c>
      <c r="AL218">
        <v>0</v>
      </c>
      <c r="AM218">
        <v>0</v>
      </c>
      <c r="AN218">
        <v>0</v>
      </c>
    </row>
    <row r="219" spans="1:40">
      <c r="A219">
        <v>45741</v>
      </c>
      <c r="B219" t="s">
        <v>45</v>
      </c>
      <c r="C219" t="s">
        <v>191</v>
      </c>
      <c r="D219" t="s">
        <v>234</v>
      </c>
      <c r="E219" t="s">
        <v>551</v>
      </c>
      <c r="F219" t="s">
        <v>552</v>
      </c>
      <c r="G219">
        <v>0</v>
      </c>
      <c r="H219">
        <v>0</v>
      </c>
      <c r="I219" t="b">
        <v>1</v>
      </c>
      <c r="J219">
        <v>0</v>
      </c>
      <c r="K219">
        <v>0</v>
      </c>
      <c r="L219" t="b">
        <v>1</v>
      </c>
      <c r="M219">
        <v>0</v>
      </c>
      <c r="N219">
        <v>0</v>
      </c>
      <c r="O219" t="b">
        <f t="shared" si="18"/>
        <v>1</v>
      </c>
      <c r="P219">
        <v>0</v>
      </c>
      <c r="Q219">
        <v>0</v>
      </c>
      <c r="R219" t="b">
        <v>1</v>
      </c>
      <c r="S219">
        <v>0</v>
      </c>
      <c r="T219">
        <v>0</v>
      </c>
      <c r="U219" t="b">
        <f t="shared" si="19"/>
        <v>1</v>
      </c>
      <c r="V219">
        <v>223282.35</v>
      </c>
      <c r="W219">
        <v>228043.35</v>
      </c>
      <c r="X219" t="b">
        <f t="shared" si="20"/>
        <v>0</v>
      </c>
      <c r="Y219">
        <v>1860395.71</v>
      </c>
      <c r="Z219">
        <v>1799035.11</v>
      </c>
      <c r="AA219" t="b">
        <f t="shared" si="21"/>
        <v>0</v>
      </c>
      <c r="AB219">
        <v>1728084.76</v>
      </c>
      <c r="AC219">
        <v>1799034.76</v>
      </c>
      <c r="AD219" t="b">
        <f t="shared" si="22"/>
        <v>0</v>
      </c>
      <c r="AE219">
        <v>0</v>
      </c>
      <c r="AF219">
        <v>0</v>
      </c>
      <c r="AG219" t="b">
        <f t="shared" si="23"/>
        <v>1</v>
      </c>
      <c r="AH219">
        <v>132310.95</v>
      </c>
      <c r="AI219">
        <v>0.35</v>
      </c>
      <c r="AJ219" t="b">
        <v>0</v>
      </c>
      <c r="AK219">
        <v>223282.35</v>
      </c>
      <c r="AL219">
        <v>228043.35</v>
      </c>
      <c r="AM219">
        <v>132310.95</v>
      </c>
      <c r="AN219">
        <v>0.35</v>
      </c>
    </row>
    <row r="220" spans="1:40">
      <c r="A220">
        <v>45741</v>
      </c>
      <c r="B220" t="s">
        <v>45</v>
      </c>
      <c r="C220" t="s">
        <v>191</v>
      </c>
      <c r="D220" t="s">
        <v>234</v>
      </c>
      <c r="E220" t="s">
        <v>553</v>
      </c>
      <c r="F220" t="s">
        <v>554</v>
      </c>
      <c r="G220">
        <v>0</v>
      </c>
      <c r="H220">
        <v>0</v>
      </c>
      <c r="I220" t="b">
        <v>1</v>
      </c>
      <c r="J220">
        <v>19482480</v>
      </c>
      <c r="K220">
        <v>23332480</v>
      </c>
      <c r="L220" t="b">
        <v>0</v>
      </c>
      <c r="M220">
        <v>1650000</v>
      </c>
      <c r="N220">
        <v>1650000</v>
      </c>
      <c r="O220" t="b">
        <f t="shared" si="18"/>
        <v>1</v>
      </c>
      <c r="P220">
        <v>0</v>
      </c>
      <c r="Q220">
        <v>0</v>
      </c>
      <c r="R220" t="b">
        <v>1</v>
      </c>
      <c r="S220">
        <v>21132480</v>
      </c>
      <c r="T220">
        <v>24982480</v>
      </c>
      <c r="U220" t="b">
        <f t="shared" si="19"/>
        <v>0</v>
      </c>
      <c r="V220">
        <v>9528706.46</v>
      </c>
      <c r="W220">
        <v>9728235.71</v>
      </c>
      <c r="X220" t="b">
        <f t="shared" si="20"/>
        <v>0</v>
      </c>
      <c r="Y220">
        <v>14011335.51</v>
      </c>
      <c r="Z220">
        <v>14050951.51</v>
      </c>
      <c r="AA220" t="b">
        <f t="shared" si="21"/>
        <v>0</v>
      </c>
      <c r="AB220">
        <v>3761666.49</v>
      </c>
      <c r="AC220">
        <v>3761666.49</v>
      </c>
      <c r="AD220" t="b">
        <f t="shared" si="22"/>
        <v>1</v>
      </c>
      <c r="AE220">
        <v>12618</v>
      </c>
      <c r="AF220">
        <v>12618</v>
      </c>
      <c r="AG220" t="b">
        <f t="shared" si="23"/>
        <v>1</v>
      </c>
      <c r="AH220">
        <v>17760384</v>
      </c>
      <c r="AI220">
        <v>17800000</v>
      </c>
      <c r="AJ220" t="b">
        <v>0</v>
      </c>
      <c r="AK220">
        <v>9528706.46</v>
      </c>
      <c r="AL220">
        <v>9728235.71</v>
      </c>
      <c r="AM220">
        <v>3372096</v>
      </c>
      <c r="AN220">
        <v>7182480</v>
      </c>
    </row>
    <row r="221" spans="1:40">
      <c r="A221">
        <v>45741</v>
      </c>
      <c r="B221" t="s">
        <v>35</v>
      </c>
      <c r="C221" t="s">
        <v>169</v>
      </c>
      <c r="D221" t="s">
        <v>555</v>
      </c>
      <c r="E221" t="s">
        <v>556</v>
      </c>
      <c r="F221" t="s">
        <v>557</v>
      </c>
      <c r="G221">
        <v>0</v>
      </c>
      <c r="H221">
        <v>0</v>
      </c>
      <c r="I221" t="b">
        <v>1</v>
      </c>
      <c r="J221">
        <v>0</v>
      </c>
      <c r="K221">
        <v>0</v>
      </c>
      <c r="L221" t="b">
        <v>1</v>
      </c>
      <c r="M221">
        <v>0</v>
      </c>
      <c r="N221">
        <v>0</v>
      </c>
      <c r="O221" t="b">
        <f t="shared" si="18"/>
        <v>1</v>
      </c>
      <c r="P221">
        <v>0</v>
      </c>
      <c r="Q221">
        <v>0</v>
      </c>
      <c r="R221" t="b">
        <v>1</v>
      </c>
      <c r="S221">
        <v>0</v>
      </c>
      <c r="T221">
        <v>0</v>
      </c>
      <c r="U221" t="b">
        <f t="shared" si="19"/>
        <v>1</v>
      </c>
      <c r="V221">
        <v>0</v>
      </c>
      <c r="W221">
        <v>0</v>
      </c>
      <c r="X221" t="b">
        <f t="shared" si="20"/>
        <v>1</v>
      </c>
      <c r="Y221">
        <v>133500</v>
      </c>
      <c r="Z221">
        <v>133500</v>
      </c>
      <c r="AA221" t="b">
        <f t="shared" si="21"/>
        <v>1</v>
      </c>
      <c r="AB221">
        <v>133500</v>
      </c>
      <c r="AC221">
        <v>133500</v>
      </c>
      <c r="AD221" t="b">
        <f t="shared" si="22"/>
        <v>1</v>
      </c>
      <c r="AE221">
        <v>0</v>
      </c>
      <c r="AF221">
        <v>0</v>
      </c>
      <c r="AG221" t="b">
        <f t="shared" si="23"/>
        <v>1</v>
      </c>
      <c r="AH221">
        <v>0</v>
      </c>
      <c r="AI221">
        <v>0</v>
      </c>
      <c r="AJ221" t="b">
        <v>1</v>
      </c>
      <c r="AK221">
        <v>0</v>
      </c>
      <c r="AL221">
        <v>0</v>
      </c>
      <c r="AM221">
        <v>0</v>
      </c>
      <c r="AN221">
        <v>0</v>
      </c>
    </row>
    <row r="222" spans="1:40">
      <c r="A222">
        <v>45741</v>
      </c>
      <c r="B222" t="s">
        <v>78</v>
      </c>
      <c r="C222" t="s">
        <v>169</v>
      </c>
      <c r="D222" t="s">
        <v>79</v>
      </c>
      <c r="E222" t="s">
        <v>558</v>
      </c>
      <c r="F222" t="s">
        <v>559</v>
      </c>
      <c r="G222">
        <v>0</v>
      </c>
      <c r="H222">
        <v>0</v>
      </c>
      <c r="I222" t="b">
        <v>1</v>
      </c>
      <c r="J222">
        <v>0</v>
      </c>
      <c r="K222">
        <v>0</v>
      </c>
      <c r="L222" t="b">
        <v>1</v>
      </c>
      <c r="M222">
        <v>0</v>
      </c>
      <c r="N222">
        <v>0</v>
      </c>
      <c r="O222" t="b">
        <f t="shared" si="18"/>
        <v>1</v>
      </c>
      <c r="P222">
        <v>0</v>
      </c>
      <c r="Q222">
        <v>0</v>
      </c>
      <c r="R222" t="b">
        <v>1</v>
      </c>
      <c r="S222">
        <v>0</v>
      </c>
      <c r="T222">
        <v>0</v>
      </c>
      <c r="U222" t="b">
        <f t="shared" si="19"/>
        <v>1</v>
      </c>
      <c r="V222">
        <v>0</v>
      </c>
      <c r="W222">
        <v>0</v>
      </c>
      <c r="X222" t="b">
        <f t="shared" si="20"/>
        <v>1</v>
      </c>
      <c r="Y222">
        <v>11500</v>
      </c>
      <c r="Z222">
        <v>11500</v>
      </c>
      <c r="AA222" t="b">
        <f t="shared" si="21"/>
        <v>1</v>
      </c>
      <c r="AB222">
        <v>11500</v>
      </c>
      <c r="AC222">
        <v>11500</v>
      </c>
      <c r="AD222" t="b">
        <f t="shared" si="22"/>
        <v>1</v>
      </c>
      <c r="AE222">
        <v>0</v>
      </c>
      <c r="AF222">
        <v>0</v>
      </c>
      <c r="AG222" t="b">
        <f t="shared" si="23"/>
        <v>1</v>
      </c>
      <c r="AH222">
        <v>0</v>
      </c>
      <c r="AI222">
        <v>0</v>
      </c>
      <c r="AJ222" t="b">
        <v>1</v>
      </c>
      <c r="AK222">
        <v>0</v>
      </c>
      <c r="AL222">
        <v>0</v>
      </c>
      <c r="AM222">
        <v>0</v>
      </c>
      <c r="AN222">
        <v>0</v>
      </c>
    </row>
    <row r="223" spans="1:40">
      <c r="A223">
        <v>45741</v>
      </c>
      <c r="B223" t="s">
        <v>45</v>
      </c>
      <c r="C223" t="s">
        <v>191</v>
      </c>
      <c r="D223" t="s">
        <v>560</v>
      </c>
      <c r="E223" t="s">
        <v>561</v>
      </c>
      <c r="F223" t="s">
        <v>562</v>
      </c>
      <c r="G223">
        <v>2917310</v>
      </c>
      <c r="H223">
        <v>2917310</v>
      </c>
      <c r="I223" t="b">
        <v>1</v>
      </c>
      <c r="J223">
        <v>2917310</v>
      </c>
      <c r="K223">
        <v>2917310</v>
      </c>
      <c r="L223" t="b">
        <v>1</v>
      </c>
      <c r="M223">
        <v>2917310</v>
      </c>
      <c r="N223">
        <v>2917310</v>
      </c>
      <c r="O223" t="b">
        <f t="shared" si="18"/>
        <v>1</v>
      </c>
      <c r="P223">
        <v>0</v>
      </c>
      <c r="Q223">
        <v>0</v>
      </c>
      <c r="R223" t="b">
        <v>1</v>
      </c>
      <c r="S223">
        <v>0</v>
      </c>
      <c r="T223">
        <v>0</v>
      </c>
      <c r="U223" t="b">
        <f t="shared" si="19"/>
        <v>1</v>
      </c>
      <c r="V223">
        <v>0</v>
      </c>
      <c r="W223">
        <v>0</v>
      </c>
      <c r="X223" t="b">
        <f t="shared" si="20"/>
        <v>1</v>
      </c>
      <c r="Y223">
        <v>191040</v>
      </c>
      <c r="Z223">
        <v>191040</v>
      </c>
      <c r="AA223" t="b">
        <f t="shared" si="21"/>
        <v>1</v>
      </c>
      <c r="AB223">
        <v>191040</v>
      </c>
      <c r="AC223">
        <v>191040</v>
      </c>
      <c r="AD223" t="b">
        <f t="shared" si="22"/>
        <v>1</v>
      </c>
      <c r="AE223">
        <v>0</v>
      </c>
      <c r="AF223">
        <v>0</v>
      </c>
      <c r="AG223" t="b">
        <f t="shared" si="23"/>
        <v>1</v>
      </c>
      <c r="AH223">
        <v>0</v>
      </c>
      <c r="AI223">
        <v>0</v>
      </c>
      <c r="AJ223" t="b">
        <v>1</v>
      </c>
      <c r="AK223">
        <v>2917310</v>
      </c>
      <c r="AL223">
        <v>2917310</v>
      </c>
      <c r="AM223">
        <v>0</v>
      </c>
      <c r="AN223">
        <v>0</v>
      </c>
    </row>
    <row r="224" spans="1:40">
      <c r="A224">
        <v>45741</v>
      </c>
      <c r="B224" t="s">
        <v>45</v>
      </c>
      <c r="C224" t="s">
        <v>191</v>
      </c>
      <c r="D224" t="s">
        <v>563</v>
      </c>
      <c r="E224" t="s">
        <v>564</v>
      </c>
      <c r="F224" t="s">
        <v>565</v>
      </c>
      <c r="G224">
        <v>484950</v>
      </c>
      <c r="H224">
        <v>484950</v>
      </c>
      <c r="I224" t="b">
        <v>1</v>
      </c>
      <c r="J224">
        <v>484950</v>
      </c>
      <c r="K224">
        <v>484950</v>
      </c>
      <c r="L224" t="b">
        <v>1</v>
      </c>
      <c r="M224">
        <v>480693</v>
      </c>
      <c r="N224">
        <v>480693</v>
      </c>
      <c r="O224" t="b">
        <f t="shared" si="18"/>
        <v>1</v>
      </c>
      <c r="P224">
        <v>0</v>
      </c>
      <c r="Q224">
        <v>0</v>
      </c>
      <c r="R224" t="b">
        <v>1</v>
      </c>
      <c r="S224">
        <v>4257</v>
      </c>
      <c r="T224">
        <v>4257</v>
      </c>
      <c r="U224" t="b">
        <f t="shared" si="19"/>
        <v>1</v>
      </c>
      <c r="V224">
        <v>0</v>
      </c>
      <c r="W224">
        <v>0</v>
      </c>
      <c r="X224" t="b">
        <f t="shared" si="20"/>
        <v>1</v>
      </c>
      <c r="Y224">
        <v>0</v>
      </c>
      <c r="Z224">
        <v>0</v>
      </c>
      <c r="AA224" t="b">
        <f t="shared" si="21"/>
        <v>1</v>
      </c>
      <c r="AB224">
        <v>0</v>
      </c>
      <c r="AC224">
        <v>0</v>
      </c>
      <c r="AD224" t="b">
        <f t="shared" si="22"/>
        <v>1</v>
      </c>
      <c r="AE224">
        <v>0</v>
      </c>
      <c r="AF224">
        <v>0</v>
      </c>
      <c r="AG224" t="b">
        <f t="shared" si="23"/>
        <v>1</v>
      </c>
      <c r="AH224">
        <v>0</v>
      </c>
      <c r="AI224">
        <v>0</v>
      </c>
      <c r="AJ224" t="b">
        <v>1</v>
      </c>
      <c r="AK224">
        <v>484950</v>
      </c>
      <c r="AL224">
        <v>484950</v>
      </c>
      <c r="AM224">
        <v>4257</v>
      </c>
      <c r="AN224">
        <v>4257</v>
      </c>
    </row>
    <row r="225" spans="1:40">
      <c r="A225">
        <v>45741</v>
      </c>
      <c r="B225" t="s">
        <v>30</v>
      </c>
      <c r="C225" t="s">
        <v>176</v>
      </c>
      <c r="D225" t="s">
        <v>151</v>
      </c>
      <c r="E225" t="s">
        <v>566</v>
      </c>
      <c r="F225" t="s">
        <v>567</v>
      </c>
      <c r="G225">
        <v>0</v>
      </c>
      <c r="H225">
        <v>0</v>
      </c>
      <c r="I225" t="b">
        <v>1</v>
      </c>
      <c r="J225">
        <v>0</v>
      </c>
      <c r="K225">
        <v>0</v>
      </c>
      <c r="L225" t="b">
        <v>1</v>
      </c>
      <c r="M225">
        <v>0</v>
      </c>
      <c r="N225">
        <v>0</v>
      </c>
      <c r="O225" t="b">
        <f t="shared" si="18"/>
        <v>1</v>
      </c>
      <c r="P225">
        <v>0</v>
      </c>
      <c r="Q225">
        <v>0</v>
      </c>
      <c r="R225" t="b">
        <v>1</v>
      </c>
      <c r="S225">
        <v>0</v>
      </c>
      <c r="T225">
        <v>0</v>
      </c>
      <c r="U225" t="b">
        <f t="shared" si="19"/>
        <v>1</v>
      </c>
      <c r="V225">
        <v>195431</v>
      </c>
      <c r="W225">
        <v>195431.2</v>
      </c>
      <c r="X225" t="b">
        <f t="shared" si="20"/>
        <v>0</v>
      </c>
      <c r="Y225">
        <v>128360</v>
      </c>
      <c r="Z225">
        <v>128360</v>
      </c>
      <c r="AA225" t="b">
        <f t="shared" si="21"/>
        <v>1</v>
      </c>
      <c r="AB225">
        <v>128360</v>
      </c>
      <c r="AC225">
        <v>128360</v>
      </c>
      <c r="AD225" t="b">
        <f t="shared" si="22"/>
        <v>1</v>
      </c>
      <c r="AE225">
        <v>0</v>
      </c>
      <c r="AF225">
        <v>0</v>
      </c>
      <c r="AG225" t="b">
        <f t="shared" si="23"/>
        <v>1</v>
      </c>
      <c r="AH225">
        <v>0</v>
      </c>
      <c r="AI225">
        <v>0</v>
      </c>
      <c r="AJ225" t="b">
        <v>1</v>
      </c>
      <c r="AK225">
        <v>195431</v>
      </c>
      <c r="AL225">
        <v>195431.2</v>
      </c>
      <c r="AM225">
        <v>0</v>
      </c>
      <c r="AN225">
        <v>0</v>
      </c>
    </row>
    <row r="226" spans="1:40">
      <c r="A226">
        <v>45741</v>
      </c>
      <c r="B226" t="s">
        <v>45</v>
      </c>
      <c r="C226" t="s">
        <v>191</v>
      </c>
      <c r="D226" t="s">
        <v>61</v>
      </c>
      <c r="E226" t="s">
        <v>568</v>
      </c>
      <c r="F226" t="s">
        <v>569</v>
      </c>
      <c r="G226">
        <v>0</v>
      </c>
      <c r="H226">
        <v>0</v>
      </c>
      <c r="I226" t="b">
        <v>1</v>
      </c>
      <c r="J226">
        <v>0</v>
      </c>
      <c r="K226">
        <v>0</v>
      </c>
      <c r="L226" t="b">
        <v>1</v>
      </c>
      <c r="M226">
        <v>6890903</v>
      </c>
      <c r="N226">
        <v>6890903</v>
      </c>
      <c r="O226" t="b">
        <f t="shared" si="18"/>
        <v>1</v>
      </c>
      <c r="P226">
        <v>0</v>
      </c>
      <c r="Q226">
        <v>0</v>
      </c>
      <c r="R226" t="b">
        <v>1</v>
      </c>
      <c r="S226">
        <v>6890903</v>
      </c>
      <c r="T226">
        <v>6890903</v>
      </c>
      <c r="U226" t="b">
        <f t="shared" si="19"/>
        <v>1</v>
      </c>
      <c r="V226">
        <v>7358823.6</v>
      </c>
      <c r="W226">
        <v>7489269.6</v>
      </c>
      <c r="X226" t="b">
        <f t="shared" si="20"/>
        <v>0</v>
      </c>
      <c r="Y226">
        <v>3651490.6</v>
      </c>
      <c r="Z226">
        <v>3695140.6</v>
      </c>
      <c r="AA226" t="b">
        <f t="shared" si="21"/>
        <v>0</v>
      </c>
      <c r="AB226">
        <v>2077155.4</v>
      </c>
      <c r="AC226">
        <v>2077155.4</v>
      </c>
      <c r="AD226" t="b">
        <f t="shared" si="22"/>
        <v>1</v>
      </c>
      <c r="AE226">
        <v>0</v>
      </c>
      <c r="AF226">
        <v>0</v>
      </c>
      <c r="AG226" t="b">
        <f t="shared" si="23"/>
        <v>1</v>
      </c>
      <c r="AH226">
        <v>5728646</v>
      </c>
      <c r="AI226">
        <v>5772296</v>
      </c>
      <c r="AJ226" t="b">
        <v>0</v>
      </c>
      <c r="AK226">
        <v>7358823.6</v>
      </c>
      <c r="AL226">
        <v>7489269.6</v>
      </c>
      <c r="AM226">
        <v>1162257</v>
      </c>
      <c r="AN226">
        <v>1118607</v>
      </c>
    </row>
    <row r="227" spans="1:40">
      <c r="A227">
        <v>45741</v>
      </c>
      <c r="B227" t="s">
        <v>45</v>
      </c>
      <c r="C227" t="s">
        <v>191</v>
      </c>
      <c r="D227" t="s">
        <v>46</v>
      </c>
      <c r="E227" t="s">
        <v>570</v>
      </c>
      <c r="F227" t="s">
        <v>571</v>
      </c>
      <c r="G227">
        <v>0</v>
      </c>
      <c r="H227">
        <v>0</v>
      </c>
      <c r="I227" t="b">
        <v>1</v>
      </c>
      <c r="J227">
        <v>0</v>
      </c>
      <c r="K227">
        <v>0</v>
      </c>
      <c r="L227" t="b">
        <v>1</v>
      </c>
      <c r="M227">
        <v>0</v>
      </c>
      <c r="N227">
        <v>0</v>
      </c>
      <c r="O227" t="b">
        <f t="shared" si="18"/>
        <v>1</v>
      </c>
      <c r="P227">
        <v>0</v>
      </c>
      <c r="Q227">
        <v>0</v>
      </c>
      <c r="R227" t="b">
        <v>1</v>
      </c>
      <c r="S227">
        <v>0</v>
      </c>
      <c r="T227">
        <v>0</v>
      </c>
      <c r="U227" t="b">
        <f t="shared" si="19"/>
        <v>1</v>
      </c>
      <c r="V227">
        <v>0</v>
      </c>
      <c r="W227">
        <v>0</v>
      </c>
      <c r="X227" t="b">
        <f t="shared" si="20"/>
        <v>1</v>
      </c>
      <c r="Y227">
        <v>30000</v>
      </c>
      <c r="Z227">
        <v>30000</v>
      </c>
      <c r="AA227" t="b">
        <f t="shared" si="21"/>
        <v>1</v>
      </c>
      <c r="AB227">
        <v>30000</v>
      </c>
      <c r="AC227">
        <v>30000</v>
      </c>
      <c r="AD227" t="b">
        <f t="shared" si="22"/>
        <v>1</v>
      </c>
      <c r="AE227">
        <v>0</v>
      </c>
      <c r="AF227">
        <v>0</v>
      </c>
      <c r="AG227" t="b">
        <f t="shared" si="23"/>
        <v>1</v>
      </c>
      <c r="AH227">
        <v>0</v>
      </c>
      <c r="AI227">
        <v>0</v>
      </c>
      <c r="AJ227" t="b">
        <v>1</v>
      </c>
      <c r="AK227">
        <v>0</v>
      </c>
      <c r="AL227">
        <v>0</v>
      </c>
      <c r="AM227">
        <v>0</v>
      </c>
      <c r="AN227">
        <v>0</v>
      </c>
    </row>
    <row r="228" spans="1:40">
      <c r="A228">
        <v>45741</v>
      </c>
      <c r="B228" t="s">
        <v>30</v>
      </c>
      <c r="C228" t="s">
        <v>176</v>
      </c>
      <c r="D228" t="s">
        <v>151</v>
      </c>
      <c r="E228" t="s">
        <v>572</v>
      </c>
      <c r="F228" t="s">
        <v>573</v>
      </c>
      <c r="G228">
        <v>0</v>
      </c>
      <c r="H228">
        <v>0</v>
      </c>
      <c r="I228" t="b">
        <v>1</v>
      </c>
      <c r="J228">
        <v>0</v>
      </c>
      <c r="K228">
        <v>0</v>
      </c>
      <c r="L228" t="b">
        <v>1</v>
      </c>
      <c r="M228">
        <v>0</v>
      </c>
      <c r="N228">
        <v>0</v>
      </c>
      <c r="O228" t="b">
        <f t="shared" si="18"/>
        <v>1</v>
      </c>
      <c r="P228">
        <v>0</v>
      </c>
      <c r="Q228">
        <v>0</v>
      </c>
      <c r="R228" t="b">
        <v>1</v>
      </c>
      <c r="S228">
        <v>0</v>
      </c>
      <c r="T228">
        <v>0</v>
      </c>
      <c r="U228" t="b">
        <f t="shared" si="19"/>
        <v>1</v>
      </c>
      <c r="V228">
        <v>0</v>
      </c>
      <c r="W228">
        <v>0</v>
      </c>
      <c r="X228" t="b">
        <f t="shared" si="20"/>
        <v>1</v>
      </c>
      <c r="Y228">
        <v>142488</v>
      </c>
      <c r="Z228">
        <v>142488</v>
      </c>
      <c r="AA228" t="b">
        <f t="shared" si="21"/>
        <v>1</v>
      </c>
      <c r="AB228">
        <v>142488</v>
      </c>
      <c r="AC228">
        <v>142488</v>
      </c>
      <c r="AD228" t="b">
        <f t="shared" si="22"/>
        <v>1</v>
      </c>
      <c r="AE228">
        <v>0</v>
      </c>
      <c r="AF228">
        <v>0</v>
      </c>
      <c r="AG228" t="b">
        <f t="shared" si="23"/>
        <v>1</v>
      </c>
      <c r="AH228">
        <v>0</v>
      </c>
      <c r="AI228">
        <v>0</v>
      </c>
      <c r="AJ228" t="b">
        <v>1</v>
      </c>
      <c r="AK228">
        <v>0</v>
      </c>
      <c r="AL228">
        <v>0</v>
      </c>
      <c r="AM228">
        <v>0</v>
      </c>
      <c r="AN228">
        <v>0</v>
      </c>
    </row>
    <row r="229" spans="1:40">
      <c r="A229">
        <v>45741</v>
      </c>
      <c r="B229" t="s">
        <v>45</v>
      </c>
      <c r="C229" t="s">
        <v>191</v>
      </c>
      <c r="D229" t="s">
        <v>143</v>
      </c>
      <c r="E229" t="s">
        <v>574</v>
      </c>
      <c r="F229" t="s">
        <v>575</v>
      </c>
      <c r="G229">
        <v>0</v>
      </c>
      <c r="H229">
        <v>0</v>
      </c>
      <c r="I229" t="b">
        <v>1</v>
      </c>
      <c r="J229">
        <v>0</v>
      </c>
      <c r="K229">
        <v>0</v>
      </c>
      <c r="L229" t="b">
        <v>1</v>
      </c>
      <c r="M229">
        <v>0</v>
      </c>
      <c r="N229">
        <v>0</v>
      </c>
      <c r="O229" t="b">
        <f t="shared" si="18"/>
        <v>1</v>
      </c>
      <c r="P229">
        <v>54004</v>
      </c>
      <c r="Q229">
        <v>54004</v>
      </c>
      <c r="R229" t="b">
        <v>0</v>
      </c>
      <c r="S229">
        <v>54004</v>
      </c>
      <c r="T229">
        <v>54004</v>
      </c>
      <c r="U229" t="b">
        <f t="shared" si="19"/>
        <v>1</v>
      </c>
      <c r="V229">
        <v>0</v>
      </c>
      <c r="W229">
        <v>0</v>
      </c>
      <c r="X229" t="b">
        <f t="shared" si="20"/>
        <v>1</v>
      </c>
      <c r="Y229">
        <v>0</v>
      </c>
      <c r="Z229">
        <v>0</v>
      </c>
      <c r="AA229" t="b">
        <f t="shared" si="21"/>
        <v>1</v>
      </c>
      <c r="AB229">
        <v>0</v>
      </c>
      <c r="AC229">
        <v>0</v>
      </c>
      <c r="AD229" t="b">
        <f t="shared" si="22"/>
        <v>1</v>
      </c>
      <c r="AE229">
        <v>0</v>
      </c>
      <c r="AF229">
        <v>0</v>
      </c>
      <c r="AG229" t="b">
        <f t="shared" si="23"/>
        <v>1</v>
      </c>
      <c r="AH229">
        <v>0</v>
      </c>
      <c r="AI229">
        <v>0</v>
      </c>
      <c r="AJ229" t="b">
        <v>1</v>
      </c>
      <c r="AK229">
        <v>0</v>
      </c>
      <c r="AL229">
        <v>0</v>
      </c>
      <c r="AM229">
        <v>54004</v>
      </c>
      <c r="AN229">
        <v>54004</v>
      </c>
    </row>
    <row r="230" spans="1:40">
      <c r="A230">
        <v>45741</v>
      </c>
      <c r="B230" t="s">
        <v>35</v>
      </c>
      <c r="C230" t="s">
        <v>169</v>
      </c>
      <c r="D230" t="s">
        <v>55</v>
      </c>
      <c r="E230" t="s">
        <v>576</v>
      </c>
      <c r="F230" t="s">
        <v>577</v>
      </c>
      <c r="G230">
        <v>0</v>
      </c>
      <c r="H230">
        <v>0</v>
      </c>
      <c r="I230" t="b">
        <v>1</v>
      </c>
      <c r="J230">
        <v>0</v>
      </c>
      <c r="K230">
        <v>0</v>
      </c>
      <c r="L230" t="b">
        <v>1</v>
      </c>
      <c r="M230">
        <v>0</v>
      </c>
      <c r="N230">
        <v>0</v>
      </c>
      <c r="O230" t="b">
        <f t="shared" si="18"/>
        <v>1</v>
      </c>
      <c r="P230">
        <v>0</v>
      </c>
      <c r="Q230">
        <v>0</v>
      </c>
      <c r="R230" t="b">
        <v>1</v>
      </c>
      <c r="S230">
        <v>0</v>
      </c>
      <c r="T230">
        <v>0</v>
      </c>
      <c r="U230" t="b">
        <f t="shared" si="19"/>
        <v>1</v>
      </c>
      <c r="V230">
        <v>0</v>
      </c>
      <c r="W230">
        <v>0</v>
      </c>
      <c r="X230" t="b">
        <f t="shared" si="20"/>
        <v>1</v>
      </c>
      <c r="Y230">
        <v>0</v>
      </c>
      <c r="Z230">
        <v>37050</v>
      </c>
      <c r="AA230" t="b">
        <f t="shared" si="21"/>
        <v>0</v>
      </c>
      <c r="AB230">
        <v>37050</v>
      </c>
      <c r="AC230">
        <v>37050</v>
      </c>
      <c r="AD230" t="b">
        <f t="shared" si="22"/>
        <v>1</v>
      </c>
      <c r="AE230">
        <v>0</v>
      </c>
      <c r="AF230">
        <v>0</v>
      </c>
      <c r="AG230" t="b">
        <f t="shared" si="23"/>
        <v>1</v>
      </c>
      <c r="AH230">
        <v>37050</v>
      </c>
      <c r="AI230">
        <v>0</v>
      </c>
      <c r="AJ230" t="b">
        <v>0</v>
      </c>
      <c r="AK230">
        <v>0</v>
      </c>
      <c r="AL230">
        <v>0</v>
      </c>
      <c r="AM230">
        <v>37050</v>
      </c>
      <c r="AN230">
        <v>0</v>
      </c>
    </row>
    <row r="231" spans="1:40">
      <c r="A231">
        <v>45741</v>
      </c>
      <c r="B231" t="s">
        <v>35</v>
      </c>
      <c r="C231" t="s">
        <v>169</v>
      </c>
      <c r="D231" t="s">
        <v>413</v>
      </c>
      <c r="E231" t="s">
        <v>578</v>
      </c>
      <c r="F231" t="s">
        <v>579</v>
      </c>
      <c r="G231">
        <v>0</v>
      </c>
      <c r="H231">
        <v>660000</v>
      </c>
      <c r="I231" t="b">
        <v>0</v>
      </c>
      <c r="J231">
        <v>0</v>
      </c>
      <c r="K231">
        <v>660000</v>
      </c>
      <c r="L231" t="b">
        <v>0</v>
      </c>
      <c r="M231">
        <v>660000</v>
      </c>
      <c r="N231">
        <v>660000</v>
      </c>
      <c r="O231" t="b">
        <f t="shared" si="18"/>
        <v>1</v>
      </c>
      <c r="P231">
        <v>0</v>
      </c>
      <c r="Q231">
        <v>0</v>
      </c>
      <c r="R231" t="b">
        <v>1</v>
      </c>
      <c r="S231">
        <v>660000</v>
      </c>
      <c r="T231">
        <v>0</v>
      </c>
      <c r="U231" t="b">
        <f t="shared" si="19"/>
        <v>0</v>
      </c>
      <c r="V231">
        <v>0</v>
      </c>
      <c r="W231">
        <v>0</v>
      </c>
      <c r="X231" t="b">
        <f t="shared" si="20"/>
        <v>1</v>
      </c>
      <c r="Y231">
        <v>0</v>
      </c>
      <c r="Z231">
        <v>0</v>
      </c>
      <c r="AA231" t="b">
        <f t="shared" si="21"/>
        <v>1</v>
      </c>
      <c r="AB231">
        <v>0</v>
      </c>
      <c r="AC231">
        <v>0</v>
      </c>
      <c r="AD231" t="b">
        <f t="shared" si="22"/>
        <v>1</v>
      </c>
      <c r="AE231">
        <v>0</v>
      </c>
      <c r="AF231">
        <v>0</v>
      </c>
      <c r="AG231" t="b">
        <f t="shared" si="23"/>
        <v>1</v>
      </c>
      <c r="AH231">
        <v>0</v>
      </c>
      <c r="AI231">
        <v>0</v>
      </c>
      <c r="AJ231" t="b">
        <v>1</v>
      </c>
      <c r="AK231">
        <v>0</v>
      </c>
      <c r="AL231">
        <v>660000</v>
      </c>
      <c r="AM231">
        <v>660000</v>
      </c>
      <c r="AN231">
        <v>0</v>
      </c>
    </row>
    <row r="232" spans="1:40">
      <c r="A232">
        <v>45741</v>
      </c>
      <c r="B232" t="s">
        <v>45</v>
      </c>
      <c r="C232" t="s">
        <v>191</v>
      </c>
      <c r="D232" t="s">
        <v>580</v>
      </c>
      <c r="E232" t="s">
        <v>581</v>
      </c>
      <c r="F232" t="s">
        <v>582</v>
      </c>
      <c r="G232">
        <v>0</v>
      </c>
      <c r="H232">
        <v>0</v>
      </c>
      <c r="I232" t="b">
        <v>1</v>
      </c>
      <c r="J232">
        <v>0</v>
      </c>
      <c r="K232">
        <v>0</v>
      </c>
      <c r="L232" t="b">
        <v>1</v>
      </c>
      <c r="M232">
        <v>0</v>
      </c>
      <c r="N232">
        <v>0</v>
      </c>
      <c r="O232" t="b">
        <f t="shared" si="18"/>
        <v>1</v>
      </c>
      <c r="P232">
        <v>0</v>
      </c>
      <c r="Q232">
        <v>0</v>
      </c>
      <c r="R232" t="b">
        <v>1</v>
      </c>
      <c r="S232">
        <v>0</v>
      </c>
      <c r="T232">
        <v>0</v>
      </c>
      <c r="U232" t="b">
        <f t="shared" si="19"/>
        <v>1</v>
      </c>
      <c r="V232">
        <v>0</v>
      </c>
      <c r="W232">
        <v>0</v>
      </c>
      <c r="X232" t="b">
        <f t="shared" si="20"/>
        <v>1</v>
      </c>
      <c r="Y232">
        <v>692150</v>
      </c>
      <c r="Z232">
        <v>692150</v>
      </c>
      <c r="AA232" t="b">
        <f t="shared" si="21"/>
        <v>1</v>
      </c>
      <c r="AB232">
        <v>181650</v>
      </c>
      <c r="AC232">
        <v>692150</v>
      </c>
      <c r="AD232" t="b">
        <f t="shared" si="22"/>
        <v>0</v>
      </c>
      <c r="AE232">
        <v>0</v>
      </c>
      <c r="AF232">
        <v>0</v>
      </c>
      <c r="AG232" t="b">
        <f t="shared" si="23"/>
        <v>1</v>
      </c>
      <c r="AH232">
        <v>510500</v>
      </c>
      <c r="AI232">
        <v>0</v>
      </c>
      <c r="AJ232" t="b">
        <v>0</v>
      </c>
      <c r="AK232">
        <v>0</v>
      </c>
      <c r="AL232">
        <v>0</v>
      </c>
      <c r="AM232">
        <v>510500</v>
      </c>
      <c r="AN232">
        <v>0</v>
      </c>
    </row>
    <row r="233" spans="1:40">
      <c r="A233">
        <v>45741</v>
      </c>
      <c r="B233" t="s">
        <v>45</v>
      </c>
      <c r="C233" t="s">
        <v>191</v>
      </c>
      <c r="D233" t="s">
        <v>156</v>
      </c>
      <c r="E233" t="s">
        <v>583</v>
      </c>
      <c r="F233" t="s">
        <v>584</v>
      </c>
      <c r="G233">
        <v>9178650</v>
      </c>
      <c r="H233">
        <v>9178650</v>
      </c>
      <c r="I233" t="b">
        <v>1</v>
      </c>
      <c r="J233">
        <v>9178650</v>
      </c>
      <c r="K233">
        <v>9178650</v>
      </c>
      <c r="L233" t="b">
        <v>1</v>
      </c>
      <c r="M233">
        <v>11025023</v>
      </c>
      <c r="N233">
        <v>11025023</v>
      </c>
      <c r="O233" t="b">
        <f t="shared" si="18"/>
        <v>1</v>
      </c>
      <c r="P233">
        <v>0</v>
      </c>
      <c r="Q233">
        <v>0</v>
      </c>
      <c r="R233" t="b">
        <v>1</v>
      </c>
      <c r="S233">
        <v>1846373</v>
      </c>
      <c r="T233">
        <v>1846373</v>
      </c>
      <c r="U233" t="b">
        <f t="shared" si="19"/>
        <v>1</v>
      </c>
      <c r="V233">
        <v>0</v>
      </c>
      <c r="W233">
        <v>0</v>
      </c>
      <c r="X233" t="b">
        <f t="shared" si="20"/>
        <v>1</v>
      </c>
      <c r="Y233">
        <v>0</v>
      </c>
      <c r="Z233">
        <v>0</v>
      </c>
      <c r="AA233" t="b">
        <f t="shared" si="21"/>
        <v>1</v>
      </c>
      <c r="AB233">
        <v>0</v>
      </c>
      <c r="AC233">
        <v>0</v>
      </c>
      <c r="AD233" t="b">
        <f t="shared" si="22"/>
        <v>1</v>
      </c>
      <c r="AE233">
        <v>0</v>
      </c>
      <c r="AF233">
        <v>0</v>
      </c>
      <c r="AG233" t="b">
        <f t="shared" si="23"/>
        <v>1</v>
      </c>
      <c r="AH233">
        <v>0</v>
      </c>
      <c r="AI233">
        <v>0</v>
      </c>
      <c r="AJ233" t="b">
        <v>1</v>
      </c>
      <c r="AK233">
        <v>9178650</v>
      </c>
      <c r="AL233">
        <v>9178650</v>
      </c>
      <c r="AM233">
        <v>1846373</v>
      </c>
      <c r="AN233">
        <v>1846373</v>
      </c>
    </row>
    <row r="234" spans="1:40">
      <c r="A234">
        <v>45741</v>
      </c>
      <c r="B234" t="s">
        <v>30</v>
      </c>
      <c r="C234" t="s">
        <v>176</v>
      </c>
      <c r="D234" t="s">
        <v>338</v>
      </c>
      <c r="E234" t="s">
        <v>585</v>
      </c>
      <c r="F234" t="s">
        <v>586</v>
      </c>
      <c r="G234">
        <v>0</v>
      </c>
      <c r="H234">
        <v>0</v>
      </c>
      <c r="I234" t="b">
        <v>1</v>
      </c>
      <c r="J234">
        <v>0</v>
      </c>
      <c r="K234">
        <v>0</v>
      </c>
      <c r="L234" t="b">
        <v>1</v>
      </c>
      <c r="M234">
        <v>0</v>
      </c>
      <c r="N234">
        <v>0</v>
      </c>
      <c r="O234" t="b">
        <f t="shared" si="18"/>
        <v>1</v>
      </c>
      <c r="P234">
        <v>0</v>
      </c>
      <c r="Q234">
        <v>0</v>
      </c>
      <c r="R234" t="b">
        <v>1</v>
      </c>
      <c r="S234">
        <v>0</v>
      </c>
      <c r="T234">
        <v>0</v>
      </c>
      <c r="U234" t="b">
        <f t="shared" si="19"/>
        <v>1</v>
      </c>
      <c r="V234">
        <v>0</v>
      </c>
      <c r="W234">
        <v>0</v>
      </c>
      <c r="X234" t="b">
        <f t="shared" si="20"/>
        <v>1</v>
      </c>
      <c r="Y234">
        <v>1545455</v>
      </c>
      <c r="Z234">
        <v>1545455</v>
      </c>
      <c r="AA234" t="b">
        <f t="shared" si="21"/>
        <v>1</v>
      </c>
      <c r="AB234">
        <v>1545455</v>
      </c>
      <c r="AC234">
        <v>1545455</v>
      </c>
      <c r="AD234" t="b">
        <f t="shared" si="22"/>
        <v>1</v>
      </c>
      <c r="AE234">
        <v>0</v>
      </c>
      <c r="AF234">
        <v>0</v>
      </c>
      <c r="AG234" t="b">
        <f t="shared" si="23"/>
        <v>1</v>
      </c>
      <c r="AH234">
        <v>0</v>
      </c>
      <c r="AI234">
        <v>0</v>
      </c>
      <c r="AJ234" t="b">
        <v>1</v>
      </c>
      <c r="AK234">
        <v>0</v>
      </c>
      <c r="AL234">
        <v>0</v>
      </c>
      <c r="AM234">
        <v>0</v>
      </c>
      <c r="AN234">
        <v>0</v>
      </c>
    </row>
    <row r="235" spans="1:40">
      <c r="A235">
        <v>45741</v>
      </c>
      <c r="B235" t="s">
        <v>45</v>
      </c>
      <c r="C235" t="s">
        <v>191</v>
      </c>
      <c r="D235" t="s">
        <v>587</v>
      </c>
      <c r="E235" t="s">
        <v>588</v>
      </c>
      <c r="F235" t="s">
        <v>589</v>
      </c>
      <c r="G235">
        <v>0</v>
      </c>
      <c r="H235">
        <v>0</v>
      </c>
      <c r="I235" t="b">
        <v>1</v>
      </c>
      <c r="J235">
        <v>0</v>
      </c>
      <c r="K235">
        <v>0</v>
      </c>
      <c r="L235" t="b">
        <v>1</v>
      </c>
      <c r="M235">
        <v>0</v>
      </c>
      <c r="N235">
        <v>0</v>
      </c>
      <c r="O235" t="b">
        <f t="shared" si="18"/>
        <v>1</v>
      </c>
      <c r="P235">
        <v>0</v>
      </c>
      <c r="Q235">
        <v>0</v>
      </c>
      <c r="R235" t="b">
        <v>1</v>
      </c>
      <c r="S235">
        <v>0</v>
      </c>
      <c r="T235">
        <v>0</v>
      </c>
      <c r="U235" t="b">
        <f t="shared" si="19"/>
        <v>1</v>
      </c>
      <c r="V235">
        <v>198000</v>
      </c>
      <c r="W235">
        <v>198000</v>
      </c>
      <c r="X235" t="b">
        <f t="shared" si="20"/>
        <v>1</v>
      </c>
      <c r="Y235">
        <v>45000</v>
      </c>
      <c r="Z235">
        <v>45000</v>
      </c>
      <c r="AA235" t="b">
        <f t="shared" si="21"/>
        <v>1</v>
      </c>
      <c r="AB235">
        <v>45000</v>
      </c>
      <c r="AC235">
        <v>45000</v>
      </c>
      <c r="AD235" t="b">
        <f t="shared" si="22"/>
        <v>1</v>
      </c>
      <c r="AE235">
        <v>0</v>
      </c>
      <c r="AF235">
        <v>0</v>
      </c>
      <c r="AG235" t="b">
        <f t="shared" si="23"/>
        <v>1</v>
      </c>
      <c r="AH235">
        <v>0</v>
      </c>
      <c r="AI235">
        <v>0</v>
      </c>
      <c r="AJ235" t="b">
        <v>1</v>
      </c>
      <c r="AK235">
        <v>198000</v>
      </c>
      <c r="AL235">
        <v>198000</v>
      </c>
      <c r="AM235">
        <v>0</v>
      </c>
      <c r="AN235">
        <v>0</v>
      </c>
    </row>
    <row r="236" spans="1:40">
      <c r="A236">
        <v>45741</v>
      </c>
      <c r="B236" t="s">
        <v>35</v>
      </c>
      <c r="C236" t="s">
        <v>169</v>
      </c>
      <c r="D236" t="s">
        <v>222</v>
      </c>
      <c r="E236" t="s">
        <v>590</v>
      </c>
      <c r="F236" t="s">
        <v>591</v>
      </c>
      <c r="G236">
        <v>0</v>
      </c>
      <c r="H236">
        <v>0</v>
      </c>
      <c r="I236" t="b">
        <v>1</v>
      </c>
      <c r="J236">
        <v>0</v>
      </c>
      <c r="K236">
        <v>0</v>
      </c>
      <c r="L236" t="b">
        <v>1</v>
      </c>
      <c r="M236">
        <v>0</v>
      </c>
      <c r="N236">
        <v>0</v>
      </c>
      <c r="O236" t="b">
        <f t="shared" si="18"/>
        <v>1</v>
      </c>
      <c r="P236">
        <v>0</v>
      </c>
      <c r="Q236">
        <v>0</v>
      </c>
      <c r="R236" t="b">
        <v>1</v>
      </c>
      <c r="S236">
        <v>0</v>
      </c>
      <c r="T236">
        <v>0</v>
      </c>
      <c r="U236" t="b">
        <f t="shared" si="19"/>
        <v>1</v>
      </c>
      <c r="V236">
        <v>0</v>
      </c>
      <c r="W236">
        <v>0</v>
      </c>
      <c r="X236" t="b">
        <f t="shared" si="20"/>
        <v>1</v>
      </c>
      <c r="Y236">
        <v>70000</v>
      </c>
      <c r="Z236">
        <v>70000</v>
      </c>
      <c r="AA236" t="b">
        <f t="shared" si="21"/>
        <v>1</v>
      </c>
      <c r="AB236">
        <v>70000</v>
      </c>
      <c r="AC236">
        <v>70000</v>
      </c>
      <c r="AD236" t="b">
        <f t="shared" si="22"/>
        <v>1</v>
      </c>
      <c r="AE236">
        <v>0</v>
      </c>
      <c r="AF236">
        <v>0</v>
      </c>
      <c r="AG236" t="b">
        <f t="shared" si="23"/>
        <v>1</v>
      </c>
      <c r="AH236">
        <v>0</v>
      </c>
      <c r="AI236">
        <v>0</v>
      </c>
      <c r="AJ236" t="b">
        <v>1</v>
      </c>
      <c r="AK236">
        <v>0</v>
      </c>
      <c r="AL236">
        <v>0</v>
      </c>
      <c r="AM236">
        <v>0</v>
      </c>
      <c r="AN236">
        <v>0</v>
      </c>
    </row>
    <row r="237" spans="1:40">
      <c r="A237">
        <v>45741</v>
      </c>
      <c r="B237" t="s">
        <v>35</v>
      </c>
      <c r="C237" t="s">
        <v>169</v>
      </c>
      <c r="D237" t="s">
        <v>400</v>
      </c>
      <c r="E237" t="s">
        <v>592</v>
      </c>
      <c r="F237" t="s">
        <v>593</v>
      </c>
      <c r="G237">
        <v>0</v>
      </c>
      <c r="H237">
        <v>0</v>
      </c>
      <c r="I237" t="b">
        <v>1</v>
      </c>
      <c r="J237">
        <v>0</v>
      </c>
      <c r="K237">
        <v>0</v>
      </c>
      <c r="L237" t="b">
        <v>1</v>
      </c>
      <c r="M237">
        <v>0</v>
      </c>
      <c r="N237">
        <v>0</v>
      </c>
      <c r="O237" t="b">
        <f t="shared" si="18"/>
        <v>1</v>
      </c>
      <c r="P237">
        <v>0</v>
      </c>
      <c r="Q237">
        <v>0</v>
      </c>
      <c r="R237" t="b">
        <v>1</v>
      </c>
      <c r="S237">
        <v>0</v>
      </c>
      <c r="T237">
        <v>0</v>
      </c>
      <c r="U237" t="b">
        <f t="shared" si="19"/>
        <v>1</v>
      </c>
      <c r="V237">
        <v>0</v>
      </c>
      <c r="W237">
        <v>0</v>
      </c>
      <c r="X237" t="b">
        <f t="shared" si="20"/>
        <v>1</v>
      </c>
      <c r="Y237">
        <v>0</v>
      </c>
      <c r="Z237">
        <v>0</v>
      </c>
      <c r="AA237" t="b">
        <f t="shared" si="21"/>
        <v>1</v>
      </c>
      <c r="AB237">
        <v>4350</v>
      </c>
      <c r="AC237">
        <v>4350</v>
      </c>
      <c r="AD237" t="b">
        <f t="shared" si="22"/>
        <v>1</v>
      </c>
      <c r="AE237">
        <v>0</v>
      </c>
      <c r="AF237">
        <v>0</v>
      </c>
      <c r="AG237" t="b">
        <f t="shared" si="23"/>
        <v>1</v>
      </c>
      <c r="AH237">
        <v>4350</v>
      </c>
      <c r="AI237">
        <v>4350</v>
      </c>
      <c r="AJ237" t="b">
        <v>0</v>
      </c>
      <c r="AK237">
        <v>0</v>
      </c>
      <c r="AL237">
        <v>0</v>
      </c>
      <c r="AM237">
        <v>4350</v>
      </c>
      <c r="AN237">
        <v>4350</v>
      </c>
    </row>
    <row r="238" spans="1:40">
      <c r="A238">
        <v>45741</v>
      </c>
      <c r="B238" t="s">
        <v>30</v>
      </c>
      <c r="C238" t="s">
        <v>176</v>
      </c>
      <c r="D238" t="s">
        <v>373</v>
      </c>
      <c r="E238" t="s">
        <v>594</v>
      </c>
      <c r="F238" t="s">
        <v>595</v>
      </c>
      <c r="G238">
        <v>0</v>
      </c>
      <c r="H238">
        <v>0</v>
      </c>
      <c r="I238" t="b">
        <v>1</v>
      </c>
      <c r="J238">
        <v>0</v>
      </c>
      <c r="K238">
        <v>0</v>
      </c>
      <c r="L238" t="b">
        <v>1</v>
      </c>
      <c r="M238">
        <v>0</v>
      </c>
      <c r="N238">
        <v>0</v>
      </c>
      <c r="O238" t="b">
        <f t="shared" si="18"/>
        <v>1</v>
      </c>
      <c r="P238">
        <v>0</v>
      </c>
      <c r="Q238">
        <v>0</v>
      </c>
      <c r="R238" t="b">
        <v>1</v>
      </c>
      <c r="S238">
        <v>0</v>
      </c>
      <c r="T238">
        <v>0</v>
      </c>
      <c r="U238" t="b">
        <f t="shared" si="19"/>
        <v>1</v>
      </c>
      <c r="V238">
        <v>0</v>
      </c>
      <c r="W238">
        <v>0</v>
      </c>
      <c r="X238" t="b">
        <f t="shared" si="20"/>
        <v>1</v>
      </c>
      <c r="Y238">
        <v>0</v>
      </c>
      <c r="Z238">
        <v>0</v>
      </c>
      <c r="AA238" t="b">
        <f t="shared" si="21"/>
        <v>1</v>
      </c>
      <c r="AB238">
        <v>15793.06</v>
      </c>
      <c r="AC238">
        <v>15793.06</v>
      </c>
      <c r="AD238" t="b">
        <f t="shared" si="22"/>
        <v>1</v>
      </c>
      <c r="AE238">
        <v>0</v>
      </c>
      <c r="AF238">
        <v>0</v>
      </c>
      <c r="AG238" t="b">
        <f t="shared" si="23"/>
        <v>1</v>
      </c>
      <c r="AH238">
        <v>15793.06</v>
      </c>
      <c r="AI238">
        <v>15793.06</v>
      </c>
      <c r="AJ238" t="b">
        <v>0</v>
      </c>
      <c r="AK238">
        <v>0</v>
      </c>
      <c r="AL238">
        <v>0</v>
      </c>
      <c r="AM238">
        <v>15793.06</v>
      </c>
      <c r="AN238">
        <v>15793.06</v>
      </c>
    </row>
  </sheetData>
  <autoFilter xmlns:etc="http://www.wps.cn/officeDocument/2017/etCustomData" ref="A1:AO23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2025-07-22T07:43:44Z</dcterms:created>
  <dcterms:modified xsi:type="dcterms:W3CDTF">2025-07-22T09:03:48Z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ED9766A1F6AE43FB906C47FAD3962EBE_11</vt:lpwstr>
  </property>
  <property fmtid="{D5CDD505-2E9C-101B-9397-08002B2CF9AE}" pid="3" name="KSOProductBuildVer">
    <vt:lpwstr>1033-12.2.0.21931</vt:lpwstr>
  </property>
</Properties>
</file>