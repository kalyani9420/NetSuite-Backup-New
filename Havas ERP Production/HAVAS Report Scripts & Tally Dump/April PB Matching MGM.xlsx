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50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<sst xmlns="http://schemas.openxmlformats.org/spreadsheetml/2006/main" count="265" uniqueCount="264">
  <si>
    <t>Project Code</t>
  </si>
  <si>
    <t>Tally Purchase Bill</t>
  </si>
  <si>
    <t>NS Purchase Bill</t>
  </si>
  <si>
    <t>NS Expense Report</t>
  </si>
  <si>
    <t>NS Purchase Bill with Project Code (Body Level)</t>
  </si>
  <si>
    <t>NS Expense Report + Purchase Bill + Purchase Bill with Project Code</t>
  </si>
  <si>
    <t>Difference</t>
  </si>
  <si>
    <t>PB Flag</t>
  </si>
  <si>
    <t>Mismatch Reason</t>
  </si>
  <si>
    <t>SB21386</t>
  </si>
  <si>
    <t>SB22376</t>
  </si>
  <si>
    <t>SB22511</t>
  </si>
  <si>
    <t>SB22526</t>
  </si>
  <si>
    <t>SB22570</t>
  </si>
  <si>
    <t>SB22600</t>
  </si>
  <si>
    <t>SB22632</t>
  </si>
  <si>
    <t>SB22581</t>
  </si>
  <si>
    <t>SB22347</t>
  </si>
  <si>
    <t>SB22384</t>
  </si>
  <si>
    <t>PB Amount is matched in NS and Tally But Expense with voucher no A/2025/PB Exe/0891 of amount 470 also has created for this project. If we add expense report amount with purchase bill then amount get mismatched</t>
  </si>
  <si>
    <t>SB22124</t>
  </si>
  <si>
    <t>SB22428</t>
  </si>
  <si>
    <t>SB22540</t>
  </si>
  <si>
    <t>There is extra entry of amount 405 in NS for this project</t>
  </si>
  <si>
    <t>SB22443</t>
  </si>
  <si>
    <t>SB22399</t>
  </si>
  <si>
    <t>SB22317</t>
  </si>
  <si>
    <t>SB22223</t>
  </si>
  <si>
    <t>SB22268</t>
  </si>
  <si>
    <t>SB22321</t>
  </si>
  <si>
    <t>SB22517</t>
  </si>
  <si>
    <t>SB22545</t>
  </si>
  <si>
    <t>SB22580</t>
  </si>
  <si>
    <t>SB22616</t>
  </si>
  <si>
    <t>SB22485</t>
  </si>
  <si>
    <t>SB22579</t>
  </si>
  <si>
    <t>SB22620</t>
  </si>
  <si>
    <t>SB22323</t>
  </si>
  <si>
    <t>SB22326</t>
  </si>
  <si>
    <t>SB22400</t>
  </si>
  <si>
    <t>SB22439</t>
  </si>
  <si>
    <t>SB22596</t>
  </si>
  <si>
    <t>SB22628</t>
  </si>
  <si>
    <t>SB22634</t>
  </si>
  <si>
    <t>SB22638</t>
  </si>
  <si>
    <t>SB22655</t>
  </si>
  <si>
    <t>SB22658</t>
  </si>
  <si>
    <t>SB22325</t>
  </si>
  <si>
    <t>SB22541</t>
  </si>
  <si>
    <t>SB22587</t>
  </si>
  <si>
    <t>SB22607</t>
  </si>
  <si>
    <t>SB22520</t>
  </si>
  <si>
    <t>SB22518</t>
  </si>
  <si>
    <t>SB22585</t>
  </si>
  <si>
    <t>SB22606</t>
  </si>
  <si>
    <t>SB22621</t>
  </si>
  <si>
    <t>SB22513</t>
  </si>
  <si>
    <t>SB22416</t>
  </si>
  <si>
    <t>SB22492</t>
  </si>
  <si>
    <t>There is extra entry of amount 17915 in NS . One Vendor Invoice created with voucher no - A/2025/PB/001469 which has Air travel fare line item with same amount , check from your end it might be possible this would be the extra entry.</t>
  </si>
  <si>
    <t>SB22506</t>
  </si>
  <si>
    <t>SB22567</t>
  </si>
  <si>
    <t>SB22583</t>
  </si>
  <si>
    <t>SB22584</t>
  </si>
  <si>
    <t>SB22564</t>
  </si>
  <si>
    <t>SB22575</t>
  </si>
  <si>
    <t>SB22582</t>
  </si>
  <si>
    <t>SB22536</t>
  </si>
  <si>
    <t>SB22324</t>
  </si>
  <si>
    <t>SB22354</t>
  </si>
  <si>
    <t>SB22387</t>
  </si>
  <si>
    <t>SB22395</t>
  </si>
  <si>
    <t>SB22410</t>
  </si>
  <si>
    <t>SB22465</t>
  </si>
  <si>
    <t>Only one Vendor Invoice created in NS with voucher number A/2025/PB/001427 with amount 11000</t>
  </si>
  <si>
    <t>SB22491</t>
  </si>
  <si>
    <t>There is missing entry of amount 6666 in NS</t>
  </si>
  <si>
    <t>SB22495</t>
  </si>
  <si>
    <t>SB22503</t>
  </si>
  <si>
    <t>SB22552</t>
  </si>
  <si>
    <t>SB22566</t>
  </si>
  <si>
    <t>SB22586</t>
  </si>
  <si>
    <t>There is missing entry of amount 20000 in NS</t>
  </si>
  <si>
    <t>SB22602</t>
  </si>
  <si>
    <t>SB22645</t>
  </si>
  <si>
    <t>SB22595</t>
  </si>
  <si>
    <t>SB22609</t>
  </si>
  <si>
    <t>SB22401</t>
  </si>
  <si>
    <t>SB22571</t>
  </si>
  <si>
    <t>SB22422</t>
  </si>
  <si>
    <t>SB22392</t>
  </si>
  <si>
    <t>SB22548</t>
  </si>
  <si>
    <t>SB22538</t>
  </si>
  <si>
    <t>SB21992</t>
  </si>
  <si>
    <t>SB22550</t>
  </si>
  <si>
    <t>SB21859</t>
  </si>
  <si>
    <t>SB22512</t>
  </si>
  <si>
    <t>SB22327</t>
  </si>
  <si>
    <t>SB22375</t>
  </si>
  <si>
    <t>SB22391</t>
  </si>
  <si>
    <t>SB22394</t>
  </si>
  <si>
    <t>SB22449</t>
  </si>
  <si>
    <t>SB22494</t>
  </si>
  <si>
    <t>SB22501</t>
  </si>
  <si>
    <t>SB22502</t>
  </si>
  <si>
    <t>SB22537</t>
  </si>
  <si>
    <t>SB22549</t>
  </si>
  <si>
    <t>SB22578</t>
  </si>
  <si>
    <t>There is extra entry of amount 20000 in NS</t>
  </si>
  <si>
    <t>SB22594</t>
  </si>
  <si>
    <t>SB22603</t>
  </si>
  <si>
    <t>SB22608</t>
  </si>
  <si>
    <t>SB22619</t>
  </si>
  <si>
    <t>SB22641</t>
  </si>
  <si>
    <t>SB22332</t>
  </si>
  <si>
    <t>SB22472</t>
  </si>
  <si>
    <t>SB22509</t>
  </si>
  <si>
    <t>SB22282</t>
  </si>
  <si>
    <t>SB22205</t>
  </si>
  <si>
    <t>SB22411</t>
  </si>
  <si>
    <t>SB22487</t>
  </si>
  <si>
    <t>SB22504</t>
  </si>
  <si>
    <t>SB22524</t>
  </si>
  <si>
    <t>SB22547</t>
  </si>
  <si>
    <t>SB22555</t>
  </si>
  <si>
    <t>SB22556</t>
  </si>
  <si>
    <t>SB22573</t>
  </si>
  <si>
    <t>SB22589</t>
  </si>
  <si>
    <t>SB22604</t>
  </si>
  <si>
    <t>SB22610</t>
  </si>
  <si>
    <t>SB22635</t>
  </si>
  <si>
    <t>SB22642</t>
  </si>
  <si>
    <t>SB22651</t>
  </si>
  <si>
    <t>SB22652</t>
  </si>
  <si>
    <t>SB22654</t>
  </si>
  <si>
    <t>SB22659</t>
  </si>
  <si>
    <t>SB22565</t>
  </si>
  <si>
    <t>SB22190</t>
  </si>
  <si>
    <t>SB22363</t>
  </si>
  <si>
    <t>SB22471</t>
  </si>
  <si>
    <t>SB22417</t>
  </si>
  <si>
    <t>SB22461</t>
  </si>
  <si>
    <t>SB22479</t>
  </si>
  <si>
    <t>SB22543</t>
  </si>
  <si>
    <t>SB22639</t>
  </si>
  <si>
    <t>SB22611</t>
  </si>
  <si>
    <t>SB22444</t>
  </si>
  <si>
    <t>SB22647</t>
  </si>
  <si>
    <t>SB22374</t>
  </si>
  <si>
    <t>SB22397</t>
  </si>
  <si>
    <t>SB22508</t>
  </si>
  <si>
    <t>SB22605</t>
  </si>
  <si>
    <t>SB22650</t>
  </si>
  <si>
    <t>SB22470</t>
  </si>
  <si>
    <t>SB22625</t>
  </si>
  <si>
    <t>SB22601</t>
  </si>
  <si>
    <t>SB22311</t>
  </si>
  <si>
    <t>SB22451</t>
  </si>
  <si>
    <t>SB22624</t>
  </si>
  <si>
    <t>SB21947</t>
  </si>
  <si>
    <t>SB22488</t>
  </si>
  <si>
    <t>SB22083</t>
  </si>
  <si>
    <t>SB22338</t>
  </si>
  <si>
    <t>SB22599</t>
  </si>
  <si>
    <t>SB22433</t>
  </si>
  <si>
    <t>SB22629</t>
  </si>
  <si>
    <t>SB22588</t>
  </si>
  <si>
    <t>SB22614</t>
  </si>
  <si>
    <t>SB22636</t>
  </si>
  <si>
    <t>SB22643</t>
  </si>
  <si>
    <t>SB22572</t>
  </si>
  <si>
    <t>SB22280</t>
  </si>
  <si>
    <t>SB22424</t>
  </si>
  <si>
    <t>SB22446</t>
  </si>
  <si>
    <t>SB22469</t>
  </si>
  <si>
    <t>SB22529</t>
  </si>
  <si>
    <t>SB22534</t>
  </si>
  <si>
    <t>SB22546</t>
  </si>
  <si>
    <t>SB22558</t>
  </si>
  <si>
    <t>SB22593</t>
  </si>
  <si>
    <t>SB22617</t>
  </si>
  <si>
    <t>SB22633</t>
  </si>
  <si>
    <t>SB22649</t>
  </si>
  <si>
    <t>SB22366</t>
  </si>
  <si>
    <t>SB22532</t>
  </si>
  <si>
    <t>SB22627</t>
  </si>
  <si>
    <t>SB22637</t>
  </si>
  <si>
    <t>SB22356</t>
  </si>
  <si>
    <t>SB22523</t>
  </si>
  <si>
    <t>SB22576</t>
  </si>
  <si>
    <t>SB22445</t>
  </si>
  <si>
    <t>SB22597</t>
  </si>
  <si>
    <t>SB22592</t>
  </si>
  <si>
    <t>SB22381</t>
  </si>
  <si>
    <t>SB22405</t>
  </si>
  <si>
    <t>SB22539</t>
  </si>
  <si>
    <t>SB22664</t>
  </si>
  <si>
    <t>SB22437</t>
  </si>
  <si>
    <t>SB22272</t>
  </si>
  <si>
    <t>SB22305</t>
  </si>
  <si>
    <t>There is extra entry of amount 50384 in NS</t>
  </si>
  <si>
    <t>SB22306</t>
  </si>
  <si>
    <t>There is extra entry of amount 61360 in NS</t>
  </si>
  <si>
    <t>SB22318</t>
  </si>
  <si>
    <t>SB22319</t>
  </si>
  <si>
    <t>SB22320</t>
  </si>
  <si>
    <t>SB22396</t>
  </si>
  <si>
    <t>SB22561</t>
  </si>
  <si>
    <t>SB22562</t>
  </si>
  <si>
    <t>SB22563</t>
  </si>
  <si>
    <t>SB22590</t>
  </si>
  <si>
    <t>SB22591</t>
  </si>
  <si>
    <t>SB22278</t>
  </si>
  <si>
    <t>SB22344</t>
  </si>
  <si>
    <t>SB22404</t>
  </si>
  <si>
    <t>SB22527</t>
  </si>
  <si>
    <t>SB22612</t>
  </si>
  <si>
    <t>SB22254</t>
  </si>
  <si>
    <t>SB22316</t>
  </si>
  <si>
    <t>SB22448</t>
  </si>
  <si>
    <t>SB22622</t>
  </si>
  <si>
    <t>SB22158</t>
  </si>
  <si>
    <t>SB22343</t>
  </si>
  <si>
    <t>SB22498</t>
  </si>
  <si>
    <t>SB22551</t>
  </si>
  <si>
    <t>There is missing entry of amount 9170 in NS</t>
  </si>
  <si>
    <t>SB22557</t>
  </si>
  <si>
    <t>SB22574</t>
  </si>
  <si>
    <t>SB22656</t>
  </si>
  <si>
    <t>SB22115</t>
  </si>
  <si>
    <t>SB22329</t>
  </si>
  <si>
    <t>SB22459</t>
  </si>
  <si>
    <t>SB22204</t>
  </si>
  <si>
    <t>SB22460</t>
  </si>
  <si>
    <t>SB22615</t>
  </si>
  <si>
    <t>There is extra entry of amount 8497722 in NS</t>
  </si>
  <si>
    <t>SB22618</t>
  </si>
  <si>
    <t>SB22414</t>
  </si>
  <si>
    <t>SB22626</t>
  </si>
  <si>
    <t>SB22559</t>
  </si>
  <si>
    <t>SB22560</t>
  </si>
  <si>
    <t>SB22623</t>
  </si>
  <si>
    <t>No Vendor invoice created in NS for april month</t>
  </si>
  <si>
    <t>SB22666</t>
  </si>
  <si>
    <t>SB22263</t>
  </si>
  <si>
    <t>There is missing entry of amount 43650 in NS</t>
  </si>
  <si>
    <t>SB22477</t>
  </si>
  <si>
    <t>SB22640</t>
  </si>
  <si>
    <t>SB22657</t>
  </si>
  <si>
    <t>SB22475</t>
  </si>
  <si>
    <t>SB22483</t>
  </si>
  <si>
    <t>SB22577</t>
  </si>
  <si>
    <t>SB22646</t>
  </si>
  <si>
    <t>SB22598</t>
  </si>
  <si>
    <t>SB22500</t>
  </si>
  <si>
    <t>SB22662</t>
  </si>
  <si>
    <t>SB22159</t>
  </si>
  <si>
    <t>SB22613</t>
  </si>
  <si>
    <t>SB22455</t>
  </si>
  <si>
    <t>PB amount is matched in NS and Tally But one more vendor invoice has created with voucher no. D/2025/PB/001138 with amount 1250000</t>
  </si>
  <si>
    <t>SB22569</t>
  </si>
  <si>
    <t>There is missing entry of amount 875 in NS</t>
  </si>
  <si>
    <t>SB21466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</si>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</sst>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49" fontId="1" fillId="2" borderId="4" xfId="0" applyNumberFormat="1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center"/>
    </xf>
    <xf numFmtId="0" fontId="0" fillId="2" borderId="4" xfId="0" applyNumberFormat="1" applyFill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hwaniSingh\Downloads\Management%20Report-Final%2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hwaniSingh\Downloads\ShobizMGMReportResults96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hwaniSingh\Downloads\ShobizPOwithProjectCodeBodyLevelResults88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mpaign report"/>
      <sheetName val="MGM Report"/>
      <sheetName val="Clientwise Cost summary"/>
      <sheetName val="Budget VS PO VS PB"/>
      <sheetName val="PO vs PB"/>
    </sheetNames>
    <sheetDataSet>
      <sheetData sheetId="0"/>
      <sheetData sheetId="1">
        <row r="2">
          <cell r="D2" t="str">
            <v>ProfitCentreName</v>
          </cell>
          <cell r="E2" t="str">
            <v>SO Value</v>
          </cell>
          <cell r="F2" t="str">
            <v>SB Value</v>
          </cell>
          <cell r="G2" t="str">
            <v>JVValue (S)</v>
          </cell>
          <cell r="H2" t="str">
            <v>Credit Note</v>
          </cell>
          <cell r="I2" t="str">
            <v>Net Sales</v>
          </cell>
          <cell r="J2" t="str">
            <v>PO Value</v>
          </cell>
          <cell r="K2" t="str">
            <v>PB Value</v>
          </cell>
        </row>
        <row r="3">
          <cell r="D3" t="str">
            <v/>
          </cell>
          <cell r="E3">
            <v>105787078.03</v>
          </cell>
          <cell r="F3">
            <v>76660865.05</v>
          </cell>
          <cell r="G3">
            <v>16194912.94</v>
          </cell>
          <cell r="H3">
            <v>1513806.26</v>
          </cell>
          <cell r="I3">
            <v>91341971.73</v>
          </cell>
          <cell r="J3">
            <v>74107229.96</v>
          </cell>
          <cell r="K3">
            <v>56639623.39</v>
          </cell>
        </row>
        <row r="4">
          <cell r="D4" t="str">
            <v/>
          </cell>
          <cell r="E4">
            <v>24311283.56</v>
          </cell>
          <cell r="F4">
            <v>18024587.56</v>
          </cell>
          <cell r="G4">
            <v>28412325.44</v>
          </cell>
          <cell r="H4">
            <v>394474</v>
          </cell>
          <cell r="I4">
            <v>46042439</v>
          </cell>
          <cell r="J4">
            <v>34057109.36</v>
          </cell>
          <cell r="K4">
            <v>23171450.44</v>
          </cell>
        </row>
        <row r="5">
          <cell r="D5" t="str">
            <v/>
          </cell>
          <cell r="E5">
            <v>3528508.5</v>
          </cell>
          <cell r="F5">
            <v>2611812.5</v>
          </cell>
          <cell r="G5">
            <v>693710.5</v>
          </cell>
          <cell r="H5">
            <v>394474</v>
          </cell>
          <cell r="I5">
            <v>2911049</v>
          </cell>
          <cell r="J5">
            <v>1263329.09</v>
          </cell>
          <cell r="K5">
            <v>1209459.09</v>
          </cell>
        </row>
        <row r="6">
          <cell r="D6" t="str">
            <v>SB21386</v>
          </cell>
        </row>
        <row r="6">
          <cell r="H6">
            <v>394474</v>
          </cell>
          <cell r="I6">
            <v>394474</v>
          </cell>
        </row>
        <row r="7">
          <cell r="D7" t="str">
            <v>SB22376</v>
          </cell>
          <cell r="E7">
            <v>309507</v>
          </cell>
          <cell r="F7">
            <v>309507</v>
          </cell>
          <cell r="G7">
            <v>326914</v>
          </cell>
        </row>
        <row r="7">
          <cell r="I7">
            <v>17407</v>
          </cell>
        </row>
        <row r="8">
          <cell r="D8" t="str">
            <v>SB22511</v>
          </cell>
          <cell r="E8">
            <v>1456383.5</v>
          </cell>
          <cell r="F8">
            <v>1456383.5</v>
          </cell>
          <cell r="G8">
            <v>943616.5</v>
          </cell>
        </row>
        <row r="8">
          <cell r="I8">
            <v>2400000</v>
          </cell>
          <cell r="J8">
            <v>1079750.09</v>
          </cell>
          <cell r="K8">
            <v>1036880.09</v>
          </cell>
        </row>
        <row r="9">
          <cell r="D9" t="str">
            <v>SB22526</v>
          </cell>
          <cell r="E9">
            <v>121792</v>
          </cell>
          <cell r="F9">
            <v>121792</v>
          </cell>
          <cell r="G9">
            <v>115008</v>
          </cell>
        </row>
        <row r="9">
          <cell r="I9">
            <v>6784</v>
          </cell>
        </row>
        <row r="10">
          <cell r="D10" t="str">
            <v>SB22570</v>
          </cell>
          <cell r="E10">
            <v>342650</v>
          </cell>
          <cell r="F10">
            <v>171050</v>
          </cell>
        </row>
        <row r="10">
          <cell r="I10">
            <v>171050</v>
          </cell>
          <cell r="J10">
            <v>46000</v>
          </cell>
          <cell r="K10">
            <v>46000</v>
          </cell>
        </row>
        <row r="11">
          <cell r="D11" t="str">
            <v>SB22600</v>
          </cell>
          <cell r="E11">
            <v>192016</v>
          </cell>
        </row>
        <row r="11">
          <cell r="G11">
            <v>192016</v>
          </cell>
        </row>
        <row r="11">
          <cell r="I11">
            <v>192016</v>
          </cell>
          <cell r="J11">
            <v>600</v>
          </cell>
          <cell r="K11">
            <v>600</v>
          </cell>
        </row>
        <row r="12">
          <cell r="D12" t="str">
            <v>SB22632</v>
          </cell>
          <cell r="E12">
            <v>1106160</v>
          </cell>
          <cell r="F12">
            <v>553080</v>
          </cell>
        </row>
        <row r="12">
          <cell r="I12">
            <v>553080</v>
          </cell>
          <cell r="J12">
            <v>136979</v>
          </cell>
          <cell r="K12">
            <v>125979</v>
          </cell>
        </row>
        <row r="13">
          <cell r="D13" t="str">
            <v/>
          </cell>
          <cell r="E13">
            <v>771075</v>
          </cell>
          <cell r="F13">
            <v>771075</v>
          </cell>
        </row>
        <row r="13">
          <cell r="I13">
            <v>771075</v>
          </cell>
          <cell r="J13">
            <v>488131.99</v>
          </cell>
          <cell r="K13">
            <v>472583.99</v>
          </cell>
        </row>
        <row r="14">
          <cell r="D14" t="str">
            <v>SB22581</v>
          </cell>
          <cell r="E14">
            <v>771075</v>
          </cell>
          <cell r="F14">
            <v>771075</v>
          </cell>
        </row>
        <row r="14">
          <cell r="I14">
            <v>771075</v>
          </cell>
          <cell r="J14">
            <v>488131.99</v>
          </cell>
          <cell r="K14">
            <v>472583.99</v>
          </cell>
        </row>
        <row r="15">
          <cell r="D15" t="str">
            <v/>
          </cell>
        </row>
        <row r="15">
          <cell r="K15">
            <v>83600</v>
          </cell>
        </row>
        <row r="16">
          <cell r="D16" t="str">
            <v>SB22347</v>
          </cell>
        </row>
        <row r="16">
          <cell r="K16">
            <v>83600</v>
          </cell>
        </row>
        <row r="17">
          <cell r="D17" t="str">
            <v/>
          </cell>
          <cell r="E17">
            <v>854315</v>
          </cell>
          <cell r="F17">
            <v>854315</v>
          </cell>
        </row>
        <row r="17">
          <cell r="I17">
            <v>854315</v>
          </cell>
          <cell r="J17">
            <v>426201</v>
          </cell>
          <cell r="K17">
            <v>727110</v>
          </cell>
        </row>
        <row r="18">
          <cell r="D18" t="str">
            <v>SB22384</v>
          </cell>
          <cell r="E18">
            <v>854315</v>
          </cell>
          <cell r="F18">
            <v>854315</v>
          </cell>
        </row>
        <row r="18">
          <cell r="I18">
            <v>854315</v>
          </cell>
          <cell r="J18">
            <v>426201</v>
          </cell>
          <cell r="K18">
            <v>727110</v>
          </cell>
        </row>
        <row r="19">
          <cell r="D19" t="str">
            <v/>
          </cell>
          <cell r="E19">
            <v>19157385.06</v>
          </cell>
          <cell r="F19">
            <v>13787385.06</v>
          </cell>
          <cell r="G19">
            <v>27718614.94</v>
          </cell>
        </row>
        <row r="19">
          <cell r="I19">
            <v>41506000</v>
          </cell>
          <cell r="J19">
            <v>31879447.28</v>
          </cell>
          <cell r="K19">
            <v>20664197.36</v>
          </cell>
        </row>
        <row r="21">
          <cell r="D21" t="str">
            <v>SB22124</v>
          </cell>
        </row>
        <row r="21">
          <cell r="K21">
            <v>1545455</v>
          </cell>
        </row>
        <row r="22">
          <cell r="D22" t="str">
            <v>SB22428</v>
          </cell>
          <cell r="E22">
            <v>5492385.06</v>
          </cell>
          <cell r="F22">
            <v>5492385.06</v>
          </cell>
          <cell r="G22">
            <v>5492385.06</v>
          </cell>
        </row>
        <row r="22">
          <cell r="K22">
            <v>350000</v>
          </cell>
        </row>
        <row r="23">
          <cell r="D23" t="str">
            <v>SB22540</v>
          </cell>
          <cell r="E23">
            <v>13665000</v>
          </cell>
          <cell r="F23">
            <v>8295000</v>
          </cell>
          <cell r="G23">
            <v>33211000</v>
          </cell>
        </row>
        <row r="23">
          <cell r="I23">
            <v>41506000</v>
          </cell>
          <cell r="J23">
            <v>31879447.28</v>
          </cell>
          <cell r="K23">
            <v>18768742.36</v>
          </cell>
        </row>
        <row r="24">
          <cell r="D24" t="str">
            <v/>
          </cell>
        </row>
        <row r="24">
          <cell r="K24">
            <v>14500</v>
          </cell>
        </row>
        <row r="25">
          <cell r="D25" t="str">
            <v>SB22443</v>
          </cell>
        </row>
        <row r="25">
          <cell r="K25">
            <v>14500</v>
          </cell>
        </row>
        <row r="26">
          <cell r="D26" t="str">
            <v/>
          </cell>
          <cell r="E26">
            <v>40901706.77</v>
          </cell>
          <cell r="F26">
            <v>10618103.25</v>
          </cell>
          <cell r="G26">
            <v>8985878</v>
          </cell>
        </row>
        <row r="26">
          <cell r="I26">
            <v>19603981.25</v>
          </cell>
          <cell r="J26">
            <v>19228295.06</v>
          </cell>
          <cell r="K26">
            <v>6455485.78</v>
          </cell>
        </row>
        <row r="27">
          <cell r="D27" t="str">
            <v/>
          </cell>
        </row>
        <row r="27">
          <cell r="K27">
            <v>12350</v>
          </cell>
        </row>
        <row r="28">
          <cell r="D28" t="str">
            <v>SB22399</v>
          </cell>
        </row>
        <row r="28">
          <cell r="K28">
            <v>12350</v>
          </cell>
        </row>
        <row r="29">
          <cell r="D29" t="str">
            <v/>
          </cell>
        </row>
        <row r="29">
          <cell r="J29">
            <v>42750</v>
          </cell>
          <cell r="K29">
            <v>46313</v>
          </cell>
        </row>
        <row r="30">
          <cell r="D30" t="str">
            <v>SB22317</v>
          </cell>
        </row>
        <row r="30">
          <cell r="J30">
            <v>42750</v>
          </cell>
          <cell r="K30">
            <v>46313</v>
          </cell>
        </row>
        <row r="31">
          <cell r="D31" t="str">
            <v/>
          </cell>
          <cell r="E31">
            <v>6677974</v>
          </cell>
          <cell r="F31">
            <v>1196000</v>
          </cell>
          <cell r="G31">
            <v>4087974</v>
          </cell>
        </row>
        <row r="31">
          <cell r="I31">
            <v>5283974</v>
          </cell>
          <cell r="J31">
            <v>5084782</v>
          </cell>
          <cell r="K31">
            <v>2114388</v>
          </cell>
        </row>
        <row r="32">
          <cell r="D32" t="str">
            <v>SB22223</v>
          </cell>
        </row>
        <row r="32">
          <cell r="K32">
            <v>142488</v>
          </cell>
        </row>
        <row r="33">
          <cell r="D33" t="str">
            <v>SB22268</v>
          </cell>
        </row>
        <row r="33">
          <cell r="J33">
            <v>195431.2</v>
          </cell>
          <cell r="K33">
            <v>128360</v>
          </cell>
        </row>
        <row r="34">
          <cell r="D34" t="str">
            <v>SB22321</v>
          </cell>
        </row>
        <row r="34">
          <cell r="F34">
            <v>516000</v>
          </cell>
        </row>
        <row r="34">
          <cell r="I34">
            <v>516000</v>
          </cell>
        </row>
        <row r="35">
          <cell r="D35" t="str">
            <v>SB22517</v>
          </cell>
          <cell r="E35">
            <v>1200000</v>
          </cell>
        </row>
        <row r="35">
          <cell r="J35">
            <v>1200000</v>
          </cell>
        </row>
        <row r="36">
          <cell r="D36" t="str">
            <v>SB22545</v>
          </cell>
          <cell r="E36">
            <v>4180020</v>
          </cell>
          <cell r="F36">
            <v>680000</v>
          </cell>
          <cell r="G36">
            <v>2820020</v>
          </cell>
        </row>
        <row r="36">
          <cell r="I36">
            <v>3500020</v>
          </cell>
          <cell r="J36">
            <v>3033592.8</v>
          </cell>
          <cell r="K36">
            <v>1187782</v>
          </cell>
        </row>
        <row r="37">
          <cell r="D37" t="str">
            <v>SB22580</v>
          </cell>
          <cell r="E37">
            <v>680000</v>
          </cell>
        </row>
        <row r="37">
          <cell r="G37">
            <v>650000</v>
          </cell>
        </row>
        <row r="37">
          <cell r="I37">
            <v>650000</v>
          </cell>
          <cell r="J37">
            <v>650000</v>
          </cell>
          <cell r="K37">
            <v>650000</v>
          </cell>
        </row>
        <row r="38">
          <cell r="D38" t="str">
            <v>SB22616</v>
          </cell>
          <cell r="E38">
            <v>617954</v>
          </cell>
        </row>
        <row r="38">
          <cell r="G38">
            <v>617954</v>
          </cell>
        </row>
        <row r="38">
          <cell r="I38">
            <v>617954</v>
          </cell>
          <cell r="J38">
            <v>5758</v>
          </cell>
          <cell r="K38">
            <v>5758</v>
          </cell>
        </row>
        <row r="39">
          <cell r="D39" t="str">
            <v/>
          </cell>
          <cell r="E39">
            <v>1908718</v>
          </cell>
          <cell r="F39">
            <v>3145289</v>
          </cell>
          <cell r="G39">
            <v>2271571</v>
          </cell>
        </row>
        <row r="39">
          <cell r="I39">
            <v>873718</v>
          </cell>
          <cell r="J39">
            <v>895429.88</v>
          </cell>
          <cell r="K39">
            <v>1446691.78</v>
          </cell>
        </row>
        <row r="40">
          <cell r="D40" t="str">
            <v>SB22485</v>
          </cell>
          <cell r="E40">
            <v>1035000</v>
          </cell>
          <cell r="F40">
            <v>2271571</v>
          </cell>
          <cell r="G40">
            <v>2271571</v>
          </cell>
        </row>
        <row r="40">
          <cell r="J40">
            <v>374412</v>
          </cell>
          <cell r="K40">
            <v>1117962</v>
          </cell>
        </row>
        <row r="41">
          <cell r="D41" t="str">
            <v>SB22579</v>
          </cell>
          <cell r="E41">
            <v>873718</v>
          </cell>
          <cell r="F41">
            <v>873718</v>
          </cell>
        </row>
        <row r="41">
          <cell r="I41">
            <v>873718</v>
          </cell>
          <cell r="J41">
            <v>521017.88</v>
          </cell>
          <cell r="K41">
            <v>328729.78</v>
          </cell>
        </row>
        <row r="42">
          <cell r="D42" t="str">
            <v/>
          </cell>
          <cell r="E42">
            <v>15498045</v>
          </cell>
        </row>
        <row r="42">
          <cell r="J42">
            <v>7315000</v>
          </cell>
        </row>
        <row r="43">
          <cell r="D43" t="str">
            <v>SB22620</v>
          </cell>
          <cell r="E43">
            <v>15498045</v>
          </cell>
        </row>
        <row r="43">
          <cell r="J43">
            <v>7315000</v>
          </cell>
        </row>
        <row r="44">
          <cell r="D44" t="str">
            <v/>
          </cell>
          <cell r="E44">
            <v>7409329.92</v>
          </cell>
          <cell r="F44">
            <v>738000</v>
          </cell>
          <cell r="G44">
            <v>1279375</v>
          </cell>
        </row>
        <row r="44">
          <cell r="I44">
            <v>2017375</v>
          </cell>
          <cell r="J44">
            <v>1453530</v>
          </cell>
          <cell r="K44">
            <v>506619</v>
          </cell>
        </row>
        <row r="45">
          <cell r="D45" t="str">
            <v>SB22323</v>
          </cell>
          <cell r="E45">
            <v>738000</v>
          </cell>
          <cell r="F45">
            <v>738000</v>
          </cell>
        </row>
        <row r="45">
          <cell r="I45">
            <v>738000</v>
          </cell>
        </row>
        <row r="46">
          <cell r="D46" t="str">
            <v>SB22326</v>
          </cell>
        </row>
        <row r="46">
          <cell r="K46">
            <v>191318</v>
          </cell>
        </row>
        <row r="47">
          <cell r="D47" t="str">
            <v>SB22400</v>
          </cell>
        </row>
        <row r="47">
          <cell r="J47">
            <v>1399430</v>
          </cell>
          <cell r="K47">
            <v>261201</v>
          </cell>
        </row>
        <row r="48">
          <cell r="D48" t="str">
            <v>SB22439</v>
          </cell>
        </row>
        <row r="48">
          <cell r="G48">
            <v>1232800</v>
          </cell>
        </row>
        <row r="48">
          <cell r="I48">
            <v>1232800</v>
          </cell>
          <cell r="J48">
            <v>54100</v>
          </cell>
          <cell r="K48">
            <v>54100</v>
          </cell>
        </row>
        <row r="49">
          <cell r="D49" t="str">
            <v>SB22596</v>
          </cell>
          <cell r="E49">
            <v>3701171.45</v>
          </cell>
        </row>
        <row r="50">
          <cell r="D50" t="str">
            <v>SB22628</v>
          </cell>
          <cell r="E50">
            <v>822404</v>
          </cell>
        </row>
        <row r="51">
          <cell r="D51" t="str">
            <v>SB22634</v>
          </cell>
          <cell r="E51">
            <v>870929.47</v>
          </cell>
        </row>
        <row r="52">
          <cell r="D52" t="str">
            <v>SB22638</v>
          </cell>
        </row>
        <row r="52">
          <cell r="G52">
            <v>46575</v>
          </cell>
        </row>
        <row r="52">
          <cell r="I52">
            <v>46575</v>
          </cell>
        </row>
        <row r="53">
          <cell r="D53" t="str">
            <v>SB22655</v>
          </cell>
          <cell r="E53">
            <v>823500</v>
          </cell>
        </row>
        <row r="54">
          <cell r="D54" t="str">
            <v>SB22658</v>
          </cell>
          <cell r="E54">
            <v>453325</v>
          </cell>
        </row>
        <row r="55">
          <cell r="D55" t="str">
            <v/>
          </cell>
          <cell r="E55">
            <v>3295421.25</v>
          </cell>
          <cell r="F55">
            <v>5119551.25</v>
          </cell>
        </row>
        <row r="55">
          <cell r="I55">
            <v>5119551.25</v>
          </cell>
          <cell r="J55">
            <v>1152270</v>
          </cell>
          <cell r="K55">
            <v>1415370</v>
          </cell>
        </row>
        <row r="56">
          <cell r="D56" t="str">
            <v>SB22325</v>
          </cell>
        </row>
        <row r="56">
          <cell r="K56">
            <v>263100</v>
          </cell>
        </row>
        <row r="57">
          <cell r="D57" t="str">
            <v>SB22541</v>
          </cell>
          <cell r="E57">
            <v>2929136.25</v>
          </cell>
          <cell r="F57">
            <v>4753266.25</v>
          </cell>
        </row>
        <row r="57">
          <cell r="I57">
            <v>4753266.25</v>
          </cell>
          <cell r="J57">
            <v>924455</v>
          </cell>
          <cell r="K57">
            <v>924455</v>
          </cell>
        </row>
        <row r="58">
          <cell r="D58" t="str">
            <v>SB22587</v>
          </cell>
          <cell r="E58">
            <v>29835</v>
          </cell>
          <cell r="F58">
            <v>29835</v>
          </cell>
        </row>
        <row r="58">
          <cell r="I58">
            <v>29835</v>
          </cell>
        </row>
        <row r="59">
          <cell r="D59" t="str">
            <v>SB22607</v>
          </cell>
          <cell r="E59">
            <v>336450</v>
          </cell>
          <cell r="F59">
            <v>336450</v>
          </cell>
        </row>
        <row r="59">
          <cell r="I59">
            <v>336450</v>
          </cell>
          <cell r="J59">
            <v>227815</v>
          </cell>
          <cell r="K59">
            <v>227815</v>
          </cell>
        </row>
        <row r="60">
          <cell r="D60" t="str">
            <v/>
          </cell>
        </row>
        <row r="60">
          <cell r="F60">
            <v>197144</v>
          </cell>
        </row>
        <row r="60">
          <cell r="I60">
            <v>197144</v>
          </cell>
          <cell r="J60">
            <v>88880</v>
          </cell>
          <cell r="K60">
            <v>126380</v>
          </cell>
        </row>
        <row r="61">
          <cell r="D61" t="str">
            <v>SB22520</v>
          </cell>
        </row>
        <row r="61">
          <cell r="F61">
            <v>197144</v>
          </cell>
        </row>
        <row r="61">
          <cell r="I61">
            <v>197144</v>
          </cell>
          <cell r="J61">
            <v>88880</v>
          </cell>
          <cell r="K61">
            <v>126380</v>
          </cell>
        </row>
        <row r="62">
          <cell r="D62" t="str">
            <v/>
          </cell>
          <cell r="E62">
            <v>5913843.6</v>
          </cell>
          <cell r="F62">
            <v>23744</v>
          </cell>
          <cell r="G62">
            <v>5890100</v>
          </cell>
        </row>
        <row r="62">
          <cell r="I62">
            <v>5913844</v>
          </cell>
          <cell r="J62">
            <v>2994408.18</v>
          </cell>
          <cell r="K62">
            <v>586129</v>
          </cell>
        </row>
        <row r="63">
          <cell r="D63" t="str">
            <v>SB22518</v>
          </cell>
        </row>
        <row r="63">
          <cell r="F63">
            <v>17248</v>
          </cell>
          <cell r="G63">
            <v>17248</v>
          </cell>
        </row>
        <row r="64">
          <cell r="D64" t="str">
            <v>SB22585</v>
          </cell>
          <cell r="E64">
            <v>6496</v>
          </cell>
          <cell r="F64">
            <v>6496</v>
          </cell>
        </row>
        <row r="64">
          <cell r="I64">
            <v>6496</v>
          </cell>
          <cell r="J64">
            <v>3006</v>
          </cell>
          <cell r="K64">
            <v>306</v>
          </cell>
        </row>
        <row r="65">
          <cell r="D65" t="str">
            <v>SB22606</v>
          </cell>
          <cell r="E65">
            <v>5907347.6</v>
          </cell>
        </row>
        <row r="65">
          <cell r="G65">
            <v>5907348</v>
          </cell>
        </row>
        <row r="65">
          <cell r="I65">
            <v>5907348</v>
          </cell>
          <cell r="J65">
            <v>2991402.18</v>
          </cell>
          <cell r="K65">
            <v>585823</v>
          </cell>
        </row>
        <row r="66">
          <cell r="D66" t="str">
            <v/>
          </cell>
          <cell r="E66">
            <v>198375</v>
          </cell>
          <cell r="F66">
            <v>198375</v>
          </cell>
        </row>
        <row r="66">
          <cell r="I66">
            <v>198375</v>
          </cell>
          <cell r="J66">
            <v>141550</v>
          </cell>
          <cell r="K66">
            <v>141550</v>
          </cell>
        </row>
        <row r="67">
          <cell r="D67" t="str">
            <v>SB22621</v>
          </cell>
          <cell r="E67">
            <v>198375</v>
          </cell>
          <cell r="F67">
            <v>198375</v>
          </cell>
        </row>
        <row r="67">
          <cell r="I67">
            <v>198375</v>
          </cell>
          <cell r="J67">
            <v>141550</v>
          </cell>
          <cell r="K67">
            <v>141550</v>
          </cell>
        </row>
        <row r="68">
          <cell r="D68" t="str">
            <v/>
          </cell>
        </row>
        <row r="68">
          <cell r="J68">
            <v>59695</v>
          </cell>
          <cell r="K68">
            <v>59695</v>
          </cell>
        </row>
        <row r="69">
          <cell r="D69" t="str">
            <v>SB22513</v>
          </cell>
        </row>
        <row r="69">
          <cell r="J69">
            <v>59695</v>
          </cell>
          <cell r="K69">
            <v>59695</v>
          </cell>
        </row>
        <row r="70">
          <cell r="D70" t="str">
            <v/>
          </cell>
          <cell r="E70">
            <v>79145</v>
          </cell>
          <cell r="F70">
            <v>1999832</v>
          </cell>
          <cell r="G70">
            <v>1871000</v>
          </cell>
        </row>
        <row r="70">
          <cell r="I70">
            <v>128832</v>
          </cell>
          <cell r="J70">
            <v>755999.57</v>
          </cell>
          <cell r="K70">
            <v>1223484.61</v>
          </cell>
        </row>
        <row r="71">
          <cell r="D71" t="str">
            <v/>
          </cell>
          <cell r="E71">
            <v>79145</v>
          </cell>
          <cell r="F71">
            <v>1999832</v>
          </cell>
          <cell r="G71">
            <v>1871000</v>
          </cell>
        </row>
        <row r="71">
          <cell r="I71">
            <v>128832</v>
          </cell>
          <cell r="J71">
            <v>755999.57</v>
          </cell>
          <cell r="K71">
            <v>1223484.61</v>
          </cell>
        </row>
        <row r="72">
          <cell r="D72" t="str">
            <v>SB22416</v>
          </cell>
        </row>
        <row r="72">
          <cell r="K72">
            <v>6000</v>
          </cell>
        </row>
        <row r="73">
          <cell r="D73" t="str">
            <v>SB22492</v>
          </cell>
        </row>
        <row r="73">
          <cell r="F73">
            <v>1920687</v>
          </cell>
          <cell r="G73">
            <v>1871000</v>
          </cell>
        </row>
        <row r="73">
          <cell r="I73">
            <v>49687</v>
          </cell>
          <cell r="J73">
            <v>742817.44</v>
          </cell>
          <cell r="K73">
            <v>1204302.48</v>
          </cell>
        </row>
        <row r="74">
          <cell r="D74" t="str">
            <v>SB22506</v>
          </cell>
        </row>
        <row r="75">
          <cell r="D75" t="str">
            <v>SB22567</v>
          </cell>
          <cell r="E75">
            <v>24145</v>
          </cell>
          <cell r="F75">
            <v>24145</v>
          </cell>
        </row>
        <row r="75">
          <cell r="I75">
            <v>24145</v>
          </cell>
          <cell r="J75">
            <v>3453.33</v>
          </cell>
          <cell r="K75">
            <v>3453.33</v>
          </cell>
        </row>
        <row r="76">
          <cell r="D76" t="str">
            <v>SB22583</v>
          </cell>
          <cell r="E76">
            <v>55000</v>
          </cell>
          <cell r="F76">
            <v>55000</v>
          </cell>
        </row>
        <row r="76">
          <cell r="I76">
            <v>55000</v>
          </cell>
          <cell r="J76">
            <v>9728.8</v>
          </cell>
          <cell r="K76">
            <v>9728.8</v>
          </cell>
        </row>
        <row r="77">
          <cell r="D77" t="str">
            <v/>
          </cell>
          <cell r="E77">
            <v>40494942.7</v>
          </cell>
          <cell r="F77">
            <v>46018342.24</v>
          </cell>
          <cell r="G77">
            <v>19332290.5</v>
          </cell>
          <cell r="H77">
            <v>1119332.26</v>
          </cell>
          <cell r="I77">
            <v>25566719.48</v>
          </cell>
          <cell r="J77">
            <v>20065825.97</v>
          </cell>
          <cell r="K77">
            <v>25789202.56</v>
          </cell>
        </row>
        <row r="78">
          <cell r="D78" t="str">
            <v/>
          </cell>
          <cell r="E78">
            <v>2751197.6</v>
          </cell>
          <cell r="F78">
            <v>151005.6</v>
          </cell>
          <cell r="G78">
            <v>3167429.4</v>
          </cell>
        </row>
        <row r="78">
          <cell r="I78">
            <v>3318435</v>
          </cell>
          <cell r="J78">
            <v>1256398</v>
          </cell>
          <cell r="K78">
            <v>1120374</v>
          </cell>
        </row>
        <row r="79">
          <cell r="D79" t="str">
            <v>SB22584</v>
          </cell>
          <cell r="E79">
            <v>2751197.6</v>
          </cell>
          <cell r="F79">
            <v>151005.6</v>
          </cell>
          <cell r="G79">
            <v>3167429.4</v>
          </cell>
        </row>
        <row r="79">
          <cell r="I79">
            <v>3318435</v>
          </cell>
          <cell r="J79">
            <v>1256398</v>
          </cell>
          <cell r="K79">
            <v>1120374</v>
          </cell>
        </row>
        <row r="80">
          <cell r="D80" t="str">
            <v/>
          </cell>
          <cell r="E80">
            <v>973972</v>
          </cell>
        </row>
        <row r="80">
          <cell r="G80">
            <v>1991299</v>
          </cell>
        </row>
        <row r="80">
          <cell r="I80">
            <v>1991299</v>
          </cell>
          <cell r="J80">
            <v>356356.37</v>
          </cell>
          <cell r="K80">
            <v>798856.37</v>
          </cell>
        </row>
        <row r="81">
          <cell r="D81" t="str">
            <v>SB22564</v>
          </cell>
        </row>
        <row r="81">
          <cell r="G81">
            <v>1017327</v>
          </cell>
        </row>
        <row r="81">
          <cell r="I81">
            <v>1017327</v>
          </cell>
          <cell r="J81">
            <v>54466.43</v>
          </cell>
          <cell r="K81">
            <v>496966.43</v>
          </cell>
        </row>
        <row r="82">
          <cell r="D82" t="str">
            <v>SB22575</v>
          </cell>
          <cell r="E82">
            <v>835524</v>
          </cell>
        </row>
        <row r="82">
          <cell r="G82">
            <v>835524</v>
          </cell>
        </row>
        <row r="82">
          <cell r="I82">
            <v>835524</v>
          </cell>
          <cell r="J82">
            <v>258689.94</v>
          </cell>
          <cell r="K82">
            <v>258689.94</v>
          </cell>
        </row>
        <row r="83">
          <cell r="D83" t="str">
            <v>SB22582</v>
          </cell>
          <cell r="E83">
            <v>138448</v>
          </cell>
        </row>
        <row r="83">
          <cell r="G83">
            <v>138448</v>
          </cell>
        </row>
        <row r="83">
          <cell r="I83">
            <v>138448</v>
          </cell>
          <cell r="J83">
            <v>43200</v>
          </cell>
          <cell r="K83">
            <v>43200</v>
          </cell>
        </row>
        <row r="84">
          <cell r="D84" t="str">
            <v/>
          </cell>
        </row>
        <row r="84">
          <cell r="F84">
            <v>11000</v>
          </cell>
          <cell r="G84">
            <v>10000</v>
          </cell>
        </row>
        <row r="84">
          <cell r="I84">
            <v>1000</v>
          </cell>
        </row>
        <row r="85">
          <cell r="D85" t="str">
            <v>SB22536</v>
          </cell>
        </row>
        <row r="85">
          <cell r="F85">
            <v>11000</v>
          </cell>
          <cell r="G85">
            <v>10000</v>
          </cell>
        </row>
        <row r="85">
          <cell r="I85">
            <v>1000</v>
          </cell>
        </row>
        <row r="86">
          <cell r="D86" t="str">
            <v/>
          </cell>
          <cell r="E86">
            <v>12800059.47</v>
          </cell>
          <cell r="F86">
            <v>30949523.97</v>
          </cell>
          <cell r="G86">
            <v>21779030.96</v>
          </cell>
        </row>
        <row r="86">
          <cell r="I86">
            <v>9170493.01</v>
          </cell>
          <cell r="J86">
            <v>8783539.77</v>
          </cell>
          <cell r="K86">
            <v>14306835.77</v>
          </cell>
        </row>
        <row r="87">
          <cell r="D87" t="str">
            <v>SB22324</v>
          </cell>
        </row>
        <row r="87">
          <cell r="F87">
            <v>1440862</v>
          </cell>
          <cell r="G87">
            <v>1301935</v>
          </cell>
        </row>
        <row r="87">
          <cell r="I87">
            <v>138927</v>
          </cell>
        </row>
        <row r="88">
          <cell r="D88" t="str">
            <v>SB22354</v>
          </cell>
        </row>
        <row r="88">
          <cell r="K88">
            <v>32000</v>
          </cell>
        </row>
        <row r="89">
          <cell r="D89" t="str">
            <v>SB22387</v>
          </cell>
        </row>
        <row r="89">
          <cell r="K89">
            <v>3500</v>
          </cell>
        </row>
        <row r="90">
          <cell r="D90" t="str">
            <v>SB22395</v>
          </cell>
        </row>
        <row r="90">
          <cell r="K90">
            <v>49700</v>
          </cell>
        </row>
        <row r="91">
          <cell r="D91" t="str">
            <v>SB22410</v>
          </cell>
        </row>
        <row r="91">
          <cell r="K91">
            <v>40000</v>
          </cell>
        </row>
        <row r="92">
          <cell r="D92" t="str">
            <v>SB22465</v>
          </cell>
        </row>
        <row r="92">
          <cell r="F92">
            <v>2500000</v>
          </cell>
          <cell r="G92">
            <v>2500000</v>
          </cell>
        </row>
        <row r="92">
          <cell r="K92">
            <v>156000</v>
          </cell>
        </row>
        <row r="93">
          <cell r="D93" t="str">
            <v>SB22491</v>
          </cell>
          <cell r="E93">
            <v>800166</v>
          </cell>
          <cell r="F93">
            <v>15800720</v>
          </cell>
          <cell r="G93">
            <v>14900720.39</v>
          </cell>
        </row>
        <row r="93">
          <cell r="I93">
            <v>899999.61</v>
          </cell>
          <cell r="J93">
            <v>2868336.67</v>
          </cell>
          <cell r="K93">
            <v>6416420.67</v>
          </cell>
        </row>
        <row r="94">
          <cell r="D94" t="str">
            <v>SB22495</v>
          </cell>
          <cell r="E94">
            <v>2741972</v>
          </cell>
        </row>
        <row r="94">
          <cell r="K94">
            <v>658382</v>
          </cell>
        </row>
        <row r="95">
          <cell r="D95" t="str">
            <v>SB22503</v>
          </cell>
          <cell r="E95">
            <v>500000</v>
          </cell>
          <cell r="F95">
            <v>2500043</v>
          </cell>
          <cell r="G95">
            <v>2500000</v>
          </cell>
        </row>
        <row r="95">
          <cell r="I95">
            <v>43</v>
          </cell>
        </row>
        <row r="95">
          <cell r="K95">
            <v>1100000</v>
          </cell>
        </row>
        <row r="96">
          <cell r="D96" t="str">
            <v>SB22552</v>
          </cell>
        </row>
        <row r="96">
          <cell r="J96">
            <v>603830.29</v>
          </cell>
          <cell r="K96">
            <v>751830.29</v>
          </cell>
        </row>
        <row r="97">
          <cell r="D97" t="str">
            <v>SB22566</v>
          </cell>
          <cell r="E97">
            <v>2060170.57</v>
          </cell>
          <cell r="F97">
            <v>2060170.57</v>
          </cell>
          <cell r="G97">
            <v>2060170.57</v>
          </cell>
        </row>
        <row r="97">
          <cell r="J97">
            <v>994503</v>
          </cell>
          <cell r="K97">
            <v>2793503</v>
          </cell>
        </row>
        <row r="98">
          <cell r="D98" t="str">
            <v>SB22586</v>
          </cell>
          <cell r="E98">
            <v>2778994.9</v>
          </cell>
          <cell r="F98">
            <v>2728972.4</v>
          </cell>
        </row>
        <row r="98">
          <cell r="I98">
            <v>2728972.4</v>
          </cell>
          <cell r="J98">
            <v>2025813.57</v>
          </cell>
          <cell r="K98">
            <v>1689013.57</v>
          </cell>
        </row>
        <row r="99">
          <cell r="D99" t="str">
            <v>SB22602</v>
          </cell>
          <cell r="E99">
            <v>1102551</v>
          </cell>
          <cell r="F99">
            <v>1102551</v>
          </cell>
        </row>
        <row r="99">
          <cell r="I99">
            <v>1102551</v>
          </cell>
          <cell r="J99">
            <v>712151.24</v>
          </cell>
          <cell r="K99">
            <v>608501.24</v>
          </cell>
        </row>
        <row r="100">
          <cell r="D100" t="str">
            <v>SB22645</v>
          </cell>
          <cell r="E100">
            <v>2816205</v>
          </cell>
          <cell r="F100">
            <v>2816205</v>
          </cell>
          <cell r="G100">
            <v>1483795</v>
          </cell>
        </row>
        <row r="100">
          <cell r="I100">
            <v>4300000</v>
          </cell>
          <cell r="J100">
            <v>1578905</v>
          </cell>
          <cell r="K100">
            <v>7985</v>
          </cell>
        </row>
        <row r="101">
          <cell r="D101" t="str">
            <v/>
          </cell>
          <cell r="E101">
            <v>3293400</v>
          </cell>
        </row>
        <row r="101">
          <cell r="G101">
            <v>713240</v>
          </cell>
        </row>
        <row r="101">
          <cell r="I101">
            <v>713240</v>
          </cell>
          <cell r="J101">
            <v>927012.82</v>
          </cell>
          <cell r="K101">
            <v>902292</v>
          </cell>
        </row>
        <row r="102">
          <cell r="D102" t="str">
            <v>SB22595</v>
          </cell>
          <cell r="E102">
            <v>2580160</v>
          </cell>
        </row>
        <row r="102">
          <cell r="J102">
            <v>850000</v>
          </cell>
          <cell r="K102">
            <v>850000</v>
          </cell>
        </row>
        <row r="103">
          <cell r="D103" t="str">
            <v>SB22609</v>
          </cell>
          <cell r="E103">
            <v>713240</v>
          </cell>
        </row>
        <row r="103">
          <cell r="G103">
            <v>713240</v>
          </cell>
        </row>
        <row r="103">
          <cell r="I103">
            <v>713240</v>
          </cell>
          <cell r="J103">
            <v>77012.82</v>
          </cell>
          <cell r="K103">
            <v>52292</v>
          </cell>
        </row>
        <row r="104">
          <cell r="D104" t="str">
            <v/>
          </cell>
        </row>
        <row r="104">
          <cell r="H104">
            <v>138800</v>
          </cell>
          <cell r="I104">
            <v>138800</v>
          </cell>
        </row>
        <row r="105">
          <cell r="D105" t="str">
            <v>SB22401</v>
          </cell>
        </row>
        <row r="105">
          <cell r="H105">
            <v>138800</v>
          </cell>
          <cell r="I105">
            <v>138800</v>
          </cell>
        </row>
        <row r="106">
          <cell r="D106" t="str">
            <v/>
          </cell>
          <cell r="E106">
            <v>1721092.49</v>
          </cell>
          <cell r="F106">
            <v>1721092.49</v>
          </cell>
        </row>
        <row r="106">
          <cell r="I106">
            <v>1721092.49</v>
          </cell>
          <cell r="J106">
            <v>1181572</v>
          </cell>
          <cell r="K106">
            <v>1181572</v>
          </cell>
        </row>
        <row r="107">
          <cell r="D107" t="str">
            <v>SB22571</v>
          </cell>
          <cell r="E107">
            <v>1721092.49</v>
          </cell>
          <cell r="F107">
            <v>1721092.49</v>
          </cell>
        </row>
        <row r="107">
          <cell r="I107">
            <v>1721092.49</v>
          </cell>
          <cell r="J107">
            <v>1181572</v>
          </cell>
          <cell r="K107">
            <v>1181572</v>
          </cell>
        </row>
        <row r="108">
          <cell r="D108" t="str">
            <v/>
          </cell>
        </row>
        <row r="108">
          <cell r="K108">
            <v>6000</v>
          </cell>
        </row>
        <row r="109">
          <cell r="D109" t="str">
            <v>SB22422</v>
          </cell>
        </row>
        <row r="109">
          <cell r="K109">
            <v>6000</v>
          </cell>
        </row>
        <row r="110">
          <cell r="D110" t="str">
            <v/>
          </cell>
          <cell r="E110">
            <v>581460</v>
          </cell>
          <cell r="F110">
            <v>581460</v>
          </cell>
        </row>
        <row r="110">
          <cell r="H110">
            <v>581460</v>
          </cell>
        </row>
        <row r="110">
          <cell r="J110">
            <v>83363</v>
          </cell>
          <cell r="K110">
            <v>223038</v>
          </cell>
        </row>
        <row r="111">
          <cell r="D111" t="str">
            <v>SB22392</v>
          </cell>
        </row>
        <row r="111">
          <cell r="K111">
            <v>26000</v>
          </cell>
        </row>
        <row r="112">
          <cell r="D112" t="str">
            <v>SB22548</v>
          </cell>
          <cell r="E112">
            <v>581460</v>
          </cell>
          <cell r="F112">
            <v>581460</v>
          </cell>
        </row>
        <row r="112">
          <cell r="H112">
            <v>581460</v>
          </cell>
        </row>
        <row r="112">
          <cell r="J112">
            <v>83363</v>
          </cell>
          <cell r="K112">
            <v>197038</v>
          </cell>
        </row>
        <row r="113">
          <cell r="D113" t="str">
            <v/>
          </cell>
        </row>
        <row r="113">
          <cell r="F113">
            <v>63910</v>
          </cell>
          <cell r="G113">
            <v>64000</v>
          </cell>
        </row>
        <row r="113">
          <cell r="I113">
            <v>90</v>
          </cell>
        </row>
        <row r="113">
          <cell r="K113">
            <v>700</v>
          </cell>
        </row>
        <row r="114">
          <cell r="D114" t="str">
            <v>SB22538</v>
          </cell>
        </row>
        <row r="114">
          <cell r="F114">
            <v>63910</v>
          </cell>
          <cell r="G114">
            <v>64000</v>
          </cell>
        </row>
        <row r="114">
          <cell r="I114">
            <v>90</v>
          </cell>
        </row>
        <row r="114">
          <cell r="K114">
            <v>700</v>
          </cell>
        </row>
        <row r="115">
          <cell r="D115" t="str">
            <v/>
          </cell>
        </row>
        <row r="115">
          <cell r="K115">
            <v>19848.91</v>
          </cell>
        </row>
        <row r="116">
          <cell r="D116" t="str">
            <v>SB21992</v>
          </cell>
        </row>
        <row r="116">
          <cell r="K116">
            <v>19848.91</v>
          </cell>
        </row>
        <row r="117">
          <cell r="D117" t="str">
            <v/>
          </cell>
        </row>
        <row r="117">
          <cell r="F117">
            <v>2226654</v>
          </cell>
          <cell r="G117">
            <v>2117000</v>
          </cell>
        </row>
        <row r="117">
          <cell r="I117">
            <v>109654</v>
          </cell>
          <cell r="J117">
            <v>1335025.02</v>
          </cell>
          <cell r="K117">
            <v>1260505.02</v>
          </cell>
        </row>
        <row r="118">
          <cell r="D118" t="str">
            <v>SB22550</v>
          </cell>
        </row>
        <row r="118">
          <cell r="F118">
            <v>2226654</v>
          </cell>
          <cell r="G118">
            <v>2117000</v>
          </cell>
        </row>
        <row r="118">
          <cell r="I118">
            <v>109654</v>
          </cell>
          <cell r="J118">
            <v>1335025.02</v>
          </cell>
          <cell r="K118">
            <v>1260505.02</v>
          </cell>
        </row>
        <row r="119">
          <cell r="D119" t="str">
            <v/>
          </cell>
          <cell r="E119">
            <v>1000000</v>
          </cell>
        </row>
        <row r="119">
          <cell r="J119">
            <v>559134.47</v>
          </cell>
          <cell r="K119">
            <v>559134.47</v>
          </cell>
        </row>
        <row r="120">
          <cell r="D120" t="str">
            <v>SB21859</v>
          </cell>
        </row>
        <row r="121">
          <cell r="D121" t="str">
            <v>SB22512</v>
          </cell>
          <cell r="E121">
            <v>1000000</v>
          </cell>
        </row>
        <row r="121">
          <cell r="J121">
            <v>559134.47</v>
          </cell>
          <cell r="K121">
            <v>559134.47</v>
          </cell>
        </row>
        <row r="122">
          <cell r="D122" t="str">
            <v/>
          </cell>
          <cell r="E122">
            <v>13936912.34</v>
          </cell>
          <cell r="F122">
            <v>6876847.38</v>
          </cell>
          <cell r="G122">
            <v>1621017.46</v>
          </cell>
          <cell r="H122">
            <v>399072.26</v>
          </cell>
          <cell r="I122">
            <v>8098792.58</v>
          </cell>
          <cell r="J122">
            <v>5315277.85</v>
          </cell>
          <cell r="K122">
            <v>4473871.35</v>
          </cell>
        </row>
        <row r="123">
          <cell r="D123" t="str">
            <v>SB22327</v>
          </cell>
        </row>
        <row r="123">
          <cell r="K123">
            <v>461394</v>
          </cell>
        </row>
        <row r="124">
          <cell r="D124" t="str">
            <v>SB22375</v>
          </cell>
        </row>
        <row r="124">
          <cell r="F124">
            <v>292464.5</v>
          </cell>
          <cell r="G124">
            <v>292462</v>
          </cell>
        </row>
        <row r="124">
          <cell r="I124">
            <v>2.5</v>
          </cell>
        </row>
        <row r="125">
          <cell r="D125" t="str">
            <v>SB22391</v>
          </cell>
        </row>
        <row r="125">
          <cell r="K125">
            <v>3500</v>
          </cell>
        </row>
        <row r="126">
          <cell r="D126" t="str">
            <v>SB22394</v>
          </cell>
        </row>
        <row r="126">
          <cell r="K126">
            <v>39500</v>
          </cell>
        </row>
        <row r="127">
          <cell r="D127" t="str">
            <v>SB22449</v>
          </cell>
          <cell r="E127">
            <v>399072.26</v>
          </cell>
          <cell r="F127">
            <v>399072.26</v>
          </cell>
        </row>
        <row r="127">
          <cell r="H127">
            <v>399072.26</v>
          </cell>
        </row>
        <row r="128">
          <cell r="D128" t="str">
            <v>SB22494</v>
          </cell>
        </row>
        <row r="128">
          <cell r="K128">
            <v>26000</v>
          </cell>
        </row>
        <row r="129">
          <cell r="D129" t="str">
            <v>SB22501</v>
          </cell>
        </row>
        <row r="129">
          <cell r="K129">
            <v>180000</v>
          </cell>
        </row>
        <row r="130">
          <cell r="D130" t="str">
            <v>SB22502</v>
          </cell>
        </row>
        <row r="130">
          <cell r="J130">
            <v>267108.3</v>
          </cell>
          <cell r="K130">
            <v>428608.3</v>
          </cell>
        </row>
        <row r="131">
          <cell r="D131" t="str">
            <v>SB22537</v>
          </cell>
        </row>
        <row r="131">
          <cell r="K131">
            <v>330000</v>
          </cell>
        </row>
        <row r="132">
          <cell r="D132" t="str">
            <v>SB22549</v>
          </cell>
        </row>
        <row r="132">
          <cell r="F132">
            <v>286859.98</v>
          </cell>
          <cell r="G132">
            <v>301859.98</v>
          </cell>
        </row>
        <row r="132">
          <cell r="I132">
            <v>15000</v>
          </cell>
        </row>
        <row r="132">
          <cell r="K132">
            <v>94000</v>
          </cell>
        </row>
        <row r="133">
          <cell r="D133" t="str">
            <v>SB22578</v>
          </cell>
          <cell r="E133">
            <v>10667872.81</v>
          </cell>
          <cell r="F133">
            <v>5333936.81</v>
          </cell>
        </row>
        <row r="133">
          <cell r="I133">
            <v>5333936.81</v>
          </cell>
          <cell r="J133">
            <v>3377971.05</v>
          </cell>
          <cell r="K133">
            <v>2128089.05</v>
          </cell>
        </row>
        <row r="134">
          <cell r="D134" t="str">
            <v>SB22594</v>
          </cell>
          <cell r="E134">
            <v>1022599</v>
          </cell>
        </row>
        <row r="134">
          <cell r="G134">
            <v>1022599</v>
          </cell>
        </row>
        <row r="134">
          <cell r="I134">
            <v>1022599</v>
          </cell>
          <cell r="J134">
            <v>551803</v>
          </cell>
          <cell r="K134">
            <v>536803</v>
          </cell>
        </row>
        <row r="135">
          <cell r="D135" t="str">
            <v>SB22603</v>
          </cell>
          <cell r="E135">
            <v>105114</v>
          </cell>
        </row>
        <row r="136">
          <cell r="D136" t="str">
            <v>SB22608</v>
          </cell>
          <cell r="E136">
            <v>564513.83</v>
          </cell>
          <cell r="F136">
            <v>564513.83</v>
          </cell>
        </row>
        <row r="136">
          <cell r="I136">
            <v>564513.83</v>
          </cell>
          <cell r="J136">
            <v>253014.5</v>
          </cell>
          <cell r="K136">
            <v>188596</v>
          </cell>
        </row>
        <row r="137">
          <cell r="D137" t="str">
            <v>SB22619</v>
          </cell>
          <cell r="E137">
            <v>1077740.44</v>
          </cell>
        </row>
        <row r="137">
          <cell r="G137">
            <v>1077740.44</v>
          </cell>
        </row>
        <row r="137">
          <cell r="I137">
            <v>1077740.44</v>
          </cell>
          <cell r="J137">
            <v>865381</v>
          </cell>
          <cell r="K137">
            <v>57381</v>
          </cell>
        </row>
        <row r="138">
          <cell r="D138" t="str">
            <v>SB22641</v>
          </cell>
          <cell r="E138">
            <v>100000</v>
          </cell>
        </row>
        <row r="138">
          <cell r="G138">
            <v>115000</v>
          </cell>
        </row>
        <row r="138">
          <cell r="I138">
            <v>115000</v>
          </cell>
        </row>
        <row r="139">
          <cell r="D139" t="str">
            <v/>
          </cell>
          <cell r="E139">
            <v>349503</v>
          </cell>
          <cell r="F139">
            <v>349503</v>
          </cell>
        </row>
        <row r="139">
          <cell r="I139">
            <v>349503</v>
          </cell>
          <cell r="J139">
            <v>58146.67</v>
          </cell>
          <cell r="K139">
            <v>58146.67</v>
          </cell>
        </row>
        <row r="140">
          <cell r="D140" t="str">
            <v>SB22332</v>
          </cell>
          <cell r="E140">
            <v>349503</v>
          </cell>
          <cell r="F140">
            <v>349503</v>
          </cell>
        </row>
        <row r="140">
          <cell r="I140">
            <v>349503</v>
          </cell>
          <cell r="J140">
            <v>58146.67</v>
          </cell>
          <cell r="K140">
            <v>58146.67</v>
          </cell>
        </row>
        <row r="141">
          <cell r="D141" t="str">
            <v/>
          </cell>
          <cell r="E141">
            <v>3087345.8</v>
          </cell>
          <cell r="F141">
            <v>3087345.8</v>
          </cell>
          <cell r="G141">
            <v>2855245.4</v>
          </cell>
        </row>
        <row r="141">
          <cell r="I141">
            <v>232100.4</v>
          </cell>
          <cell r="J141">
            <v>210000</v>
          </cell>
          <cell r="K141">
            <v>878028</v>
          </cell>
        </row>
        <row r="142">
          <cell r="D142" t="str">
            <v>SB22472</v>
          </cell>
          <cell r="E142">
            <v>3087345.8</v>
          </cell>
          <cell r="F142">
            <v>3087345.8</v>
          </cell>
          <cell r="G142">
            <v>2855245.4</v>
          </cell>
        </row>
        <row r="142">
          <cell r="I142">
            <v>232100.4</v>
          </cell>
          <cell r="J142">
            <v>210000</v>
          </cell>
          <cell r="K142">
            <v>878028</v>
          </cell>
        </row>
        <row r="143">
          <cell r="D143" t="str">
            <v/>
          </cell>
          <cell r="E143">
            <v>32089393.34</v>
          </cell>
          <cell r="F143">
            <v>12752369.1</v>
          </cell>
          <cell r="G143">
            <v>6405888.58</v>
          </cell>
          <cell r="H143">
            <v>1372057.5</v>
          </cell>
          <cell r="I143">
            <v>17786200.18</v>
          </cell>
          <cell r="J143">
            <v>10397353.77</v>
          </cell>
          <cell r="K143">
            <v>14346418.29</v>
          </cell>
        </row>
        <row r="144">
          <cell r="D144" t="str">
            <v/>
          </cell>
          <cell r="E144">
            <v>32089393.34</v>
          </cell>
          <cell r="F144">
            <v>12752369.1</v>
          </cell>
          <cell r="G144">
            <v>6405888.58</v>
          </cell>
          <cell r="H144">
            <v>1372057.5</v>
          </cell>
          <cell r="I144">
            <v>17786200.18</v>
          </cell>
          <cell r="J144">
            <v>10397353.77</v>
          </cell>
          <cell r="K144">
            <v>14346418.29</v>
          </cell>
        </row>
        <row r="145">
          <cell r="D145" t="str">
            <v/>
          </cell>
        </row>
        <row r="145">
          <cell r="K145">
            <v>1691</v>
          </cell>
        </row>
        <row r="146">
          <cell r="D146" t="str">
            <v>SB22509</v>
          </cell>
        </row>
        <row r="146">
          <cell r="K146">
            <v>1691</v>
          </cell>
        </row>
        <row r="147">
          <cell r="D147" t="str">
            <v/>
          </cell>
        </row>
        <row r="147">
          <cell r="K147">
            <v>133500</v>
          </cell>
        </row>
        <row r="148">
          <cell r="D148" t="str">
            <v>SB22282</v>
          </cell>
        </row>
        <row r="148">
          <cell r="K148">
            <v>133500</v>
          </cell>
        </row>
        <row r="149">
          <cell r="D149" t="str">
            <v/>
          </cell>
          <cell r="E149">
            <v>1814897.04</v>
          </cell>
          <cell r="F149">
            <v>34100</v>
          </cell>
          <cell r="G149">
            <v>2213203</v>
          </cell>
        </row>
        <row r="149">
          <cell r="I149">
            <v>2247303</v>
          </cell>
          <cell r="J149">
            <v>710668</v>
          </cell>
          <cell r="K149">
            <v>932457</v>
          </cell>
        </row>
        <row r="150">
          <cell r="D150" t="str">
            <v>SB22205</v>
          </cell>
        </row>
        <row r="150">
          <cell r="K150">
            <v>37050</v>
          </cell>
        </row>
        <row r="151">
          <cell r="D151" t="str">
            <v>SB22411</v>
          </cell>
        </row>
        <row r="151">
          <cell r="K151">
            <v>7552</v>
          </cell>
        </row>
        <row r="152">
          <cell r="D152" t="str">
            <v>SB22487</v>
          </cell>
        </row>
        <row r="152">
          <cell r="K152">
            <v>36830</v>
          </cell>
        </row>
        <row r="153">
          <cell r="D153" t="str">
            <v>SB22504</v>
          </cell>
        </row>
        <row r="153">
          <cell r="K153">
            <v>8391</v>
          </cell>
        </row>
        <row r="154">
          <cell r="D154" t="str">
            <v>SB22524</v>
          </cell>
        </row>
        <row r="154">
          <cell r="K154">
            <v>22800</v>
          </cell>
        </row>
        <row r="155">
          <cell r="D155" t="str">
            <v>SB22547</v>
          </cell>
        </row>
        <row r="155">
          <cell r="K155">
            <v>42110</v>
          </cell>
        </row>
        <row r="156">
          <cell r="D156" t="str">
            <v>SB22555</v>
          </cell>
        </row>
        <row r="156">
          <cell r="K156">
            <v>15000</v>
          </cell>
        </row>
        <row r="157">
          <cell r="D157" t="str">
            <v>SB22556</v>
          </cell>
        </row>
        <row r="157">
          <cell r="K157">
            <v>52056</v>
          </cell>
        </row>
        <row r="158">
          <cell r="D158" t="str">
            <v>SB22573</v>
          </cell>
        </row>
        <row r="158">
          <cell r="G158">
            <v>33583</v>
          </cell>
        </row>
        <row r="158">
          <cell r="I158">
            <v>33583</v>
          </cell>
          <cell r="J158">
            <v>1903</v>
          </cell>
          <cell r="K158">
            <v>1903</v>
          </cell>
        </row>
        <row r="159">
          <cell r="D159" t="str">
            <v>SB22589</v>
          </cell>
          <cell r="E159">
            <v>34100</v>
          </cell>
          <cell r="F159">
            <v>34100</v>
          </cell>
        </row>
        <row r="159">
          <cell r="I159">
            <v>34100</v>
          </cell>
        </row>
        <row r="160">
          <cell r="D160" t="str">
            <v>SB22604</v>
          </cell>
          <cell r="E160">
            <v>1014046</v>
          </cell>
        </row>
        <row r="160">
          <cell r="G160">
            <v>1014046</v>
          </cell>
        </row>
        <row r="160">
          <cell r="I160">
            <v>1014046</v>
          </cell>
          <cell r="J160">
            <v>708765</v>
          </cell>
          <cell r="K160">
            <v>708765</v>
          </cell>
        </row>
        <row r="161">
          <cell r="D161" t="str">
            <v>SB22610</v>
          </cell>
          <cell r="E161">
            <v>71500</v>
          </cell>
        </row>
        <row r="161">
          <cell r="G161">
            <v>71500</v>
          </cell>
        </row>
        <row r="161">
          <cell r="I161">
            <v>71500</v>
          </cell>
        </row>
        <row r="162">
          <cell r="D162" t="str">
            <v>SB22635</v>
          </cell>
        </row>
        <row r="162">
          <cell r="G162">
            <v>179520</v>
          </cell>
        </row>
        <row r="162">
          <cell r="I162">
            <v>179520</v>
          </cell>
        </row>
        <row r="163">
          <cell r="D163" t="str">
            <v>SB22642</v>
          </cell>
          <cell r="E163">
            <v>80014</v>
          </cell>
        </row>
        <row r="163">
          <cell r="G163">
            <v>80014</v>
          </cell>
        </row>
        <row r="163">
          <cell r="I163">
            <v>80014</v>
          </cell>
        </row>
        <row r="164">
          <cell r="D164" t="str">
            <v>SB22651</v>
          </cell>
          <cell r="E164">
            <v>437059.04</v>
          </cell>
        </row>
        <row r="164">
          <cell r="G164">
            <v>437059</v>
          </cell>
        </row>
        <row r="164">
          <cell r="I164">
            <v>437059</v>
          </cell>
        </row>
        <row r="165">
          <cell r="D165" t="str">
            <v>SB22652</v>
          </cell>
        </row>
        <row r="165">
          <cell r="G165">
            <v>10010</v>
          </cell>
        </row>
        <row r="165">
          <cell r="I165">
            <v>10010</v>
          </cell>
        </row>
        <row r="166">
          <cell r="D166" t="str">
            <v>SB22654</v>
          </cell>
        </row>
        <row r="166">
          <cell r="G166">
            <v>209293</v>
          </cell>
        </row>
        <row r="166">
          <cell r="I166">
            <v>209293</v>
          </cell>
        </row>
        <row r="167">
          <cell r="D167" t="str">
            <v>SB22659</v>
          </cell>
          <cell r="E167">
            <v>178178</v>
          </cell>
        </row>
        <row r="167">
          <cell r="G167">
            <v>178178</v>
          </cell>
        </row>
        <row r="167">
          <cell r="I167">
            <v>178178</v>
          </cell>
        </row>
        <row r="168">
          <cell r="D168" t="str">
            <v/>
          </cell>
          <cell r="E168">
            <v>1804616</v>
          </cell>
        </row>
        <row r="168">
          <cell r="G168">
            <v>1804616</v>
          </cell>
        </row>
        <row r="168">
          <cell r="I168">
            <v>1804616</v>
          </cell>
          <cell r="J168">
            <v>133928</v>
          </cell>
          <cell r="K168">
            <v>133928</v>
          </cell>
        </row>
        <row r="169">
          <cell r="D169" t="str">
            <v>SB22565</v>
          </cell>
          <cell r="E169">
            <v>1804616</v>
          </cell>
        </row>
        <row r="169">
          <cell r="G169">
            <v>1804616</v>
          </cell>
        </row>
        <row r="169">
          <cell r="I169">
            <v>1804616</v>
          </cell>
          <cell r="J169">
            <v>133928</v>
          </cell>
          <cell r="K169">
            <v>133928</v>
          </cell>
        </row>
        <row r="170">
          <cell r="D170" t="str">
            <v/>
          </cell>
          <cell r="E170">
            <v>660000</v>
          </cell>
          <cell r="F170">
            <v>2452010</v>
          </cell>
          <cell r="G170">
            <v>2469610</v>
          </cell>
        </row>
        <row r="170">
          <cell r="I170">
            <v>17600</v>
          </cell>
          <cell r="J170">
            <v>102685</v>
          </cell>
          <cell r="K170">
            <v>131485</v>
          </cell>
        </row>
        <row r="171">
          <cell r="D171" t="str">
            <v>SB22190</v>
          </cell>
          <cell r="E171">
            <v>660000</v>
          </cell>
          <cell r="F171">
            <v>660000</v>
          </cell>
          <cell r="G171">
            <v>660000</v>
          </cell>
        </row>
        <row r="172">
          <cell r="D172" t="str">
            <v>SB22363</v>
          </cell>
        </row>
        <row r="172">
          <cell r="F172">
            <v>1792010</v>
          </cell>
          <cell r="G172">
            <v>1809610</v>
          </cell>
        </row>
        <row r="172">
          <cell r="I172">
            <v>17600</v>
          </cell>
        </row>
        <row r="172">
          <cell r="K172">
            <v>28800</v>
          </cell>
        </row>
        <row r="173">
          <cell r="D173" t="str">
            <v>SB22471</v>
          </cell>
        </row>
        <row r="173">
          <cell r="J173">
            <v>102685</v>
          </cell>
          <cell r="K173">
            <v>102685</v>
          </cell>
        </row>
        <row r="174">
          <cell r="D174" t="str">
            <v/>
          </cell>
          <cell r="E174">
            <v>4823680.7</v>
          </cell>
          <cell r="F174">
            <v>7800550.2</v>
          </cell>
          <cell r="G174">
            <v>6125992.7</v>
          </cell>
          <cell r="H174">
            <v>1372057.5</v>
          </cell>
          <cell r="I174">
            <v>302500</v>
          </cell>
          <cell r="J174">
            <v>4838507.77</v>
          </cell>
          <cell r="K174">
            <v>9164404</v>
          </cell>
        </row>
        <row r="175">
          <cell r="D175" t="str">
            <v>SB22417</v>
          </cell>
        </row>
        <row r="175">
          <cell r="K175">
            <v>110000</v>
          </cell>
        </row>
        <row r="176">
          <cell r="D176" t="str">
            <v>SB22461</v>
          </cell>
          <cell r="E176">
            <v>3011623.2</v>
          </cell>
          <cell r="F176">
            <v>3011623.2</v>
          </cell>
          <cell r="G176">
            <v>3011623.2</v>
          </cell>
        </row>
        <row r="176">
          <cell r="J176">
            <v>830100</v>
          </cell>
          <cell r="K176">
            <v>5690525</v>
          </cell>
        </row>
        <row r="177">
          <cell r="D177" t="str">
            <v>SB22479</v>
          </cell>
        </row>
        <row r="177">
          <cell r="F177">
            <v>3416869.5</v>
          </cell>
          <cell r="G177">
            <v>3554369.5</v>
          </cell>
        </row>
        <row r="177">
          <cell r="I177">
            <v>137500</v>
          </cell>
          <cell r="J177">
            <v>2623008.77</v>
          </cell>
          <cell r="K177">
            <v>1942440</v>
          </cell>
        </row>
        <row r="178">
          <cell r="D178" t="str">
            <v>SB22543</v>
          </cell>
          <cell r="E178">
            <v>1372057.5</v>
          </cell>
          <cell r="F178">
            <v>1372057.5</v>
          </cell>
        </row>
        <row r="178">
          <cell r="H178">
            <v>1372057.5</v>
          </cell>
        </row>
        <row r="178">
          <cell r="J178">
            <v>985399</v>
          </cell>
          <cell r="K178">
            <v>1021439</v>
          </cell>
        </row>
        <row r="179">
          <cell r="D179" t="str">
            <v>SB22639</v>
          </cell>
          <cell r="E179">
            <v>440000</v>
          </cell>
        </row>
        <row r="179">
          <cell r="G179">
            <v>440000</v>
          </cell>
        </row>
        <row r="179">
          <cell r="I179">
            <v>440000</v>
          </cell>
          <cell r="J179">
            <v>400000</v>
          </cell>
          <cell r="K179">
            <v>400000</v>
          </cell>
        </row>
        <row r="180">
          <cell r="D180" t="str">
            <v/>
          </cell>
          <cell r="E180">
            <v>381205</v>
          </cell>
          <cell r="F180">
            <v>381205</v>
          </cell>
        </row>
        <row r="180">
          <cell r="I180">
            <v>381205</v>
          </cell>
          <cell r="J180">
            <v>221945</v>
          </cell>
          <cell r="K180">
            <v>205945</v>
          </cell>
        </row>
        <row r="181">
          <cell r="D181" t="str">
            <v>SB22611</v>
          </cell>
          <cell r="E181">
            <v>381205</v>
          </cell>
          <cell r="F181">
            <v>381205</v>
          </cell>
        </row>
        <row r="181">
          <cell r="I181">
            <v>381205</v>
          </cell>
          <cell r="J181">
            <v>221945</v>
          </cell>
          <cell r="K181">
            <v>205945</v>
          </cell>
        </row>
        <row r="182">
          <cell r="D182" t="str">
            <v/>
          </cell>
          <cell r="E182">
            <v>175142</v>
          </cell>
          <cell r="F182">
            <v>175142</v>
          </cell>
          <cell r="G182">
            <v>175142</v>
          </cell>
        </row>
        <row r="182">
          <cell r="J182">
            <v>140066</v>
          </cell>
          <cell r="K182">
            <v>192445</v>
          </cell>
        </row>
        <row r="183">
          <cell r="D183" t="str">
            <v>SB22444</v>
          </cell>
          <cell r="E183">
            <v>175142</v>
          </cell>
          <cell r="F183">
            <v>175142</v>
          </cell>
          <cell r="G183">
            <v>175142</v>
          </cell>
        </row>
        <row r="183">
          <cell r="J183">
            <v>140066</v>
          </cell>
          <cell r="K183">
            <v>192445</v>
          </cell>
        </row>
        <row r="184">
          <cell r="D184" t="str">
            <v/>
          </cell>
        </row>
        <row r="184">
          <cell r="G184">
            <v>97440</v>
          </cell>
        </row>
        <row r="184">
          <cell r="I184">
            <v>97440</v>
          </cell>
        </row>
        <row r="185">
          <cell r="D185" t="str">
            <v>SB22647</v>
          </cell>
        </row>
        <row r="185">
          <cell r="G185">
            <v>97440</v>
          </cell>
        </row>
        <row r="185">
          <cell r="I185">
            <v>97440</v>
          </cell>
        </row>
        <row r="186">
          <cell r="D186" t="str">
            <v/>
          </cell>
          <cell r="E186">
            <v>535992.5</v>
          </cell>
          <cell r="F186">
            <v>535992.5</v>
          </cell>
          <cell r="G186">
            <v>1263051.28</v>
          </cell>
        </row>
        <row r="186">
          <cell r="I186">
            <v>1799043.78</v>
          </cell>
          <cell r="J186">
            <v>253483</v>
          </cell>
          <cell r="K186">
            <v>253483</v>
          </cell>
        </row>
        <row r="187">
          <cell r="D187" t="str">
            <v>SB22374</v>
          </cell>
          <cell r="E187">
            <v>522500</v>
          </cell>
          <cell r="F187">
            <v>522500</v>
          </cell>
        </row>
        <row r="187">
          <cell r="I187">
            <v>522500</v>
          </cell>
          <cell r="J187">
            <v>68559</v>
          </cell>
          <cell r="K187">
            <v>68559</v>
          </cell>
        </row>
        <row r="188">
          <cell r="D188" t="str">
            <v>SB22397</v>
          </cell>
        </row>
        <row r="188">
          <cell r="G188">
            <v>1263051.28</v>
          </cell>
        </row>
        <row r="188">
          <cell r="I188">
            <v>1263051.28</v>
          </cell>
          <cell r="J188">
            <v>151500</v>
          </cell>
          <cell r="K188">
            <v>151500</v>
          </cell>
        </row>
        <row r="189">
          <cell r="D189" t="str">
            <v>SB22508</v>
          </cell>
        </row>
        <row r="189">
          <cell r="J189">
            <v>24024</v>
          </cell>
          <cell r="K189">
            <v>24024</v>
          </cell>
        </row>
        <row r="190">
          <cell r="D190" t="str">
            <v>SB22605</v>
          </cell>
          <cell r="E190">
            <v>13492.5</v>
          </cell>
          <cell r="F190">
            <v>13492.5</v>
          </cell>
        </row>
        <row r="190">
          <cell r="I190">
            <v>13492.5</v>
          </cell>
          <cell r="J190">
            <v>9400</v>
          </cell>
          <cell r="K190">
            <v>9400</v>
          </cell>
        </row>
        <row r="191">
          <cell r="D191" t="str">
            <v/>
          </cell>
          <cell r="E191">
            <v>1478362.5</v>
          </cell>
        </row>
        <row r="192">
          <cell r="D192" t="str">
            <v>SB22650</v>
          </cell>
          <cell r="E192">
            <v>1478362.5</v>
          </cell>
        </row>
        <row r="193">
          <cell r="D193" t="str">
            <v/>
          </cell>
          <cell r="E193">
            <v>30800</v>
          </cell>
        </row>
        <row r="193">
          <cell r="G193">
            <v>30800</v>
          </cell>
        </row>
        <row r="193">
          <cell r="I193">
            <v>30800</v>
          </cell>
        </row>
        <row r="193">
          <cell r="K193">
            <v>33353</v>
          </cell>
        </row>
        <row r="194">
          <cell r="D194" t="str">
            <v>SB22470</v>
          </cell>
        </row>
        <row r="194">
          <cell r="K194">
            <v>33353</v>
          </cell>
        </row>
        <row r="195">
          <cell r="D195" t="str">
            <v>SB22625</v>
          </cell>
          <cell r="E195">
            <v>30800</v>
          </cell>
        </row>
        <row r="195">
          <cell r="G195">
            <v>30800</v>
          </cell>
        </row>
        <row r="195">
          <cell r="I195">
            <v>30800</v>
          </cell>
        </row>
        <row r="196">
          <cell r="D196" t="str">
            <v/>
          </cell>
          <cell r="E196">
            <v>72600</v>
          </cell>
          <cell r="F196">
            <v>72600</v>
          </cell>
        </row>
        <row r="196">
          <cell r="I196">
            <v>72600</v>
          </cell>
        </row>
        <row r="197">
          <cell r="D197" t="str">
            <v>SB22601</v>
          </cell>
          <cell r="E197">
            <v>72600</v>
          </cell>
          <cell r="F197">
            <v>72600</v>
          </cell>
        </row>
        <row r="197">
          <cell r="I197">
            <v>72600</v>
          </cell>
        </row>
        <row r="198">
          <cell r="D198" t="str">
            <v/>
          </cell>
        </row>
        <row r="198">
          <cell r="K198">
            <v>4000</v>
          </cell>
        </row>
        <row r="199">
          <cell r="D199" t="str">
            <v>SB22311</v>
          </cell>
        </row>
        <row r="199">
          <cell r="K199">
            <v>4000</v>
          </cell>
        </row>
        <row r="200">
          <cell r="D200" t="str">
            <v/>
          </cell>
          <cell r="E200">
            <v>723561.28</v>
          </cell>
        </row>
        <row r="200">
          <cell r="G200">
            <v>703084</v>
          </cell>
        </row>
        <row r="200">
          <cell r="I200">
            <v>703084</v>
          </cell>
          <cell r="J200">
            <v>451057</v>
          </cell>
          <cell r="K200">
            <v>1031136.79</v>
          </cell>
        </row>
        <row r="201">
          <cell r="D201" t="str">
            <v>SB22451</v>
          </cell>
        </row>
        <row r="201">
          <cell r="K201">
            <v>585000.79</v>
          </cell>
        </row>
        <row r="202">
          <cell r="D202" t="str">
            <v>SB22624</v>
          </cell>
          <cell r="E202">
            <v>723561.28</v>
          </cell>
        </row>
        <row r="202">
          <cell r="G202">
            <v>703084</v>
          </cell>
        </row>
        <row r="202">
          <cell r="I202">
            <v>703084</v>
          </cell>
          <cell r="J202">
            <v>451057</v>
          </cell>
          <cell r="K202">
            <v>446136</v>
          </cell>
        </row>
        <row r="203">
          <cell r="D203" t="str">
            <v/>
          </cell>
        </row>
        <row r="203">
          <cell r="F203">
            <v>339093</v>
          </cell>
          <cell r="G203">
            <v>339093</v>
          </cell>
        </row>
        <row r="203">
          <cell r="K203">
            <v>58820</v>
          </cell>
        </row>
        <row r="204">
          <cell r="D204" t="str">
            <v>SB21947</v>
          </cell>
        </row>
        <row r="205">
          <cell r="D205" t="str">
            <v>SB22488</v>
          </cell>
        </row>
        <row r="205">
          <cell r="F205">
            <v>339093</v>
          </cell>
          <cell r="G205">
            <v>339093</v>
          </cell>
        </row>
        <row r="205">
          <cell r="K205">
            <v>58820</v>
          </cell>
        </row>
        <row r="206">
          <cell r="D206" t="str">
            <v/>
          </cell>
          <cell r="E206">
            <v>2644498</v>
          </cell>
          <cell r="F206">
            <v>644498</v>
          </cell>
          <cell r="G206">
            <v>2000000</v>
          </cell>
        </row>
        <row r="206">
          <cell r="I206">
            <v>2644498</v>
          </cell>
          <cell r="J206">
            <v>1399384</v>
          </cell>
          <cell r="K206">
            <v>351203</v>
          </cell>
        </row>
        <row r="207">
          <cell r="D207" t="str">
            <v>SB22083</v>
          </cell>
        </row>
        <row r="207">
          <cell r="K207">
            <v>70000</v>
          </cell>
        </row>
        <row r="208">
          <cell r="D208" t="str">
            <v>SB22338</v>
          </cell>
          <cell r="E208">
            <v>2000000</v>
          </cell>
        </row>
        <row r="208">
          <cell r="G208">
            <v>2000000</v>
          </cell>
        </row>
        <row r="208">
          <cell r="I208">
            <v>2000000</v>
          </cell>
          <cell r="J208">
            <v>837893</v>
          </cell>
          <cell r="K208">
            <v>205612</v>
          </cell>
        </row>
        <row r="209">
          <cell r="D209" t="str">
            <v>SB22599</v>
          </cell>
          <cell r="E209">
            <v>644498</v>
          </cell>
          <cell r="F209">
            <v>644498</v>
          </cell>
        </row>
        <row r="209">
          <cell r="I209">
            <v>644498</v>
          </cell>
          <cell r="J209">
            <v>561491</v>
          </cell>
          <cell r="K209">
            <v>75591</v>
          </cell>
        </row>
        <row r="210">
          <cell r="D210" t="str">
            <v/>
          </cell>
          <cell r="E210">
            <v>317178.4</v>
          </cell>
          <cell r="F210">
            <v>317178.4</v>
          </cell>
          <cell r="G210">
            <v>317178</v>
          </cell>
        </row>
        <row r="210">
          <cell r="I210">
            <v>0.4</v>
          </cell>
        </row>
        <row r="210">
          <cell r="K210">
            <v>58437.5</v>
          </cell>
        </row>
        <row r="211">
          <cell r="D211" t="str">
            <v>SB22433</v>
          </cell>
          <cell r="E211">
            <v>317178.4</v>
          </cell>
          <cell r="F211">
            <v>317178.4</v>
          </cell>
          <cell r="G211">
            <v>317178</v>
          </cell>
        </row>
        <row r="211">
          <cell r="I211">
            <v>0.4</v>
          </cell>
        </row>
        <row r="211">
          <cell r="K211">
            <v>58437.5</v>
          </cell>
        </row>
        <row r="212">
          <cell r="D212" t="str">
            <v/>
          </cell>
          <cell r="E212">
            <v>11232890</v>
          </cell>
        </row>
        <row r="212">
          <cell r="J212">
            <v>4000</v>
          </cell>
          <cell r="K212">
            <v>4000</v>
          </cell>
        </row>
        <row r="213">
          <cell r="D213" t="str">
            <v>SB22629</v>
          </cell>
          <cell r="E213">
            <v>11232890</v>
          </cell>
        </row>
        <row r="213">
          <cell r="J213">
            <v>4000</v>
          </cell>
          <cell r="K213">
            <v>4000</v>
          </cell>
        </row>
        <row r="214">
          <cell r="D214" t="str">
            <v/>
          </cell>
          <cell r="E214">
            <v>509179.06</v>
          </cell>
        </row>
        <row r="214">
          <cell r="G214">
            <v>451386</v>
          </cell>
        </row>
        <row r="214">
          <cell r="I214">
            <v>451386</v>
          </cell>
          <cell r="J214">
            <v>6130</v>
          </cell>
          <cell r="K214">
            <v>6130</v>
          </cell>
        </row>
        <row r="215">
          <cell r="D215" t="str">
            <v>SB22588</v>
          </cell>
          <cell r="E215">
            <v>509179.06</v>
          </cell>
        </row>
        <row r="215">
          <cell r="G215">
            <v>451386</v>
          </cell>
        </row>
        <row r="215">
          <cell r="I215">
            <v>451386</v>
          </cell>
          <cell r="J215">
            <v>6130</v>
          </cell>
          <cell r="K215">
            <v>6130</v>
          </cell>
        </row>
        <row r="216">
          <cell r="D216" t="str">
            <v/>
          </cell>
          <cell r="E216">
            <v>4884790.86</v>
          </cell>
        </row>
        <row r="216">
          <cell r="G216">
            <v>4949340</v>
          </cell>
        </row>
        <row r="216">
          <cell r="I216">
            <v>4949340</v>
          </cell>
          <cell r="J216">
            <v>2135500</v>
          </cell>
          <cell r="K216">
            <v>1650000</v>
          </cell>
        </row>
        <row r="217">
          <cell r="D217" t="str">
            <v>SB22614</v>
          </cell>
          <cell r="E217">
            <v>4884790.86</v>
          </cell>
        </row>
        <row r="217">
          <cell r="G217">
            <v>4949340</v>
          </cell>
        </row>
        <row r="217">
          <cell r="I217">
            <v>4949340</v>
          </cell>
          <cell r="J217">
            <v>2135500</v>
          </cell>
          <cell r="K217">
            <v>1650000</v>
          </cell>
        </row>
        <row r="218">
          <cell r="D218" t="str">
            <v/>
          </cell>
        </row>
        <row r="218">
          <cell r="G218">
            <v>2319984</v>
          </cell>
        </row>
        <row r="218">
          <cell r="I218">
            <v>2319984</v>
          </cell>
        </row>
        <row r="219">
          <cell r="D219" t="str">
            <v>SB22636</v>
          </cell>
        </row>
        <row r="219">
          <cell r="G219">
            <v>535700</v>
          </cell>
        </row>
        <row r="219">
          <cell r="I219">
            <v>535700</v>
          </cell>
        </row>
        <row r="220">
          <cell r="D220" t="str">
            <v>SB22643</v>
          </cell>
        </row>
        <row r="220">
          <cell r="G220">
            <v>1784284</v>
          </cell>
        </row>
        <row r="220">
          <cell r="I220">
            <v>1784284</v>
          </cell>
        </row>
        <row r="221">
          <cell r="D221" t="str">
            <v/>
          </cell>
          <cell r="E221">
            <v>5795720.7</v>
          </cell>
          <cell r="F221">
            <v>8764987.7</v>
          </cell>
          <cell r="G221">
            <v>4786100.6</v>
          </cell>
        </row>
        <row r="221">
          <cell r="I221">
            <v>3978887.1</v>
          </cell>
          <cell r="J221">
            <v>3304822.07</v>
          </cell>
          <cell r="K221">
            <v>5863922.07</v>
          </cell>
        </row>
        <row r="222">
          <cell r="D222" t="str">
            <v/>
          </cell>
          <cell r="E222">
            <v>5795720.7</v>
          </cell>
          <cell r="F222">
            <v>8764987.7</v>
          </cell>
          <cell r="G222">
            <v>4786100.6</v>
          </cell>
        </row>
        <row r="222">
          <cell r="I222">
            <v>3978887.1</v>
          </cell>
          <cell r="J222">
            <v>3304822.07</v>
          </cell>
          <cell r="K222">
            <v>5863922.07</v>
          </cell>
        </row>
        <row r="223">
          <cell r="D223" t="str">
            <v/>
          </cell>
          <cell r="E223">
            <v>94072</v>
          </cell>
          <cell r="F223">
            <v>94072</v>
          </cell>
        </row>
        <row r="223">
          <cell r="I223">
            <v>94072</v>
          </cell>
          <cell r="J223">
            <v>45000</v>
          </cell>
          <cell r="K223">
            <v>36000</v>
          </cell>
        </row>
        <row r="224">
          <cell r="D224" t="str">
            <v>SB22572</v>
          </cell>
          <cell r="E224">
            <v>94072</v>
          </cell>
          <cell r="F224">
            <v>94072</v>
          </cell>
        </row>
        <row r="224">
          <cell r="I224">
            <v>94072</v>
          </cell>
          <cell r="J224">
            <v>45000</v>
          </cell>
          <cell r="K224">
            <v>36000</v>
          </cell>
        </row>
        <row r="225">
          <cell r="D225" t="str">
            <v/>
          </cell>
          <cell r="E225">
            <v>4440399.7</v>
          </cell>
          <cell r="F225">
            <v>7821975.7</v>
          </cell>
          <cell r="G225">
            <v>5556546.6</v>
          </cell>
        </row>
        <row r="225">
          <cell r="I225">
            <v>2265429.1</v>
          </cell>
          <cell r="J225">
            <v>2328446.04</v>
          </cell>
          <cell r="K225">
            <v>4717642.04</v>
          </cell>
        </row>
        <row r="226">
          <cell r="D226" t="str">
            <v>SB22280</v>
          </cell>
        </row>
        <row r="226">
          <cell r="K226">
            <v>11500</v>
          </cell>
        </row>
        <row r="227">
          <cell r="D227" t="str">
            <v>SB22424</v>
          </cell>
        </row>
        <row r="228">
          <cell r="D228" t="str">
            <v>SB22446</v>
          </cell>
          <cell r="E228">
            <v>207625</v>
          </cell>
          <cell r="F228">
            <v>1668425</v>
          </cell>
          <cell r="G228">
            <v>1668425</v>
          </cell>
        </row>
        <row r="229">
          <cell r="D229" t="str">
            <v>SB22469</v>
          </cell>
          <cell r="E229">
            <v>1142097</v>
          </cell>
          <cell r="F229">
            <v>3631001</v>
          </cell>
          <cell r="G229">
            <v>3600229.6</v>
          </cell>
        </row>
        <row r="229">
          <cell r="I229">
            <v>30771.4</v>
          </cell>
          <cell r="J229">
            <v>870000</v>
          </cell>
          <cell r="K229">
            <v>2261631</v>
          </cell>
        </row>
        <row r="230">
          <cell r="D230" t="str">
            <v>SB22529</v>
          </cell>
          <cell r="E230">
            <v>86020</v>
          </cell>
          <cell r="F230">
            <v>656271</v>
          </cell>
          <cell r="G230">
            <v>656271</v>
          </cell>
        </row>
        <row r="230">
          <cell r="K230">
            <v>490814</v>
          </cell>
        </row>
        <row r="231">
          <cell r="D231" t="str">
            <v>SB22534</v>
          </cell>
          <cell r="E231">
            <v>1679447</v>
          </cell>
          <cell r="F231">
            <v>909447</v>
          </cell>
        </row>
        <row r="231">
          <cell r="I231">
            <v>909447</v>
          </cell>
          <cell r="J231">
            <v>364700</v>
          </cell>
          <cell r="K231">
            <v>614211</v>
          </cell>
        </row>
        <row r="232">
          <cell r="D232" t="str">
            <v>SB22546</v>
          </cell>
        </row>
        <row r="232">
          <cell r="K232">
            <v>330740</v>
          </cell>
        </row>
        <row r="233">
          <cell r="D233" t="str">
            <v>SB22558</v>
          </cell>
          <cell r="E233">
            <v>224730</v>
          </cell>
          <cell r="F233">
            <v>224730</v>
          </cell>
        </row>
        <row r="233">
          <cell r="I233">
            <v>224730</v>
          </cell>
          <cell r="J233">
            <v>180250</v>
          </cell>
          <cell r="K233">
            <v>180250</v>
          </cell>
        </row>
        <row r="234">
          <cell r="D234" t="str">
            <v>SB22593</v>
          </cell>
          <cell r="E234">
            <v>268279</v>
          </cell>
        </row>
        <row r="234">
          <cell r="G234">
            <v>268279</v>
          </cell>
        </row>
        <row r="234">
          <cell r="I234">
            <v>268279</v>
          </cell>
          <cell r="J234">
            <v>241305</v>
          </cell>
          <cell r="K234">
            <v>241305</v>
          </cell>
        </row>
        <row r="235">
          <cell r="D235" t="str">
            <v>SB22617</v>
          </cell>
          <cell r="E235">
            <v>706801.7</v>
          </cell>
          <cell r="F235">
            <v>706801.7</v>
          </cell>
        </row>
        <row r="235">
          <cell r="I235">
            <v>706801.7</v>
          </cell>
          <cell r="J235">
            <v>569191.04</v>
          </cell>
          <cell r="K235">
            <v>569191.04</v>
          </cell>
        </row>
        <row r="236">
          <cell r="D236" t="str">
            <v>SB22633</v>
          </cell>
          <cell r="E236">
            <v>25300</v>
          </cell>
          <cell r="F236">
            <v>25300</v>
          </cell>
        </row>
        <row r="236">
          <cell r="I236">
            <v>25300</v>
          </cell>
          <cell r="J236">
            <v>18000</v>
          </cell>
          <cell r="K236">
            <v>18000</v>
          </cell>
        </row>
        <row r="237">
          <cell r="D237" t="str">
            <v>SB22649</v>
          </cell>
          <cell r="E237">
            <v>100100</v>
          </cell>
        </row>
        <row r="237">
          <cell r="G237">
            <v>100100</v>
          </cell>
        </row>
        <row r="237">
          <cell r="I237">
            <v>100100</v>
          </cell>
          <cell r="J237">
            <v>85000</v>
          </cell>
        </row>
        <row r="238">
          <cell r="D238" t="str">
            <v/>
          </cell>
          <cell r="E238">
            <v>754018</v>
          </cell>
          <cell r="F238">
            <v>646365</v>
          </cell>
          <cell r="G238">
            <v>65280</v>
          </cell>
        </row>
        <row r="238">
          <cell r="I238">
            <v>711645</v>
          </cell>
          <cell r="J238">
            <v>272522</v>
          </cell>
          <cell r="K238">
            <v>342569</v>
          </cell>
        </row>
        <row r="239">
          <cell r="D239" t="str">
            <v>SB22366</v>
          </cell>
        </row>
        <row r="239">
          <cell r="F239">
            <v>308665</v>
          </cell>
          <cell r="G239">
            <v>308665</v>
          </cell>
        </row>
        <row r="240">
          <cell r="D240" t="str">
            <v>SB22532</v>
          </cell>
        </row>
        <row r="240">
          <cell r="F240">
            <v>337700</v>
          </cell>
          <cell r="G240">
            <v>337700</v>
          </cell>
        </row>
        <row r="240">
          <cell r="K240">
            <v>255000</v>
          </cell>
        </row>
        <row r="241">
          <cell r="D241" t="str">
            <v>SB22627</v>
          </cell>
          <cell r="E241">
            <v>394253</v>
          </cell>
        </row>
        <row r="241">
          <cell r="G241">
            <v>361880</v>
          </cell>
        </row>
        <row r="241">
          <cell r="I241">
            <v>361880</v>
          </cell>
          <cell r="J241">
            <v>6379</v>
          </cell>
          <cell r="K241">
            <v>6379</v>
          </cell>
        </row>
        <row r="242">
          <cell r="D242" t="str">
            <v>SB22637</v>
          </cell>
          <cell r="E242">
            <v>359765</v>
          </cell>
        </row>
        <row r="242">
          <cell r="G242">
            <v>349765</v>
          </cell>
        </row>
        <row r="242">
          <cell r="I242">
            <v>349765</v>
          </cell>
          <cell r="J242">
            <v>266143</v>
          </cell>
          <cell r="K242">
            <v>81190</v>
          </cell>
        </row>
        <row r="243">
          <cell r="D243" t="str">
            <v/>
          </cell>
          <cell r="E243">
            <v>491106</v>
          </cell>
          <cell r="F243">
            <v>186450</v>
          </cell>
          <cell r="G243">
            <v>705166</v>
          </cell>
        </row>
        <row r="243">
          <cell r="I243">
            <v>891616</v>
          </cell>
          <cell r="J243">
            <v>643704.03</v>
          </cell>
          <cell r="K243">
            <v>737154.03</v>
          </cell>
        </row>
        <row r="244">
          <cell r="D244" t="str">
            <v>SB22356</v>
          </cell>
        </row>
        <row r="244">
          <cell r="K244">
            <v>81200</v>
          </cell>
        </row>
        <row r="245">
          <cell r="D245" t="str">
            <v>SB22523</v>
          </cell>
          <cell r="E245">
            <v>186450</v>
          </cell>
          <cell r="F245">
            <v>186450</v>
          </cell>
          <cell r="G245">
            <v>186450</v>
          </cell>
        </row>
        <row r="245">
          <cell r="K245">
            <v>15000</v>
          </cell>
        </row>
        <row r="246">
          <cell r="D246" t="str">
            <v>SB22576</v>
          </cell>
          <cell r="E246">
            <v>304656</v>
          </cell>
        </row>
        <row r="246">
          <cell r="G246">
            <v>891616</v>
          </cell>
        </row>
        <row r="246">
          <cell r="I246">
            <v>891616</v>
          </cell>
          <cell r="J246">
            <v>643704.03</v>
          </cell>
          <cell r="K246">
            <v>640954.03</v>
          </cell>
        </row>
        <row r="247">
          <cell r="D247" t="str">
            <v/>
          </cell>
          <cell r="E247">
            <v>16125</v>
          </cell>
          <cell r="F247">
            <v>16125</v>
          </cell>
        </row>
        <row r="247">
          <cell r="I247">
            <v>16125</v>
          </cell>
          <cell r="J247">
            <v>15150</v>
          </cell>
          <cell r="K247">
            <v>30557</v>
          </cell>
        </row>
        <row r="248">
          <cell r="D248" t="str">
            <v>SB22445</v>
          </cell>
        </row>
        <row r="248">
          <cell r="K248">
            <v>15407</v>
          </cell>
        </row>
        <row r="249">
          <cell r="D249" t="str">
            <v>SB22597</v>
          </cell>
          <cell r="E249">
            <v>16125</v>
          </cell>
          <cell r="F249">
            <v>16125</v>
          </cell>
        </row>
        <row r="249">
          <cell r="I249">
            <v>16125</v>
          </cell>
          <cell r="J249">
            <v>15150</v>
          </cell>
          <cell r="K249">
            <v>15150</v>
          </cell>
        </row>
        <row r="250">
          <cell r="D250" t="str">
            <v/>
          </cell>
          <cell r="E250">
            <v>168829885</v>
          </cell>
          <cell r="F250">
            <v>126814952</v>
          </cell>
          <cell r="G250">
            <v>23344793</v>
          </cell>
          <cell r="H250">
            <v>569904</v>
          </cell>
          <cell r="I250">
            <v>102900255</v>
          </cell>
          <cell r="J250">
            <v>81579071.99</v>
          </cell>
          <cell r="K250">
            <v>74001312.55</v>
          </cell>
        </row>
        <row r="251">
          <cell r="D251" t="str">
            <v/>
          </cell>
          <cell r="E251">
            <v>87664889</v>
          </cell>
          <cell r="F251">
            <v>75409234</v>
          </cell>
          <cell r="G251">
            <v>10616995</v>
          </cell>
        </row>
        <row r="251">
          <cell r="I251">
            <v>64792239</v>
          </cell>
          <cell r="J251">
            <v>50847068.16</v>
          </cell>
          <cell r="K251">
            <v>46115747.47</v>
          </cell>
        </row>
        <row r="252">
          <cell r="D252" t="str">
            <v/>
          </cell>
          <cell r="E252">
            <v>1456000</v>
          </cell>
          <cell r="F252">
            <v>1456000</v>
          </cell>
        </row>
        <row r="252">
          <cell r="I252">
            <v>1456000</v>
          </cell>
          <cell r="J252">
            <v>620826.06</v>
          </cell>
          <cell r="K252">
            <v>620826.06</v>
          </cell>
        </row>
        <row r="253">
          <cell r="D253" t="str">
            <v>SB22592</v>
          </cell>
          <cell r="E253">
            <v>1456000</v>
          </cell>
          <cell r="F253">
            <v>1456000</v>
          </cell>
        </row>
        <row r="253">
          <cell r="I253">
            <v>1456000</v>
          </cell>
          <cell r="J253">
            <v>620826.06</v>
          </cell>
          <cell r="K253">
            <v>620826.06</v>
          </cell>
        </row>
        <row r="254">
          <cell r="D254" t="str">
            <v/>
          </cell>
          <cell r="E254">
            <v>12525656</v>
          </cell>
          <cell r="F254">
            <v>13074051</v>
          </cell>
          <cell r="G254">
            <v>10218498</v>
          </cell>
        </row>
        <row r="254">
          <cell r="I254">
            <v>2855553</v>
          </cell>
          <cell r="J254">
            <v>5774400.69</v>
          </cell>
          <cell r="K254">
            <v>4492429.69</v>
          </cell>
        </row>
        <row r="255">
          <cell r="D255" t="str">
            <v>SB22381</v>
          </cell>
        </row>
        <row r="255">
          <cell r="J255">
            <v>1163442.5</v>
          </cell>
          <cell r="K255">
            <v>3154805.5</v>
          </cell>
        </row>
        <row r="256">
          <cell r="D256" t="str">
            <v>SB22405</v>
          </cell>
        </row>
        <row r="256">
          <cell r="F256">
            <v>5313598</v>
          </cell>
          <cell r="G256">
            <v>5313598</v>
          </cell>
        </row>
        <row r="257">
          <cell r="D257" t="str">
            <v>SB22539</v>
          </cell>
        </row>
        <row r="257">
          <cell r="F257">
            <v>7760453</v>
          </cell>
          <cell r="G257">
            <v>4904900</v>
          </cell>
        </row>
        <row r="257">
          <cell r="I257">
            <v>2855553</v>
          </cell>
          <cell r="J257">
            <v>4610958.19</v>
          </cell>
          <cell r="K257">
            <v>1337624.19</v>
          </cell>
        </row>
        <row r="258">
          <cell r="D258" t="str">
            <v>SB22664</v>
          </cell>
          <cell r="E258">
            <v>12525656</v>
          </cell>
        </row>
        <row r="259">
          <cell r="D259" t="str">
            <v/>
          </cell>
          <cell r="E259">
            <v>1197840</v>
          </cell>
          <cell r="F259">
            <v>7053358</v>
          </cell>
        </row>
        <row r="259">
          <cell r="I259">
            <v>7053358</v>
          </cell>
          <cell r="J259">
            <v>1027945.06</v>
          </cell>
          <cell r="K259">
            <v>1073620.06</v>
          </cell>
        </row>
        <row r="260">
          <cell r="D260" t="str">
            <v>SB22437</v>
          </cell>
          <cell r="E260">
            <v>1197840</v>
          </cell>
          <cell r="F260">
            <v>7053358</v>
          </cell>
        </row>
        <row r="260">
          <cell r="I260">
            <v>7053358</v>
          </cell>
          <cell r="J260">
            <v>1027945.06</v>
          </cell>
          <cell r="K260">
            <v>1073620.06</v>
          </cell>
        </row>
        <row r="261">
          <cell r="D261" t="str">
            <v/>
          </cell>
          <cell r="E261">
            <v>484950</v>
          </cell>
          <cell r="F261">
            <v>484950</v>
          </cell>
          <cell r="G261">
            <v>480693</v>
          </cell>
        </row>
        <row r="261">
          <cell r="I261">
            <v>4257</v>
          </cell>
        </row>
        <row r="262">
          <cell r="D262" t="str">
            <v>SB22272</v>
          </cell>
          <cell r="E262">
            <v>484950</v>
          </cell>
          <cell r="F262">
            <v>484950</v>
          </cell>
          <cell r="G262">
            <v>480693</v>
          </cell>
        </row>
        <row r="262">
          <cell r="I262">
            <v>4257</v>
          </cell>
        </row>
        <row r="263">
          <cell r="D263" t="str">
            <v/>
          </cell>
          <cell r="E263">
            <v>65828520</v>
          </cell>
          <cell r="F263">
            <v>34032480</v>
          </cell>
          <cell r="G263">
            <v>1650000</v>
          </cell>
        </row>
        <row r="263">
          <cell r="I263">
            <v>35682480</v>
          </cell>
          <cell r="J263">
            <v>38085139</v>
          </cell>
          <cell r="K263">
            <v>25685401.31</v>
          </cell>
        </row>
        <row r="264">
          <cell r="D264" t="str">
            <v>SB22305</v>
          </cell>
        </row>
        <row r="264">
          <cell r="F264">
            <v>23332480</v>
          </cell>
          <cell r="G264">
            <v>1650000</v>
          </cell>
        </row>
        <row r="264">
          <cell r="I264">
            <v>24982480</v>
          </cell>
          <cell r="J264">
            <v>9728235.71</v>
          </cell>
          <cell r="K264">
            <v>14050951.51</v>
          </cell>
        </row>
        <row r="265">
          <cell r="D265" t="str">
            <v>SB22306</v>
          </cell>
        </row>
        <row r="265">
          <cell r="J265">
            <v>228043.35</v>
          </cell>
          <cell r="K265">
            <v>1799035.11</v>
          </cell>
        </row>
        <row r="266">
          <cell r="D266" t="str">
            <v>SB22318</v>
          </cell>
        </row>
        <row r="266">
          <cell r="K266">
            <v>329500</v>
          </cell>
        </row>
        <row r="267">
          <cell r="D267" t="str">
            <v>SB22319</v>
          </cell>
        </row>
        <row r="267">
          <cell r="J267">
            <v>77239.69</v>
          </cell>
          <cell r="K267">
            <v>1930784.69</v>
          </cell>
        </row>
        <row r="268">
          <cell r="D268" t="str">
            <v>SB22320</v>
          </cell>
        </row>
        <row r="268">
          <cell r="F268">
            <v>10700000</v>
          </cell>
        </row>
        <row r="268">
          <cell r="I268">
            <v>10700000</v>
          </cell>
          <cell r="J268">
            <v>4425233</v>
          </cell>
          <cell r="K268">
            <v>4853328</v>
          </cell>
        </row>
        <row r="269">
          <cell r="D269" t="str">
            <v>SB22396</v>
          </cell>
          <cell r="E269">
            <v>3900000</v>
          </cell>
        </row>
        <row r="269">
          <cell r="J269">
            <v>3521802</v>
          </cell>
          <cell r="K269">
            <v>2721802</v>
          </cell>
        </row>
        <row r="270">
          <cell r="D270" t="str">
            <v>SB22561</v>
          </cell>
          <cell r="E270">
            <v>15300000</v>
          </cell>
        </row>
        <row r="270">
          <cell r="J270">
            <v>5635612.25</v>
          </cell>
        </row>
        <row r="271">
          <cell r="D271" t="str">
            <v>SB22562</v>
          </cell>
          <cell r="E271">
            <v>12000000</v>
          </cell>
        </row>
        <row r="271">
          <cell r="J271">
            <v>3988277</v>
          </cell>
        </row>
        <row r="272">
          <cell r="D272" t="str">
            <v>SB22563</v>
          </cell>
          <cell r="E272">
            <v>12000000</v>
          </cell>
        </row>
        <row r="272">
          <cell r="J272">
            <v>4042500</v>
          </cell>
        </row>
        <row r="273">
          <cell r="D273" t="str">
            <v>SB22590</v>
          </cell>
          <cell r="E273">
            <v>11903320</v>
          </cell>
        </row>
        <row r="273">
          <cell r="J273">
            <v>2955196</v>
          </cell>
        </row>
        <row r="274">
          <cell r="D274" t="str">
            <v>SB22591</v>
          </cell>
          <cell r="E274">
            <v>10725200</v>
          </cell>
        </row>
        <row r="274">
          <cell r="J274">
            <v>3483000</v>
          </cell>
        </row>
        <row r="275">
          <cell r="D275" t="str">
            <v/>
          </cell>
          <cell r="E275">
            <v>2917310</v>
          </cell>
          <cell r="F275">
            <v>2917310</v>
          </cell>
          <cell r="G275">
            <v>2917310</v>
          </cell>
        </row>
        <row r="275">
          <cell r="K275">
            <v>191040</v>
          </cell>
        </row>
        <row r="276">
          <cell r="D276" t="str">
            <v>SB22278</v>
          </cell>
          <cell r="E276">
            <v>2917310</v>
          </cell>
          <cell r="F276">
            <v>2917310</v>
          </cell>
          <cell r="G276">
            <v>2917310</v>
          </cell>
        </row>
        <row r="276">
          <cell r="K276">
            <v>191040</v>
          </cell>
        </row>
        <row r="277">
          <cell r="D277" t="str">
            <v/>
          </cell>
        </row>
        <row r="277">
          <cell r="F277">
            <v>12605686</v>
          </cell>
          <cell r="G277">
            <v>284211</v>
          </cell>
        </row>
        <row r="277">
          <cell r="I277">
            <v>12321475</v>
          </cell>
          <cell r="J277">
            <v>1748290</v>
          </cell>
          <cell r="K277">
            <v>4960265</v>
          </cell>
        </row>
        <row r="278">
          <cell r="D278" t="str">
            <v>SB22344</v>
          </cell>
        </row>
        <row r="278">
          <cell r="F278">
            <v>12321475</v>
          </cell>
        </row>
        <row r="278">
          <cell r="I278">
            <v>12321475</v>
          </cell>
          <cell r="J278">
            <v>1573290</v>
          </cell>
          <cell r="K278">
            <v>4949540</v>
          </cell>
        </row>
        <row r="279">
          <cell r="D279" t="str">
            <v>SB22404</v>
          </cell>
        </row>
        <row r="279">
          <cell r="K279">
            <v>10725</v>
          </cell>
        </row>
        <row r="280">
          <cell r="D280" t="str">
            <v>SB22527</v>
          </cell>
        </row>
        <row r="280">
          <cell r="F280">
            <v>284211</v>
          </cell>
          <cell r="G280">
            <v>284211</v>
          </cell>
        </row>
        <row r="280">
          <cell r="J280">
            <v>175000</v>
          </cell>
        </row>
        <row r="281">
          <cell r="D281" t="str">
            <v/>
          </cell>
          <cell r="E281">
            <v>2099625</v>
          </cell>
        </row>
        <row r="281">
          <cell r="G281">
            <v>2099625</v>
          </cell>
        </row>
        <row r="281">
          <cell r="I281">
            <v>2099625</v>
          </cell>
          <cell r="J281">
            <v>1547166</v>
          </cell>
          <cell r="K281">
            <v>1547166</v>
          </cell>
        </row>
        <row r="282">
          <cell r="D282" t="str">
            <v>SB22612</v>
          </cell>
          <cell r="E282">
            <v>2099625</v>
          </cell>
        </row>
        <row r="282">
          <cell r="G282">
            <v>2099625</v>
          </cell>
        </row>
        <row r="282">
          <cell r="I282">
            <v>2099625</v>
          </cell>
          <cell r="J282">
            <v>1547166</v>
          </cell>
          <cell r="K282">
            <v>1547166</v>
          </cell>
        </row>
        <row r="283">
          <cell r="D283" t="str">
            <v/>
          </cell>
        </row>
        <row r="283">
          <cell r="K283">
            <v>30000</v>
          </cell>
        </row>
        <row r="284">
          <cell r="D284" t="str">
            <v>SB22254</v>
          </cell>
        </row>
        <row r="284">
          <cell r="K284">
            <v>30000</v>
          </cell>
        </row>
        <row r="285">
          <cell r="D285" t="str">
            <v/>
          </cell>
        </row>
        <row r="285">
          <cell r="K285">
            <v>1553200</v>
          </cell>
        </row>
        <row r="286">
          <cell r="D286" t="str">
            <v>SB22316</v>
          </cell>
        </row>
        <row r="286">
          <cell r="K286">
            <v>1553200</v>
          </cell>
        </row>
        <row r="287">
          <cell r="D287" t="str">
            <v/>
          </cell>
        </row>
        <row r="287">
          <cell r="F287">
            <v>928816</v>
          </cell>
          <cell r="G287">
            <v>928816</v>
          </cell>
        </row>
        <row r="288">
          <cell r="D288" t="str">
            <v>SB22448</v>
          </cell>
        </row>
        <row r="288">
          <cell r="F288">
            <v>928816</v>
          </cell>
          <cell r="G288">
            <v>928816</v>
          </cell>
        </row>
        <row r="289">
          <cell r="D289" t="str">
            <v/>
          </cell>
          <cell r="E289">
            <v>437265</v>
          </cell>
        </row>
        <row r="289">
          <cell r="G289">
            <v>437265</v>
          </cell>
        </row>
        <row r="289">
          <cell r="I289">
            <v>437265</v>
          </cell>
        </row>
        <row r="290">
          <cell r="D290" t="str">
            <v>SB22622</v>
          </cell>
          <cell r="E290">
            <v>437265</v>
          </cell>
        </row>
        <row r="290">
          <cell r="G290">
            <v>437265</v>
          </cell>
        </row>
        <row r="290">
          <cell r="I290">
            <v>437265</v>
          </cell>
        </row>
        <row r="291">
          <cell r="D291" t="str">
            <v/>
          </cell>
        </row>
        <row r="291">
          <cell r="K291">
            <v>692150</v>
          </cell>
        </row>
        <row r="292">
          <cell r="D292" t="str">
            <v>SB22158</v>
          </cell>
        </row>
        <row r="292">
          <cell r="K292">
            <v>692150</v>
          </cell>
        </row>
        <row r="293">
          <cell r="D293" t="str">
            <v/>
          </cell>
          <cell r="E293">
            <v>717723</v>
          </cell>
          <cell r="F293">
            <v>2856583</v>
          </cell>
          <cell r="G293">
            <v>25643</v>
          </cell>
        </row>
        <row r="293">
          <cell r="I293">
            <v>2882226</v>
          </cell>
          <cell r="J293">
            <v>1845301.35</v>
          </cell>
          <cell r="K293">
            <v>4674751.35</v>
          </cell>
        </row>
        <row r="294">
          <cell r="D294" t="str">
            <v>SB22343</v>
          </cell>
        </row>
        <row r="294">
          <cell r="K294">
            <v>3075000</v>
          </cell>
        </row>
        <row r="295">
          <cell r="D295" t="str">
            <v>SB22498</v>
          </cell>
        </row>
        <row r="295">
          <cell r="J295">
            <v>99741.6</v>
          </cell>
          <cell r="K295">
            <v>119741.6</v>
          </cell>
        </row>
        <row r="296">
          <cell r="D296" t="str">
            <v>SB22551</v>
          </cell>
        </row>
        <row r="296">
          <cell r="F296">
            <v>699894</v>
          </cell>
          <cell r="G296">
            <v>699894</v>
          </cell>
        </row>
        <row r="296">
          <cell r="J296">
            <v>458120</v>
          </cell>
          <cell r="K296">
            <v>303120</v>
          </cell>
        </row>
        <row r="297">
          <cell r="D297" t="str">
            <v>SB22557</v>
          </cell>
        </row>
        <row r="297">
          <cell r="K297">
            <v>138700</v>
          </cell>
        </row>
        <row r="298">
          <cell r="D298" t="str">
            <v>SB22574</v>
          </cell>
        </row>
        <row r="298">
          <cell r="F298">
            <v>2156689</v>
          </cell>
        </row>
        <row r="298">
          <cell r="I298">
            <v>2156689</v>
          </cell>
          <cell r="J298">
            <v>1038189.75</v>
          </cell>
          <cell r="K298">
            <v>1038189.75</v>
          </cell>
        </row>
        <row r="299">
          <cell r="D299" t="str">
            <v>SB22656</v>
          </cell>
          <cell r="E299">
            <v>717723</v>
          </cell>
        </row>
        <row r="299">
          <cell r="G299">
            <v>725537</v>
          </cell>
        </row>
        <row r="299">
          <cell r="I299">
            <v>725537</v>
          </cell>
          <cell r="J299">
            <v>249250</v>
          </cell>
        </row>
        <row r="300">
          <cell r="D300" t="str">
            <v/>
          </cell>
        </row>
        <row r="300">
          <cell r="J300">
            <v>198000</v>
          </cell>
          <cell r="K300">
            <v>45000</v>
          </cell>
        </row>
        <row r="301">
          <cell r="D301" t="str">
            <v>SB22115</v>
          </cell>
        </row>
        <row r="301">
          <cell r="J301">
            <v>198000</v>
          </cell>
          <cell r="K301">
            <v>45000</v>
          </cell>
        </row>
        <row r="302">
          <cell r="D302" t="str">
            <v/>
          </cell>
        </row>
        <row r="302">
          <cell r="K302">
            <v>541000</v>
          </cell>
        </row>
        <row r="303">
          <cell r="D303" t="str">
            <v>SB22329</v>
          </cell>
        </row>
        <row r="303">
          <cell r="K303">
            <v>541000</v>
          </cell>
        </row>
        <row r="304">
          <cell r="D304" t="str">
            <v/>
          </cell>
        </row>
        <row r="304">
          <cell r="K304">
            <v>8898</v>
          </cell>
        </row>
        <row r="305">
          <cell r="D305" t="str">
            <v>SB22459</v>
          </cell>
        </row>
        <row r="305">
          <cell r="K305">
            <v>8898</v>
          </cell>
        </row>
        <row r="306">
          <cell r="D306" t="str">
            <v/>
          </cell>
          <cell r="E306">
            <v>24023845</v>
          </cell>
          <cell r="F306">
            <v>4235</v>
          </cell>
          <cell r="G306">
            <v>3518535</v>
          </cell>
          <cell r="H306">
            <v>54004</v>
          </cell>
          <cell r="I306">
            <v>3468766</v>
          </cell>
          <cell r="J306">
            <v>9547357.27</v>
          </cell>
          <cell r="K306">
            <v>8922050.75</v>
          </cell>
        </row>
        <row r="307">
          <cell r="D307" t="str">
            <v/>
          </cell>
          <cell r="E307">
            <v>24023845</v>
          </cell>
          <cell r="F307">
            <v>4235</v>
          </cell>
          <cell r="G307">
            <v>3518535</v>
          </cell>
          <cell r="H307">
            <v>54004</v>
          </cell>
          <cell r="I307">
            <v>3468766</v>
          </cell>
          <cell r="J307">
            <v>9547357.27</v>
          </cell>
          <cell r="K307">
            <v>8922050.75</v>
          </cell>
        </row>
        <row r="308">
          <cell r="D308" t="str">
            <v>SB22204</v>
          </cell>
        </row>
        <row r="308">
          <cell r="H308">
            <v>54004</v>
          </cell>
          <cell r="I308">
            <v>54004</v>
          </cell>
        </row>
        <row r="309">
          <cell r="D309" t="str">
            <v>SB22460</v>
          </cell>
        </row>
        <row r="309">
          <cell r="K309">
            <v>55000</v>
          </cell>
        </row>
        <row r="310">
          <cell r="D310" t="str">
            <v>SB22615</v>
          </cell>
          <cell r="E310">
            <v>24019610</v>
          </cell>
        </row>
        <row r="310">
          <cell r="J310">
            <v>9431153.77</v>
          </cell>
          <cell r="K310">
            <v>8867050.75</v>
          </cell>
        </row>
        <row r="311">
          <cell r="D311" t="str">
            <v>SB22618</v>
          </cell>
          <cell r="E311">
            <v>4235</v>
          </cell>
          <cell r="F311">
            <v>4235</v>
          </cell>
          <cell r="G311">
            <v>3518535</v>
          </cell>
        </row>
        <row r="311">
          <cell r="I311">
            <v>3522770</v>
          </cell>
          <cell r="J311">
            <v>116203.5</v>
          </cell>
        </row>
        <row r="312">
          <cell r="D312" t="str">
            <v/>
          </cell>
          <cell r="E312">
            <v>8383360</v>
          </cell>
          <cell r="F312">
            <v>1798800</v>
          </cell>
          <cell r="G312">
            <v>3620460</v>
          </cell>
          <cell r="H312">
            <v>515900</v>
          </cell>
          <cell r="I312">
            <v>4903360</v>
          </cell>
          <cell r="J312">
            <v>3784789.22</v>
          </cell>
          <cell r="K312">
            <v>1798443.99</v>
          </cell>
        </row>
        <row r="313">
          <cell r="D313" t="str">
            <v/>
          </cell>
          <cell r="E313">
            <v>2050000</v>
          </cell>
          <cell r="F313">
            <v>250000</v>
          </cell>
          <cell r="G313">
            <v>250000</v>
          </cell>
        </row>
        <row r="313">
          <cell r="J313">
            <v>899726.73</v>
          </cell>
          <cell r="K313">
            <v>1139500</v>
          </cell>
        </row>
        <row r="314">
          <cell r="D314" t="str">
            <v>SB22414</v>
          </cell>
          <cell r="E314">
            <v>250000</v>
          </cell>
          <cell r="F314">
            <v>250000</v>
          </cell>
          <cell r="G314">
            <v>250000</v>
          </cell>
        </row>
        <row r="314">
          <cell r="K314">
            <v>1139500</v>
          </cell>
        </row>
        <row r="315">
          <cell r="D315" t="str">
            <v>SB22626</v>
          </cell>
          <cell r="E315">
            <v>1800000</v>
          </cell>
        </row>
        <row r="315">
          <cell r="J315">
            <v>899726.73</v>
          </cell>
        </row>
        <row r="316">
          <cell r="D316" t="str">
            <v/>
          </cell>
          <cell r="E316">
            <v>6333360</v>
          </cell>
          <cell r="F316">
            <v>1548800</v>
          </cell>
          <cell r="G316">
            <v>3870460</v>
          </cell>
          <cell r="H316">
            <v>515900</v>
          </cell>
          <cell r="I316">
            <v>4903360</v>
          </cell>
          <cell r="J316">
            <v>2885062.49</v>
          </cell>
          <cell r="K316">
            <v>658943.99</v>
          </cell>
        </row>
        <row r="317">
          <cell r="D317" t="str">
            <v>SB22559</v>
          </cell>
          <cell r="E317">
            <v>2150500</v>
          </cell>
        </row>
        <row r="317">
          <cell r="G317">
            <v>2150500</v>
          </cell>
        </row>
        <row r="317">
          <cell r="I317">
            <v>2150500</v>
          </cell>
          <cell r="J317">
            <v>1561642.5</v>
          </cell>
          <cell r="K317">
            <v>299730</v>
          </cell>
        </row>
        <row r="318">
          <cell r="D318" t="str">
            <v>SB22560</v>
          </cell>
          <cell r="E318">
            <v>515900</v>
          </cell>
          <cell r="F318">
            <v>1548800</v>
          </cell>
        </row>
        <row r="318">
          <cell r="H318">
            <v>515900</v>
          </cell>
          <cell r="I318">
            <v>1032900</v>
          </cell>
          <cell r="J318">
            <v>302103.99</v>
          </cell>
          <cell r="K318">
            <v>351863.99</v>
          </cell>
        </row>
        <row r="319">
          <cell r="D319" t="str">
            <v>SB22623</v>
          </cell>
          <cell r="E319">
            <v>1719960</v>
          </cell>
        </row>
        <row r="319">
          <cell r="G319">
            <v>1719960</v>
          </cell>
        </row>
        <row r="319">
          <cell r="I319">
            <v>1719960</v>
          </cell>
          <cell r="J319">
            <v>1021316</v>
          </cell>
          <cell r="K319">
            <v>7350</v>
          </cell>
        </row>
        <row r="320">
          <cell r="D320" t="str">
            <v>SB22666</v>
          </cell>
          <cell r="E320">
            <v>1947000</v>
          </cell>
        </row>
        <row r="321">
          <cell r="D321" t="str">
            <v/>
          </cell>
          <cell r="E321">
            <v>48757791</v>
          </cell>
          <cell r="F321">
            <v>49602683</v>
          </cell>
          <cell r="G321">
            <v>19866793</v>
          </cell>
        </row>
        <row r="321">
          <cell r="I321">
            <v>29735890</v>
          </cell>
          <cell r="J321">
            <v>17399857.34</v>
          </cell>
          <cell r="K321">
            <v>17165070.34</v>
          </cell>
        </row>
        <row r="322">
          <cell r="D322" t="str">
            <v/>
          </cell>
          <cell r="E322">
            <v>19101302</v>
          </cell>
          <cell r="F322">
            <v>1568753</v>
          </cell>
          <cell r="G322">
            <v>5322150</v>
          </cell>
        </row>
        <row r="322">
          <cell r="I322">
            <v>6890903</v>
          </cell>
          <cell r="J322">
            <v>9547136.74</v>
          </cell>
          <cell r="K322">
            <v>4906791.74</v>
          </cell>
        </row>
        <row r="323">
          <cell r="D323" t="str">
            <v>SB22263</v>
          </cell>
        </row>
        <row r="323">
          <cell r="G323">
            <v>6890903</v>
          </cell>
        </row>
        <row r="323">
          <cell r="I323">
            <v>6890903</v>
          </cell>
          <cell r="J323">
            <v>7489269.6</v>
          </cell>
          <cell r="K323">
            <v>3695140.6</v>
          </cell>
        </row>
        <row r="324">
          <cell r="D324" t="str">
            <v>SB22477</v>
          </cell>
        </row>
        <row r="324">
          <cell r="F324">
            <v>1568753</v>
          </cell>
          <cell r="G324">
            <v>1568753</v>
          </cell>
        </row>
        <row r="324">
          <cell r="J324">
            <v>849067.14</v>
          </cell>
          <cell r="K324">
            <v>1211651.14</v>
          </cell>
        </row>
        <row r="325">
          <cell r="D325" t="str">
            <v>SB22640</v>
          </cell>
          <cell r="E325">
            <v>10901297</v>
          </cell>
        </row>
        <row r="325">
          <cell r="J325">
            <v>1133800</v>
          </cell>
        </row>
        <row r="326">
          <cell r="D326" t="str">
            <v>SB22657</v>
          </cell>
          <cell r="E326">
            <v>8200005</v>
          </cell>
        </row>
        <row r="326">
          <cell r="J326">
            <v>75000</v>
          </cell>
        </row>
        <row r="327">
          <cell r="D327" t="str">
            <v/>
          </cell>
          <cell r="E327">
            <v>3311169</v>
          </cell>
          <cell r="F327">
            <v>2475150</v>
          </cell>
          <cell r="G327">
            <v>779970</v>
          </cell>
        </row>
        <row r="327">
          <cell r="I327">
            <v>1695180</v>
          </cell>
          <cell r="J327">
            <v>292512.5</v>
          </cell>
          <cell r="K327">
            <v>1608692.5</v>
          </cell>
        </row>
        <row r="328">
          <cell r="D328" t="str">
            <v>SB22475</v>
          </cell>
        </row>
        <row r="328">
          <cell r="K328">
            <v>1312055</v>
          </cell>
        </row>
        <row r="329">
          <cell r="D329" t="str">
            <v>SB22483</v>
          </cell>
        </row>
        <row r="329">
          <cell r="F329">
            <v>2475150</v>
          </cell>
          <cell r="G329">
            <v>2475150</v>
          </cell>
        </row>
        <row r="329">
          <cell r="K329">
            <v>187950</v>
          </cell>
        </row>
        <row r="330">
          <cell r="D330" t="str">
            <v>SB22577</v>
          </cell>
          <cell r="E330">
            <v>2450000</v>
          </cell>
        </row>
        <row r="330">
          <cell r="G330">
            <v>832754</v>
          </cell>
        </row>
        <row r="330">
          <cell r="I330">
            <v>832754</v>
          </cell>
          <cell r="J330">
            <v>63687.5</v>
          </cell>
          <cell r="K330">
            <v>63687.5</v>
          </cell>
        </row>
        <row r="331">
          <cell r="D331" t="str">
            <v>SB22646</v>
          </cell>
          <cell r="E331">
            <v>861169</v>
          </cell>
        </row>
        <row r="331">
          <cell r="G331">
            <v>862426</v>
          </cell>
        </row>
        <row r="331">
          <cell r="I331">
            <v>862426</v>
          </cell>
          <cell r="J331">
            <v>228825</v>
          </cell>
          <cell r="K331">
            <v>45000</v>
          </cell>
        </row>
        <row r="332">
          <cell r="D332" t="str">
            <v/>
          </cell>
          <cell r="E332">
            <v>1662370</v>
          </cell>
        </row>
        <row r="332">
          <cell r="G332">
            <v>1610670</v>
          </cell>
        </row>
        <row r="332">
          <cell r="I332">
            <v>1610670</v>
          </cell>
          <cell r="J332">
            <v>5188</v>
          </cell>
          <cell r="K332">
            <v>5188</v>
          </cell>
        </row>
        <row r="333">
          <cell r="D333" t="str">
            <v>SB22598</v>
          </cell>
          <cell r="E333">
            <v>1662370</v>
          </cell>
        </row>
        <row r="333">
          <cell r="G333">
            <v>1610670</v>
          </cell>
        </row>
        <row r="333">
          <cell r="I333">
            <v>1610670</v>
          </cell>
          <cell r="J333">
            <v>5188</v>
          </cell>
          <cell r="K333">
            <v>5188</v>
          </cell>
        </row>
        <row r="334">
          <cell r="D334" t="str">
            <v/>
          </cell>
          <cell r="E334">
            <v>3031200</v>
          </cell>
          <cell r="F334">
            <v>7892880</v>
          </cell>
          <cell r="G334">
            <v>7894260</v>
          </cell>
        </row>
        <row r="334">
          <cell r="I334">
            <v>1380</v>
          </cell>
          <cell r="J334">
            <v>2168447.76</v>
          </cell>
          <cell r="K334">
            <v>4785048.76</v>
          </cell>
        </row>
        <row r="335">
          <cell r="D335" t="str">
            <v>SB22500</v>
          </cell>
        </row>
        <row r="335">
          <cell r="F335">
            <v>7892880</v>
          </cell>
          <cell r="G335">
            <v>7894260</v>
          </cell>
        </row>
        <row r="335">
          <cell r="I335">
            <v>1380</v>
          </cell>
          <cell r="J335">
            <v>1002047.76</v>
          </cell>
          <cell r="K335">
            <v>4785048.76</v>
          </cell>
        </row>
        <row r="336">
          <cell r="D336" t="str">
            <v>SB22662</v>
          </cell>
          <cell r="E336">
            <v>3031200</v>
          </cell>
        </row>
        <row r="336">
          <cell r="J336">
            <v>1166400</v>
          </cell>
        </row>
        <row r="337">
          <cell r="D337" t="str">
            <v/>
          </cell>
          <cell r="E337">
            <v>16052150</v>
          </cell>
          <cell r="F337">
            <v>16052150</v>
          </cell>
          <cell r="G337">
            <v>11025023</v>
          </cell>
        </row>
        <row r="337">
          <cell r="I337">
            <v>5027127</v>
          </cell>
        </row>
        <row r="338">
          <cell r="D338" t="str">
            <v>SB22159</v>
          </cell>
          <cell r="E338">
            <v>9178650</v>
          </cell>
          <cell r="F338">
            <v>9178650</v>
          </cell>
          <cell r="G338">
            <v>11025023</v>
          </cell>
        </row>
        <row r="338">
          <cell r="I338">
            <v>1846373</v>
          </cell>
        </row>
        <row r="339">
          <cell r="D339" t="str">
            <v>SB22613</v>
          </cell>
          <cell r="E339">
            <v>6873500</v>
          </cell>
          <cell r="F339">
            <v>6873500</v>
          </cell>
        </row>
        <row r="339">
          <cell r="I339">
            <v>6873500</v>
          </cell>
        </row>
        <row r="340">
          <cell r="D340" t="str">
            <v/>
          </cell>
          <cell r="E340">
            <v>5599600</v>
          </cell>
          <cell r="F340">
            <v>21613750</v>
          </cell>
          <cell r="G340">
            <v>7100360</v>
          </cell>
        </row>
        <row r="340">
          <cell r="I340">
            <v>14513390</v>
          </cell>
          <cell r="J340">
            <v>5386572.34</v>
          </cell>
          <cell r="K340">
            <v>5859349.34</v>
          </cell>
        </row>
        <row r="341">
          <cell r="D341" t="str">
            <v>SB22455</v>
          </cell>
        </row>
        <row r="341">
          <cell r="F341">
            <v>14000000</v>
          </cell>
          <cell r="G341">
            <v>14000000</v>
          </cell>
        </row>
        <row r="341">
          <cell r="J341">
            <v>550000</v>
          </cell>
          <cell r="K341">
            <v>3294032</v>
          </cell>
        </row>
        <row r="342">
          <cell r="D342" t="str">
            <v>SB22569</v>
          </cell>
          <cell r="E342">
            <v>5599600</v>
          </cell>
          <cell r="F342">
            <v>7613750</v>
          </cell>
          <cell r="G342">
            <v>6899640</v>
          </cell>
        </row>
        <row r="342">
          <cell r="I342">
            <v>14513390</v>
          </cell>
          <cell r="J342">
            <v>4836572.34</v>
          </cell>
          <cell r="K342">
            <v>2565317.34</v>
          </cell>
        </row>
        <row r="343">
          <cell r="D343" t="str">
            <v/>
          </cell>
          <cell r="E343">
            <v>134164</v>
          </cell>
          <cell r="F343">
            <v>134164</v>
          </cell>
        </row>
        <row r="343">
          <cell r="I343">
            <v>134164</v>
          </cell>
        </row>
        <row r="344">
          <cell r="D344" t="str">
            <v/>
          </cell>
          <cell r="E344">
            <v>134164</v>
          </cell>
          <cell r="F344">
            <v>134164</v>
          </cell>
        </row>
        <row r="344">
          <cell r="I344">
            <v>134164</v>
          </cell>
        </row>
        <row r="345">
          <cell r="D345" t="str">
            <v>SB21466</v>
          </cell>
          <cell r="E345">
            <v>134164</v>
          </cell>
          <cell r="F345">
            <v>134164</v>
          </cell>
        </row>
        <row r="345">
          <cell r="I345">
            <v>134164</v>
          </cell>
        </row>
        <row r="346">
          <cell r="D346" t="str">
            <v/>
          </cell>
          <cell r="E346" t="str">
            <v>31,26,36,241.07</v>
          </cell>
          <cell r="F346" t="str">
            <v>22,51,27,337.85</v>
          </cell>
          <cell r="G346" t="str">
            <v>(-)55,30,092.08</v>
          </cell>
          <cell r="H346" t="str">
            <v>34,55,767.76</v>
          </cell>
          <cell r="I346" t="str">
            <v>21,61,41,478.01</v>
          </cell>
          <cell r="J346" t="str">
            <v>16,93,88,477.79</v>
          </cell>
          <cell r="K346" t="str">
            <v>15,08,51,276.30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bizMGMReportResults"/>
    </sheetNames>
    <sheetDataSet>
      <sheetData sheetId="0">
        <row r="1">
          <cell r="E1" t="str">
            <v>Project Code</v>
          </cell>
          <cell r="F1" t="str">
            <v>SO Value</v>
          </cell>
          <cell r="G1" t="str">
            <v>SB Value</v>
          </cell>
          <cell r="H1" t="str">
            <v>JVValue(S)</v>
          </cell>
          <cell r="I1" t="str">
            <v>Credit Note</v>
          </cell>
          <cell r="J1" t="str">
            <v>Net Sales</v>
          </cell>
          <cell r="K1" t="str">
            <v>PO Value</v>
          </cell>
          <cell r="L1" t="str">
            <v>PB Value</v>
          </cell>
          <cell r="M1" t="str">
            <v>Expense Report</v>
          </cell>
          <cell r="N1" t="str">
            <v>JVValue(P)</v>
          </cell>
          <cell r="O1" t="str">
            <v>Debit Note</v>
          </cell>
          <cell r="P1" t="str">
            <v>Net Expenses</v>
          </cell>
          <cell r="Q1" t="str">
            <v>Gross Expenses</v>
          </cell>
          <cell r="R1" t="str">
            <v>Planned Margin</v>
          </cell>
          <cell r="S1" t="str">
            <v>Actual Margin</v>
          </cell>
        </row>
        <row r="2">
          <cell r="E2" t="str">
            <v>SB22621</v>
          </cell>
          <cell r="F2">
            <v>198375</v>
          </cell>
          <cell r="G2">
            <v>198375</v>
          </cell>
          <cell r="H2">
            <v>0</v>
          </cell>
          <cell r="I2">
            <v>0</v>
          </cell>
          <cell r="J2">
            <v>198375</v>
          </cell>
          <cell r="K2">
            <v>141550</v>
          </cell>
          <cell r="L2">
            <v>141550</v>
          </cell>
          <cell r="M2">
            <v>0</v>
          </cell>
          <cell r="N2">
            <v>13450</v>
          </cell>
          <cell r="O2">
            <v>0</v>
          </cell>
          <cell r="P2">
            <v>155000</v>
          </cell>
          <cell r="Q2">
            <v>155000</v>
          </cell>
          <cell r="R2">
            <v>56825</v>
          </cell>
          <cell r="S2">
            <v>43375</v>
          </cell>
        </row>
        <row r="3">
          <cell r="E3" t="str">
            <v>SB22611</v>
          </cell>
          <cell r="F3">
            <v>381205</v>
          </cell>
          <cell r="G3">
            <v>381205</v>
          </cell>
          <cell r="H3">
            <v>0</v>
          </cell>
          <cell r="I3">
            <v>0</v>
          </cell>
          <cell r="J3">
            <v>381205</v>
          </cell>
          <cell r="K3">
            <v>218856</v>
          </cell>
          <cell r="L3">
            <v>202856</v>
          </cell>
          <cell r="M3">
            <v>3089</v>
          </cell>
          <cell r="N3">
            <v>16000</v>
          </cell>
          <cell r="O3">
            <v>0</v>
          </cell>
          <cell r="P3">
            <v>221945</v>
          </cell>
          <cell r="Q3">
            <v>234856</v>
          </cell>
          <cell r="R3">
            <v>162349</v>
          </cell>
          <cell r="S3">
            <v>159260</v>
          </cell>
        </row>
        <row r="4">
          <cell r="E4" t="str">
            <v>SB22647</v>
          </cell>
          <cell r="F4">
            <v>0</v>
          </cell>
          <cell r="G4">
            <v>0</v>
          </cell>
          <cell r="H4">
            <v>97440</v>
          </cell>
          <cell r="I4">
            <v>0</v>
          </cell>
          <cell r="J4">
            <v>97440</v>
          </cell>
          <cell r="K4">
            <v>0</v>
          </cell>
          <cell r="L4">
            <v>0</v>
          </cell>
          <cell r="M4">
            <v>0</v>
          </cell>
          <cell r="N4">
            <v>65000</v>
          </cell>
          <cell r="O4">
            <v>0</v>
          </cell>
          <cell r="P4">
            <v>65000</v>
          </cell>
          <cell r="Q4">
            <v>65000</v>
          </cell>
          <cell r="R4">
            <v>0</v>
          </cell>
          <cell r="S4">
            <v>32440</v>
          </cell>
        </row>
        <row r="5">
          <cell r="E5" t="str">
            <v>SB21992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19848.91</v>
          </cell>
          <cell r="N5">
            <v>-19848.91</v>
          </cell>
          <cell r="O5">
            <v>0</v>
          </cell>
          <cell r="P5">
            <v>0</v>
          </cell>
          <cell r="Q5">
            <v>-19848.91</v>
          </cell>
          <cell r="R5">
            <v>0</v>
          </cell>
          <cell r="S5">
            <v>0</v>
          </cell>
        </row>
        <row r="6">
          <cell r="E6" t="str">
            <v>SB22666</v>
          </cell>
          <cell r="F6">
            <v>1947000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603426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603426</v>
          </cell>
          <cell r="R6">
            <v>1343574</v>
          </cell>
          <cell r="S6">
            <v>0</v>
          </cell>
        </row>
        <row r="7">
          <cell r="E7" t="str">
            <v>SB22662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1166400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1166400</v>
          </cell>
          <cell r="R7">
            <v>-1166400</v>
          </cell>
          <cell r="S7">
            <v>0</v>
          </cell>
        </row>
        <row r="8">
          <cell r="E8" t="str">
            <v>SB22664</v>
          </cell>
          <cell r="F8">
            <v>12016638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12016638</v>
          </cell>
          <cell r="S8">
            <v>0</v>
          </cell>
        </row>
        <row r="9">
          <cell r="E9" t="str">
            <v>SB22659</v>
          </cell>
          <cell r="F9">
            <v>178178</v>
          </cell>
          <cell r="G9">
            <v>0</v>
          </cell>
          <cell r="H9">
            <v>178178</v>
          </cell>
          <cell r="I9">
            <v>0</v>
          </cell>
          <cell r="J9">
            <v>178178</v>
          </cell>
          <cell r="K9">
            <v>0</v>
          </cell>
          <cell r="L9">
            <v>0</v>
          </cell>
          <cell r="M9">
            <v>0</v>
          </cell>
          <cell r="N9">
            <v>140000</v>
          </cell>
          <cell r="O9">
            <v>0</v>
          </cell>
          <cell r="P9">
            <v>140000</v>
          </cell>
          <cell r="Q9">
            <v>140000</v>
          </cell>
          <cell r="R9">
            <v>178178</v>
          </cell>
          <cell r="S9">
            <v>38178</v>
          </cell>
        </row>
        <row r="10">
          <cell r="E10" t="str">
            <v>SB22657</v>
          </cell>
          <cell r="F10">
            <v>8200005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75000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75000</v>
          </cell>
          <cell r="R10">
            <v>8125005</v>
          </cell>
          <cell r="S10">
            <v>0</v>
          </cell>
        </row>
        <row r="11">
          <cell r="E11" t="str">
            <v>SB22658</v>
          </cell>
          <cell r="F11">
            <v>453325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453325</v>
          </cell>
          <cell r="S11">
            <v>0</v>
          </cell>
        </row>
        <row r="12">
          <cell r="E12" t="str">
            <v>SB22656</v>
          </cell>
          <cell r="F12">
            <v>717723</v>
          </cell>
          <cell r="G12">
            <v>0</v>
          </cell>
          <cell r="H12">
            <v>725537</v>
          </cell>
          <cell r="I12">
            <v>0</v>
          </cell>
          <cell r="J12">
            <v>725537</v>
          </cell>
          <cell r="K12">
            <v>249250</v>
          </cell>
          <cell r="L12">
            <v>0</v>
          </cell>
          <cell r="M12">
            <v>0</v>
          </cell>
          <cell r="N12">
            <v>575537</v>
          </cell>
          <cell r="O12">
            <v>0</v>
          </cell>
          <cell r="P12">
            <v>575537</v>
          </cell>
          <cell r="Q12">
            <v>824787</v>
          </cell>
          <cell r="R12">
            <v>468473</v>
          </cell>
          <cell r="S12">
            <v>150000</v>
          </cell>
        </row>
        <row r="13">
          <cell r="E13" t="str">
            <v>SB22654</v>
          </cell>
          <cell r="F13">
            <v>0</v>
          </cell>
          <cell r="G13">
            <v>0</v>
          </cell>
          <cell r="H13">
            <v>209293</v>
          </cell>
          <cell r="I13">
            <v>0</v>
          </cell>
          <cell r="J13">
            <v>209293</v>
          </cell>
          <cell r="K13">
            <v>0</v>
          </cell>
          <cell r="L13">
            <v>0</v>
          </cell>
          <cell r="M13">
            <v>0</v>
          </cell>
          <cell r="N13">
            <v>150000</v>
          </cell>
          <cell r="O13">
            <v>0</v>
          </cell>
          <cell r="P13">
            <v>150000</v>
          </cell>
          <cell r="Q13">
            <v>150000</v>
          </cell>
          <cell r="R13">
            <v>0</v>
          </cell>
          <cell r="S13">
            <v>59293</v>
          </cell>
        </row>
        <row r="14">
          <cell r="E14" t="str">
            <v>SB22655</v>
          </cell>
          <cell r="F14">
            <v>822946.97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822946.97</v>
          </cell>
          <cell r="S14">
            <v>0</v>
          </cell>
        </row>
        <row r="15">
          <cell r="E15" t="str">
            <v>SB22652</v>
          </cell>
          <cell r="F15">
            <v>0</v>
          </cell>
          <cell r="G15">
            <v>0</v>
          </cell>
          <cell r="H15">
            <v>10010</v>
          </cell>
          <cell r="I15">
            <v>0</v>
          </cell>
          <cell r="J15">
            <v>10010</v>
          </cell>
          <cell r="K15">
            <v>0</v>
          </cell>
          <cell r="L15">
            <v>0</v>
          </cell>
          <cell r="M15">
            <v>0</v>
          </cell>
          <cell r="N15">
            <v>7500</v>
          </cell>
          <cell r="O15">
            <v>0</v>
          </cell>
          <cell r="P15">
            <v>7500</v>
          </cell>
          <cell r="Q15">
            <v>7500</v>
          </cell>
          <cell r="R15">
            <v>0</v>
          </cell>
          <cell r="S15">
            <v>2510</v>
          </cell>
        </row>
        <row r="16">
          <cell r="E16" t="str">
            <v>SB22651</v>
          </cell>
          <cell r="F16">
            <v>437059.04</v>
          </cell>
          <cell r="G16">
            <v>0</v>
          </cell>
          <cell r="H16">
            <v>437059</v>
          </cell>
          <cell r="I16">
            <v>0</v>
          </cell>
          <cell r="J16">
            <v>437059</v>
          </cell>
          <cell r="K16">
            <v>0</v>
          </cell>
          <cell r="L16">
            <v>0</v>
          </cell>
          <cell r="M16">
            <v>0</v>
          </cell>
          <cell r="N16">
            <v>310000</v>
          </cell>
          <cell r="O16">
            <v>0</v>
          </cell>
          <cell r="P16">
            <v>310000</v>
          </cell>
          <cell r="Q16">
            <v>310000</v>
          </cell>
          <cell r="R16">
            <v>437059.04</v>
          </cell>
          <cell r="S16">
            <v>127059</v>
          </cell>
        </row>
        <row r="17">
          <cell r="E17" t="str">
            <v>SB22650</v>
          </cell>
          <cell r="F17">
            <v>1478362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1478362</v>
          </cell>
          <cell r="S17">
            <v>0</v>
          </cell>
        </row>
        <row r="18">
          <cell r="E18" t="str">
            <v>SB22649</v>
          </cell>
          <cell r="F18">
            <v>100100</v>
          </cell>
          <cell r="G18">
            <v>0</v>
          </cell>
          <cell r="H18">
            <v>100100</v>
          </cell>
          <cell r="I18">
            <v>0</v>
          </cell>
          <cell r="J18">
            <v>100100</v>
          </cell>
          <cell r="K18">
            <v>85000</v>
          </cell>
          <cell r="L18">
            <v>0</v>
          </cell>
          <cell r="M18">
            <v>0</v>
          </cell>
          <cell r="N18">
            <v>85000</v>
          </cell>
          <cell r="O18">
            <v>0</v>
          </cell>
          <cell r="P18">
            <v>85000</v>
          </cell>
          <cell r="Q18">
            <v>170000</v>
          </cell>
          <cell r="R18">
            <v>15100</v>
          </cell>
          <cell r="S18">
            <v>15100</v>
          </cell>
        </row>
        <row r="19">
          <cell r="E19" t="str">
            <v>SB22646</v>
          </cell>
          <cell r="F19">
            <v>861169</v>
          </cell>
          <cell r="G19">
            <v>0</v>
          </cell>
          <cell r="H19">
            <v>862426</v>
          </cell>
          <cell r="I19">
            <v>0</v>
          </cell>
          <cell r="J19">
            <v>862426</v>
          </cell>
          <cell r="K19">
            <v>228825</v>
          </cell>
          <cell r="L19">
            <v>0</v>
          </cell>
          <cell r="M19">
            <v>0</v>
          </cell>
          <cell r="N19">
            <v>555000</v>
          </cell>
          <cell r="O19">
            <v>0</v>
          </cell>
          <cell r="P19">
            <v>555000</v>
          </cell>
          <cell r="Q19">
            <v>783825</v>
          </cell>
          <cell r="R19">
            <v>632344</v>
          </cell>
          <cell r="S19">
            <v>307426</v>
          </cell>
        </row>
        <row r="20">
          <cell r="E20" t="str">
            <v>SB22645</v>
          </cell>
          <cell r="F20">
            <v>2816205</v>
          </cell>
          <cell r="G20">
            <v>2816205</v>
          </cell>
          <cell r="H20">
            <v>1483795</v>
          </cell>
          <cell r="I20">
            <v>0</v>
          </cell>
          <cell r="J20">
            <v>4300000</v>
          </cell>
          <cell r="K20">
            <v>1570920</v>
          </cell>
          <cell r="L20">
            <v>0</v>
          </cell>
          <cell r="M20">
            <v>7985</v>
          </cell>
          <cell r="N20">
            <v>2642015</v>
          </cell>
          <cell r="O20">
            <v>0</v>
          </cell>
          <cell r="P20">
            <v>2650000</v>
          </cell>
          <cell r="Q20">
            <v>4212935</v>
          </cell>
          <cell r="R20">
            <v>1245285</v>
          </cell>
          <cell r="S20">
            <v>1650000</v>
          </cell>
        </row>
        <row r="21">
          <cell r="E21" t="str">
            <v>SB22643</v>
          </cell>
          <cell r="F21">
            <v>0</v>
          </cell>
          <cell r="G21">
            <v>0</v>
          </cell>
          <cell r="H21">
            <v>1784284</v>
          </cell>
          <cell r="I21">
            <v>0</v>
          </cell>
          <cell r="J21">
            <v>1784284</v>
          </cell>
          <cell r="K21">
            <v>0</v>
          </cell>
          <cell r="L21">
            <v>0</v>
          </cell>
          <cell r="M21">
            <v>0</v>
          </cell>
          <cell r="N21">
            <v>1418704</v>
          </cell>
          <cell r="O21">
            <v>0</v>
          </cell>
          <cell r="P21">
            <v>1418704</v>
          </cell>
          <cell r="Q21">
            <v>1418704</v>
          </cell>
          <cell r="R21">
            <v>0</v>
          </cell>
          <cell r="S21">
            <v>365580</v>
          </cell>
        </row>
        <row r="22">
          <cell r="E22" t="str">
            <v>SB22642</v>
          </cell>
          <cell r="F22">
            <v>80014</v>
          </cell>
          <cell r="G22">
            <v>0</v>
          </cell>
          <cell r="H22">
            <v>80014</v>
          </cell>
          <cell r="I22">
            <v>0</v>
          </cell>
          <cell r="J22">
            <v>80014</v>
          </cell>
          <cell r="K22">
            <v>0</v>
          </cell>
          <cell r="L22">
            <v>0</v>
          </cell>
          <cell r="M22">
            <v>0</v>
          </cell>
          <cell r="N22">
            <v>55014</v>
          </cell>
          <cell r="O22">
            <v>0</v>
          </cell>
          <cell r="P22">
            <v>55014</v>
          </cell>
          <cell r="Q22">
            <v>55014</v>
          </cell>
          <cell r="R22">
            <v>80014</v>
          </cell>
          <cell r="S22">
            <v>25000</v>
          </cell>
        </row>
        <row r="23">
          <cell r="E23" t="str">
            <v>SB22640</v>
          </cell>
          <cell r="F23">
            <v>10901297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1273800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1273800</v>
          </cell>
          <cell r="R23">
            <v>9627497</v>
          </cell>
          <cell r="S23">
            <v>0</v>
          </cell>
        </row>
        <row r="24">
          <cell r="E24" t="str">
            <v>SB22641</v>
          </cell>
          <cell r="F24">
            <v>0</v>
          </cell>
          <cell r="G24">
            <v>0</v>
          </cell>
          <cell r="H24">
            <v>115000</v>
          </cell>
          <cell r="I24">
            <v>0</v>
          </cell>
          <cell r="J24">
            <v>115000</v>
          </cell>
          <cell r="K24">
            <v>0</v>
          </cell>
          <cell r="L24">
            <v>0</v>
          </cell>
          <cell r="M24">
            <v>0</v>
          </cell>
          <cell r="N24">
            <v>89700</v>
          </cell>
          <cell r="O24">
            <v>0</v>
          </cell>
          <cell r="P24">
            <v>89700</v>
          </cell>
          <cell r="Q24">
            <v>89700</v>
          </cell>
          <cell r="R24">
            <v>0</v>
          </cell>
          <cell r="S24">
            <v>25300</v>
          </cell>
        </row>
        <row r="25">
          <cell r="E25" t="str">
            <v>SB22639</v>
          </cell>
          <cell r="F25">
            <v>0</v>
          </cell>
          <cell r="G25">
            <v>0</v>
          </cell>
          <cell r="H25">
            <v>440000</v>
          </cell>
          <cell r="I25">
            <v>0</v>
          </cell>
          <cell r="J25">
            <v>440000</v>
          </cell>
          <cell r="K25">
            <v>400000</v>
          </cell>
          <cell r="L25">
            <v>400000</v>
          </cell>
          <cell r="M25">
            <v>0</v>
          </cell>
          <cell r="N25">
            <v>0</v>
          </cell>
          <cell r="O25">
            <v>0</v>
          </cell>
          <cell r="P25">
            <v>400000</v>
          </cell>
          <cell r="Q25">
            <v>400000</v>
          </cell>
          <cell r="R25">
            <v>-400000</v>
          </cell>
          <cell r="S25">
            <v>40000</v>
          </cell>
        </row>
        <row r="26">
          <cell r="E26" t="str">
            <v>SB22636</v>
          </cell>
          <cell r="F26">
            <v>0</v>
          </cell>
          <cell r="G26">
            <v>0</v>
          </cell>
          <cell r="H26">
            <v>535700</v>
          </cell>
          <cell r="I26">
            <v>0</v>
          </cell>
          <cell r="J26">
            <v>535700</v>
          </cell>
          <cell r="K26">
            <v>0</v>
          </cell>
          <cell r="L26">
            <v>0</v>
          </cell>
          <cell r="M26">
            <v>0</v>
          </cell>
          <cell r="N26">
            <v>425700</v>
          </cell>
          <cell r="O26">
            <v>0</v>
          </cell>
          <cell r="P26">
            <v>425700</v>
          </cell>
          <cell r="Q26">
            <v>425700</v>
          </cell>
          <cell r="R26">
            <v>0</v>
          </cell>
          <cell r="S26">
            <v>110000</v>
          </cell>
        </row>
        <row r="27">
          <cell r="E27" t="str">
            <v>SB22637</v>
          </cell>
          <cell r="F27">
            <v>359765</v>
          </cell>
          <cell r="G27">
            <v>0</v>
          </cell>
          <cell r="H27">
            <v>349765</v>
          </cell>
          <cell r="I27">
            <v>0</v>
          </cell>
          <cell r="J27">
            <v>349765</v>
          </cell>
          <cell r="K27">
            <v>265000</v>
          </cell>
          <cell r="L27">
            <v>80047</v>
          </cell>
          <cell r="M27">
            <v>1143</v>
          </cell>
          <cell r="N27">
            <v>191630</v>
          </cell>
          <cell r="O27">
            <v>0</v>
          </cell>
          <cell r="P27">
            <v>272820</v>
          </cell>
          <cell r="Q27">
            <v>456630</v>
          </cell>
          <cell r="R27">
            <v>94765</v>
          </cell>
          <cell r="S27">
            <v>76945</v>
          </cell>
        </row>
        <row r="28">
          <cell r="E28" t="str">
            <v>SB22638</v>
          </cell>
          <cell r="F28">
            <v>0</v>
          </cell>
          <cell r="G28">
            <v>0</v>
          </cell>
          <cell r="H28">
            <v>46575</v>
          </cell>
          <cell r="I28">
            <v>0</v>
          </cell>
          <cell r="J28">
            <v>46575</v>
          </cell>
          <cell r="K28">
            <v>0</v>
          </cell>
          <cell r="L28">
            <v>0</v>
          </cell>
          <cell r="M28">
            <v>0</v>
          </cell>
          <cell r="N28">
            <v>36329</v>
          </cell>
          <cell r="O28">
            <v>0</v>
          </cell>
          <cell r="P28">
            <v>36329</v>
          </cell>
          <cell r="Q28">
            <v>36329</v>
          </cell>
          <cell r="R28">
            <v>0</v>
          </cell>
          <cell r="S28">
            <v>10246</v>
          </cell>
        </row>
        <row r="29">
          <cell r="E29" t="str">
            <v>SB22633</v>
          </cell>
          <cell r="F29">
            <v>25300</v>
          </cell>
          <cell r="G29">
            <v>25300</v>
          </cell>
          <cell r="H29">
            <v>0</v>
          </cell>
          <cell r="I29">
            <v>0</v>
          </cell>
          <cell r="J29">
            <v>25300</v>
          </cell>
          <cell r="K29">
            <v>18000</v>
          </cell>
          <cell r="L29">
            <v>18000</v>
          </cell>
          <cell r="M29">
            <v>0</v>
          </cell>
          <cell r="N29">
            <v>1734</v>
          </cell>
          <cell r="O29">
            <v>0</v>
          </cell>
          <cell r="P29">
            <v>19734</v>
          </cell>
          <cell r="Q29">
            <v>19734</v>
          </cell>
          <cell r="R29">
            <v>7300</v>
          </cell>
          <cell r="S29">
            <v>5566</v>
          </cell>
        </row>
        <row r="30">
          <cell r="E30" t="str">
            <v>SB22634</v>
          </cell>
          <cell r="F30">
            <v>870929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870929</v>
          </cell>
          <cell r="S30">
            <v>0</v>
          </cell>
        </row>
        <row r="31">
          <cell r="E31" t="str">
            <v>SB22635</v>
          </cell>
          <cell r="F31">
            <v>0</v>
          </cell>
          <cell r="G31">
            <v>0</v>
          </cell>
          <cell r="H31">
            <v>179520</v>
          </cell>
          <cell r="I31">
            <v>0</v>
          </cell>
          <cell r="J31">
            <v>179520</v>
          </cell>
          <cell r="K31">
            <v>0</v>
          </cell>
          <cell r="L31">
            <v>0</v>
          </cell>
          <cell r="M31">
            <v>0</v>
          </cell>
          <cell r="N31">
            <v>120000</v>
          </cell>
          <cell r="O31">
            <v>0</v>
          </cell>
          <cell r="P31">
            <v>120000</v>
          </cell>
          <cell r="Q31">
            <v>120000</v>
          </cell>
          <cell r="R31">
            <v>0</v>
          </cell>
          <cell r="S31">
            <v>59520</v>
          </cell>
        </row>
        <row r="32">
          <cell r="E32" t="str">
            <v>SB22632</v>
          </cell>
          <cell r="F32">
            <v>1106160</v>
          </cell>
          <cell r="G32">
            <v>553080</v>
          </cell>
          <cell r="H32">
            <v>0</v>
          </cell>
          <cell r="I32">
            <v>0</v>
          </cell>
          <cell r="J32">
            <v>553080</v>
          </cell>
          <cell r="K32">
            <v>124750</v>
          </cell>
          <cell r="L32">
            <v>113750</v>
          </cell>
          <cell r="M32">
            <v>12229</v>
          </cell>
          <cell r="N32">
            <v>305423</v>
          </cell>
          <cell r="O32">
            <v>0</v>
          </cell>
          <cell r="P32">
            <v>431402</v>
          </cell>
          <cell r="Q32">
            <v>430173</v>
          </cell>
          <cell r="R32">
            <v>981410</v>
          </cell>
          <cell r="S32">
            <v>121678</v>
          </cell>
        </row>
        <row r="33">
          <cell r="E33" t="str">
            <v>SB22628</v>
          </cell>
          <cell r="F33">
            <v>822404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822404</v>
          </cell>
          <cell r="S33">
            <v>0</v>
          </cell>
        </row>
        <row r="34">
          <cell r="E34" t="str">
            <v>SB22629</v>
          </cell>
          <cell r="F34">
            <v>11232890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4000</v>
          </cell>
          <cell r="L34">
            <v>4000</v>
          </cell>
          <cell r="M34">
            <v>0</v>
          </cell>
          <cell r="N34">
            <v>-4000</v>
          </cell>
          <cell r="O34">
            <v>0</v>
          </cell>
          <cell r="P34">
            <v>0</v>
          </cell>
          <cell r="Q34">
            <v>0</v>
          </cell>
          <cell r="R34">
            <v>11228890</v>
          </cell>
          <cell r="S34">
            <v>0</v>
          </cell>
        </row>
        <row r="35">
          <cell r="E35" t="str">
            <v>SB22627</v>
          </cell>
          <cell r="F35">
            <v>394253</v>
          </cell>
          <cell r="G35">
            <v>0</v>
          </cell>
          <cell r="H35">
            <v>361880</v>
          </cell>
          <cell r="I35">
            <v>0</v>
          </cell>
          <cell r="J35">
            <v>361880</v>
          </cell>
          <cell r="K35">
            <v>0</v>
          </cell>
          <cell r="L35">
            <v>0</v>
          </cell>
          <cell r="M35">
            <v>6379</v>
          </cell>
          <cell r="N35">
            <v>275886</v>
          </cell>
          <cell r="O35">
            <v>0</v>
          </cell>
          <cell r="P35">
            <v>282265</v>
          </cell>
          <cell r="Q35">
            <v>275886</v>
          </cell>
          <cell r="R35">
            <v>394253</v>
          </cell>
          <cell r="S35">
            <v>79615</v>
          </cell>
        </row>
        <row r="36">
          <cell r="E36" t="str">
            <v>SB22625</v>
          </cell>
          <cell r="F36">
            <v>30800</v>
          </cell>
          <cell r="G36">
            <v>0</v>
          </cell>
          <cell r="H36">
            <v>30800</v>
          </cell>
          <cell r="I36">
            <v>0</v>
          </cell>
          <cell r="J36">
            <v>30800</v>
          </cell>
          <cell r="K36">
            <v>0</v>
          </cell>
          <cell r="L36">
            <v>0</v>
          </cell>
          <cell r="M36">
            <v>0</v>
          </cell>
          <cell r="N36">
            <v>24000</v>
          </cell>
          <cell r="O36">
            <v>0</v>
          </cell>
          <cell r="P36">
            <v>24000</v>
          </cell>
          <cell r="Q36">
            <v>24000</v>
          </cell>
          <cell r="R36">
            <v>30800</v>
          </cell>
          <cell r="S36">
            <v>6800</v>
          </cell>
        </row>
        <row r="37">
          <cell r="E37" t="str">
            <v>SB22626</v>
          </cell>
          <cell r="F37">
            <v>1800000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899727.19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899727.19</v>
          </cell>
          <cell r="R37">
            <v>900272.81</v>
          </cell>
          <cell r="S37">
            <v>0</v>
          </cell>
        </row>
        <row r="38">
          <cell r="E38" t="str">
            <v>SB22624</v>
          </cell>
          <cell r="F38">
            <v>723561.28</v>
          </cell>
          <cell r="G38">
            <v>0</v>
          </cell>
          <cell r="H38">
            <v>703084</v>
          </cell>
          <cell r="I38">
            <v>0</v>
          </cell>
          <cell r="J38">
            <v>703084</v>
          </cell>
          <cell r="K38">
            <v>443795</v>
          </cell>
          <cell r="L38">
            <v>433834</v>
          </cell>
          <cell r="M38">
            <v>12302</v>
          </cell>
          <cell r="N38">
            <v>179044</v>
          </cell>
          <cell r="O38">
            <v>0</v>
          </cell>
          <cell r="P38">
            <v>625180</v>
          </cell>
          <cell r="Q38">
            <v>622839</v>
          </cell>
          <cell r="R38">
            <v>279766.28</v>
          </cell>
          <cell r="S38">
            <v>77904</v>
          </cell>
        </row>
        <row r="39">
          <cell r="E39" t="str">
            <v>SB22622</v>
          </cell>
          <cell r="F39">
            <v>437265</v>
          </cell>
          <cell r="G39">
            <v>0</v>
          </cell>
          <cell r="H39">
            <v>437265</v>
          </cell>
          <cell r="I39">
            <v>0</v>
          </cell>
          <cell r="J39">
            <v>437265</v>
          </cell>
          <cell r="K39">
            <v>0</v>
          </cell>
          <cell r="L39">
            <v>0</v>
          </cell>
          <cell r="M39">
            <v>0</v>
          </cell>
          <cell r="N39">
            <v>337265</v>
          </cell>
          <cell r="O39">
            <v>0</v>
          </cell>
          <cell r="P39">
            <v>337265</v>
          </cell>
          <cell r="Q39">
            <v>337265</v>
          </cell>
          <cell r="R39">
            <v>437265</v>
          </cell>
          <cell r="S39">
            <v>100000</v>
          </cell>
        </row>
        <row r="40">
          <cell r="E40" t="str">
            <v>SB22620</v>
          </cell>
          <cell r="F40">
            <v>11532500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8291510.95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8291510.95</v>
          </cell>
          <cell r="R40">
            <v>3240989.05</v>
          </cell>
          <cell r="S40">
            <v>0</v>
          </cell>
        </row>
        <row r="41">
          <cell r="E41" t="str">
            <v>SB22623</v>
          </cell>
          <cell r="F41">
            <v>1719960</v>
          </cell>
          <cell r="G41">
            <v>0</v>
          </cell>
          <cell r="H41">
            <v>1719960</v>
          </cell>
          <cell r="I41">
            <v>0</v>
          </cell>
          <cell r="J41">
            <v>1719960</v>
          </cell>
          <cell r="K41">
            <v>410540</v>
          </cell>
          <cell r="L41">
            <v>0</v>
          </cell>
          <cell r="M41">
            <v>0</v>
          </cell>
          <cell r="N41">
            <v>1412610</v>
          </cell>
          <cell r="O41">
            <v>0</v>
          </cell>
          <cell r="P41">
            <v>1412610</v>
          </cell>
          <cell r="Q41">
            <v>1823150</v>
          </cell>
          <cell r="R41">
            <v>1309420</v>
          </cell>
          <cell r="S41">
            <v>307350</v>
          </cell>
        </row>
        <row r="42">
          <cell r="E42" t="str">
            <v>SB22619</v>
          </cell>
          <cell r="F42">
            <v>1077740.44</v>
          </cell>
          <cell r="G42">
            <v>0</v>
          </cell>
          <cell r="H42">
            <v>1077740.44</v>
          </cell>
          <cell r="I42">
            <v>0</v>
          </cell>
          <cell r="J42">
            <v>1077740.44</v>
          </cell>
          <cell r="K42">
            <v>860280</v>
          </cell>
          <cell r="L42">
            <v>52280</v>
          </cell>
          <cell r="M42">
            <v>5101</v>
          </cell>
          <cell r="N42">
            <v>852619</v>
          </cell>
          <cell r="O42">
            <v>0</v>
          </cell>
          <cell r="P42">
            <v>910000</v>
          </cell>
          <cell r="Q42">
            <v>1712899</v>
          </cell>
          <cell r="R42">
            <v>217460.44</v>
          </cell>
          <cell r="S42">
            <v>167740.44</v>
          </cell>
        </row>
        <row r="43">
          <cell r="E43" t="str">
            <v>SB22617</v>
          </cell>
          <cell r="F43">
            <v>706801.7</v>
          </cell>
          <cell r="G43">
            <v>706801.7</v>
          </cell>
          <cell r="H43">
            <v>0</v>
          </cell>
          <cell r="I43">
            <v>0</v>
          </cell>
          <cell r="J43">
            <v>706801.7</v>
          </cell>
          <cell r="K43">
            <v>560504</v>
          </cell>
          <cell r="L43">
            <v>560504</v>
          </cell>
          <cell r="M43">
            <v>8687.04</v>
          </cell>
          <cell r="N43">
            <v>0</v>
          </cell>
          <cell r="O43">
            <v>0</v>
          </cell>
          <cell r="P43">
            <v>569191.04</v>
          </cell>
          <cell r="Q43">
            <v>560504</v>
          </cell>
          <cell r="R43">
            <v>146297.7</v>
          </cell>
          <cell r="S43">
            <v>137610.66</v>
          </cell>
        </row>
        <row r="44">
          <cell r="E44" t="str">
            <v>SB22618</v>
          </cell>
          <cell r="F44">
            <v>0</v>
          </cell>
          <cell r="G44">
            <v>0</v>
          </cell>
          <cell r="H44">
            <v>3518535</v>
          </cell>
          <cell r="I44">
            <v>0</v>
          </cell>
          <cell r="J44">
            <v>3518535</v>
          </cell>
          <cell r="K44">
            <v>116203.5</v>
          </cell>
          <cell r="L44">
            <v>0</v>
          </cell>
          <cell r="M44">
            <v>0</v>
          </cell>
          <cell r="N44">
            <v>2810770</v>
          </cell>
          <cell r="O44">
            <v>0</v>
          </cell>
          <cell r="P44">
            <v>2810770</v>
          </cell>
          <cell r="Q44">
            <v>2926973.5</v>
          </cell>
          <cell r="R44">
            <v>-116203.5</v>
          </cell>
          <cell r="S44">
            <v>707765</v>
          </cell>
        </row>
        <row r="45">
          <cell r="E45" t="str">
            <v>SB22616</v>
          </cell>
          <cell r="F45">
            <v>617954</v>
          </cell>
          <cell r="G45">
            <v>0</v>
          </cell>
          <cell r="H45">
            <v>617954</v>
          </cell>
          <cell r="I45">
            <v>0</v>
          </cell>
          <cell r="J45">
            <v>617954</v>
          </cell>
          <cell r="K45">
            <v>0</v>
          </cell>
          <cell r="L45">
            <v>0</v>
          </cell>
          <cell r="M45">
            <v>5758</v>
          </cell>
          <cell r="N45">
            <v>479242</v>
          </cell>
          <cell r="O45">
            <v>0</v>
          </cell>
          <cell r="P45">
            <v>485000</v>
          </cell>
          <cell r="Q45">
            <v>479242</v>
          </cell>
          <cell r="R45">
            <v>617954</v>
          </cell>
          <cell r="S45">
            <v>132954</v>
          </cell>
        </row>
        <row r="46">
          <cell r="E46" t="str">
            <v>SB22615</v>
          </cell>
          <cell r="F46">
            <v>24019610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9271557.42</v>
          </cell>
          <cell r="L46">
            <v>8707290.75</v>
          </cell>
          <cell r="M46">
            <v>157482</v>
          </cell>
          <cell r="N46">
            <v>-8867050.75</v>
          </cell>
          <cell r="O46">
            <v>0</v>
          </cell>
          <cell r="P46">
            <v>-2278</v>
          </cell>
          <cell r="Q46">
            <v>404506.67</v>
          </cell>
          <cell r="R46">
            <v>14748052.58</v>
          </cell>
          <cell r="S46">
            <v>-2278</v>
          </cell>
        </row>
        <row r="47">
          <cell r="E47" t="str">
            <v>SB22614</v>
          </cell>
          <cell r="F47">
            <v>4884790.86</v>
          </cell>
          <cell r="G47">
            <v>0</v>
          </cell>
          <cell r="H47">
            <v>4949340</v>
          </cell>
          <cell r="I47">
            <v>0</v>
          </cell>
          <cell r="J47">
            <v>4949340</v>
          </cell>
          <cell r="K47">
            <v>2135500</v>
          </cell>
          <cell r="L47">
            <v>1650000</v>
          </cell>
          <cell r="M47">
            <v>0</v>
          </cell>
          <cell r="N47">
            <v>2299340</v>
          </cell>
          <cell r="O47">
            <v>0</v>
          </cell>
          <cell r="P47">
            <v>3949340</v>
          </cell>
          <cell r="Q47">
            <v>4434840</v>
          </cell>
          <cell r="R47">
            <v>2749290.86</v>
          </cell>
          <cell r="S47">
            <v>1000000</v>
          </cell>
        </row>
        <row r="48">
          <cell r="E48" t="str">
            <v>SB22612</v>
          </cell>
          <cell r="F48">
            <v>2099625</v>
          </cell>
          <cell r="G48">
            <v>0</v>
          </cell>
          <cell r="H48">
            <v>2099625</v>
          </cell>
          <cell r="I48">
            <v>0</v>
          </cell>
          <cell r="J48">
            <v>2099625</v>
          </cell>
          <cell r="K48">
            <v>1537420</v>
          </cell>
          <cell r="L48">
            <v>1537420</v>
          </cell>
          <cell r="M48">
            <v>9746</v>
          </cell>
          <cell r="N48">
            <v>52459</v>
          </cell>
          <cell r="O48">
            <v>0</v>
          </cell>
          <cell r="P48">
            <v>1599625</v>
          </cell>
          <cell r="Q48">
            <v>1589879</v>
          </cell>
          <cell r="R48">
            <v>562205</v>
          </cell>
          <cell r="S48">
            <v>500000</v>
          </cell>
        </row>
        <row r="49">
          <cell r="E49" t="str">
            <v>SB22613</v>
          </cell>
          <cell r="F49">
            <v>6873500</v>
          </cell>
          <cell r="G49">
            <v>6873500</v>
          </cell>
          <cell r="H49">
            <v>0</v>
          </cell>
          <cell r="I49">
            <v>0</v>
          </cell>
          <cell r="J49">
            <v>6873500</v>
          </cell>
          <cell r="K49">
            <v>0</v>
          </cell>
          <cell r="L49">
            <v>0</v>
          </cell>
          <cell r="M49">
            <v>0</v>
          </cell>
          <cell r="N49">
            <v>6873500</v>
          </cell>
          <cell r="O49">
            <v>0</v>
          </cell>
          <cell r="P49">
            <v>6873500</v>
          </cell>
          <cell r="Q49">
            <v>6873500</v>
          </cell>
          <cell r="R49">
            <v>6873500</v>
          </cell>
          <cell r="S49">
            <v>0</v>
          </cell>
        </row>
        <row r="50">
          <cell r="E50" t="str">
            <v>SB22610</v>
          </cell>
          <cell r="F50">
            <v>0</v>
          </cell>
          <cell r="G50">
            <v>0</v>
          </cell>
          <cell r="H50">
            <v>71500</v>
          </cell>
          <cell r="I50">
            <v>0</v>
          </cell>
          <cell r="J50">
            <v>71500</v>
          </cell>
          <cell r="K50">
            <v>0</v>
          </cell>
          <cell r="L50">
            <v>0</v>
          </cell>
          <cell r="M50">
            <v>0</v>
          </cell>
          <cell r="N50">
            <v>40000</v>
          </cell>
          <cell r="O50">
            <v>0</v>
          </cell>
          <cell r="P50">
            <v>40000</v>
          </cell>
          <cell r="Q50">
            <v>40000</v>
          </cell>
          <cell r="R50">
            <v>0</v>
          </cell>
          <cell r="S50">
            <v>31500</v>
          </cell>
        </row>
        <row r="51">
          <cell r="E51" t="str">
            <v>SB22598</v>
          </cell>
          <cell r="F51">
            <v>1662370</v>
          </cell>
          <cell r="G51">
            <v>0</v>
          </cell>
          <cell r="H51">
            <v>1610670</v>
          </cell>
          <cell r="I51">
            <v>0</v>
          </cell>
          <cell r="J51">
            <v>1610670</v>
          </cell>
          <cell r="K51">
            <v>5188</v>
          </cell>
          <cell r="L51">
            <v>5188</v>
          </cell>
          <cell r="M51">
            <v>0</v>
          </cell>
          <cell r="N51">
            <v>994812</v>
          </cell>
          <cell r="O51">
            <v>0</v>
          </cell>
          <cell r="P51">
            <v>1000000</v>
          </cell>
          <cell r="Q51">
            <v>1000000</v>
          </cell>
          <cell r="R51">
            <v>1657182</v>
          </cell>
          <cell r="S51">
            <v>610670</v>
          </cell>
        </row>
        <row r="52">
          <cell r="E52" t="str">
            <v>SB21386</v>
          </cell>
          <cell r="F52">
            <v>0</v>
          </cell>
          <cell r="G52">
            <v>0</v>
          </cell>
          <cell r="H52">
            <v>0</v>
          </cell>
          <cell r="I52">
            <v>-394474</v>
          </cell>
          <cell r="J52">
            <v>-394474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394474</v>
          </cell>
        </row>
        <row r="53">
          <cell r="E53" t="str">
            <v>SB22579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508068.78</v>
          </cell>
          <cell r="L53">
            <v>321788.78</v>
          </cell>
          <cell r="M53">
            <v>6941</v>
          </cell>
          <cell r="N53">
            <v>306788.22</v>
          </cell>
          <cell r="O53">
            <v>-11800</v>
          </cell>
          <cell r="P53">
            <v>623718</v>
          </cell>
          <cell r="Q53">
            <v>803057</v>
          </cell>
          <cell r="R53">
            <v>-508068.78</v>
          </cell>
          <cell r="S53">
            <v>-623718</v>
          </cell>
        </row>
        <row r="54">
          <cell r="E54" t="str">
            <v>SB22601</v>
          </cell>
          <cell r="F54">
            <v>72600</v>
          </cell>
          <cell r="G54">
            <v>72600</v>
          </cell>
          <cell r="H54">
            <v>0</v>
          </cell>
          <cell r="I54">
            <v>0</v>
          </cell>
          <cell r="J54">
            <v>72600</v>
          </cell>
          <cell r="K54">
            <v>0</v>
          </cell>
          <cell r="L54">
            <v>0</v>
          </cell>
          <cell r="M54">
            <v>0</v>
          </cell>
          <cell r="N54">
            <v>25000</v>
          </cell>
          <cell r="O54">
            <v>0</v>
          </cell>
          <cell r="P54">
            <v>25000</v>
          </cell>
          <cell r="Q54">
            <v>25000</v>
          </cell>
          <cell r="R54">
            <v>72600</v>
          </cell>
          <cell r="S54">
            <v>47600</v>
          </cell>
        </row>
        <row r="55">
          <cell r="E55" t="str">
            <v>SB22588</v>
          </cell>
          <cell r="F55">
            <v>509179.06</v>
          </cell>
          <cell r="G55">
            <v>0</v>
          </cell>
          <cell r="H55">
            <v>451386</v>
          </cell>
          <cell r="I55">
            <v>0</v>
          </cell>
          <cell r="J55">
            <v>451386</v>
          </cell>
          <cell r="K55">
            <v>3000</v>
          </cell>
          <cell r="L55">
            <v>3000</v>
          </cell>
          <cell r="M55">
            <v>3130</v>
          </cell>
          <cell r="N55">
            <v>349312.1</v>
          </cell>
          <cell r="O55">
            <v>0</v>
          </cell>
          <cell r="P55">
            <v>355442.1</v>
          </cell>
          <cell r="Q55">
            <v>352312.1</v>
          </cell>
          <cell r="R55">
            <v>506179.06</v>
          </cell>
          <cell r="S55">
            <v>95943.9</v>
          </cell>
        </row>
        <row r="56">
          <cell r="E56" t="str">
            <v>SB22485</v>
          </cell>
          <cell r="F56">
            <v>1035000</v>
          </cell>
          <cell r="G56">
            <v>2271571</v>
          </cell>
          <cell r="H56">
            <v>-2271571</v>
          </cell>
          <cell r="I56">
            <v>0</v>
          </cell>
          <cell r="J56">
            <v>0</v>
          </cell>
          <cell r="K56">
            <v>373500</v>
          </cell>
          <cell r="L56">
            <v>1117050</v>
          </cell>
          <cell r="M56">
            <v>912</v>
          </cell>
          <cell r="N56">
            <v>-1074050</v>
          </cell>
          <cell r="O56">
            <v>-21000</v>
          </cell>
          <cell r="P56">
            <v>22912</v>
          </cell>
          <cell r="Q56">
            <v>-721550</v>
          </cell>
          <cell r="R56">
            <v>661500</v>
          </cell>
          <cell r="S56">
            <v>-22912</v>
          </cell>
        </row>
        <row r="57">
          <cell r="E57" t="str">
            <v>SB22509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1691</v>
          </cell>
          <cell r="N57">
            <v>-1691</v>
          </cell>
          <cell r="O57">
            <v>0</v>
          </cell>
          <cell r="P57">
            <v>0</v>
          </cell>
          <cell r="Q57">
            <v>-1691</v>
          </cell>
          <cell r="R57">
            <v>0</v>
          </cell>
          <cell r="S57">
            <v>0</v>
          </cell>
        </row>
        <row r="58">
          <cell r="E58" t="str">
            <v>SB22459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8898</v>
          </cell>
          <cell r="M58">
            <v>0</v>
          </cell>
          <cell r="N58">
            <v>-8898</v>
          </cell>
          <cell r="O58">
            <v>0</v>
          </cell>
          <cell r="P58">
            <v>0</v>
          </cell>
          <cell r="Q58">
            <v>-8898</v>
          </cell>
          <cell r="R58">
            <v>0</v>
          </cell>
          <cell r="S58">
            <v>0</v>
          </cell>
        </row>
        <row r="59">
          <cell r="E59" t="str">
            <v>SB22472</v>
          </cell>
          <cell r="F59">
            <v>3087345.8</v>
          </cell>
          <cell r="G59">
            <v>3087345.8</v>
          </cell>
          <cell r="H59">
            <v>-2855245.4</v>
          </cell>
          <cell r="I59">
            <v>0</v>
          </cell>
          <cell r="J59">
            <v>232100.4</v>
          </cell>
          <cell r="K59">
            <v>210000</v>
          </cell>
          <cell r="L59">
            <v>878028</v>
          </cell>
          <cell r="M59">
            <v>0</v>
          </cell>
          <cell r="N59">
            <v>-665511</v>
          </cell>
          <cell r="O59">
            <v>0</v>
          </cell>
          <cell r="P59">
            <v>212517</v>
          </cell>
          <cell r="Q59">
            <v>-455511</v>
          </cell>
          <cell r="R59">
            <v>2877345.8</v>
          </cell>
          <cell r="S59">
            <v>19583.4</v>
          </cell>
        </row>
        <row r="60">
          <cell r="E60" t="str">
            <v>SB22422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6000</v>
          </cell>
          <cell r="M60">
            <v>0</v>
          </cell>
          <cell r="N60">
            <v>-6000</v>
          </cell>
          <cell r="O60">
            <v>0</v>
          </cell>
          <cell r="P60">
            <v>0</v>
          </cell>
          <cell r="Q60">
            <v>-6000</v>
          </cell>
          <cell r="R60">
            <v>0</v>
          </cell>
          <cell r="S60">
            <v>0</v>
          </cell>
        </row>
        <row r="61">
          <cell r="E61" t="str">
            <v>SB22384</v>
          </cell>
          <cell r="F61">
            <v>854315</v>
          </cell>
          <cell r="G61">
            <v>854315</v>
          </cell>
          <cell r="H61">
            <v>0</v>
          </cell>
          <cell r="I61">
            <v>0</v>
          </cell>
          <cell r="J61">
            <v>854315</v>
          </cell>
          <cell r="K61">
            <v>426201</v>
          </cell>
          <cell r="L61">
            <v>727110</v>
          </cell>
          <cell r="M61">
            <v>470</v>
          </cell>
          <cell r="N61">
            <v>-371859</v>
          </cell>
          <cell r="O61">
            <v>0</v>
          </cell>
          <cell r="P61">
            <v>355721</v>
          </cell>
          <cell r="Q61">
            <v>54342</v>
          </cell>
          <cell r="R61">
            <v>428114</v>
          </cell>
          <cell r="S61">
            <v>498594</v>
          </cell>
        </row>
        <row r="62">
          <cell r="E62" t="str">
            <v>SB22609</v>
          </cell>
          <cell r="F62">
            <v>713240</v>
          </cell>
          <cell r="G62">
            <v>0</v>
          </cell>
          <cell r="H62">
            <v>713240</v>
          </cell>
          <cell r="I62">
            <v>0</v>
          </cell>
          <cell r="J62">
            <v>713240</v>
          </cell>
          <cell r="K62">
            <v>74720.82</v>
          </cell>
          <cell r="L62">
            <v>50000</v>
          </cell>
          <cell r="M62">
            <v>2292</v>
          </cell>
          <cell r="N62">
            <v>503708</v>
          </cell>
          <cell r="O62">
            <v>0</v>
          </cell>
          <cell r="P62">
            <v>556000</v>
          </cell>
          <cell r="Q62">
            <v>578428.82</v>
          </cell>
          <cell r="R62">
            <v>638519.18</v>
          </cell>
          <cell r="S62">
            <v>157240</v>
          </cell>
        </row>
        <row r="63">
          <cell r="E63" t="str">
            <v>SB22608</v>
          </cell>
          <cell r="F63">
            <v>564513.83</v>
          </cell>
          <cell r="G63">
            <v>564513.83</v>
          </cell>
          <cell r="H63">
            <v>0</v>
          </cell>
          <cell r="I63">
            <v>0</v>
          </cell>
          <cell r="J63">
            <v>564513.83</v>
          </cell>
          <cell r="K63">
            <v>198200</v>
          </cell>
          <cell r="L63">
            <v>160000</v>
          </cell>
          <cell r="M63">
            <v>28596</v>
          </cell>
          <cell r="N63">
            <v>275266.83</v>
          </cell>
          <cell r="O63">
            <v>0</v>
          </cell>
          <cell r="P63">
            <v>463862.83</v>
          </cell>
          <cell r="Q63">
            <v>473466.83</v>
          </cell>
          <cell r="R63">
            <v>366313.83</v>
          </cell>
          <cell r="S63">
            <v>100651</v>
          </cell>
        </row>
        <row r="64">
          <cell r="E64" t="str">
            <v>SB22606</v>
          </cell>
          <cell r="F64">
            <v>5907347.6</v>
          </cell>
          <cell r="G64">
            <v>0</v>
          </cell>
          <cell r="H64">
            <v>5907348</v>
          </cell>
          <cell r="I64">
            <v>0</v>
          </cell>
          <cell r="J64">
            <v>5907348</v>
          </cell>
          <cell r="K64">
            <v>2848783.54</v>
          </cell>
          <cell r="L64">
            <v>585823</v>
          </cell>
          <cell r="M64">
            <v>0</v>
          </cell>
          <cell r="N64">
            <v>3981994.66</v>
          </cell>
          <cell r="O64">
            <v>0</v>
          </cell>
          <cell r="P64">
            <v>4567817.66</v>
          </cell>
          <cell r="Q64">
            <v>6830778.2</v>
          </cell>
          <cell r="R64">
            <v>3058564.06</v>
          </cell>
          <cell r="S64">
            <v>1339530.34</v>
          </cell>
        </row>
        <row r="65">
          <cell r="E65" t="str">
            <v>SB22607</v>
          </cell>
          <cell r="F65">
            <v>336450</v>
          </cell>
          <cell r="G65">
            <v>336450</v>
          </cell>
          <cell r="H65">
            <v>0</v>
          </cell>
          <cell r="I65">
            <v>0</v>
          </cell>
          <cell r="J65">
            <v>336450</v>
          </cell>
          <cell r="K65">
            <v>227815</v>
          </cell>
          <cell r="L65">
            <v>227815</v>
          </cell>
          <cell r="M65">
            <v>0</v>
          </cell>
          <cell r="N65">
            <v>34616</v>
          </cell>
          <cell r="O65">
            <v>0</v>
          </cell>
          <cell r="P65">
            <v>262431</v>
          </cell>
          <cell r="Q65">
            <v>262431</v>
          </cell>
          <cell r="R65">
            <v>108635</v>
          </cell>
          <cell r="S65">
            <v>74019</v>
          </cell>
        </row>
        <row r="66">
          <cell r="E66" t="str">
            <v>SB22603</v>
          </cell>
          <cell r="F66">
            <v>52557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52557</v>
          </cell>
          <cell r="S66">
            <v>0</v>
          </cell>
        </row>
        <row r="67">
          <cell r="E67" t="str">
            <v>SB22605</v>
          </cell>
          <cell r="F67">
            <v>13492.5</v>
          </cell>
          <cell r="G67">
            <v>13492.5</v>
          </cell>
          <cell r="H67">
            <v>0</v>
          </cell>
          <cell r="I67">
            <v>0</v>
          </cell>
          <cell r="J67">
            <v>13492.5</v>
          </cell>
          <cell r="K67">
            <v>9400</v>
          </cell>
          <cell r="L67">
            <v>9400</v>
          </cell>
          <cell r="M67">
            <v>0</v>
          </cell>
          <cell r="N67">
            <v>0</v>
          </cell>
          <cell r="O67">
            <v>0</v>
          </cell>
          <cell r="P67">
            <v>9400</v>
          </cell>
          <cell r="Q67">
            <v>9400</v>
          </cell>
          <cell r="R67">
            <v>4092.5</v>
          </cell>
          <cell r="S67">
            <v>4092.5</v>
          </cell>
        </row>
        <row r="68">
          <cell r="E68" t="str">
            <v>SB22604</v>
          </cell>
          <cell r="F68">
            <v>0</v>
          </cell>
          <cell r="G68">
            <v>0</v>
          </cell>
          <cell r="H68">
            <v>1014046</v>
          </cell>
          <cell r="I68">
            <v>0</v>
          </cell>
          <cell r="J68">
            <v>1014046</v>
          </cell>
          <cell r="K68">
            <v>705944</v>
          </cell>
          <cell r="L68">
            <v>705944</v>
          </cell>
          <cell r="M68">
            <v>2821</v>
          </cell>
          <cell r="N68">
            <v>0</v>
          </cell>
          <cell r="O68">
            <v>0</v>
          </cell>
          <cell r="P68">
            <v>708765</v>
          </cell>
          <cell r="Q68">
            <v>705944</v>
          </cell>
          <cell r="R68">
            <v>-705944</v>
          </cell>
          <cell r="S68">
            <v>305281</v>
          </cell>
        </row>
        <row r="69">
          <cell r="E69" t="str">
            <v>SB22600</v>
          </cell>
          <cell r="F69">
            <v>192016</v>
          </cell>
          <cell r="G69">
            <v>0</v>
          </cell>
          <cell r="H69">
            <v>192016</v>
          </cell>
          <cell r="I69">
            <v>0</v>
          </cell>
          <cell r="J69">
            <v>192016</v>
          </cell>
          <cell r="K69">
            <v>600</v>
          </cell>
          <cell r="L69">
            <v>600</v>
          </cell>
          <cell r="M69">
            <v>0</v>
          </cell>
          <cell r="N69">
            <v>149100</v>
          </cell>
          <cell r="O69">
            <v>0</v>
          </cell>
          <cell r="P69">
            <v>149700</v>
          </cell>
          <cell r="Q69">
            <v>149700</v>
          </cell>
          <cell r="R69">
            <v>191416</v>
          </cell>
          <cell r="S69">
            <v>42316</v>
          </cell>
        </row>
        <row r="70">
          <cell r="E70" t="str">
            <v>SB22602</v>
          </cell>
          <cell r="F70">
            <v>1102551</v>
          </cell>
          <cell r="G70">
            <v>1102551</v>
          </cell>
          <cell r="H70">
            <v>0</v>
          </cell>
          <cell r="I70">
            <v>0</v>
          </cell>
          <cell r="J70">
            <v>1102551</v>
          </cell>
          <cell r="K70">
            <v>534310.5</v>
          </cell>
          <cell r="L70">
            <v>404442</v>
          </cell>
          <cell r="M70">
            <v>204059.24</v>
          </cell>
          <cell r="N70">
            <v>103650</v>
          </cell>
          <cell r="O70">
            <v>0</v>
          </cell>
          <cell r="P70">
            <v>712151.24</v>
          </cell>
          <cell r="Q70">
            <v>637960.5</v>
          </cell>
          <cell r="R70">
            <v>568240.5</v>
          </cell>
          <cell r="S70">
            <v>390399.76</v>
          </cell>
        </row>
        <row r="71">
          <cell r="E71" t="str">
            <v>SB22597</v>
          </cell>
          <cell r="F71">
            <v>16125</v>
          </cell>
          <cell r="G71">
            <v>16125</v>
          </cell>
          <cell r="H71">
            <v>0</v>
          </cell>
          <cell r="I71">
            <v>0</v>
          </cell>
          <cell r="J71">
            <v>16125</v>
          </cell>
          <cell r="K71">
            <v>15150</v>
          </cell>
          <cell r="L71">
            <v>15150</v>
          </cell>
          <cell r="M71">
            <v>0</v>
          </cell>
          <cell r="N71">
            <v>0</v>
          </cell>
          <cell r="O71">
            <v>0</v>
          </cell>
          <cell r="P71">
            <v>15150</v>
          </cell>
          <cell r="Q71">
            <v>15150</v>
          </cell>
          <cell r="R71">
            <v>975</v>
          </cell>
          <cell r="S71">
            <v>975</v>
          </cell>
        </row>
        <row r="72">
          <cell r="E72" t="str">
            <v>SB22596</v>
          </cell>
          <cell r="F72">
            <v>3705921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3705921</v>
          </cell>
          <cell r="S72">
            <v>0</v>
          </cell>
        </row>
        <row r="73">
          <cell r="E73" t="str">
            <v>SB22599</v>
          </cell>
          <cell r="F73">
            <v>644498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560310</v>
          </cell>
          <cell r="L73">
            <v>74410</v>
          </cell>
          <cell r="M73">
            <v>1181</v>
          </cell>
          <cell r="N73">
            <v>485900</v>
          </cell>
          <cell r="O73">
            <v>0</v>
          </cell>
          <cell r="P73">
            <v>561491</v>
          </cell>
          <cell r="Q73">
            <v>1046210</v>
          </cell>
          <cell r="R73">
            <v>84188</v>
          </cell>
          <cell r="S73">
            <v>-561491</v>
          </cell>
        </row>
        <row r="74">
          <cell r="E74" t="str">
            <v>SB22593</v>
          </cell>
          <cell r="F74">
            <v>268279</v>
          </cell>
          <cell r="G74">
            <v>0</v>
          </cell>
          <cell r="H74">
            <v>268279</v>
          </cell>
          <cell r="I74">
            <v>0</v>
          </cell>
          <cell r="J74">
            <v>268279</v>
          </cell>
          <cell r="K74">
            <v>241305</v>
          </cell>
          <cell r="L74">
            <v>205805</v>
          </cell>
          <cell r="M74">
            <v>0</v>
          </cell>
          <cell r="N74">
            <v>0</v>
          </cell>
          <cell r="O74">
            <v>0</v>
          </cell>
          <cell r="P74">
            <v>205805</v>
          </cell>
          <cell r="Q74">
            <v>241305</v>
          </cell>
          <cell r="R74">
            <v>26974</v>
          </cell>
          <cell r="S74">
            <v>62474</v>
          </cell>
        </row>
        <row r="75">
          <cell r="E75" t="str">
            <v>SB22595</v>
          </cell>
          <cell r="F75">
            <v>2580160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850000</v>
          </cell>
          <cell r="L75">
            <v>850000</v>
          </cell>
          <cell r="M75">
            <v>0</v>
          </cell>
          <cell r="N75">
            <v>-850000</v>
          </cell>
          <cell r="O75">
            <v>0</v>
          </cell>
          <cell r="P75">
            <v>0</v>
          </cell>
          <cell r="Q75">
            <v>0</v>
          </cell>
          <cell r="R75">
            <v>1730160</v>
          </cell>
          <cell r="S75">
            <v>0</v>
          </cell>
        </row>
        <row r="76">
          <cell r="E76" t="str">
            <v>SB22594</v>
          </cell>
          <cell r="F76">
            <v>1022599</v>
          </cell>
          <cell r="G76">
            <v>0</v>
          </cell>
          <cell r="H76">
            <v>1022599</v>
          </cell>
          <cell r="I76">
            <v>0</v>
          </cell>
          <cell r="J76">
            <v>1022599</v>
          </cell>
          <cell r="K76">
            <v>511685</v>
          </cell>
          <cell r="L76">
            <v>496685</v>
          </cell>
          <cell r="M76">
            <v>40118</v>
          </cell>
          <cell r="N76">
            <v>185197</v>
          </cell>
          <cell r="O76">
            <v>0</v>
          </cell>
          <cell r="P76">
            <v>722000</v>
          </cell>
          <cell r="Q76">
            <v>696882</v>
          </cell>
          <cell r="R76">
            <v>510914</v>
          </cell>
          <cell r="S76">
            <v>300599</v>
          </cell>
        </row>
        <row r="77">
          <cell r="E77" t="str">
            <v>SB22591</v>
          </cell>
          <cell r="F77">
            <v>13936040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3483000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3483000</v>
          </cell>
          <cell r="R77">
            <v>10453040</v>
          </cell>
          <cell r="S77">
            <v>0</v>
          </cell>
        </row>
        <row r="78">
          <cell r="E78" t="str">
            <v>SB22592</v>
          </cell>
          <cell r="F78">
            <v>1456000</v>
          </cell>
          <cell r="G78">
            <v>1456000</v>
          </cell>
          <cell r="H78">
            <v>0</v>
          </cell>
          <cell r="I78">
            <v>0</v>
          </cell>
          <cell r="J78">
            <v>1456000</v>
          </cell>
          <cell r="K78">
            <v>620826.06</v>
          </cell>
          <cell r="L78">
            <v>620826.06</v>
          </cell>
          <cell r="M78">
            <v>0</v>
          </cell>
          <cell r="N78">
            <v>129173.94</v>
          </cell>
          <cell r="O78">
            <v>0</v>
          </cell>
          <cell r="P78">
            <v>750000</v>
          </cell>
          <cell r="Q78">
            <v>750000</v>
          </cell>
          <cell r="R78">
            <v>835173.94</v>
          </cell>
          <cell r="S78">
            <v>706000</v>
          </cell>
        </row>
        <row r="79">
          <cell r="E79" t="str">
            <v>SB22590</v>
          </cell>
          <cell r="F79">
            <v>11903320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2955196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2955196</v>
          </cell>
          <cell r="R79">
            <v>8948124</v>
          </cell>
          <cell r="S79">
            <v>0</v>
          </cell>
        </row>
        <row r="80">
          <cell r="E80" t="str">
            <v>SB22587</v>
          </cell>
          <cell r="F80">
            <v>29835</v>
          </cell>
          <cell r="G80">
            <v>29835</v>
          </cell>
          <cell r="H80">
            <v>0</v>
          </cell>
          <cell r="I80">
            <v>0</v>
          </cell>
          <cell r="J80">
            <v>29835</v>
          </cell>
          <cell r="K80">
            <v>0</v>
          </cell>
          <cell r="L80">
            <v>0</v>
          </cell>
          <cell r="M80">
            <v>0</v>
          </cell>
          <cell r="N80">
            <v>23270</v>
          </cell>
          <cell r="O80">
            <v>0</v>
          </cell>
          <cell r="P80">
            <v>23270</v>
          </cell>
          <cell r="Q80">
            <v>23270</v>
          </cell>
          <cell r="R80">
            <v>29835</v>
          </cell>
          <cell r="S80">
            <v>6565</v>
          </cell>
        </row>
        <row r="81">
          <cell r="E81" t="str">
            <v>SB22589</v>
          </cell>
          <cell r="F81">
            <v>34100</v>
          </cell>
          <cell r="G81">
            <v>34100</v>
          </cell>
          <cell r="H81">
            <v>0</v>
          </cell>
          <cell r="I81">
            <v>0</v>
          </cell>
          <cell r="J81">
            <v>34100</v>
          </cell>
          <cell r="K81">
            <v>0</v>
          </cell>
          <cell r="L81">
            <v>0</v>
          </cell>
          <cell r="M81">
            <v>0</v>
          </cell>
          <cell r="N81">
            <v>23000</v>
          </cell>
          <cell r="O81">
            <v>0</v>
          </cell>
          <cell r="P81">
            <v>23000</v>
          </cell>
          <cell r="Q81">
            <v>23000</v>
          </cell>
          <cell r="R81">
            <v>34100</v>
          </cell>
          <cell r="S81">
            <v>11100</v>
          </cell>
        </row>
        <row r="82">
          <cell r="E82" t="str">
            <v>SB22584</v>
          </cell>
          <cell r="F82">
            <v>2600192</v>
          </cell>
          <cell r="G82">
            <v>0</v>
          </cell>
          <cell r="H82">
            <v>3167429.4</v>
          </cell>
          <cell r="I82">
            <v>0</v>
          </cell>
          <cell r="J82">
            <v>3167429.4</v>
          </cell>
          <cell r="K82">
            <v>1248960</v>
          </cell>
          <cell r="L82">
            <v>1110460</v>
          </cell>
          <cell r="M82">
            <v>9914</v>
          </cell>
          <cell r="N82">
            <v>1509376</v>
          </cell>
          <cell r="O82">
            <v>-6872</v>
          </cell>
          <cell r="P82">
            <v>2622878</v>
          </cell>
          <cell r="Q82">
            <v>2751464</v>
          </cell>
          <cell r="R82">
            <v>1351232</v>
          </cell>
          <cell r="S82">
            <v>544551.4</v>
          </cell>
        </row>
        <row r="83">
          <cell r="E83" t="str">
            <v>SB22586</v>
          </cell>
          <cell r="F83">
            <v>2778994.9</v>
          </cell>
          <cell r="G83">
            <v>2728972.4</v>
          </cell>
          <cell r="H83">
            <v>0</v>
          </cell>
          <cell r="I83">
            <v>0</v>
          </cell>
          <cell r="J83">
            <v>2728972.4</v>
          </cell>
          <cell r="K83">
            <v>1918452.98</v>
          </cell>
          <cell r="L83">
            <v>1581653.26</v>
          </cell>
          <cell r="M83">
            <v>87360.31</v>
          </cell>
          <cell r="N83">
            <v>377517.83</v>
          </cell>
          <cell r="O83">
            <v>0</v>
          </cell>
          <cell r="P83">
            <v>2046531.4</v>
          </cell>
          <cell r="Q83">
            <v>2295970.81</v>
          </cell>
          <cell r="R83">
            <v>860541.92</v>
          </cell>
          <cell r="S83">
            <v>682441</v>
          </cell>
        </row>
        <row r="84">
          <cell r="E84" t="str">
            <v>SB22585</v>
          </cell>
          <cell r="F84">
            <v>6496</v>
          </cell>
          <cell r="G84">
            <v>6496</v>
          </cell>
          <cell r="H84">
            <v>0</v>
          </cell>
          <cell r="I84">
            <v>0</v>
          </cell>
          <cell r="J84">
            <v>6496</v>
          </cell>
          <cell r="K84">
            <v>2700</v>
          </cell>
          <cell r="L84">
            <v>0</v>
          </cell>
          <cell r="M84">
            <v>306</v>
          </cell>
          <cell r="N84">
            <v>4760.88</v>
          </cell>
          <cell r="O84">
            <v>0</v>
          </cell>
          <cell r="P84">
            <v>5066.88</v>
          </cell>
          <cell r="Q84">
            <v>7460.88</v>
          </cell>
          <cell r="R84">
            <v>3796</v>
          </cell>
          <cell r="S84">
            <v>1429.12</v>
          </cell>
        </row>
        <row r="85">
          <cell r="E85" t="str">
            <v>SB22582</v>
          </cell>
          <cell r="F85">
            <v>138448</v>
          </cell>
          <cell r="G85">
            <v>0</v>
          </cell>
          <cell r="H85">
            <v>138448</v>
          </cell>
          <cell r="I85">
            <v>0</v>
          </cell>
          <cell r="J85">
            <v>138448</v>
          </cell>
          <cell r="K85">
            <v>43200</v>
          </cell>
          <cell r="L85">
            <v>43200</v>
          </cell>
          <cell r="M85">
            <v>0</v>
          </cell>
          <cell r="N85">
            <v>45248</v>
          </cell>
          <cell r="O85">
            <v>0</v>
          </cell>
          <cell r="P85">
            <v>88448</v>
          </cell>
          <cell r="Q85">
            <v>88448</v>
          </cell>
          <cell r="R85">
            <v>95248</v>
          </cell>
          <cell r="S85">
            <v>50000</v>
          </cell>
        </row>
        <row r="86">
          <cell r="E86" t="str">
            <v>SB22583</v>
          </cell>
          <cell r="F86">
            <v>55000</v>
          </cell>
          <cell r="G86">
            <v>55000</v>
          </cell>
          <cell r="H86">
            <v>0</v>
          </cell>
          <cell r="I86">
            <v>0</v>
          </cell>
          <cell r="J86">
            <v>55000</v>
          </cell>
          <cell r="K86">
            <v>0</v>
          </cell>
          <cell r="L86">
            <v>0</v>
          </cell>
          <cell r="M86">
            <v>9728.8</v>
          </cell>
          <cell r="N86">
            <v>0</v>
          </cell>
          <cell r="O86">
            <v>0</v>
          </cell>
          <cell r="P86">
            <v>9728.8</v>
          </cell>
          <cell r="Q86">
            <v>0</v>
          </cell>
          <cell r="R86">
            <v>55000</v>
          </cell>
          <cell r="S86">
            <v>45271.2</v>
          </cell>
        </row>
        <row r="87">
          <cell r="E87" t="str">
            <v>SB22580</v>
          </cell>
          <cell r="F87">
            <v>650000</v>
          </cell>
          <cell r="G87">
            <v>0</v>
          </cell>
          <cell r="H87">
            <v>650000</v>
          </cell>
          <cell r="I87">
            <v>0</v>
          </cell>
          <cell r="J87">
            <v>650000</v>
          </cell>
          <cell r="K87">
            <v>650000</v>
          </cell>
          <cell r="L87">
            <v>650000</v>
          </cell>
          <cell r="M87">
            <v>0</v>
          </cell>
          <cell r="N87">
            <v>0</v>
          </cell>
          <cell r="O87">
            <v>0</v>
          </cell>
          <cell r="P87">
            <v>650000</v>
          </cell>
          <cell r="Q87">
            <v>650000</v>
          </cell>
          <cell r="R87">
            <v>0</v>
          </cell>
          <cell r="S87">
            <v>0</v>
          </cell>
        </row>
        <row r="88">
          <cell r="E88" t="str">
            <v>SB22581</v>
          </cell>
          <cell r="F88">
            <v>771075</v>
          </cell>
          <cell r="G88">
            <v>771075</v>
          </cell>
          <cell r="H88">
            <v>0</v>
          </cell>
          <cell r="I88">
            <v>0</v>
          </cell>
          <cell r="J88">
            <v>771075</v>
          </cell>
          <cell r="K88">
            <v>398548</v>
          </cell>
          <cell r="L88">
            <v>383000</v>
          </cell>
          <cell r="M88">
            <v>89583.99</v>
          </cell>
          <cell r="N88">
            <v>38706.01</v>
          </cell>
          <cell r="O88">
            <v>0</v>
          </cell>
          <cell r="P88">
            <v>511290</v>
          </cell>
          <cell r="Q88">
            <v>437254.01</v>
          </cell>
          <cell r="R88">
            <v>372527</v>
          </cell>
          <cell r="S88">
            <v>259785</v>
          </cell>
        </row>
        <row r="89">
          <cell r="E89" t="str">
            <v>SB22578</v>
          </cell>
          <cell r="F89">
            <v>5333936</v>
          </cell>
          <cell r="G89">
            <v>5333936.81</v>
          </cell>
          <cell r="H89">
            <v>0</v>
          </cell>
          <cell r="I89">
            <v>0</v>
          </cell>
          <cell r="J89">
            <v>5333936.81</v>
          </cell>
          <cell r="K89">
            <v>3197394</v>
          </cell>
          <cell r="L89">
            <v>1947512</v>
          </cell>
          <cell r="M89">
            <v>200577.05</v>
          </cell>
          <cell r="N89">
            <v>1705846.95</v>
          </cell>
          <cell r="O89">
            <v>0</v>
          </cell>
          <cell r="P89">
            <v>3853936</v>
          </cell>
          <cell r="Q89">
            <v>4903240.95</v>
          </cell>
          <cell r="R89">
            <v>2136542</v>
          </cell>
          <cell r="S89">
            <v>1480000.81</v>
          </cell>
        </row>
        <row r="90">
          <cell r="E90" t="str">
            <v>SB22575</v>
          </cell>
          <cell r="F90">
            <v>0</v>
          </cell>
          <cell r="G90">
            <v>0</v>
          </cell>
          <cell r="H90">
            <v>835524</v>
          </cell>
          <cell r="I90">
            <v>0</v>
          </cell>
          <cell r="J90">
            <v>835524</v>
          </cell>
          <cell r="K90">
            <v>236500</v>
          </cell>
          <cell r="L90">
            <v>236500</v>
          </cell>
          <cell r="M90">
            <v>22189.94</v>
          </cell>
          <cell r="N90">
            <v>176834.06</v>
          </cell>
          <cell r="O90">
            <v>0</v>
          </cell>
          <cell r="P90">
            <v>435524</v>
          </cell>
          <cell r="Q90">
            <v>413334.06</v>
          </cell>
          <cell r="R90">
            <v>-236500</v>
          </cell>
          <cell r="S90">
            <v>400000</v>
          </cell>
        </row>
        <row r="91">
          <cell r="E91" t="str">
            <v>SB22577</v>
          </cell>
          <cell r="F91">
            <v>2450000</v>
          </cell>
          <cell r="G91">
            <v>0</v>
          </cell>
          <cell r="H91">
            <v>832754</v>
          </cell>
          <cell r="I91">
            <v>0</v>
          </cell>
          <cell r="J91">
            <v>832754</v>
          </cell>
          <cell r="K91">
            <v>62197.5</v>
          </cell>
          <cell r="L91">
            <v>62197.5</v>
          </cell>
          <cell r="M91">
            <v>1490</v>
          </cell>
          <cell r="N91">
            <v>569066.5</v>
          </cell>
          <cell r="O91">
            <v>0</v>
          </cell>
          <cell r="P91">
            <v>632754</v>
          </cell>
          <cell r="Q91">
            <v>631264</v>
          </cell>
          <cell r="R91">
            <v>2387802.5</v>
          </cell>
          <cell r="S91">
            <v>200000</v>
          </cell>
        </row>
        <row r="92">
          <cell r="E92" t="str">
            <v>SB22576</v>
          </cell>
          <cell r="F92">
            <v>304656</v>
          </cell>
          <cell r="G92">
            <v>0</v>
          </cell>
          <cell r="H92">
            <v>891616</v>
          </cell>
          <cell r="I92">
            <v>0</v>
          </cell>
          <cell r="J92">
            <v>891616</v>
          </cell>
          <cell r="K92">
            <v>618138.76</v>
          </cell>
          <cell r="L92">
            <v>615388.76</v>
          </cell>
          <cell r="M92">
            <v>25565.27</v>
          </cell>
          <cell r="N92">
            <v>59045.97</v>
          </cell>
          <cell r="O92">
            <v>0</v>
          </cell>
          <cell r="P92">
            <v>700000</v>
          </cell>
          <cell r="Q92">
            <v>677184.73</v>
          </cell>
          <cell r="R92">
            <v>-313482.76</v>
          </cell>
          <cell r="S92">
            <v>191616</v>
          </cell>
        </row>
        <row r="93">
          <cell r="E93" t="str">
            <v>SB22573</v>
          </cell>
          <cell r="F93">
            <v>0</v>
          </cell>
          <cell r="G93">
            <v>0</v>
          </cell>
          <cell r="H93">
            <v>33583</v>
          </cell>
          <cell r="I93">
            <v>0</v>
          </cell>
          <cell r="J93">
            <v>33583</v>
          </cell>
          <cell r="K93">
            <v>0</v>
          </cell>
          <cell r="L93">
            <v>0</v>
          </cell>
          <cell r="M93">
            <v>1903</v>
          </cell>
          <cell r="N93">
            <v>20097</v>
          </cell>
          <cell r="O93">
            <v>0</v>
          </cell>
          <cell r="P93">
            <v>22000</v>
          </cell>
          <cell r="Q93">
            <v>20097</v>
          </cell>
          <cell r="R93">
            <v>0</v>
          </cell>
          <cell r="S93">
            <v>11583</v>
          </cell>
        </row>
        <row r="94">
          <cell r="E94" t="str">
            <v>SB22574</v>
          </cell>
          <cell r="F94">
            <v>0</v>
          </cell>
          <cell r="G94">
            <v>2156689</v>
          </cell>
          <cell r="H94">
            <v>0</v>
          </cell>
          <cell r="I94">
            <v>0</v>
          </cell>
          <cell r="J94">
            <v>2156689</v>
          </cell>
          <cell r="K94">
            <v>1038189.76</v>
          </cell>
          <cell r="L94">
            <v>1038189.76</v>
          </cell>
          <cell r="M94">
            <v>0</v>
          </cell>
          <cell r="N94">
            <v>582989.25</v>
          </cell>
          <cell r="O94">
            <v>0</v>
          </cell>
          <cell r="P94">
            <v>1621179.01</v>
          </cell>
          <cell r="Q94">
            <v>1621179.01</v>
          </cell>
          <cell r="R94">
            <v>-1038189.76</v>
          </cell>
          <cell r="S94">
            <v>535509.99</v>
          </cell>
        </row>
        <row r="95">
          <cell r="E95" t="str">
            <v>SB22572</v>
          </cell>
          <cell r="F95">
            <v>94071.96</v>
          </cell>
          <cell r="G95">
            <v>94072</v>
          </cell>
          <cell r="H95">
            <v>0</v>
          </cell>
          <cell r="I95">
            <v>0</v>
          </cell>
          <cell r="J95">
            <v>94072</v>
          </cell>
          <cell r="K95">
            <v>45000</v>
          </cell>
          <cell r="L95">
            <v>36000</v>
          </cell>
          <cell r="M95">
            <v>0</v>
          </cell>
          <cell r="N95">
            <v>33072</v>
          </cell>
          <cell r="O95">
            <v>0</v>
          </cell>
          <cell r="P95">
            <v>69072</v>
          </cell>
          <cell r="Q95">
            <v>78072</v>
          </cell>
          <cell r="R95">
            <v>49071.96</v>
          </cell>
          <cell r="S95">
            <v>25000</v>
          </cell>
        </row>
        <row r="96">
          <cell r="E96" t="str">
            <v>SB22570</v>
          </cell>
          <cell r="F96">
            <v>375100</v>
          </cell>
          <cell r="G96">
            <v>171050</v>
          </cell>
          <cell r="H96">
            <v>0</v>
          </cell>
          <cell r="I96">
            <v>0</v>
          </cell>
          <cell r="J96">
            <v>171050</v>
          </cell>
          <cell r="K96">
            <v>46000</v>
          </cell>
          <cell r="L96">
            <v>46000</v>
          </cell>
          <cell r="M96">
            <v>0</v>
          </cell>
          <cell r="N96">
            <v>48380</v>
          </cell>
          <cell r="O96">
            <v>0</v>
          </cell>
          <cell r="P96">
            <v>94380</v>
          </cell>
          <cell r="Q96">
            <v>94380</v>
          </cell>
          <cell r="R96">
            <v>329100</v>
          </cell>
          <cell r="S96">
            <v>76670</v>
          </cell>
        </row>
        <row r="97">
          <cell r="E97" t="str">
            <v>SB22571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1151705</v>
          </cell>
          <cell r="L97">
            <v>1148205</v>
          </cell>
          <cell r="M97">
            <v>29867</v>
          </cell>
          <cell r="N97">
            <v>318428</v>
          </cell>
          <cell r="O97">
            <v>0</v>
          </cell>
          <cell r="P97">
            <v>1496500</v>
          </cell>
          <cell r="Q97">
            <v>1470133</v>
          </cell>
          <cell r="R97">
            <v>-1151705</v>
          </cell>
          <cell r="S97">
            <v>-1496500</v>
          </cell>
        </row>
        <row r="98">
          <cell r="E98" t="str">
            <v>SB22569</v>
          </cell>
          <cell r="F98">
            <v>5599600</v>
          </cell>
          <cell r="G98">
            <v>7613750</v>
          </cell>
          <cell r="H98">
            <v>6899640</v>
          </cell>
          <cell r="I98">
            <v>0</v>
          </cell>
          <cell r="J98">
            <v>14513390</v>
          </cell>
          <cell r="K98">
            <v>4723099.94</v>
          </cell>
          <cell r="L98">
            <v>2452132.34</v>
          </cell>
          <cell r="M98">
            <v>112310</v>
          </cell>
          <cell r="N98">
            <v>9834682.66</v>
          </cell>
          <cell r="O98">
            <v>0</v>
          </cell>
          <cell r="P98">
            <v>12399125</v>
          </cell>
          <cell r="Q98">
            <v>14557782.6</v>
          </cell>
          <cell r="R98">
            <v>876500.06</v>
          </cell>
          <cell r="S98">
            <v>2114265</v>
          </cell>
        </row>
        <row r="99">
          <cell r="E99" t="str">
            <v>SB22567</v>
          </cell>
          <cell r="F99">
            <v>24145</v>
          </cell>
          <cell r="G99">
            <v>24145</v>
          </cell>
          <cell r="H99">
            <v>0</v>
          </cell>
          <cell r="I99">
            <v>0</v>
          </cell>
          <cell r="J99">
            <v>24145</v>
          </cell>
          <cell r="K99">
            <v>0</v>
          </cell>
          <cell r="L99">
            <v>0</v>
          </cell>
          <cell r="M99">
            <v>3453.33</v>
          </cell>
          <cell r="N99">
            <v>14049.87</v>
          </cell>
          <cell r="O99">
            <v>0</v>
          </cell>
          <cell r="P99">
            <v>17503.2</v>
          </cell>
          <cell r="Q99">
            <v>14049.87</v>
          </cell>
          <cell r="R99">
            <v>24145</v>
          </cell>
          <cell r="S99">
            <v>6641.8</v>
          </cell>
        </row>
        <row r="100">
          <cell r="E100" t="str">
            <v>SB22566</v>
          </cell>
          <cell r="F100">
            <v>2060170.57</v>
          </cell>
          <cell r="G100">
            <v>2060170.57</v>
          </cell>
          <cell r="H100">
            <v>-2060170.57</v>
          </cell>
          <cell r="I100">
            <v>0</v>
          </cell>
          <cell r="J100">
            <v>0</v>
          </cell>
          <cell r="K100">
            <v>968500</v>
          </cell>
          <cell r="L100">
            <v>2767500</v>
          </cell>
          <cell r="M100">
            <v>26003</v>
          </cell>
          <cell r="N100">
            <v>-2877500</v>
          </cell>
          <cell r="O100">
            <v>0</v>
          </cell>
          <cell r="P100">
            <v>-83997</v>
          </cell>
          <cell r="Q100">
            <v>-1909000</v>
          </cell>
          <cell r="R100">
            <v>1091670.57</v>
          </cell>
          <cell r="S100">
            <v>-83997</v>
          </cell>
        </row>
        <row r="101">
          <cell r="E101" t="str">
            <v>SB22565</v>
          </cell>
          <cell r="F101">
            <v>1804616</v>
          </cell>
          <cell r="G101">
            <v>0</v>
          </cell>
          <cell r="H101">
            <v>1804616</v>
          </cell>
          <cell r="I101">
            <v>0</v>
          </cell>
          <cell r="J101">
            <v>1804616</v>
          </cell>
          <cell r="K101">
            <v>82324</v>
          </cell>
          <cell r="L101">
            <v>82324</v>
          </cell>
          <cell r="M101">
            <v>51604</v>
          </cell>
          <cell r="N101">
            <v>1515043</v>
          </cell>
          <cell r="O101">
            <v>-11315</v>
          </cell>
          <cell r="P101">
            <v>1637656</v>
          </cell>
          <cell r="Q101">
            <v>1586052</v>
          </cell>
          <cell r="R101">
            <v>1722292</v>
          </cell>
          <cell r="S101">
            <v>166960</v>
          </cell>
        </row>
        <row r="102">
          <cell r="E102" t="str">
            <v>SB22562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4313422.68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4313422.68</v>
          </cell>
          <cell r="R102">
            <v>-4313422.68</v>
          </cell>
          <cell r="S102">
            <v>0</v>
          </cell>
        </row>
        <row r="103">
          <cell r="E103" t="str">
            <v>SB22563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4291669.47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4291669.47</v>
          </cell>
          <cell r="R103">
            <v>-4291669.47</v>
          </cell>
          <cell r="S103">
            <v>0</v>
          </cell>
        </row>
        <row r="104">
          <cell r="E104" t="str">
            <v>SB22564</v>
          </cell>
          <cell r="F104">
            <v>0</v>
          </cell>
          <cell r="G104">
            <v>0</v>
          </cell>
          <cell r="H104">
            <v>1017327</v>
          </cell>
          <cell r="I104">
            <v>0</v>
          </cell>
          <cell r="J104">
            <v>1017327</v>
          </cell>
          <cell r="K104">
            <v>33050</v>
          </cell>
          <cell r="L104">
            <v>475550</v>
          </cell>
          <cell r="M104">
            <v>21416.43</v>
          </cell>
          <cell r="N104">
            <v>170000</v>
          </cell>
          <cell r="O104">
            <v>0</v>
          </cell>
          <cell r="P104">
            <v>666966.43</v>
          </cell>
          <cell r="Q104">
            <v>203050</v>
          </cell>
          <cell r="R104">
            <v>-33050</v>
          </cell>
          <cell r="S104">
            <v>350360.57</v>
          </cell>
        </row>
        <row r="105">
          <cell r="E105" t="str">
            <v>SB22560</v>
          </cell>
          <cell r="F105">
            <v>515900</v>
          </cell>
          <cell r="G105">
            <v>1548800</v>
          </cell>
          <cell r="H105">
            <v>0</v>
          </cell>
          <cell r="I105">
            <v>-515900</v>
          </cell>
          <cell r="J105">
            <v>1032900</v>
          </cell>
          <cell r="K105">
            <v>213434.99</v>
          </cell>
          <cell r="L105">
            <v>263194.99</v>
          </cell>
          <cell r="M105">
            <v>88669</v>
          </cell>
          <cell r="N105">
            <v>481036.01</v>
          </cell>
          <cell r="O105">
            <v>0</v>
          </cell>
          <cell r="P105">
            <v>832900</v>
          </cell>
          <cell r="Q105">
            <v>694471</v>
          </cell>
          <cell r="R105">
            <v>302465.01</v>
          </cell>
          <cell r="S105">
            <v>200000</v>
          </cell>
        </row>
        <row r="106">
          <cell r="E106" t="str">
            <v>SB22561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5635612.25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5635612.25</v>
          </cell>
          <cell r="R106">
            <v>-5635612.25</v>
          </cell>
          <cell r="S106">
            <v>0</v>
          </cell>
        </row>
        <row r="107">
          <cell r="E107" t="str">
            <v>SB22558</v>
          </cell>
          <cell r="F107">
            <v>224730</v>
          </cell>
          <cell r="G107">
            <v>224730</v>
          </cell>
          <cell r="H107">
            <v>0</v>
          </cell>
          <cell r="I107">
            <v>0</v>
          </cell>
          <cell r="J107">
            <v>224730</v>
          </cell>
          <cell r="K107">
            <v>180250</v>
          </cell>
          <cell r="L107">
            <v>180250</v>
          </cell>
          <cell r="M107">
            <v>0</v>
          </cell>
          <cell r="N107">
            <v>0</v>
          </cell>
          <cell r="O107">
            <v>0</v>
          </cell>
          <cell r="P107">
            <v>180250</v>
          </cell>
          <cell r="Q107">
            <v>180250</v>
          </cell>
          <cell r="R107">
            <v>44480</v>
          </cell>
          <cell r="S107">
            <v>44480</v>
          </cell>
        </row>
        <row r="108">
          <cell r="E108" t="str">
            <v>SB22557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138700</v>
          </cell>
          <cell r="M108">
            <v>0</v>
          </cell>
          <cell r="N108">
            <v>-138700</v>
          </cell>
          <cell r="O108">
            <v>0</v>
          </cell>
          <cell r="P108">
            <v>0</v>
          </cell>
          <cell r="Q108">
            <v>-138700</v>
          </cell>
          <cell r="R108">
            <v>0</v>
          </cell>
          <cell r="S108">
            <v>0</v>
          </cell>
        </row>
        <row r="109">
          <cell r="E109" t="str">
            <v>SB22559</v>
          </cell>
          <cell r="F109">
            <v>2150500</v>
          </cell>
          <cell r="G109">
            <v>0</v>
          </cell>
          <cell r="H109">
            <v>2150500</v>
          </cell>
          <cell r="I109">
            <v>0</v>
          </cell>
          <cell r="J109">
            <v>2150500</v>
          </cell>
          <cell r="K109">
            <v>1561642.5</v>
          </cell>
          <cell r="L109">
            <v>299730</v>
          </cell>
          <cell r="M109">
            <v>0</v>
          </cell>
          <cell r="N109">
            <v>1550770</v>
          </cell>
          <cell r="O109">
            <v>0</v>
          </cell>
          <cell r="P109">
            <v>1850500</v>
          </cell>
          <cell r="Q109">
            <v>3112412.5</v>
          </cell>
          <cell r="R109">
            <v>588857.5</v>
          </cell>
          <cell r="S109">
            <v>300000</v>
          </cell>
        </row>
        <row r="110">
          <cell r="E110" t="str">
            <v>SB22555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15000</v>
          </cell>
          <cell r="M110">
            <v>0</v>
          </cell>
          <cell r="N110">
            <v>-15000</v>
          </cell>
          <cell r="O110">
            <v>0</v>
          </cell>
          <cell r="P110">
            <v>0</v>
          </cell>
          <cell r="Q110">
            <v>-15000</v>
          </cell>
          <cell r="R110">
            <v>0</v>
          </cell>
          <cell r="S110">
            <v>0</v>
          </cell>
        </row>
        <row r="111">
          <cell r="E111" t="str">
            <v>SB22556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50500</v>
          </cell>
          <cell r="M111">
            <v>1556</v>
          </cell>
          <cell r="N111">
            <v>-52056</v>
          </cell>
          <cell r="O111">
            <v>0</v>
          </cell>
          <cell r="P111">
            <v>0</v>
          </cell>
          <cell r="Q111">
            <v>-52056</v>
          </cell>
          <cell r="R111">
            <v>0</v>
          </cell>
          <cell r="S111">
            <v>0</v>
          </cell>
        </row>
        <row r="112">
          <cell r="E112" t="str">
            <v>SB22552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573790.29</v>
          </cell>
          <cell r="L112">
            <v>721790.29</v>
          </cell>
          <cell r="M112">
            <v>30040</v>
          </cell>
          <cell r="N112">
            <v>-790000</v>
          </cell>
          <cell r="O112">
            <v>0</v>
          </cell>
          <cell r="P112">
            <v>-38169.71</v>
          </cell>
          <cell r="Q112">
            <v>-216209.71</v>
          </cell>
          <cell r="R112">
            <v>-573790.29</v>
          </cell>
          <cell r="S112">
            <v>-38169.71</v>
          </cell>
        </row>
        <row r="113">
          <cell r="E113" t="str">
            <v>SB22551</v>
          </cell>
          <cell r="F113">
            <v>0</v>
          </cell>
          <cell r="G113">
            <v>699894</v>
          </cell>
          <cell r="H113">
            <v>-699894</v>
          </cell>
          <cell r="I113">
            <v>0</v>
          </cell>
          <cell r="J113">
            <v>0</v>
          </cell>
          <cell r="K113">
            <v>409000</v>
          </cell>
          <cell r="L113">
            <v>254000</v>
          </cell>
          <cell r="M113">
            <v>39950</v>
          </cell>
          <cell r="N113">
            <v>-303120</v>
          </cell>
          <cell r="O113">
            <v>0</v>
          </cell>
          <cell r="P113">
            <v>-9170</v>
          </cell>
          <cell r="Q113">
            <v>105880</v>
          </cell>
          <cell r="R113">
            <v>-409000</v>
          </cell>
          <cell r="S113">
            <v>-9170</v>
          </cell>
        </row>
        <row r="114">
          <cell r="E114" t="str">
            <v>SB22550</v>
          </cell>
          <cell r="F114">
            <v>0</v>
          </cell>
          <cell r="G114">
            <v>2226654</v>
          </cell>
          <cell r="H114">
            <v>-2117000</v>
          </cell>
          <cell r="I114">
            <v>0</v>
          </cell>
          <cell r="J114">
            <v>109654</v>
          </cell>
          <cell r="K114">
            <v>1283640</v>
          </cell>
          <cell r="L114">
            <v>1209120</v>
          </cell>
          <cell r="M114">
            <v>51385.02</v>
          </cell>
          <cell r="N114">
            <v>-1258076.02</v>
          </cell>
          <cell r="O114">
            <v>-2429</v>
          </cell>
          <cell r="P114">
            <v>0</v>
          </cell>
          <cell r="Q114">
            <v>23134.98</v>
          </cell>
          <cell r="R114">
            <v>-1283640</v>
          </cell>
          <cell r="S114">
            <v>109654</v>
          </cell>
        </row>
        <row r="115">
          <cell r="E115" t="str">
            <v>SB22549</v>
          </cell>
          <cell r="F115">
            <v>0</v>
          </cell>
          <cell r="G115">
            <v>286859.98</v>
          </cell>
          <cell r="H115">
            <v>-301859.98</v>
          </cell>
          <cell r="I115">
            <v>0</v>
          </cell>
          <cell r="J115">
            <v>-15000</v>
          </cell>
          <cell r="K115">
            <v>0</v>
          </cell>
          <cell r="L115">
            <v>94000</v>
          </cell>
          <cell r="M115">
            <v>0</v>
          </cell>
          <cell r="N115">
            <v>-94000</v>
          </cell>
          <cell r="O115">
            <v>0</v>
          </cell>
          <cell r="P115">
            <v>0</v>
          </cell>
          <cell r="Q115">
            <v>-94000</v>
          </cell>
          <cell r="R115">
            <v>0</v>
          </cell>
          <cell r="S115">
            <v>15000</v>
          </cell>
        </row>
        <row r="116">
          <cell r="E116" t="str">
            <v>SB22548</v>
          </cell>
          <cell r="F116">
            <v>581460</v>
          </cell>
          <cell r="G116">
            <v>581460</v>
          </cell>
          <cell r="H116">
            <v>0</v>
          </cell>
          <cell r="I116">
            <v>-581460</v>
          </cell>
          <cell r="J116">
            <v>0</v>
          </cell>
          <cell r="K116">
            <v>83363</v>
          </cell>
          <cell r="L116">
            <v>197038</v>
          </cell>
          <cell r="M116">
            <v>0</v>
          </cell>
          <cell r="N116">
            <v>-243675</v>
          </cell>
          <cell r="O116">
            <v>0</v>
          </cell>
          <cell r="P116">
            <v>-46637</v>
          </cell>
          <cell r="Q116">
            <v>-160312</v>
          </cell>
          <cell r="R116">
            <v>498097</v>
          </cell>
          <cell r="S116">
            <v>-46637</v>
          </cell>
        </row>
        <row r="117">
          <cell r="E117" t="str">
            <v>SB22547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42110</v>
          </cell>
          <cell r="M117">
            <v>0</v>
          </cell>
          <cell r="N117">
            <v>-42110</v>
          </cell>
          <cell r="O117">
            <v>0</v>
          </cell>
          <cell r="P117">
            <v>0</v>
          </cell>
          <cell r="Q117">
            <v>-42110</v>
          </cell>
          <cell r="R117">
            <v>0</v>
          </cell>
          <cell r="S117">
            <v>0</v>
          </cell>
        </row>
        <row r="118">
          <cell r="E118" t="str">
            <v>SB22545</v>
          </cell>
          <cell r="F118">
            <v>3500020</v>
          </cell>
          <cell r="G118">
            <v>0</v>
          </cell>
          <cell r="H118">
            <v>2820020</v>
          </cell>
          <cell r="I118">
            <v>0</v>
          </cell>
          <cell r="J118">
            <v>2820020</v>
          </cell>
          <cell r="K118">
            <v>3027640.8</v>
          </cell>
          <cell r="L118">
            <v>1181830</v>
          </cell>
          <cell r="M118">
            <v>5952</v>
          </cell>
          <cell r="N118">
            <v>1612238</v>
          </cell>
          <cell r="O118">
            <v>0</v>
          </cell>
          <cell r="P118">
            <v>2800020</v>
          </cell>
          <cell r="Q118">
            <v>4639878.8</v>
          </cell>
          <cell r="R118">
            <v>472379.2</v>
          </cell>
          <cell r="S118">
            <v>20000</v>
          </cell>
        </row>
        <row r="119">
          <cell r="E119" t="str">
            <v>SB22546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330740</v>
          </cell>
          <cell r="M119">
            <v>0</v>
          </cell>
          <cell r="N119">
            <v>-330740</v>
          </cell>
          <cell r="O119">
            <v>0</v>
          </cell>
          <cell r="P119">
            <v>0</v>
          </cell>
          <cell r="Q119">
            <v>-330740</v>
          </cell>
          <cell r="R119">
            <v>0</v>
          </cell>
          <cell r="S119">
            <v>0</v>
          </cell>
        </row>
        <row r="120">
          <cell r="E120" t="str">
            <v>SB22543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985399</v>
          </cell>
          <cell r="L120">
            <v>1021439</v>
          </cell>
          <cell r="M120">
            <v>0</v>
          </cell>
          <cell r="N120">
            <v>-1021439</v>
          </cell>
          <cell r="O120">
            <v>0</v>
          </cell>
          <cell r="P120">
            <v>0</v>
          </cell>
          <cell r="Q120">
            <v>-36040</v>
          </cell>
          <cell r="R120">
            <v>-985399</v>
          </cell>
          <cell r="S120">
            <v>0</v>
          </cell>
        </row>
        <row r="121">
          <cell r="E121" t="str">
            <v>SB22541</v>
          </cell>
          <cell r="F121">
            <v>2929136.25</v>
          </cell>
          <cell r="G121">
            <v>4753266.25</v>
          </cell>
          <cell r="H121">
            <v>0</v>
          </cell>
          <cell r="I121">
            <v>0</v>
          </cell>
          <cell r="J121">
            <v>4753266.25</v>
          </cell>
          <cell r="K121">
            <v>924455</v>
          </cell>
          <cell r="L121">
            <v>924455</v>
          </cell>
          <cell r="M121">
            <v>0</v>
          </cell>
          <cell r="N121">
            <v>3115821.31</v>
          </cell>
          <cell r="O121">
            <v>0</v>
          </cell>
          <cell r="P121">
            <v>4040276.31</v>
          </cell>
          <cell r="Q121">
            <v>4040276.31</v>
          </cell>
          <cell r="R121">
            <v>2004681.25</v>
          </cell>
          <cell r="S121">
            <v>712989.94</v>
          </cell>
        </row>
        <row r="122">
          <cell r="E122" t="str">
            <v>SB22540</v>
          </cell>
          <cell r="F122">
            <v>13665000</v>
          </cell>
          <cell r="G122">
            <v>8295000</v>
          </cell>
          <cell r="H122">
            <v>33211000</v>
          </cell>
          <cell r="I122">
            <v>0</v>
          </cell>
          <cell r="J122">
            <v>41506000</v>
          </cell>
          <cell r="K122">
            <v>31640035.8</v>
          </cell>
          <cell r="L122">
            <v>18515577.8</v>
          </cell>
          <cell r="M122">
            <v>253569.56</v>
          </cell>
          <cell r="N122">
            <v>21458605.47</v>
          </cell>
          <cell r="O122">
            <v>-4535000</v>
          </cell>
          <cell r="P122">
            <v>35692752.83</v>
          </cell>
          <cell r="Q122">
            <v>48563641.27</v>
          </cell>
          <cell r="R122">
            <v>-17975035.8</v>
          </cell>
          <cell r="S122">
            <v>5813247.17</v>
          </cell>
        </row>
        <row r="123">
          <cell r="E123" t="str">
            <v>SB22538</v>
          </cell>
          <cell r="F123">
            <v>0</v>
          </cell>
          <cell r="G123">
            <v>63910</v>
          </cell>
          <cell r="H123">
            <v>-64000</v>
          </cell>
          <cell r="I123">
            <v>0</v>
          </cell>
          <cell r="J123">
            <v>-90</v>
          </cell>
          <cell r="K123">
            <v>0</v>
          </cell>
          <cell r="L123">
            <v>700</v>
          </cell>
          <cell r="M123">
            <v>0</v>
          </cell>
          <cell r="N123">
            <v>-700</v>
          </cell>
          <cell r="O123">
            <v>0</v>
          </cell>
          <cell r="P123">
            <v>0</v>
          </cell>
          <cell r="Q123">
            <v>-700</v>
          </cell>
          <cell r="R123">
            <v>0</v>
          </cell>
          <cell r="S123">
            <v>90</v>
          </cell>
        </row>
        <row r="124">
          <cell r="E124" t="str">
            <v>SB22539</v>
          </cell>
          <cell r="F124">
            <v>0</v>
          </cell>
          <cell r="G124">
            <v>7760453</v>
          </cell>
          <cell r="H124">
            <v>-4904900</v>
          </cell>
          <cell r="I124">
            <v>0</v>
          </cell>
          <cell r="J124">
            <v>2855553</v>
          </cell>
          <cell r="K124">
            <v>4576291.19</v>
          </cell>
          <cell r="L124">
            <v>1302957.19</v>
          </cell>
          <cell r="M124">
            <v>34667</v>
          </cell>
          <cell r="N124">
            <v>-219954.19</v>
          </cell>
          <cell r="O124">
            <v>-6450</v>
          </cell>
          <cell r="P124">
            <v>1111220</v>
          </cell>
          <cell r="Q124">
            <v>4349887</v>
          </cell>
          <cell r="R124">
            <v>-4576291.19</v>
          </cell>
          <cell r="S124">
            <v>1744333</v>
          </cell>
        </row>
        <row r="125">
          <cell r="E125" t="str">
            <v>SB22536</v>
          </cell>
          <cell r="F125">
            <v>0</v>
          </cell>
          <cell r="G125">
            <v>0</v>
          </cell>
          <cell r="H125">
            <v>-10000</v>
          </cell>
          <cell r="I125">
            <v>0</v>
          </cell>
          <cell r="J125">
            <v>-10000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10000</v>
          </cell>
        </row>
        <row r="126">
          <cell r="E126" t="str">
            <v>SB22537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330000</v>
          </cell>
          <cell r="M126">
            <v>0</v>
          </cell>
          <cell r="N126">
            <v>-330000</v>
          </cell>
          <cell r="O126">
            <v>0</v>
          </cell>
          <cell r="P126">
            <v>0</v>
          </cell>
          <cell r="Q126">
            <v>-330000</v>
          </cell>
          <cell r="R126">
            <v>0</v>
          </cell>
          <cell r="S126">
            <v>0</v>
          </cell>
        </row>
        <row r="127">
          <cell r="E127" t="str">
            <v>SB22534</v>
          </cell>
          <cell r="F127">
            <v>1679447</v>
          </cell>
          <cell r="G127">
            <v>909447</v>
          </cell>
          <cell r="H127">
            <v>0</v>
          </cell>
          <cell r="I127">
            <v>0</v>
          </cell>
          <cell r="J127">
            <v>909447</v>
          </cell>
          <cell r="K127">
            <v>351760</v>
          </cell>
          <cell r="L127">
            <v>601271</v>
          </cell>
          <cell r="M127">
            <v>12940</v>
          </cell>
          <cell r="N127">
            <v>110540</v>
          </cell>
          <cell r="O127">
            <v>0</v>
          </cell>
          <cell r="P127">
            <v>724751</v>
          </cell>
          <cell r="Q127">
            <v>462300</v>
          </cell>
          <cell r="R127">
            <v>1327687</v>
          </cell>
          <cell r="S127">
            <v>184696</v>
          </cell>
        </row>
        <row r="128">
          <cell r="E128" t="str">
            <v>SB22532</v>
          </cell>
          <cell r="F128">
            <v>0</v>
          </cell>
          <cell r="G128">
            <v>337700</v>
          </cell>
          <cell r="H128">
            <v>-337700</v>
          </cell>
          <cell r="I128">
            <v>0</v>
          </cell>
          <cell r="J128">
            <v>0</v>
          </cell>
          <cell r="K128">
            <v>0</v>
          </cell>
          <cell r="L128">
            <v>255000</v>
          </cell>
          <cell r="M128">
            <v>0</v>
          </cell>
          <cell r="N128">
            <v>-255000</v>
          </cell>
          <cell r="O128">
            <v>0</v>
          </cell>
          <cell r="P128">
            <v>0</v>
          </cell>
          <cell r="Q128">
            <v>-255000</v>
          </cell>
          <cell r="R128">
            <v>0</v>
          </cell>
          <cell r="S128">
            <v>0</v>
          </cell>
        </row>
        <row r="129">
          <cell r="E129" t="str">
            <v>SB22529</v>
          </cell>
          <cell r="F129">
            <v>86020</v>
          </cell>
          <cell r="G129">
            <v>656271</v>
          </cell>
          <cell r="H129">
            <v>-656271</v>
          </cell>
          <cell r="I129">
            <v>0</v>
          </cell>
          <cell r="J129">
            <v>0</v>
          </cell>
          <cell r="K129">
            <v>0</v>
          </cell>
          <cell r="L129">
            <v>490814</v>
          </cell>
          <cell r="M129">
            <v>0</v>
          </cell>
          <cell r="N129">
            <v>-490814</v>
          </cell>
          <cell r="O129">
            <v>0</v>
          </cell>
          <cell r="P129">
            <v>0</v>
          </cell>
          <cell r="Q129">
            <v>-490814</v>
          </cell>
          <cell r="R129">
            <v>86020</v>
          </cell>
          <cell r="S129">
            <v>0</v>
          </cell>
        </row>
        <row r="130">
          <cell r="E130" t="str">
            <v>SB22526</v>
          </cell>
          <cell r="F130">
            <v>121792</v>
          </cell>
          <cell r="G130">
            <v>121792</v>
          </cell>
          <cell r="H130">
            <v>-115008</v>
          </cell>
          <cell r="I130">
            <v>0</v>
          </cell>
          <cell r="J130">
            <v>6784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121792</v>
          </cell>
          <cell r="S130">
            <v>6784</v>
          </cell>
        </row>
        <row r="131">
          <cell r="E131" t="str">
            <v>SB22527</v>
          </cell>
          <cell r="F131">
            <v>0</v>
          </cell>
          <cell r="G131">
            <v>284211</v>
          </cell>
          <cell r="H131">
            <v>-284211</v>
          </cell>
          <cell r="I131">
            <v>0</v>
          </cell>
          <cell r="J131">
            <v>0</v>
          </cell>
          <cell r="K131">
            <v>175000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175000</v>
          </cell>
          <cell r="R131">
            <v>-175000</v>
          </cell>
          <cell r="S131">
            <v>0</v>
          </cell>
        </row>
        <row r="132">
          <cell r="E132" t="str">
            <v>SB22524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22800</v>
          </cell>
          <cell r="M132">
            <v>0</v>
          </cell>
          <cell r="N132">
            <v>-22800</v>
          </cell>
          <cell r="O132">
            <v>0</v>
          </cell>
          <cell r="P132">
            <v>0</v>
          </cell>
          <cell r="Q132">
            <v>-22800</v>
          </cell>
          <cell r="R132">
            <v>0</v>
          </cell>
          <cell r="S132">
            <v>0</v>
          </cell>
        </row>
        <row r="133">
          <cell r="E133" t="str">
            <v>SB22523</v>
          </cell>
          <cell r="F133">
            <v>186450</v>
          </cell>
          <cell r="G133">
            <v>186450</v>
          </cell>
          <cell r="H133">
            <v>-186450</v>
          </cell>
          <cell r="I133">
            <v>0</v>
          </cell>
          <cell r="J133">
            <v>0</v>
          </cell>
          <cell r="K133">
            <v>0</v>
          </cell>
          <cell r="L133">
            <v>15000</v>
          </cell>
          <cell r="M133">
            <v>0</v>
          </cell>
          <cell r="N133">
            <v>-15000</v>
          </cell>
          <cell r="O133">
            <v>0</v>
          </cell>
          <cell r="P133">
            <v>0</v>
          </cell>
          <cell r="Q133">
            <v>-15000</v>
          </cell>
          <cell r="R133">
            <v>186450</v>
          </cell>
          <cell r="S133">
            <v>0</v>
          </cell>
        </row>
        <row r="134">
          <cell r="E134" t="str">
            <v>SB22520</v>
          </cell>
          <cell r="F134">
            <v>0</v>
          </cell>
          <cell r="G134">
            <v>197144</v>
          </cell>
          <cell r="H134">
            <v>0</v>
          </cell>
          <cell r="I134">
            <v>0</v>
          </cell>
          <cell r="J134">
            <v>197144</v>
          </cell>
          <cell r="K134">
            <v>88880</v>
          </cell>
          <cell r="L134">
            <v>126380</v>
          </cell>
          <cell r="M134">
            <v>0</v>
          </cell>
          <cell r="N134">
            <v>27392.32</v>
          </cell>
          <cell r="O134">
            <v>0</v>
          </cell>
          <cell r="P134">
            <v>153772.32</v>
          </cell>
          <cell r="Q134">
            <v>116272.32</v>
          </cell>
          <cell r="R134">
            <v>-88880</v>
          </cell>
          <cell r="S134">
            <v>43371.68</v>
          </cell>
        </row>
        <row r="135">
          <cell r="E135" t="str">
            <v>SB22517</v>
          </cell>
          <cell r="F135">
            <v>1332000.25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1200000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1200000</v>
          </cell>
          <cell r="R135">
            <v>132000.25</v>
          </cell>
          <cell r="S135">
            <v>0</v>
          </cell>
        </row>
        <row r="136">
          <cell r="E136" t="str">
            <v>SB22518</v>
          </cell>
          <cell r="F136">
            <v>0</v>
          </cell>
          <cell r="G136">
            <v>17248</v>
          </cell>
          <cell r="H136">
            <v>-17248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E137" t="str">
            <v>SB22516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-126201.2</v>
          </cell>
          <cell r="O137">
            <v>0</v>
          </cell>
          <cell r="P137">
            <v>-126201.2</v>
          </cell>
          <cell r="Q137">
            <v>-126201.2</v>
          </cell>
          <cell r="R137">
            <v>0</v>
          </cell>
          <cell r="S137">
            <v>-126201.2</v>
          </cell>
        </row>
        <row r="138">
          <cell r="E138" t="str">
            <v>SB22512</v>
          </cell>
          <cell r="F138">
            <v>1000000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559134.47</v>
          </cell>
          <cell r="N138">
            <v>-559134.47</v>
          </cell>
          <cell r="O138">
            <v>0</v>
          </cell>
          <cell r="P138">
            <v>0</v>
          </cell>
          <cell r="Q138">
            <v>-559134.47</v>
          </cell>
          <cell r="R138">
            <v>1000000</v>
          </cell>
          <cell r="S138">
            <v>0</v>
          </cell>
        </row>
        <row r="139">
          <cell r="E139" t="str">
            <v>SB22513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41100</v>
          </cell>
          <cell r="L139">
            <v>41100</v>
          </cell>
          <cell r="M139">
            <v>18595</v>
          </cell>
          <cell r="N139">
            <v>-59695</v>
          </cell>
          <cell r="O139">
            <v>0</v>
          </cell>
          <cell r="P139">
            <v>0</v>
          </cell>
          <cell r="Q139">
            <v>-18595</v>
          </cell>
          <cell r="R139">
            <v>-41100</v>
          </cell>
          <cell r="S139">
            <v>0</v>
          </cell>
        </row>
        <row r="140">
          <cell r="E140" t="str">
            <v>SB22508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10000</v>
          </cell>
          <cell r="L140">
            <v>10000</v>
          </cell>
          <cell r="M140">
            <v>14024</v>
          </cell>
          <cell r="N140">
            <v>-23884</v>
          </cell>
          <cell r="O140">
            <v>0</v>
          </cell>
          <cell r="P140">
            <v>140</v>
          </cell>
          <cell r="Q140">
            <v>-13884</v>
          </cell>
          <cell r="R140">
            <v>-10000</v>
          </cell>
          <cell r="S140">
            <v>-140</v>
          </cell>
        </row>
        <row r="141">
          <cell r="E141" t="str">
            <v>SB22511</v>
          </cell>
          <cell r="F141">
            <v>1456383.5</v>
          </cell>
          <cell r="G141">
            <v>1456383.5</v>
          </cell>
          <cell r="H141">
            <v>943616.5</v>
          </cell>
          <cell r="I141">
            <v>0</v>
          </cell>
          <cell r="J141">
            <v>2400000</v>
          </cell>
          <cell r="K141">
            <v>1051839.85</v>
          </cell>
          <cell r="L141">
            <v>1008969.45</v>
          </cell>
          <cell r="M141">
            <v>27910.64</v>
          </cell>
          <cell r="N141">
            <v>763119.91</v>
          </cell>
          <cell r="O141">
            <v>0</v>
          </cell>
          <cell r="P141">
            <v>1800000</v>
          </cell>
          <cell r="Q141">
            <v>1814959.76</v>
          </cell>
          <cell r="R141">
            <v>404543.65</v>
          </cell>
          <cell r="S141">
            <v>600000</v>
          </cell>
        </row>
        <row r="142">
          <cell r="E142" t="str">
            <v>SB22503</v>
          </cell>
          <cell r="F142">
            <v>500000</v>
          </cell>
          <cell r="G142">
            <v>2500043</v>
          </cell>
          <cell r="H142">
            <v>-2500000</v>
          </cell>
          <cell r="I142">
            <v>0</v>
          </cell>
          <cell r="J142">
            <v>43</v>
          </cell>
          <cell r="K142">
            <v>0</v>
          </cell>
          <cell r="L142">
            <v>1100000</v>
          </cell>
          <cell r="M142">
            <v>0</v>
          </cell>
          <cell r="N142">
            <v>-1100000</v>
          </cell>
          <cell r="O142">
            <v>0</v>
          </cell>
          <cell r="P142">
            <v>0</v>
          </cell>
          <cell r="Q142">
            <v>-1100000</v>
          </cell>
          <cell r="R142">
            <v>500000</v>
          </cell>
          <cell r="S142">
            <v>43</v>
          </cell>
        </row>
        <row r="143">
          <cell r="E143" t="str">
            <v>SB22504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8391</v>
          </cell>
          <cell r="M143">
            <v>0</v>
          </cell>
          <cell r="N143">
            <v>-8391</v>
          </cell>
          <cell r="O143">
            <v>0</v>
          </cell>
          <cell r="P143">
            <v>0</v>
          </cell>
          <cell r="Q143">
            <v>-8391</v>
          </cell>
          <cell r="R143">
            <v>0</v>
          </cell>
          <cell r="S143">
            <v>0</v>
          </cell>
        </row>
        <row r="144">
          <cell r="E144" t="str">
            <v>SB22502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142768</v>
          </cell>
          <cell r="L144">
            <v>304268</v>
          </cell>
          <cell r="M144">
            <v>124340.3</v>
          </cell>
          <cell r="N144">
            <v>-486500</v>
          </cell>
          <cell r="O144">
            <v>0</v>
          </cell>
          <cell r="P144">
            <v>-57891.7</v>
          </cell>
          <cell r="Q144">
            <v>-343732</v>
          </cell>
          <cell r="R144">
            <v>-142768</v>
          </cell>
          <cell r="S144">
            <v>-57891.7</v>
          </cell>
        </row>
        <row r="145">
          <cell r="E145" t="str">
            <v>SB22501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180000</v>
          </cell>
          <cell r="M145">
            <v>0</v>
          </cell>
          <cell r="N145">
            <v>-180000</v>
          </cell>
          <cell r="O145">
            <v>0</v>
          </cell>
          <cell r="P145">
            <v>0</v>
          </cell>
          <cell r="Q145">
            <v>-180000</v>
          </cell>
          <cell r="R145">
            <v>0</v>
          </cell>
          <cell r="S145">
            <v>0</v>
          </cell>
        </row>
        <row r="146">
          <cell r="E146" t="str">
            <v>SB22500</v>
          </cell>
          <cell r="F146">
            <v>0</v>
          </cell>
          <cell r="G146">
            <v>0</v>
          </cell>
          <cell r="H146">
            <v>-7894260</v>
          </cell>
          <cell r="I146">
            <v>0</v>
          </cell>
          <cell r="J146">
            <v>-7894260</v>
          </cell>
          <cell r="K146">
            <v>1000055.76</v>
          </cell>
          <cell r="L146">
            <v>4783056.76</v>
          </cell>
          <cell r="M146">
            <v>1992</v>
          </cell>
          <cell r="N146">
            <v>-4735048.76</v>
          </cell>
          <cell r="O146">
            <v>-50000</v>
          </cell>
          <cell r="P146">
            <v>0</v>
          </cell>
          <cell r="Q146">
            <v>-3784993</v>
          </cell>
          <cell r="R146">
            <v>-1000055.76</v>
          </cell>
          <cell r="S146">
            <v>7894260</v>
          </cell>
        </row>
        <row r="147">
          <cell r="E147" t="str">
            <v>SB22498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99741.6</v>
          </cell>
          <cell r="L147">
            <v>119741.6</v>
          </cell>
          <cell r="M147">
            <v>0</v>
          </cell>
          <cell r="N147">
            <v>-119741</v>
          </cell>
          <cell r="O147">
            <v>0</v>
          </cell>
          <cell r="P147">
            <v>0.6</v>
          </cell>
          <cell r="Q147">
            <v>-19999.4</v>
          </cell>
          <cell r="R147">
            <v>-99741.6</v>
          </cell>
          <cell r="S147">
            <v>-0.6</v>
          </cell>
        </row>
        <row r="148">
          <cell r="E148" t="str">
            <v>SB22495</v>
          </cell>
          <cell r="F148">
            <v>2741972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658382</v>
          </cell>
          <cell r="M148">
            <v>0</v>
          </cell>
          <cell r="N148">
            <v>-657910</v>
          </cell>
          <cell r="O148">
            <v>0</v>
          </cell>
          <cell r="P148">
            <v>472</v>
          </cell>
          <cell r="Q148">
            <v>-657910</v>
          </cell>
          <cell r="R148">
            <v>2741972</v>
          </cell>
          <cell r="S148">
            <v>-472</v>
          </cell>
        </row>
        <row r="149">
          <cell r="E149" t="str">
            <v>SB22492</v>
          </cell>
          <cell r="F149">
            <v>0</v>
          </cell>
          <cell r="G149">
            <v>1920687</v>
          </cell>
          <cell r="H149">
            <v>-1871000</v>
          </cell>
          <cell r="I149">
            <v>0</v>
          </cell>
          <cell r="J149">
            <v>49687</v>
          </cell>
          <cell r="K149">
            <v>745579</v>
          </cell>
          <cell r="L149">
            <v>1207064.04</v>
          </cell>
          <cell r="M149">
            <v>15153.44</v>
          </cell>
          <cell r="N149">
            <v>-779853.52</v>
          </cell>
          <cell r="O149">
            <v>-200000</v>
          </cell>
          <cell r="P149">
            <v>242363.96</v>
          </cell>
          <cell r="Q149">
            <v>-234274.52</v>
          </cell>
          <cell r="R149">
            <v>-745579</v>
          </cell>
          <cell r="S149">
            <v>-192676.96</v>
          </cell>
        </row>
        <row r="150">
          <cell r="E150" t="str">
            <v>SB22494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26000</v>
          </cell>
          <cell r="M150">
            <v>0</v>
          </cell>
          <cell r="N150">
            <v>-26000</v>
          </cell>
          <cell r="O150">
            <v>0</v>
          </cell>
          <cell r="P150">
            <v>0</v>
          </cell>
          <cell r="Q150">
            <v>-26000</v>
          </cell>
          <cell r="R150">
            <v>0</v>
          </cell>
          <cell r="S150">
            <v>0</v>
          </cell>
        </row>
        <row r="151">
          <cell r="E151" t="str">
            <v>SB22491</v>
          </cell>
          <cell r="F151">
            <v>800166</v>
          </cell>
          <cell r="G151">
            <v>15800720</v>
          </cell>
          <cell r="H151">
            <v>-14900720.39</v>
          </cell>
          <cell r="I151">
            <v>0</v>
          </cell>
          <cell r="J151">
            <v>899999.61</v>
          </cell>
          <cell r="K151">
            <v>2515944.5</v>
          </cell>
          <cell r="L151">
            <v>6019028.5</v>
          </cell>
          <cell r="M151">
            <v>345726.17</v>
          </cell>
          <cell r="N151">
            <v>-5959838.19</v>
          </cell>
          <cell r="O151">
            <v>0</v>
          </cell>
          <cell r="P151">
            <v>404916.48</v>
          </cell>
          <cell r="Q151">
            <v>-3443893.69</v>
          </cell>
          <cell r="R151">
            <v>-1715778.5</v>
          </cell>
          <cell r="S151">
            <v>495083.13</v>
          </cell>
        </row>
        <row r="152">
          <cell r="E152" t="str">
            <v>SB22488</v>
          </cell>
          <cell r="F152">
            <v>0</v>
          </cell>
          <cell r="G152">
            <v>339093</v>
          </cell>
          <cell r="H152">
            <v>-339093</v>
          </cell>
          <cell r="I152">
            <v>0</v>
          </cell>
          <cell r="J152">
            <v>0</v>
          </cell>
          <cell r="K152">
            <v>0</v>
          </cell>
          <cell r="L152">
            <v>58820</v>
          </cell>
          <cell r="M152">
            <v>0</v>
          </cell>
          <cell r="N152">
            <v>-58820</v>
          </cell>
          <cell r="O152">
            <v>0</v>
          </cell>
          <cell r="P152">
            <v>0</v>
          </cell>
          <cell r="Q152">
            <v>-58820</v>
          </cell>
          <cell r="R152">
            <v>0</v>
          </cell>
          <cell r="S152">
            <v>0</v>
          </cell>
        </row>
        <row r="153">
          <cell r="E153" t="str">
            <v>SB22487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36830</v>
          </cell>
          <cell r="M153">
            <v>0</v>
          </cell>
          <cell r="N153">
            <v>-36830</v>
          </cell>
          <cell r="O153">
            <v>0</v>
          </cell>
          <cell r="P153">
            <v>0</v>
          </cell>
          <cell r="Q153">
            <v>-36830</v>
          </cell>
          <cell r="R153">
            <v>0</v>
          </cell>
          <cell r="S153">
            <v>0</v>
          </cell>
        </row>
        <row r="154">
          <cell r="E154" t="str">
            <v>SB22483</v>
          </cell>
          <cell r="F154">
            <v>0</v>
          </cell>
          <cell r="G154">
            <v>2475150</v>
          </cell>
          <cell r="H154">
            <v>-2475150</v>
          </cell>
          <cell r="I154">
            <v>0</v>
          </cell>
          <cell r="J154">
            <v>0</v>
          </cell>
          <cell r="K154">
            <v>0</v>
          </cell>
          <cell r="L154">
            <v>187950</v>
          </cell>
          <cell r="M154">
            <v>0</v>
          </cell>
          <cell r="N154">
            <v>-187950</v>
          </cell>
          <cell r="O154">
            <v>0</v>
          </cell>
          <cell r="P154">
            <v>0</v>
          </cell>
          <cell r="Q154">
            <v>-187950</v>
          </cell>
          <cell r="R154">
            <v>0</v>
          </cell>
          <cell r="S154">
            <v>0</v>
          </cell>
        </row>
        <row r="155">
          <cell r="E155" t="str">
            <v>SB22325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263100</v>
          </cell>
          <cell r="M155">
            <v>0</v>
          </cell>
          <cell r="N155">
            <v>-263100</v>
          </cell>
          <cell r="O155">
            <v>0</v>
          </cell>
          <cell r="P155">
            <v>0</v>
          </cell>
          <cell r="Q155">
            <v>-263100</v>
          </cell>
          <cell r="R155">
            <v>0</v>
          </cell>
          <cell r="S155">
            <v>0</v>
          </cell>
        </row>
        <row r="156">
          <cell r="E156" t="str">
            <v>SB22479</v>
          </cell>
          <cell r="F156">
            <v>0</v>
          </cell>
          <cell r="G156">
            <v>0</v>
          </cell>
          <cell r="H156">
            <v>-3554369.5</v>
          </cell>
          <cell r="I156">
            <v>0</v>
          </cell>
          <cell r="J156">
            <v>-3554369.5</v>
          </cell>
          <cell r="K156">
            <v>2623008.77</v>
          </cell>
          <cell r="L156">
            <v>1942440</v>
          </cell>
          <cell r="M156">
            <v>0</v>
          </cell>
          <cell r="N156">
            <v>-1942440</v>
          </cell>
          <cell r="O156">
            <v>0</v>
          </cell>
          <cell r="P156">
            <v>0</v>
          </cell>
          <cell r="Q156">
            <v>680568.77</v>
          </cell>
          <cell r="R156">
            <v>-2623008.77</v>
          </cell>
          <cell r="S156">
            <v>3554369.5</v>
          </cell>
        </row>
        <row r="157">
          <cell r="E157" t="str">
            <v>SB22475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1312055</v>
          </cell>
          <cell r="M157">
            <v>0</v>
          </cell>
          <cell r="N157">
            <v>-1312055</v>
          </cell>
          <cell r="O157">
            <v>0</v>
          </cell>
          <cell r="P157">
            <v>0</v>
          </cell>
          <cell r="Q157">
            <v>-1312055</v>
          </cell>
          <cell r="R157">
            <v>0</v>
          </cell>
          <cell r="S157">
            <v>0</v>
          </cell>
        </row>
        <row r="158">
          <cell r="E158" t="str">
            <v>SB22471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45451</v>
          </cell>
          <cell r="L158">
            <v>45451</v>
          </cell>
          <cell r="M158">
            <v>57234</v>
          </cell>
          <cell r="N158">
            <v>-102685</v>
          </cell>
          <cell r="O158">
            <v>0</v>
          </cell>
          <cell r="P158">
            <v>0</v>
          </cell>
          <cell r="Q158">
            <v>-57234</v>
          </cell>
          <cell r="R158">
            <v>-45451</v>
          </cell>
          <cell r="S158">
            <v>0</v>
          </cell>
        </row>
        <row r="159">
          <cell r="E159" t="str">
            <v>SB22477</v>
          </cell>
          <cell r="F159">
            <v>0</v>
          </cell>
          <cell r="G159">
            <v>0</v>
          </cell>
          <cell r="H159">
            <v>-1568753</v>
          </cell>
          <cell r="I159">
            <v>0</v>
          </cell>
          <cell r="J159">
            <v>-1568753</v>
          </cell>
          <cell r="K159">
            <v>1249067.14</v>
          </cell>
          <cell r="L159">
            <v>1211651.14</v>
          </cell>
          <cell r="M159">
            <v>0</v>
          </cell>
          <cell r="N159">
            <v>-1211650</v>
          </cell>
          <cell r="O159">
            <v>0</v>
          </cell>
          <cell r="P159">
            <v>1.14</v>
          </cell>
          <cell r="Q159">
            <v>37417.14</v>
          </cell>
          <cell r="R159">
            <v>-1249067.14</v>
          </cell>
          <cell r="S159">
            <v>1568751.86</v>
          </cell>
        </row>
        <row r="160">
          <cell r="E160" t="str">
            <v>SB22469</v>
          </cell>
          <cell r="F160">
            <v>1142097</v>
          </cell>
          <cell r="G160">
            <v>3631001</v>
          </cell>
          <cell r="H160">
            <v>-3600229.6</v>
          </cell>
          <cell r="I160">
            <v>0</v>
          </cell>
          <cell r="J160">
            <v>30771.4</v>
          </cell>
          <cell r="K160">
            <v>838510</v>
          </cell>
          <cell r="L160">
            <v>2230141</v>
          </cell>
          <cell r="M160">
            <v>31490</v>
          </cell>
          <cell r="N160">
            <v>-3090870.27</v>
          </cell>
          <cell r="O160">
            <v>0</v>
          </cell>
          <cell r="P160">
            <v>-829239.27</v>
          </cell>
          <cell r="Q160">
            <v>-2252360.27</v>
          </cell>
          <cell r="R160">
            <v>303587</v>
          </cell>
          <cell r="S160">
            <v>-798467.87</v>
          </cell>
        </row>
        <row r="161">
          <cell r="E161" t="str">
            <v>SB22470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33353</v>
          </cell>
          <cell r="M161">
            <v>0</v>
          </cell>
          <cell r="N161">
            <v>-33353</v>
          </cell>
          <cell r="O161">
            <v>0</v>
          </cell>
          <cell r="P161">
            <v>0</v>
          </cell>
          <cell r="Q161">
            <v>-33353</v>
          </cell>
          <cell r="R161">
            <v>0</v>
          </cell>
          <cell r="S161">
            <v>0</v>
          </cell>
        </row>
        <row r="162">
          <cell r="E162" t="str">
            <v>SB22465</v>
          </cell>
          <cell r="F162">
            <v>0</v>
          </cell>
          <cell r="G162">
            <v>2500000</v>
          </cell>
          <cell r="H162">
            <v>-2500000</v>
          </cell>
          <cell r="I162">
            <v>0</v>
          </cell>
          <cell r="J162">
            <v>0</v>
          </cell>
          <cell r="K162">
            <v>0</v>
          </cell>
          <cell r="L162">
            <v>11000</v>
          </cell>
          <cell r="M162">
            <v>0</v>
          </cell>
          <cell r="N162">
            <v>-156000</v>
          </cell>
          <cell r="O162">
            <v>0</v>
          </cell>
          <cell r="P162">
            <v>-145000</v>
          </cell>
          <cell r="Q162">
            <v>-156000</v>
          </cell>
          <cell r="R162">
            <v>0</v>
          </cell>
          <cell r="S162">
            <v>-145000</v>
          </cell>
        </row>
        <row r="163">
          <cell r="E163" t="str">
            <v>SB22460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55000</v>
          </cell>
          <cell r="M163">
            <v>0</v>
          </cell>
          <cell r="N163">
            <v>-55000</v>
          </cell>
          <cell r="O163">
            <v>0</v>
          </cell>
          <cell r="P163">
            <v>0</v>
          </cell>
          <cell r="Q163">
            <v>-55000</v>
          </cell>
          <cell r="R163">
            <v>0</v>
          </cell>
          <cell r="S163">
            <v>0</v>
          </cell>
        </row>
        <row r="164">
          <cell r="E164" t="str">
            <v>SB22461</v>
          </cell>
          <cell r="F164">
            <v>0</v>
          </cell>
          <cell r="G164">
            <v>0</v>
          </cell>
          <cell r="H164">
            <v>-3011623.2</v>
          </cell>
          <cell r="I164">
            <v>0</v>
          </cell>
          <cell r="J164">
            <v>-3011623.2</v>
          </cell>
          <cell r="K164">
            <v>827000</v>
          </cell>
          <cell r="L164">
            <v>5687425</v>
          </cell>
          <cell r="M164">
            <v>3100</v>
          </cell>
          <cell r="N164">
            <v>-5660425</v>
          </cell>
          <cell r="O164">
            <v>-6500</v>
          </cell>
          <cell r="P164">
            <v>23600</v>
          </cell>
          <cell r="Q164">
            <v>-4839925</v>
          </cell>
          <cell r="R164">
            <v>-827000</v>
          </cell>
          <cell r="S164">
            <v>2988023.2</v>
          </cell>
        </row>
        <row r="165">
          <cell r="E165" t="str">
            <v>SB22456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145000</v>
          </cell>
          <cell r="M165">
            <v>0</v>
          </cell>
          <cell r="N165">
            <v>0</v>
          </cell>
          <cell r="O165">
            <v>0</v>
          </cell>
          <cell r="P165">
            <v>145000</v>
          </cell>
          <cell r="Q165">
            <v>0</v>
          </cell>
          <cell r="R165">
            <v>0</v>
          </cell>
          <cell r="S165">
            <v>-145000</v>
          </cell>
        </row>
        <row r="166">
          <cell r="E166" t="str">
            <v>SB22453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E167" t="str">
            <v>SB22455</v>
          </cell>
          <cell r="F167">
            <v>0</v>
          </cell>
          <cell r="G167">
            <v>14000000</v>
          </cell>
          <cell r="H167">
            <v>-14000000</v>
          </cell>
          <cell r="I167">
            <v>0</v>
          </cell>
          <cell r="J167">
            <v>0</v>
          </cell>
          <cell r="K167">
            <v>150000</v>
          </cell>
          <cell r="L167">
            <v>3294032</v>
          </cell>
          <cell r="M167">
            <v>0</v>
          </cell>
          <cell r="N167">
            <v>-3294032</v>
          </cell>
          <cell r="O167">
            <v>0</v>
          </cell>
          <cell r="P167">
            <v>0</v>
          </cell>
          <cell r="Q167">
            <v>-3144032</v>
          </cell>
          <cell r="R167">
            <v>-150000</v>
          </cell>
          <cell r="S167">
            <v>0</v>
          </cell>
        </row>
        <row r="168">
          <cell r="E168" t="str">
            <v>SB22451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585000.79</v>
          </cell>
          <cell r="M168">
            <v>0</v>
          </cell>
          <cell r="N168">
            <v>-585000.79</v>
          </cell>
          <cell r="O168">
            <v>0</v>
          </cell>
          <cell r="P168">
            <v>0</v>
          </cell>
          <cell r="Q168">
            <v>-585000.79</v>
          </cell>
          <cell r="R168">
            <v>0</v>
          </cell>
          <cell r="S168">
            <v>0</v>
          </cell>
        </row>
        <row r="169">
          <cell r="E169" t="str">
            <v>SB22449</v>
          </cell>
          <cell r="F169">
            <v>399072.26</v>
          </cell>
          <cell r="G169">
            <v>399072.26</v>
          </cell>
          <cell r="H169">
            <v>0</v>
          </cell>
          <cell r="I169">
            <v>-399072.26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399072.26</v>
          </cell>
          <cell r="S169">
            <v>0</v>
          </cell>
        </row>
        <row r="170">
          <cell r="E170" t="str">
            <v>SB22448</v>
          </cell>
          <cell r="F170">
            <v>0</v>
          </cell>
          <cell r="G170">
            <v>0</v>
          </cell>
          <cell r="H170">
            <v>-928816</v>
          </cell>
          <cell r="I170">
            <v>0</v>
          </cell>
          <cell r="J170">
            <v>-928816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928816</v>
          </cell>
        </row>
        <row r="171">
          <cell r="E171" t="str">
            <v>SB22445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15407</v>
          </cell>
          <cell r="M171">
            <v>0</v>
          </cell>
          <cell r="N171">
            <v>-15407</v>
          </cell>
          <cell r="O171">
            <v>0</v>
          </cell>
          <cell r="P171">
            <v>0</v>
          </cell>
          <cell r="Q171">
            <v>-15407</v>
          </cell>
          <cell r="R171">
            <v>0</v>
          </cell>
          <cell r="S171">
            <v>0</v>
          </cell>
        </row>
        <row r="172">
          <cell r="E172" t="str">
            <v>SB22446</v>
          </cell>
          <cell r="F172">
            <v>207625</v>
          </cell>
          <cell r="G172">
            <v>1668425</v>
          </cell>
          <cell r="H172">
            <v>-1668425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207625</v>
          </cell>
          <cell r="S172">
            <v>0</v>
          </cell>
        </row>
        <row r="173">
          <cell r="E173" t="str">
            <v>SB22443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14500</v>
          </cell>
          <cell r="M173">
            <v>0</v>
          </cell>
          <cell r="N173">
            <v>-14500</v>
          </cell>
          <cell r="O173">
            <v>0</v>
          </cell>
          <cell r="P173">
            <v>0</v>
          </cell>
          <cell r="Q173">
            <v>-14500</v>
          </cell>
          <cell r="R173">
            <v>0</v>
          </cell>
          <cell r="S173">
            <v>0</v>
          </cell>
        </row>
        <row r="174">
          <cell r="E174" t="str">
            <v>SB22444</v>
          </cell>
          <cell r="F174">
            <v>175142</v>
          </cell>
          <cell r="G174">
            <v>175142</v>
          </cell>
          <cell r="H174">
            <v>-175142</v>
          </cell>
          <cell r="I174">
            <v>0</v>
          </cell>
          <cell r="J174">
            <v>0</v>
          </cell>
          <cell r="K174">
            <v>140066</v>
          </cell>
          <cell r="L174">
            <v>192445</v>
          </cell>
          <cell r="M174">
            <v>0</v>
          </cell>
          <cell r="N174">
            <v>-192445</v>
          </cell>
          <cell r="O174">
            <v>0</v>
          </cell>
          <cell r="P174">
            <v>0</v>
          </cell>
          <cell r="Q174">
            <v>-52379</v>
          </cell>
          <cell r="R174">
            <v>35076</v>
          </cell>
          <cell r="S174">
            <v>0</v>
          </cell>
        </row>
        <row r="175">
          <cell r="E175" t="str">
            <v>SB22439</v>
          </cell>
          <cell r="F175">
            <v>0</v>
          </cell>
          <cell r="G175">
            <v>0</v>
          </cell>
          <cell r="H175">
            <v>1232800</v>
          </cell>
          <cell r="I175">
            <v>0</v>
          </cell>
          <cell r="J175">
            <v>1232800</v>
          </cell>
          <cell r="K175">
            <v>54100</v>
          </cell>
          <cell r="L175">
            <v>54100</v>
          </cell>
          <cell r="M175">
            <v>0</v>
          </cell>
          <cell r="N175">
            <v>907484</v>
          </cell>
          <cell r="O175">
            <v>0</v>
          </cell>
          <cell r="P175">
            <v>961584</v>
          </cell>
          <cell r="Q175">
            <v>961584</v>
          </cell>
          <cell r="R175">
            <v>-54100</v>
          </cell>
          <cell r="S175">
            <v>271216</v>
          </cell>
        </row>
        <row r="176">
          <cell r="E176" t="str">
            <v>SB22437</v>
          </cell>
          <cell r="F176">
            <v>0</v>
          </cell>
          <cell r="G176">
            <v>5855518</v>
          </cell>
          <cell r="H176">
            <v>0</v>
          </cell>
          <cell r="I176">
            <v>0</v>
          </cell>
          <cell r="J176">
            <v>5855518</v>
          </cell>
          <cell r="K176">
            <v>944609.45</v>
          </cell>
          <cell r="L176">
            <v>990284.45</v>
          </cell>
          <cell r="M176">
            <v>83335.61</v>
          </cell>
          <cell r="N176">
            <v>2932529.94</v>
          </cell>
          <cell r="O176">
            <v>-6150</v>
          </cell>
          <cell r="P176">
            <v>4000000</v>
          </cell>
          <cell r="Q176">
            <v>3870989.39</v>
          </cell>
          <cell r="R176">
            <v>-944609.45</v>
          </cell>
          <cell r="S176">
            <v>1855518</v>
          </cell>
        </row>
        <row r="177">
          <cell r="E177" t="str">
            <v>SB22433</v>
          </cell>
          <cell r="F177">
            <v>317178.4</v>
          </cell>
          <cell r="G177">
            <v>317178.4</v>
          </cell>
          <cell r="H177">
            <v>-317178</v>
          </cell>
          <cell r="I177">
            <v>0</v>
          </cell>
          <cell r="J177">
            <v>0.4</v>
          </cell>
          <cell r="K177">
            <v>0</v>
          </cell>
          <cell r="L177">
            <v>58437.5</v>
          </cell>
          <cell r="M177">
            <v>0</v>
          </cell>
          <cell r="N177">
            <v>-58437.5</v>
          </cell>
          <cell r="O177">
            <v>0</v>
          </cell>
          <cell r="P177">
            <v>0</v>
          </cell>
          <cell r="Q177">
            <v>-58437.5</v>
          </cell>
          <cell r="R177">
            <v>317178.4</v>
          </cell>
          <cell r="S177">
            <v>0.4</v>
          </cell>
        </row>
        <row r="178">
          <cell r="E178" t="str">
            <v>SB22428</v>
          </cell>
          <cell r="F178">
            <v>5492385.06</v>
          </cell>
          <cell r="G178">
            <v>5492385.06</v>
          </cell>
          <cell r="H178">
            <v>-5492385.06</v>
          </cell>
          <cell r="I178">
            <v>0</v>
          </cell>
          <cell r="J178">
            <v>0</v>
          </cell>
          <cell r="K178">
            <v>0</v>
          </cell>
          <cell r="L178">
            <v>350000</v>
          </cell>
          <cell r="M178">
            <v>0</v>
          </cell>
          <cell r="N178">
            <v>-350000</v>
          </cell>
          <cell r="O178">
            <v>0</v>
          </cell>
          <cell r="P178">
            <v>0</v>
          </cell>
          <cell r="Q178">
            <v>-350000</v>
          </cell>
          <cell r="R178">
            <v>5492385.06</v>
          </cell>
          <cell r="S178">
            <v>0</v>
          </cell>
        </row>
        <row r="179">
          <cell r="E179" t="str">
            <v>SB22424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34233</v>
          </cell>
          <cell r="O179">
            <v>-126649</v>
          </cell>
          <cell r="P179">
            <v>-92416</v>
          </cell>
          <cell r="Q179">
            <v>-92416</v>
          </cell>
          <cell r="R179">
            <v>0</v>
          </cell>
          <cell r="S179">
            <v>-92416</v>
          </cell>
        </row>
        <row r="180">
          <cell r="E180" t="str">
            <v>SB22417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110000</v>
          </cell>
          <cell r="M180">
            <v>0</v>
          </cell>
          <cell r="N180">
            <v>-110000</v>
          </cell>
          <cell r="O180">
            <v>0</v>
          </cell>
          <cell r="P180">
            <v>0</v>
          </cell>
          <cell r="Q180">
            <v>-110000</v>
          </cell>
          <cell r="R180">
            <v>0</v>
          </cell>
          <cell r="S180">
            <v>0</v>
          </cell>
        </row>
        <row r="181">
          <cell r="E181" t="str">
            <v>SB22414</v>
          </cell>
          <cell r="F181">
            <v>250000</v>
          </cell>
          <cell r="G181">
            <v>250000</v>
          </cell>
          <cell r="H181">
            <v>-250000</v>
          </cell>
          <cell r="I181">
            <v>0</v>
          </cell>
          <cell r="J181">
            <v>0</v>
          </cell>
          <cell r="K181">
            <v>0</v>
          </cell>
          <cell r="L181">
            <v>1139500</v>
          </cell>
          <cell r="M181">
            <v>0</v>
          </cell>
          <cell r="N181">
            <v>-1139500</v>
          </cell>
          <cell r="O181">
            <v>0</v>
          </cell>
          <cell r="P181">
            <v>0</v>
          </cell>
          <cell r="Q181">
            <v>-1139500</v>
          </cell>
          <cell r="R181">
            <v>250000</v>
          </cell>
          <cell r="S181">
            <v>0</v>
          </cell>
        </row>
        <row r="182">
          <cell r="E182" t="str">
            <v>SB22416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6000</v>
          </cell>
          <cell r="M182">
            <v>0</v>
          </cell>
          <cell r="N182">
            <v>-6000</v>
          </cell>
          <cell r="O182">
            <v>0</v>
          </cell>
          <cell r="P182">
            <v>0</v>
          </cell>
          <cell r="Q182">
            <v>-6000</v>
          </cell>
          <cell r="R182">
            <v>0</v>
          </cell>
          <cell r="S182">
            <v>0</v>
          </cell>
        </row>
        <row r="183">
          <cell r="E183" t="str">
            <v>SB22411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7552</v>
          </cell>
          <cell r="M183">
            <v>0</v>
          </cell>
          <cell r="N183">
            <v>-7552</v>
          </cell>
          <cell r="O183">
            <v>0</v>
          </cell>
          <cell r="P183">
            <v>0</v>
          </cell>
          <cell r="Q183">
            <v>-7552</v>
          </cell>
          <cell r="R183">
            <v>0</v>
          </cell>
          <cell r="S183">
            <v>0</v>
          </cell>
        </row>
        <row r="184">
          <cell r="E184" t="str">
            <v>SB22410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40000</v>
          </cell>
          <cell r="M184">
            <v>0</v>
          </cell>
          <cell r="N184">
            <v>-40000</v>
          </cell>
          <cell r="O184">
            <v>0</v>
          </cell>
          <cell r="P184">
            <v>0</v>
          </cell>
          <cell r="Q184">
            <v>-40000</v>
          </cell>
          <cell r="R184">
            <v>0</v>
          </cell>
          <cell r="S184">
            <v>0</v>
          </cell>
        </row>
        <row r="185">
          <cell r="E185" t="str">
            <v>SB22405</v>
          </cell>
          <cell r="F185">
            <v>0</v>
          </cell>
          <cell r="G185">
            <v>5313598</v>
          </cell>
          <cell r="H185">
            <v>-5313598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E186" t="str">
            <v>SB22404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10725</v>
          </cell>
          <cell r="M186">
            <v>0</v>
          </cell>
          <cell r="N186">
            <v>-10725</v>
          </cell>
          <cell r="O186">
            <v>0</v>
          </cell>
          <cell r="P186">
            <v>0</v>
          </cell>
          <cell r="Q186">
            <v>-10725</v>
          </cell>
          <cell r="R186">
            <v>0</v>
          </cell>
          <cell r="S186">
            <v>0</v>
          </cell>
        </row>
        <row r="187">
          <cell r="E187" t="str">
            <v>SB22401</v>
          </cell>
          <cell r="F187">
            <v>0</v>
          </cell>
          <cell r="G187">
            <v>0</v>
          </cell>
          <cell r="H187">
            <v>0</v>
          </cell>
          <cell r="I187">
            <v>-138800</v>
          </cell>
          <cell r="J187">
            <v>-138800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138800</v>
          </cell>
        </row>
        <row r="188">
          <cell r="E188" t="str">
            <v>SB22400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1399430</v>
          </cell>
          <cell r="L188">
            <v>261201</v>
          </cell>
          <cell r="M188">
            <v>0</v>
          </cell>
          <cell r="N188">
            <v>-250771</v>
          </cell>
          <cell r="O188">
            <v>0</v>
          </cell>
          <cell r="P188">
            <v>10430</v>
          </cell>
          <cell r="Q188">
            <v>1148659</v>
          </cell>
          <cell r="R188">
            <v>-1399430</v>
          </cell>
          <cell r="S188">
            <v>-10430</v>
          </cell>
        </row>
        <row r="189">
          <cell r="E189" t="str">
            <v>SB22397</v>
          </cell>
          <cell r="F189">
            <v>0</v>
          </cell>
          <cell r="G189">
            <v>0</v>
          </cell>
          <cell r="H189">
            <v>1263051.28</v>
          </cell>
          <cell r="I189">
            <v>0</v>
          </cell>
          <cell r="J189">
            <v>1263051.28</v>
          </cell>
          <cell r="K189">
            <v>151500</v>
          </cell>
          <cell r="L189">
            <v>151500</v>
          </cell>
          <cell r="M189">
            <v>0</v>
          </cell>
          <cell r="N189">
            <v>961551.28</v>
          </cell>
          <cell r="O189">
            <v>0</v>
          </cell>
          <cell r="P189">
            <v>1113051.28</v>
          </cell>
          <cell r="Q189">
            <v>1113051.28</v>
          </cell>
          <cell r="R189">
            <v>-151500</v>
          </cell>
          <cell r="S189">
            <v>150000</v>
          </cell>
        </row>
        <row r="190">
          <cell r="E190" t="str">
            <v>SB22399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12350</v>
          </cell>
          <cell r="M190">
            <v>0</v>
          </cell>
          <cell r="N190">
            <v>-12350</v>
          </cell>
          <cell r="O190">
            <v>0</v>
          </cell>
          <cell r="P190">
            <v>0</v>
          </cell>
          <cell r="Q190">
            <v>-12350</v>
          </cell>
          <cell r="R190">
            <v>0</v>
          </cell>
          <cell r="S190">
            <v>0</v>
          </cell>
        </row>
        <row r="191">
          <cell r="E191" t="str">
            <v>SB22396</v>
          </cell>
          <cell r="F191">
            <v>3900000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3521618</v>
          </cell>
          <cell r="L191">
            <v>2721618</v>
          </cell>
          <cell r="M191">
            <v>184</v>
          </cell>
          <cell r="N191">
            <v>-2721802</v>
          </cell>
          <cell r="O191">
            <v>0</v>
          </cell>
          <cell r="P191">
            <v>0</v>
          </cell>
          <cell r="Q191">
            <v>799816</v>
          </cell>
          <cell r="R191">
            <v>378382</v>
          </cell>
          <cell r="S191">
            <v>0</v>
          </cell>
        </row>
        <row r="192">
          <cell r="E192" t="str">
            <v>SB22395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49700</v>
          </cell>
          <cell r="M192">
            <v>0</v>
          </cell>
          <cell r="N192">
            <v>-49700</v>
          </cell>
          <cell r="O192">
            <v>0</v>
          </cell>
          <cell r="P192">
            <v>0</v>
          </cell>
          <cell r="Q192">
            <v>-49700</v>
          </cell>
          <cell r="R192">
            <v>0</v>
          </cell>
          <cell r="S192">
            <v>0</v>
          </cell>
        </row>
        <row r="193">
          <cell r="E193" t="str">
            <v>SB22392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26000</v>
          </cell>
          <cell r="M193">
            <v>0</v>
          </cell>
          <cell r="N193">
            <v>-26000</v>
          </cell>
          <cell r="O193">
            <v>0</v>
          </cell>
          <cell r="P193">
            <v>0</v>
          </cell>
          <cell r="Q193">
            <v>-26000</v>
          </cell>
          <cell r="R193">
            <v>0</v>
          </cell>
          <cell r="S193">
            <v>0</v>
          </cell>
        </row>
        <row r="194">
          <cell r="E194" t="str">
            <v>SB22394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39500</v>
          </cell>
          <cell r="M194">
            <v>0</v>
          </cell>
          <cell r="N194">
            <v>-39500</v>
          </cell>
          <cell r="O194">
            <v>0</v>
          </cell>
          <cell r="P194">
            <v>0</v>
          </cell>
          <cell r="Q194">
            <v>-39500</v>
          </cell>
          <cell r="R194">
            <v>0</v>
          </cell>
          <cell r="S194">
            <v>0</v>
          </cell>
        </row>
        <row r="195">
          <cell r="E195" t="str">
            <v>SB22391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3500</v>
          </cell>
          <cell r="M195">
            <v>0</v>
          </cell>
          <cell r="N195">
            <v>-3500</v>
          </cell>
          <cell r="O195">
            <v>0</v>
          </cell>
          <cell r="P195">
            <v>0</v>
          </cell>
          <cell r="Q195">
            <v>-3500</v>
          </cell>
          <cell r="R195">
            <v>0</v>
          </cell>
          <cell r="S195">
            <v>0</v>
          </cell>
        </row>
        <row r="196">
          <cell r="E196" t="str">
            <v>SB22387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3500</v>
          </cell>
          <cell r="M196">
            <v>0</v>
          </cell>
          <cell r="N196">
            <v>-3500</v>
          </cell>
          <cell r="O196">
            <v>0</v>
          </cell>
          <cell r="P196">
            <v>0</v>
          </cell>
          <cell r="Q196">
            <v>-3500</v>
          </cell>
          <cell r="R196">
            <v>0</v>
          </cell>
          <cell r="S196">
            <v>0</v>
          </cell>
        </row>
        <row r="197">
          <cell r="E197" t="str">
            <v>SB22381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1153952.5</v>
          </cell>
          <cell r="L197">
            <v>3145315.5</v>
          </cell>
          <cell r="M197">
            <v>9490</v>
          </cell>
          <cell r="N197">
            <v>-3154806</v>
          </cell>
          <cell r="O197">
            <v>0</v>
          </cell>
          <cell r="P197">
            <v>-0.5</v>
          </cell>
          <cell r="Q197">
            <v>-2000853.5</v>
          </cell>
          <cell r="R197">
            <v>-1153952.5</v>
          </cell>
          <cell r="S197">
            <v>-0.5</v>
          </cell>
        </row>
        <row r="198">
          <cell r="E198" t="str">
            <v>SB22374</v>
          </cell>
          <cell r="F198">
            <v>522500</v>
          </cell>
          <cell r="G198">
            <v>522500</v>
          </cell>
          <cell r="H198">
            <v>0</v>
          </cell>
          <cell r="I198">
            <v>0</v>
          </cell>
          <cell r="J198">
            <v>522500</v>
          </cell>
          <cell r="K198">
            <v>59205</v>
          </cell>
          <cell r="L198">
            <v>59205</v>
          </cell>
          <cell r="M198">
            <v>9354</v>
          </cell>
          <cell r="N198">
            <v>131441</v>
          </cell>
          <cell r="O198">
            <v>0</v>
          </cell>
          <cell r="P198">
            <v>200000</v>
          </cell>
          <cell r="Q198">
            <v>190646</v>
          </cell>
          <cell r="R198">
            <v>463295</v>
          </cell>
          <cell r="S198">
            <v>322500</v>
          </cell>
        </row>
        <row r="199">
          <cell r="E199" t="str">
            <v>SB22376</v>
          </cell>
          <cell r="F199">
            <v>309507</v>
          </cell>
          <cell r="G199">
            <v>309507</v>
          </cell>
          <cell r="H199">
            <v>-326914</v>
          </cell>
          <cell r="I199">
            <v>0</v>
          </cell>
          <cell r="J199">
            <v>-17407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309507</v>
          </cell>
          <cell r="S199">
            <v>17407</v>
          </cell>
        </row>
        <row r="200">
          <cell r="E200" t="str">
            <v>SB22375</v>
          </cell>
          <cell r="F200">
            <v>0</v>
          </cell>
          <cell r="G200">
            <v>292464.5</v>
          </cell>
          <cell r="H200">
            <v>-292462</v>
          </cell>
          <cell r="I200">
            <v>0</v>
          </cell>
          <cell r="J200">
            <v>2.5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2.5</v>
          </cell>
        </row>
        <row r="201">
          <cell r="E201" t="str">
            <v>SB22369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E202" t="str">
            <v>SB22366</v>
          </cell>
          <cell r="F202">
            <v>0</v>
          </cell>
          <cell r="G202">
            <v>308665</v>
          </cell>
          <cell r="H202">
            <v>-308665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E203" t="str">
            <v>SB22363</v>
          </cell>
          <cell r="F203">
            <v>0</v>
          </cell>
          <cell r="G203">
            <v>0</v>
          </cell>
          <cell r="H203">
            <v>-1809610</v>
          </cell>
          <cell r="I203">
            <v>0</v>
          </cell>
          <cell r="J203">
            <v>-1809610</v>
          </cell>
          <cell r="K203">
            <v>0</v>
          </cell>
          <cell r="L203">
            <v>28800</v>
          </cell>
          <cell r="M203">
            <v>0</v>
          </cell>
          <cell r="N203">
            <v>-28800</v>
          </cell>
          <cell r="O203">
            <v>0</v>
          </cell>
          <cell r="P203">
            <v>0</v>
          </cell>
          <cell r="Q203">
            <v>-28800</v>
          </cell>
          <cell r="R203">
            <v>0</v>
          </cell>
          <cell r="S203">
            <v>1809610</v>
          </cell>
        </row>
        <row r="204">
          <cell r="E204" t="str">
            <v>SB22356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81200</v>
          </cell>
          <cell r="M204">
            <v>0</v>
          </cell>
          <cell r="N204">
            <v>-81200</v>
          </cell>
          <cell r="O204">
            <v>0</v>
          </cell>
          <cell r="P204">
            <v>0</v>
          </cell>
          <cell r="Q204">
            <v>-81200</v>
          </cell>
          <cell r="R204">
            <v>0</v>
          </cell>
          <cell r="S204">
            <v>0</v>
          </cell>
        </row>
        <row r="205">
          <cell r="E205" t="str">
            <v>SB22354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32000</v>
          </cell>
          <cell r="M205">
            <v>0</v>
          </cell>
          <cell r="N205">
            <v>-32000</v>
          </cell>
          <cell r="O205">
            <v>0</v>
          </cell>
          <cell r="P205">
            <v>0</v>
          </cell>
          <cell r="Q205">
            <v>-32000</v>
          </cell>
          <cell r="R205">
            <v>0</v>
          </cell>
          <cell r="S205">
            <v>0</v>
          </cell>
        </row>
        <row r="206">
          <cell r="E206" t="str">
            <v>SB22347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83600</v>
          </cell>
          <cell r="M206">
            <v>0</v>
          </cell>
          <cell r="N206">
            <v>-83600</v>
          </cell>
          <cell r="O206">
            <v>0</v>
          </cell>
          <cell r="P206">
            <v>0</v>
          </cell>
          <cell r="Q206">
            <v>-83600</v>
          </cell>
          <cell r="R206">
            <v>0</v>
          </cell>
          <cell r="S206">
            <v>0</v>
          </cell>
        </row>
        <row r="207">
          <cell r="E207" t="str">
            <v>SB22344</v>
          </cell>
          <cell r="F207">
            <v>0</v>
          </cell>
          <cell r="G207">
            <v>12321475</v>
          </cell>
          <cell r="H207">
            <v>0</v>
          </cell>
          <cell r="I207">
            <v>0</v>
          </cell>
          <cell r="J207">
            <v>12321475</v>
          </cell>
          <cell r="K207">
            <v>1441584</v>
          </cell>
          <cell r="L207">
            <v>4817834</v>
          </cell>
          <cell r="M207">
            <v>131706</v>
          </cell>
          <cell r="N207">
            <v>4987863</v>
          </cell>
          <cell r="O207">
            <v>-37403</v>
          </cell>
          <cell r="P207">
            <v>9900000</v>
          </cell>
          <cell r="Q207">
            <v>6392044</v>
          </cell>
          <cell r="R207">
            <v>-1441584</v>
          </cell>
          <cell r="S207">
            <v>2421475</v>
          </cell>
        </row>
        <row r="208">
          <cell r="E208" t="str">
            <v>SB22343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3075000</v>
          </cell>
          <cell r="M208">
            <v>0</v>
          </cell>
          <cell r="N208">
            <v>-3075000</v>
          </cell>
          <cell r="O208">
            <v>0</v>
          </cell>
          <cell r="P208">
            <v>0</v>
          </cell>
          <cell r="Q208">
            <v>-3075000</v>
          </cell>
          <cell r="R208">
            <v>0</v>
          </cell>
          <cell r="S208">
            <v>0</v>
          </cell>
        </row>
        <row r="209">
          <cell r="E209" t="str">
            <v>SB22338</v>
          </cell>
          <cell r="F209">
            <v>2000000</v>
          </cell>
          <cell r="G209">
            <v>0</v>
          </cell>
          <cell r="H209">
            <v>2000000</v>
          </cell>
          <cell r="I209">
            <v>0</v>
          </cell>
          <cell r="J209">
            <v>2000000</v>
          </cell>
          <cell r="K209">
            <v>837893.5</v>
          </cell>
          <cell r="L209">
            <v>205612</v>
          </cell>
          <cell r="M209">
            <v>0</v>
          </cell>
          <cell r="N209">
            <v>1068006</v>
          </cell>
          <cell r="O209">
            <v>0</v>
          </cell>
          <cell r="P209">
            <v>1273618</v>
          </cell>
          <cell r="Q209">
            <v>1905899.5</v>
          </cell>
          <cell r="R209">
            <v>1162106.5</v>
          </cell>
          <cell r="S209">
            <v>726382</v>
          </cell>
        </row>
        <row r="210">
          <cell r="E210" t="str">
            <v>SB22332</v>
          </cell>
          <cell r="F210">
            <v>349503</v>
          </cell>
          <cell r="G210">
            <v>349503</v>
          </cell>
          <cell r="H210">
            <v>0</v>
          </cell>
          <cell r="I210">
            <v>0</v>
          </cell>
          <cell r="J210">
            <v>349503</v>
          </cell>
          <cell r="K210">
            <v>58146.67</v>
          </cell>
          <cell r="L210">
            <v>58146.67</v>
          </cell>
          <cell r="M210">
            <v>0</v>
          </cell>
          <cell r="N210">
            <v>0</v>
          </cell>
          <cell r="O210">
            <v>-89000</v>
          </cell>
          <cell r="P210">
            <v>-30853.33</v>
          </cell>
          <cell r="Q210">
            <v>-30853.33</v>
          </cell>
          <cell r="R210">
            <v>291356.33</v>
          </cell>
          <cell r="S210">
            <v>318649.67</v>
          </cell>
        </row>
        <row r="211">
          <cell r="E211" t="str">
            <v>SB22329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541000</v>
          </cell>
          <cell r="M211">
            <v>0</v>
          </cell>
          <cell r="N211">
            <v>-541000</v>
          </cell>
          <cell r="O211">
            <v>0</v>
          </cell>
          <cell r="P211">
            <v>0</v>
          </cell>
          <cell r="Q211">
            <v>-541000</v>
          </cell>
          <cell r="R211">
            <v>0</v>
          </cell>
          <cell r="S211">
            <v>0</v>
          </cell>
        </row>
        <row r="212">
          <cell r="E212" t="str">
            <v>SB22327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461394</v>
          </cell>
          <cell r="M212">
            <v>0</v>
          </cell>
          <cell r="N212">
            <v>-461394</v>
          </cell>
          <cell r="O212">
            <v>0</v>
          </cell>
          <cell r="P212">
            <v>0</v>
          </cell>
          <cell r="Q212">
            <v>-461394</v>
          </cell>
          <cell r="R212">
            <v>0</v>
          </cell>
          <cell r="S212">
            <v>0</v>
          </cell>
        </row>
        <row r="213">
          <cell r="E213" t="str">
            <v>SB22323</v>
          </cell>
          <cell r="F213">
            <v>738000</v>
          </cell>
          <cell r="G213">
            <v>738000</v>
          </cell>
          <cell r="H213">
            <v>0</v>
          </cell>
          <cell r="I213">
            <v>0</v>
          </cell>
          <cell r="J213">
            <v>738000</v>
          </cell>
          <cell r="K213">
            <v>0</v>
          </cell>
          <cell r="L213">
            <v>0</v>
          </cell>
          <cell r="M213">
            <v>0</v>
          </cell>
          <cell r="N213">
            <v>575640</v>
          </cell>
          <cell r="O213">
            <v>0</v>
          </cell>
          <cell r="P213">
            <v>575640</v>
          </cell>
          <cell r="Q213">
            <v>575640</v>
          </cell>
          <cell r="R213">
            <v>738000</v>
          </cell>
          <cell r="S213">
            <v>162360</v>
          </cell>
        </row>
        <row r="214">
          <cell r="E214" t="str">
            <v>SB22326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191318</v>
          </cell>
          <cell r="M214">
            <v>0</v>
          </cell>
          <cell r="N214">
            <v>-191318</v>
          </cell>
          <cell r="O214">
            <v>0</v>
          </cell>
          <cell r="P214">
            <v>0</v>
          </cell>
          <cell r="Q214">
            <v>-191318</v>
          </cell>
          <cell r="R214">
            <v>0</v>
          </cell>
          <cell r="S214">
            <v>0</v>
          </cell>
        </row>
        <row r="215">
          <cell r="E215" t="str">
            <v>SB22324</v>
          </cell>
          <cell r="F215">
            <v>0</v>
          </cell>
          <cell r="G215">
            <v>1440862</v>
          </cell>
          <cell r="H215">
            <v>-1301935</v>
          </cell>
          <cell r="I215">
            <v>0</v>
          </cell>
          <cell r="J215">
            <v>138927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138927</v>
          </cell>
        </row>
        <row r="216">
          <cell r="E216" t="str">
            <v>SB22320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4361719</v>
          </cell>
          <cell r="L216">
            <v>4796619</v>
          </cell>
          <cell r="M216">
            <v>56709</v>
          </cell>
          <cell r="N216">
            <v>3846672</v>
          </cell>
          <cell r="O216">
            <v>0</v>
          </cell>
          <cell r="P216">
            <v>8700000</v>
          </cell>
          <cell r="Q216">
            <v>8208391</v>
          </cell>
          <cell r="R216">
            <v>-4361719</v>
          </cell>
          <cell r="S216">
            <v>-8700000</v>
          </cell>
        </row>
        <row r="217">
          <cell r="E217" t="str">
            <v>SB22321</v>
          </cell>
          <cell r="F217">
            <v>0</v>
          </cell>
          <cell r="G217">
            <v>516000</v>
          </cell>
          <cell r="H217">
            <v>0</v>
          </cell>
          <cell r="I217">
            <v>0</v>
          </cell>
          <cell r="J217">
            <v>516000</v>
          </cell>
          <cell r="K217">
            <v>0</v>
          </cell>
          <cell r="L217">
            <v>0</v>
          </cell>
          <cell r="M217">
            <v>0</v>
          </cell>
          <cell r="N217">
            <v>500000</v>
          </cell>
          <cell r="O217">
            <v>0</v>
          </cell>
          <cell r="P217">
            <v>500000</v>
          </cell>
          <cell r="Q217">
            <v>500000</v>
          </cell>
          <cell r="R217">
            <v>0</v>
          </cell>
          <cell r="S217">
            <v>16000</v>
          </cell>
        </row>
        <row r="218">
          <cell r="E218" t="str">
            <v>SB22318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329500</v>
          </cell>
          <cell r="M218">
            <v>0</v>
          </cell>
          <cell r="N218">
            <v>-329500</v>
          </cell>
          <cell r="O218">
            <v>0</v>
          </cell>
          <cell r="P218">
            <v>0</v>
          </cell>
          <cell r="Q218">
            <v>-329500</v>
          </cell>
          <cell r="R218">
            <v>0</v>
          </cell>
          <cell r="S218">
            <v>0</v>
          </cell>
        </row>
        <row r="219">
          <cell r="E219" t="str">
            <v>SB22319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77239.69</v>
          </cell>
          <cell r="L219">
            <v>1930784.69</v>
          </cell>
          <cell r="M219">
            <v>0</v>
          </cell>
          <cell r="N219">
            <v>-1930784.5</v>
          </cell>
          <cell r="O219">
            <v>0</v>
          </cell>
          <cell r="P219">
            <v>0.19</v>
          </cell>
          <cell r="Q219">
            <v>-1853544.81</v>
          </cell>
          <cell r="R219">
            <v>-77239.69</v>
          </cell>
          <cell r="S219">
            <v>-0.19</v>
          </cell>
        </row>
        <row r="220">
          <cell r="E220" t="str">
            <v>SB22317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42750</v>
          </cell>
          <cell r="L220">
            <v>46313</v>
          </cell>
          <cell r="M220">
            <v>0</v>
          </cell>
          <cell r="N220">
            <v>-46313</v>
          </cell>
          <cell r="O220">
            <v>0</v>
          </cell>
          <cell r="P220">
            <v>0</v>
          </cell>
          <cell r="Q220">
            <v>-3563</v>
          </cell>
          <cell r="R220">
            <v>-42750</v>
          </cell>
          <cell r="S220">
            <v>0</v>
          </cell>
        </row>
        <row r="221">
          <cell r="E221" t="str">
            <v>SB22316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1553200</v>
          </cell>
          <cell r="M221">
            <v>0</v>
          </cell>
          <cell r="N221">
            <v>-1553200</v>
          </cell>
          <cell r="O221">
            <v>0</v>
          </cell>
          <cell r="P221">
            <v>0</v>
          </cell>
          <cell r="Q221">
            <v>-1553200</v>
          </cell>
          <cell r="R221">
            <v>0</v>
          </cell>
          <cell r="S221">
            <v>0</v>
          </cell>
        </row>
        <row r="222">
          <cell r="E222" t="str">
            <v>SB22311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4000</v>
          </cell>
          <cell r="M222">
            <v>0</v>
          </cell>
          <cell r="N222">
            <v>-4000</v>
          </cell>
          <cell r="O222">
            <v>0</v>
          </cell>
          <cell r="P222">
            <v>0</v>
          </cell>
          <cell r="Q222">
            <v>-4000</v>
          </cell>
          <cell r="R222">
            <v>0</v>
          </cell>
          <cell r="S222">
            <v>0</v>
          </cell>
        </row>
        <row r="223">
          <cell r="E223" t="str">
            <v>SB22306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223282.35</v>
          </cell>
          <cell r="L223">
            <v>1855018.71</v>
          </cell>
          <cell r="M223">
            <v>5377</v>
          </cell>
          <cell r="N223">
            <v>-1728084.76</v>
          </cell>
          <cell r="O223">
            <v>0</v>
          </cell>
          <cell r="P223">
            <v>132310.95</v>
          </cell>
          <cell r="Q223">
            <v>-1504802.41</v>
          </cell>
          <cell r="R223">
            <v>-223282.35</v>
          </cell>
          <cell r="S223">
            <v>-132310.95</v>
          </cell>
        </row>
        <row r="224">
          <cell r="E224" t="str">
            <v>SB22305</v>
          </cell>
          <cell r="F224">
            <v>0</v>
          </cell>
          <cell r="G224">
            <v>19482480</v>
          </cell>
          <cell r="H224">
            <v>1650000</v>
          </cell>
          <cell r="I224">
            <v>0</v>
          </cell>
          <cell r="J224">
            <v>21132480</v>
          </cell>
          <cell r="K224">
            <v>9618706.46</v>
          </cell>
          <cell r="L224">
            <v>13992658.51</v>
          </cell>
          <cell r="M224">
            <v>108677</v>
          </cell>
          <cell r="N224">
            <v>3761666.49</v>
          </cell>
          <cell r="O224">
            <v>-12618</v>
          </cell>
          <cell r="P224">
            <v>17850384</v>
          </cell>
          <cell r="Q224">
            <v>13367754.95</v>
          </cell>
          <cell r="R224">
            <v>-9618706.46</v>
          </cell>
          <cell r="S224">
            <v>3282096</v>
          </cell>
        </row>
        <row r="225">
          <cell r="E225" t="str">
            <v>SB22289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E226" t="str">
            <v>SB22282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133500</v>
          </cell>
          <cell r="M226">
            <v>0</v>
          </cell>
          <cell r="N226">
            <v>-133500</v>
          </cell>
          <cell r="O226">
            <v>0</v>
          </cell>
          <cell r="P226">
            <v>0</v>
          </cell>
          <cell r="Q226">
            <v>-133500</v>
          </cell>
          <cell r="R226">
            <v>0</v>
          </cell>
          <cell r="S226">
            <v>0</v>
          </cell>
        </row>
        <row r="227">
          <cell r="E227" t="str">
            <v>SB22280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11500</v>
          </cell>
          <cell r="M227">
            <v>0</v>
          </cell>
          <cell r="N227">
            <v>-11500</v>
          </cell>
          <cell r="O227">
            <v>0</v>
          </cell>
          <cell r="P227">
            <v>0</v>
          </cell>
          <cell r="Q227">
            <v>-11500</v>
          </cell>
          <cell r="R227">
            <v>0</v>
          </cell>
          <cell r="S227">
            <v>0</v>
          </cell>
        </row>
        <row r="228">
          <cell r="E228" t="str">
            <v>SB22278</v>
          </cell>
          <cell r="F228">
            <v>2917310</v>
          </cell>
          <cell r="G228">
            <v>2917310</v>
          </cell>
          <cell r="H228">
            <v>-2917310</v>
          </cell>
          <cell r="I228">
            <v>0</v>
          </cell>
          <cell r="J228">
            <v>0</v>
          </cell>
          <cell r="K228">
            <v>0</v>
          </cell>
          <cell r="L228">
            <v>191040</v>
          </cell>
          <cell r="M228">
            <v>0</v>
          </cell>
          <cell r="N228">
            <v>-191040</v>
          </cell>
          <cell r="O228">
            <v>0</v>
          </cell>
          <cell r="P228">
            <v>0</v>
          </cell>
          <cell r="Q228">
            <v>-191040</v>
          </cell>
          <cell r="R228">
            <v>2917310</v>
          </cell>
          <cell r="S228">
            <v>0</v>
          </cell>
        </row>
        <row r="229">
          <cell r="E229" t="str">
            <v>SB22272</v>
          </cell>
          <cell r="F229">
            <v>484950</v>
          </cell>
          <cell r="G229">
            <v>484950</v>
          </cell>
          <cell r="H229">
            <v>-480693</v>
          </cell>
          <cell r="I229">
            <v>0</v>
          </cell>
          <cell r="J229">
            <v>4257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484950</v>
          </cell>
          <cell r="S229">
            <v>4257</v>
          </cell>
        </row>
        <row r="230">
          <cell r="E230" t="str">
            <v>SB22268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195431</v>
          </cell>
          <cell r="L230">
            <v>128360</v>
          </cell>
          <cell r="M230">
            <v>0</v>
          </cell>
          <cell r="N230">
            <v>-128360</v>
          </cell>
          <cell r="O230">
            <v>0</v>
          </cell>
          <cell r="P230">
            <v>0</v>
          </cell>
          <cell r="Q230">
            <v>67071</v>
          </cell>
          <cell r="R230">
            <v>-195431</v>
          </cell>
          <cell r="S230">
            <v>0</v>
          </cell>
        </row>
        <row r="231">
          <cell r="E231" t="str">
            <v>SB22263</v>
          </cell>
          <cell r="F231">
            <v>0</v>
          </cell>
          <cell r="G231">
            <v>0</v>
          </cell>
          <cell r="H231">
            <v>6890903</v>
          </cell>
          <cell r="I231">
            <v>0</v>
          </cell>
          <cell r="J231">
            <v>6890903</v>
          </cell>
          <cell r="K231">
            <v>7359523.6</v>
          </cell>
          <cell r="L231">
            <v>3565894.6</v>
          </cell>
          <cell r="M231">
            <v>85596</v>
          </cell>
          <cell r="N231">
            <v>2077155.4</v>
          </cell>
          <cell r="O231">
            <v>0</v>
          </cell>
          <cell r="P231">
            <v>5728646</v>
          </cell>
          <cell r="Q231">
            <v>9436679</v>
          </cell>
          <cell r="R231">
            <v>-7359523.6</v>
          </cell>
          <cell r="S231">
            <v>1162257</v>
          </cell>
        </row>
        <row r="232">
          <cell r="E232" t="str">
            <v>SB22254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30000</v>
          </cell>
          <cell r="M232">
            <v>0</v>
          </cell>
          <cell r="N232">
            <v>-30000</v>
          </cell>
          <cell r="O232">
            <v>0</v>
          </cell>
          <cell r="P232">
            <v>0</v>
          </cell>
          <cell r="Q232">
            <v>-30000</v>
          </cell>
          <cell r="R232">
            <v>0</v>
          </cell>
          <cell r="S232">
            <v>0</v>
          </cell>
        </row>
        <row r="233">
          <cell r="E233" t="str">
            <v>SB22251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9170</v>
          </cell>
          <cell r="N233">
            <v>0</v>
          </cell>
          <cell r="O233">
            <v>0</v>
          </cell>
          <cell r="P233">
            <v>9170</v>
          </cell>
          <cell r="Q233">
            <v>0</v>
          </cell>
          <cell r="R233">
            <v>0</v>
          </cell>
          <cell r="S233">
            <v>-9170</v>
          </cell>
        </row>
        <row r="234">
          <cell r="E234" t="str">
            <v>SB22223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142488</v>
          </cell>
          <cell r="M234">
            <v>0</v>
          </cell>
          <cell r="N234">
            <v>-142488</v>
          </cell>
          <cell r="O234">
            <v>0</v>
          </cell>
          <cell r="P234">
            <v>0</v>
          </cell>
          <cell r="Q234">
            <v>-142488</v>
          </cell>
          <cell r="R234">
            <v>0</v>
          </cell>
          <cell r="S234">
            <v>0</v>
          </cell>
        </row>
        <row r="235">
          <cell r="E235" t="str">
            <v>SB22204</v>
          </cell>
          <cell r="F235">
            <v>0</v>
          </cell>
          <cell r="G235">
            <v>0</v>
          </cell>
          <cell r="H235">
            <v>0</v>
          </cell>
          <cell r="I235">
            <v>-54004</v>
          </cell>
          <cell r="J235">
            <v>-54004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54004</v>
          </cell>
        </row>
        <row r="236">
          <cell r="E236" t="str">
            <v>SB22205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37050</v>
          </cell>
          <cell r="M236">
            <v>0</v>
          </cell>
          <cell r="N236">
            <v>-37050</v>
          </cell>
          <cell r="O236">
            <v>0</v>
          </cell>
          <cell r="P236">
            <v>0</v>
          </cell>
          <cell r="Q236">
            <v>-37050</v>
          </cell>
          <cell r="R236">
            <v>0</v>
          </cell>
          <cell r="S236">
            <v>0</v>
          </cell>
        </row>
        <row r="237">
          <cell r="E237" t="str">
            <v>SB22190</v>
          </cell>
          <cell r="F237">
            <v>0</v>
          </cell>
          <cell r="G237">
            <v>0</v>
          </cell>
          <cell r="H237">
            <v>-660000</v>
          </cell>
          <cell r="I237">
            <v>0</v>
          </cell>
          <cell r="J237">
            <v>-660000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660000</v>
          </cell>
        </row>
        <row r="238">
          <cell r="E238" t="str">
            <v>SB22159</v>
          </cell>
          <cell r="F238">
            <v>9178650</v>
          </cell>
          <cell r="G238">
            <v>9178650</v>
          </cell>
          <cell r="H238">
            <v>-11025023</v>
          </cell>
          <cell r="I238">
            <v>0</v>
          </cell>
          <cell r="J238">
            <v>-1846373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9178650</v>
          </cell>
          <cell r="S238">
            <v>1846373</v>
          </cell>
        </row>
        <row r="239">
          <cell r="E239" t="str">
            <v>SB22158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692150</v>
          </cell>
          <cell r="M239">
            <v>0</v>
          </cell>
          <cell r="N239">
            <v>-181650</v>
          </cell>
          <cell r="O239">
            <v>0</v>
          </cell>
          <cell r="P239">
            <v>510500</v>
          </cell>
          <cell r="Q239">
            <v>-181650</v>
          </cell>
          <cell r="R239">
            <v>0</v>
          </cell>
          <cell r="S239">
            <v>-510500</v>
          </cell>
        </row>
        <row r="240">
          <cell r="E240" t="str">
            <v>SB22156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126201.2</v>
          </cell>
          <cell r="O240">
            <v>0</v>
          </cell>
          <cell r="P240">
            <v>126201.2</v>
          </cell>
          <cell r="Q240">
            <v>126201.2</v>
          </cell>
          <cell r="R240">
            <v>0</v>
          </cell>
          <cell r="S240">
            <v>-126201.2</v>
          </cell>
        </row>
        <row r="241">
          <cell r="E241" t="str">
            <v>SB22124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1545455</v>
          </cell>
          <cell r="M241">
            <v>0</v>
          </cell>
          <cell r="N241">
            <v>-1545455</v>
          </cell>
          <cell r="O241">
            <v>0</v>
          </cell>
          <cell r="P241">
            <v>0</v>
          </cell>
          <cell r="Q241">
            <v>-1545455</v>
          </cell>
          <cell r="R241">
            <v>0</v>
          </cell>
          <cell r="S241">
            <v>0</v>
          </cell>
        </row>
        <row r="242">
          <cell r="E242" t="str">
            <v>SB22115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198000</v>
          </cell>
          <cell r="L242">
            <v>45000</v>
          </cell>
          <cell r="M242">
            <v>0</v>
          </cell>
          <cell r="N242">
            <v>-45000</v>
          </cell>
          <cell r="O242">
            <v>0</v>
          </cell>
          <cell r="P242">
            <v>0</v>
          </cell>
          <cell r="Q242">
            <v>153000</v>
          </cell>
          <cell r="R242">
            <v>-198000</v>
          </cell>
          <cell r="S242">
            <v>0</v>
          </cell>
        </row>
        <row r="243">
          <cell r="E243" t="str">
            <v>SB22089</v>
          </cell>
          <cell r="F243">
            <v>0</v>
          </cell>
          <cell r="G243">
            <v>10700000</v>
          </cell>
          <cell r="H243">
            <v>0</v>
          </cell>
          <cell r="I243">
            <v>0</v>
          </cell>
          <cell r="J243">
            <v>10700000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10700000</v>
          </cell>
        </row>
        <row r="244">
          <cell r="E244" t="str">
            <v>SB22083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70000</v>
          </cell>
          <cell r="M244">
            <v>0</v>
          </cell>
          <cell r="N244">
            <v>-70000</v>
          </cell>
          <cell r="O244">
            <v>0</v>
          </cell>
          <cell r="P244">
            <v>0</v>
          </cell>
          <cell r="Q244">
            <v>-70000</v>
          </cell>
          <cell r="R244">
            <v>0</v>
          </cell>
          <cell r="S244">
            <v>0</v>
          </cell>
        </row>
        <row r="245">
          <cell r="E245" t="str">
            <v>SB22065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E246" t="str">
            <v>SB21947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-4350</v>
          </cell>
          <cell r="O246">
            <v>0</v>
          </cell>
          <cell r="P246">
            <v>-4350</v>
          </cell>
          <cell r="Q246">
            <v>-4350</v>
          </cell>
          <cell r="R246">
            <v>0</v>
          </cell>
          <cell r="S246">
            <v>-4350</v>
          </cell>
        </row>
        <row r="247">
          <cell r="E247" t="str">
            <v>SB21859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-15793.06</v>
          </cell>
          <cell r="O247">
            <v>0</v>
          </cell>
          <cell r="P247">
            <v>-15793.06</v>
          </cell>
          <cell r="Q247">
            <v>-15793.06</v>
          </cell>
          <cell r="R247">
            <v>0</v>
          </cell>
          <cell r="S247">
            <v>-15793.06</v>
          </cell>
        </row>
        <row r="248">
          <cell r="E248" t="str">
            <v/>
          </cell>
          <cell r="F248" t="str">
            <v>251,526,664.23</v>
          </cell>
          <cell r="G248" t="str">
            <v>195,216,775.56</v>
          </cell>
          <cell r="H248" t="str">
            <v>-5,530,092.08</v>
          </cell>
          <cell r="I248" t="str">
            <v>-2,083,710.26</v>
          </cell>
          <cell r="J248" t="str">
            <v>187,602,973.22</v>
          </cell>
          <cell r="K248" t="str">
            <v>167,473,088.51</v>
          </cell>
          <cell r="L248" t="str">
            <v>147,339,731.39</v>
          </cell>
          <cell r="M248" t="str">
            <v>3,452,260.52</v>
          </cell>
          <cell r="N248" t="str">
            <v>24,453,493.17</v>
          </cell>
          <cell r="O248" t="str">
            <v>-5,123,186.0</v>
          </cell>
          <cell r="P248" t="str">
            <v>170,122,299.08</v>
          </cell>
          <cell r="Q248" t="str">
            <v>186,803,395.68</v>
          </cell>
          <cell r="R248" t="str">
            <v>84,053,575.72</v>
          </cell>
          <cell r="S248" t="str">
            <v>58,323,840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obizPOwithProjectCodeBodyLev"/>
    </sheetNames>
    <sheetDataSet>
      <sheetData sheetId="0">
        <row r="1">
          <cell r="F1" t="str">
            <v>Project Code</v>
          </cell>
          <cell r="G1" t="str">
            <v>Project Name</v>
          </cell>
          <cell r="H1" t="str">
            <v>Item</v>
          </cell>
          <cell r="I1" t="str">
            <v>Item Rate</v>
          </cell>
        </row>
        <row r="2">
          <cell r="F2" t="str">
            <v>SB22593</v>
          </cell>
          <cell r="G2" t="str">
            <v/>
          </cell>
          <cell r="H2" t="str">
            <v>Event Management Charges</v>
          </cell>
          <cell r="I2">
            <v>35500</v>
          </cell>
        </row>
        <row r="3">
          <cell r="F3" t="str">
            <v>SB22491</v>
          </cell>
          <cell r="G3" t="str">
            <v/>
          </cell>
          <cell r="H3" t="str">
            <v>Photography Expenses - Events</v>
          </cell>
          <cell r="I3">
            <v>45000</v>
          </cell>
        </row>
        <row r="4">
          <cell r="F4" t="str">
            <v>SB22455</v>
          </cell>
          <cell r="G4" t="str">
            <v/>
          </cell>
          <cell r="H4" t="str">
            <v>Equipment &amp; Technical Operation Charges</v>
          </cell>
          <cell r="I4">
            <v>1250000</v>
          </cell>
        </row>
        <row r="5">
          <cell r="F5" t="str">
            <v>SB22615</v>
          </cell>
          <cell r="G5" t="str">
            <v/>
          </cell>
          <cell r="H5" t="str">
            <v>Equipment &amp; Technical Operation Charges</v>
          </cell>
          <cell r="I5">
            <v>8500000</v>
          </cell>
        </row>
        <row r="6">
          <cell r="F6" t="str">
            <v>SB22646</v>
          </cell>
          <cell r="G6" t="str">
            <v/>
          </cell>
          <cell r="H6" t="str">
            <v>Performer Expenses</v>
          </cell>
          <cell r="I6">
            <v>45000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41"/>
  <sheetViews>
    <sheetView tabSelected="1" zoomScale="79" zoomScaleNormal="79" workbookViewId="0">
      <selection activeCell="E49" sqref="E49"/>
    </sheetView>
  </sheetViews>
  <sheetFormatPr defaultColWidth="8.72727272727273" defaultRowHeight="14.5"/>
  <cols>
    <col min="1" max="1" width="12.2727272727273" customWidth="1"/>
    <col min="2" max="2" width="17.0909090909091" customWidth="1"/>
    <col min="3" max="3" width="18.5454545454545" customWidth="1"/>
    <col min="4" max="4" width="19.9090909090909" customWidth="1"/>
    <col min="5" max="5" width="42.3636363636364" customWidth="1"/>
    <col min="6" max="7" width="62.2727272727273" customWidth="1"/>
    <col min="8" max="8" width="7.36363636363636" customWidth="1"/>
    <col min="9" max="9" width="72.6090909090909" style="1" customWidth="1"/>
  </cols>
  <sheetData>
    <row r="1" ht="15.25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3" t="s">
        <v>8</v>
      </c>
    </row>
    <row r="2" hidden="1" spans="1:9">
      <c r="A2" s="4" t="s">
        <v>9</v>
      </c>
      <c r="B2" s="5">
        <f>VLOOKUP(A2,'[1]MGM Report'!$D:$K,8,FALSE)</f>
        <v>0</v>
      </c>
      <c r="C2" s="5">
        <f>VLOOKUP(A2,[2]ShobizMGMReportResults!$E:$L,8,FALSE)</f>
        <v>0</v>
      </c>
      <c r="D2" s="5">
        <f>VLOOKUP(A2,[2]ShobizMGMReportResults!$E:$S,9,FALSE)</f>
        <v>0</v>
      </c>
      <c r="E2" s="5">
        <v>0</v>
      </c>
      <c r="F2" s="6">
        <f>SUM(C2:E2)</f>
        <v>0</v>
      </c>
      <c r="G2" s="6">
        <f>F2-B2</f>
        <v>0</v>
      </c>
      <c r="H2" s="5" t="b">
        <f>F2=B2</f>
        <v>1</v>
      </c>
      <c r="I2" s="14"/>
    </row>
    <row r="3" hidden="1" spans="1:9">
      <c r="A3" s="7" t="s">
        <v>10</v>
      </c>
      <c r="B3" s="8">
        <f>VLOOKUP(A3,'[1]MGM Report'!$D:$K,8,FALSE)</f>
        <v>0</v>
      </c>
      <c r="C3" s="8">
        <f>VLOOKUP(A3,[2]ShobizMGMReportResults!$E:$L,8,FALSE)</f>
        <v>0</v>
      </c>
      <c r="D3" s="8">
        <f>VLOOKUP(A3,[2]ShobizMGMReportResults!$E:$S,9,FALSE)</f>
        <v>0</v>
      </c>
      <c r="E3" s="8">
        <v>0</v>
      </c>
      <c r="F3" s="9">
        <f t="shared" ref="F3:F66" si="0">SUM(C3:E3)</f>
        <v>0</v>
      </c>
      <c r="G3" s="9">
        <f t="shared" ref="G3:G66" si="1">F3-B3</f>
        <v>0</v>
      </c>
      <c r="H3" s="8" t="b">
        <f t="shared" ref="H3:H66" si="2">F3=B3</f>
        <v>1</v>
      </c>
      <c r="I3" s="15"/>
    </row>
    <row r="4" hidden="1" spans="1:9">
      <c r="A4" s="7" t="s">
        <v>11</v>
      </c>
      <c r="B4" s="8">
        <f>VLOOKUP(A4,'[1]MGM Report'!$D:$K,8,FALSE)</f>
        <v>1036880.09</v>
      </c>
      <c r="C4" s="8">
        <f>VLOOKUP(A4,[2]ShobizMGMReportResults!$E:$L,8,FALSE)</f>
        <v>1008969.45</v>
      </c>
      <c r="D4" s="8">
        <f>VLOOKUP(A4,[2]ShobizMGMReportResults!$E:$S,9,FALSE)</f>
        <v>27910.64</v>
      </c>
      <c r="E4" s="8">
        <v>0</v>
      </c>
      <c r="F4" s="9">
        <f t="shared" si="0"/>
        <v>1036880.09</v>
      </c>
      <c r="G4" s="9">
        <f t="shared" si="1"/>
        <v>0</v>
      </c>
      <c r="H4" s="8" t="b">
        <f t="shared" si="2"/>
        <v>1</v>
      </c>
      <c r="I4" s="15"/>
    </row>
    <row r="5" hidden="1" spans="1:9">
      <c r="A5" s="7" t="s">
        <v>12</v>
      </c>
      <c r="B5" s="8">
        <f>VLOOKUP(A5,'[1]MGM Report'!$D:$K,8,FALSE)</f>
        <v>0</v>
      </c>
      <c r="C5" s="8">
        <f>VLOOKUP(A5,[2]ShobizMGMReportResults!$E:$L,8,FALSE)</f>
        <v>0</v>
      </c>
      <c r="D5" s="8">
        <f>VLOOKUP(A5,[2]ShobizMGMReportResults!$E:$S,9,FALSE)</f>
        <v>0</v>
      </c>
      <c r="E5" s="8">
        <v>0</v>
      </c>
      <c r="F5" s="9">
        <f t="shared" si="0"/>
        <v>0</v>
      </c>
      <c r="G5" s="9">
        <f t="shared" si="1"/>
        <v>0</v>
      </c>
      <c r="H5" s="8" t="b">
        <f t="shared" si="2"/>
        <v>1</v>
      </c>
      <c r="I5" s="15"/>
    </row>
    <row r="6" hidden="1" spans="1:9">
      <c r="A6" s="7" t="s">
        <v>13</v>
      </c>
      <c r="B6" s="8">
        <f>VLOOKUP(A6,'[1]MGM Report'!$D:$K,8,FALSE)</f>
        <v>46000</v>
      </c>
      <c r="C6" s="8">
        <f>VLOOKUP(A6,[2]ShobizMGMReportResults!$E:$L,8,FALSE)</f>
        <v>46000</v>
      </c>
      <c r="D6" s="8">
        <f>VLOOKUP(A6,[2]ShobizMGMReportResults!$E:$S,9,FALSE)</f>
        <v>0</v>
      </c>
      <c r="E6" s="8">
        <v>0</v>
      </c>
      <c r="F6" s="9">
        <f t="shared" si="0"/>
        <v>46000</v>
      </c>
      <c r="G6" s="9">
        <f t="shared" si="1"/>
        <v>0</v>
      </c>
      <c r="H6" s="8" t="b">
        <f t="shared" si="2"/>
        <v>1</v>
      </c>
      <c r="I6" s="15"/>
    </row>
    <row r="7" hidden="1" spans="1:9">
      <c r="A7" s="7" t="s">
        <v>14</v>
      </c>
      <c r="B7" s="8">
        <f>VLOOKUP(A7,'[1]MGM Report'!$D:$K,8,FALSE)</f>
        <v>600</v>
      </c>
      <c r="C7" s="8">
        <f>VLOOKUP(A7,[2]ShobizMGMReportResults!$E:$L,8,FALSE)</f>
        <v>600</v>
      </c>
      <c r="D7" s="8">
        <f>VLOOKUP(A7,[2]ShobizMGMReportResults!$E:$S,9,FALSE)</f>
        <v>0</v>
      </c>
      <c r="E7" s="8">
        <v>0</v>
      </c>
      <c r="F7" s="9">
        <f t="shared" si="0"/>
        <v>600</v>
      </c>
      <c r="G7" s="9">
        <f t="shared" si="1"/>
        <v>0</v>
      </c>
      <c r="H7" s="8" t="b">
        <f t="shared" si="2"/>
        <v>1</v>
      </c>
      <c r="I7" s="15"/>
    </row>
    <row r="8" hidden="1" spans="1:9">
      <c r="A8" s="7" t="s">
        <v>15</v>
      </c>
      <c r="B8" s="8">
        <f>VLOOKUP(A8,'[1]MGM Report'!$D:$K,8,FALSE)</f>
        <v>125979</v>
      </c>
      <c r="C8" s="8">
        <f>VLOOKUP(A8,[2]ShobizMGMReportResults!$E:$L,8,FALSE)</f>
        <v>113750</v>
      </c>
      <c r="D8" s="8">
        <f>VLOOKUP(A8,[2]ShobizMGMReportResults!$E:$S,9,FALSE)</f>
        <v>12229</v>
      </c>
      <c r="E8" s="8">
        <v>0</v>
      </c>
      <c r="F8" s="9">
        <f t="shared" si="0"/>
        <v>125979</v>
      </c>
      <c r="G8" s="9">
        <f t="shared" si="1"/>
        <v>0</v>
      </c>
      <c r="H8" s="8" t="b">
        <f t="shared" si="2"/>
        <v>1</v>
      </c>
      <c r="I8" s="15"/>
    </row>
    <row r="9" hidden="1" spans="1:9">
      <c r="A9" s="7" t="s">
        <v>16</v>
      </c>
      <c r="B9" s="8">
        <f>VLOOKUP(A9,'[1]MGM Report'!$D:$K,8,FALSE)</f>
        <v>472583.99</v>
      </c>
      <c r="C9" s="8">
        <f>VLOOKUP(A9,[2]ShobizMGMReportResults!$E:$L,8,FALSE)</f>
        <v>383000</v>
      </c>
      <c r="D9" s="8">
        <f>VLOOKUP(A9,[2]ShobizMGMReportResults!$E:$S,9,FALSE)</f>
        <v>89583.99</v>
      </c>
      <c r="E9" s="8">
        <v>0</v>
      </c>
      <c r="F9" s="9">
        <f t="shared" si="0"/>
        <v>472583.99</v>
      </c>
      <c r="G9" s="9">
        <f t="shared" si="1"/>
        <v>0</v>
      </c>
      <c r="H9" s="8" t="b">
        <f t="shared" si="2"/>
        <v>1</v>
      </c>
      <c r="I9" s="15"/>
    </row>
    <row r="10" hidden="1" spans="1:9">
      <c r="A10" s="7" t="s">
        <v>17</v>
      </c>
      <c r="B10" s="8">
        <f>VLOOKUP(A10,'[1]MGM Report'!$D:$K,8,FALSE)</f>
        <v>83600</v>
      </c>
      <c r="C10" s="8">
        <f>VLOOKUP(A10,[2]ShobizMGMReportResults!$E:$L,8,FALSE)</f>
        <v>83600</v>
      </c>
      <c r="D10" s="8">
        <f>VLOOKUP(A10,[2]ShobizMGMReportResults!$E:$S,9,FALSE)</f>
        <v>0</v>
      </c>
      <c r="E10" s="8">
        <v>0</v>
      </c>
      <c r="F10" s="9">
        <f t="shared" si="0"/>
        <v>83600</v>
      </c>
      <c r="G10" s="9">
        <f t="shared" si="1"/>
        <v>0</v>
      </c>
      <c r="H10" s="8" t="b">
        <f t="shared" si="2"/>
        <v>1</v>
      </c>
      <c r="I10" s="15"/>
    </row>
    <row r="11" ht="43.5" spans="1:9">
      <c r="A11" s="10" t="s">
        <v>18</v>
      </c>
      <c r="B11" s="11">
        <f>VLOOKUP(A11,'[1]MGM Report'!$D:$K,8,FALSE)</f>
        <v>727110</v>
      </c>
      <c r="C11" s="11">
        <f>VLOOKUP(A11,[2]ShobizMGMReportResults!$E:$L,8,FALSE)</f>
        <v>727110</v>
      </c>
      <c r="D11" s="11">
        <f>VLOOKUP(A11,[2]ShobizMGMReportResults!$E:$S,9,FALSE)</f>
        <v>470</v>
      </c>
      <c r="E11" s="11">
        <v>0</v>
      </c>
      <c r="F11" s="12">
        <f t="shared" si="0"/>
        <v>727580</v>
      </c>
      <c r="G11" s="12">
        <f>B11-F11</f>
        <v>-470</v>
      </c>
      <c r="H11" s="11" t="b">
        <f t="shared" si="2"/>
        <v>0</v>
      </c>
      <c r="I11" s="16" t="s">
        <v>19</v>
      </c>
    </row>
    <row r="12" hidden="1" spans="1:9">
      <c r="A12" s="7" t="s">
        <v>20</v>
      </c>
      <c r="B12" s="8">
        <f>VLOOKUP(A12,'[1]MGM Report'!$D:$K,8,FALSE)</f>
        <v>1545455</v>
      </c>
      <c r="C12" s="8">
        <f>VLOOKUP(A12,[2]ShobizMGMReportResults!$E:$L,8,FALSE)</f>
        <v>1545455</v>
      </c>
      <c r="D12" s="8">
        <f>VLOOKUP(A12,[2]ShobizMGMReportResults!$E:$S,9,FALSE)</f>
        <v>0</v>
      </c>
      <c r="E12" s="8">
        <v>0</v>
      </c>
      <c r="F12" s="9">
        <f t="shared" si="0"/>
        <v>1545455</v>
      </c>
      <c r="G12" s="9">
        <f t="shared" si="1"/>
        <v>0</v>
      </c>
      <c r="H12" s="8" t="b">
        <f t="shared" si="2"/>
        <v>1</v>
      </c>
      <c r="I12" s="15"/>
    </row>
    <row r="13" hidden="1" spans="1:9">
      <c r="A13" s="7" t="s">
        <v>21</v>
      </c>
      <c r="B13" s="8">
        <f>VLOOKUP(A13,'[1]MGM Report'!$D:$K,8,FALSE)</f>
        <v>350000</v>
      </c>
      <c r="C13" s="8">
        <f>VLOOKUP(A13,[2]ShobizMGMReportResults!$E:$L,8,FALSE)</f>
        <v>350000</v>
      </c>
      <c r="D13" s="8">
        <f>VLOOKUP(A13,[2]ShobizMGMReportResults!$E:$S,9,FALSE)</f>
        <v>0</v>
      </c>
      <c r="E13" s="8">
        <v>0</v>
      </c>
      <c r="F13" s="9">
        <f t="shared" si="0"/>
        <v>350000</v>
      </c>
      <c r="G13" s="9">
        <f t="shared" si="1"/>
        <v>0</v>
      </c>
      <c r="H13" s="8" t="b">
        <f t="shared" si="2"/>
        <v>1</v>
      </c>
      <c r="I13" s="15"/>
    </row>
    <row r="14" spans="1:9">
      <c r="A14" s="10" t="s">
        <v>22</v>
      </c>
      <c r="B14" s="11">
        <f>VLOOKUP(A14,'[1]MGM Report'!$D:$K,8,FALSE)</f>
        <v>18768742.36</v>
      </c>
      <c r="C14" s="11">
        <f>VLOOKUP(A14,[2]ShobizMGMReportResults!$E:$L,8,FALSE)</f>
        <v>18515577.8</v>
      </c>
      <c r="D14" s="11">
        <f>VLOOKUP(A14,[2]ShobizMGMReportResults!$E:$S,9,FALSE)</f>
        <v>253569.56</v>
      </c>
      <c r="E14" s="11">
        <v>0</v>
      </c>
      <c r="F14" s="12">
        <f t="shared" si="0"/>
        <v>18769147.36</v>
      </c>
      <c r="G14" s="12">
        <f>B14-F14</f>
        <v>-405</v>
      </c>
      <c r="H14" s="11" t="b">
        <f t="shared" si="2"/>
        <v>0</v>
      </c>
      <c r="I14" s="17" t="s">
        <v>23</v>
      </c>
    </row>
    <row r="15" hidden="1" spans="1:9">
      <c r="A15" s="7" t="s">
        <v>24</v>
      </c>
      <c r="B15" s="8">
        <f>VLOOKUP(A15,'[1]MGM Report'!$D:$K,8,FALSE)</f>
        <v>14500</v>
      </c>
      <c r="C15" s="8">
        <f>VLOOKUP(A15,[2]ShobizMGMReportResults!$E:$L,8,FALSE)</f>
        <v>14500</v>
      </c>
      <c r="D15" s="8">
        <f>VLOOKUP(A15,[2]ShobizMGMReportResults!$E:$S,9,FALSE)</f>
        <v>0</v>
      </c>
      <c r="E15" s="8">
        <v>0</v>
      </c>
      <c r="F15" s="9">
        <f t="shared" si="0"/>
        <v>14500</v>
      </c>
      <c r="G15" s="9">
        <f t="shared" si="1"/>
        <v>0</v>
      </c>
      <c r="H15" s="8" t="b">
        <f t="shared" si="2"/>
        <v>1</v>
      </c>
      <c r="I15" s="15"/>
    </row>
    <row r="16" hidden="1" spans="1:9">
      <c r="A16" s="7" t="s">
        <v>25</v>
      </c>
      <c r="B16" s="8">
        <f>VLOOKUP(A16,'[1]MGM Report'!$D:$K,8,FALSE)</f>
        <v>12350</v>
      </c>
      <c r="C16" s="8">
        <f>VLOOKUP(A16,[2]ShobizMGMReportResults!$E:$L,8,FALSE)</f>
        <v>12350</v>
      </c>
      <c r="D16" s="8">
        <f>VLOOKUP(A16,[2]ShobizMGMReportResults!$E:$S,9,FALSE)</f>
        <v>0</v>
      </c>
      <c r="E16" s="8">
        <v>0</v>
      </c>
      <c r="F16" s="9">
        <f t="shared" si="0"/>
        <v>12350</v>
      </c>
      <c r="G16" s="9">
        <f t="shared" si="1"/>
        <v>0</v>
      </c>
      <c r="H16" s="8" t="b">
        <f t="shared" si="2"/>
        <v>1</v>
      </c>
      <c r="I16" s="15"/>
    </row>
    <row r="17" hidden="1" spans="1:9">
      <c r="A17" s="7" t="s">
        <v>26</v>
      </c>
      <c r="B17" s="8">
        <f>VLOOKUP(A17,'[1]MGM Report'!$D:$K,8,FALSE)</f>
        <v>46313</v>
      </c>
      <c r="C17" s="8">
        <f>VLOOKUP(A17,[2]ShobizMGMReportResults!$E:$L,8,FALSE)</f>
        <v>46313</v>
      </c>
      <c r="D17" s="8">
        <f>VLOOKUP(A17,[2]ShobizMGMReportResults!$E:$S,9,FALSE)</f>
        <v>0</v>
      </c>
      <c r="E17" s="8">
        <v>0</v>
      </c>
      <c r="F17" s="9">
        <f t="shared" si="0"/>
        <v>46313</v>
      </c>
      <c r="G17" s="9">
        <f t="shared" si="1"/>
        <v>0</v>
      </c>
      <c r="H17" s="8" t="b">
        <f t="shared" si="2"/>
        <v>1</v>
      </c>
      <c r="I17" s="15"/>
    </row>
    <row r="18" hidden="1" spans="1:9">
      <c r="A18" s="7" t="s">
        <v>27</v>
      </c>
      <c r="B18" s="8">
        <f>VLOOKUP(A18,'[1]MGM Report'!$D:$K,8,FALSE)</f>
        <v>142488</v>
      </c>
      <c r="C18" s="8">
        <f>VLOOKUP(A18,[2]ShobizMGMReportResults!$E:$L,8,FALSE)</f>
        <v>142488</v>
      </c>
      <c r="D18" s="8">
        <f>VLOOKUP(A18,[2]ShobizMGMReportResults!$E:$S,9,FALSE)</f>
        <v>0</v>
      </c>
      <c r="E18" s="8">
        <v>0</v>
      </c>
      <c r="F18" s="9">
        <f t="shared" si="0"/>
        <v>142488</v>
      </c>
      <c r="G18" s="9">
        <f t="shared" si="1"/>
        <v>0</v>
      </c>
      <c r="H18" s="8" t="b">
        <f t="shared" si="2"/>
        <v>1</v>
      </c>
      <c r="I18" s="15"/>
    </row>
    <row r="19" hidden="1" spans="1:9">
      <c r="A19" s="7" t="s">
        <v>28</v>
      </c>
      <c r="B19" s="8">
        <f>VLOOKUP(A19,'[1]MGM Report'!$D:$K,8,FALSE)</f>
        <v>128360</v>
      </c>
      <c r="C19" s="8">
        <f>VLOOKUP(A19,[2]ShobizMGMReportResults!$E:$L,8,FALSE)</f>
        <v>128360</v>
      </c>
      <c r="D19" s="8">
        <f>VLOOKUP(A19,[2]ShobizMGMReportResults!$E:$S,9,FALSE)</f>
        <v>0</v>
      </c>
      <c r="E19" s="8">
        <v>0</v>
      </c>
      <c r="F19" s="9">
        <f t="shared" si="0"/>
        <v>128360</v>
      </c>
      <c r="G19" s="9">
        <f t="shared" si="1"/>
        <v>0</v>
      </c>
      <c r="H19" s="8" t="b">
        <f t="shared" si="2"/>
        <v>1</v>
      </c>
      <c r="I19" s="15"/>
    </row>
    <row r="20" hidden="1" spans="1:9">
      <c r="A20" s="7" t="s">
        <v>29</v>
      </c>
      <c r="B20" s="8">
        <f>VLOOKUP(A20,'[1]MGM Report'!$D:$K,8,FALSE)</f>
        <v>0</v>
      </c>
      <c r="C20" s="8">
        <f>VLOOKUP(A20,[2]ShobizMGMReportResults!$E:$L,8,FALSE)</f>
        <v>0</v>
      </c>
      <c r="D20" s="8">
        <f>VLOOKUP(A20,[2]ShobizMGMReportResults!$E:$S,9,FALSE)</f>
        <v>0</v>
      </c>
      <c r="E20" s="8">
        <v>0</v>
      </c>
      <c r="F20" s="9">
        <f t="shared" si="0"/>
        <v>0</v>
      </c>
      <c r="G20" s="9">
        <f t="shared" si="1"/>
        <v>0</v>
      </c>
      <c r="H20" s="8" t="b">
        <f t="shared" si="2"/>
        <v>1</v>
      </c>
      <c r="I20" s="15"/>
    </row>
    <row r="21" hidden="1" spans="1:9">
      <c r="A21" s="7" t="s">
        <v>30</v>
      </c>
      <c r="B21" s="8">
        <f>VLOOKUP(A21,'[1]MGM Report'!$D:$K,8,FALSE)</f>
        <v>0</v>
      </c>
      <c r="C21" s="8">
        <f>VLOOKUP(A21,[2]ShobizMGMReportResults!$E:$L,8,FALSE)</f>
        <v>0</v>
      </c>
      <c r="D21" s="8">
        <f>VLOOKUP(A21,[2]ShobizMGMReportResults!$E:$S,9,FALSE)</f>
        <v>0</v>
      </c>
      <c r="E21" s="8">
        <v>0</v>
      </c>
      <c r="F21" s="9">
        <f t="shared" si="0"/>
        <v>0</v>
      </c>
      <c r="G21" s="9">
        <f t="shared" si="1"/>
        <v>0</v>
      </c>
      <c r="H21" s="8" t="b">
        <f t="shared" si="2"/>
        <v>1</v>
      </c>
      <c r="I21" s="15"/>
    </row>
    <row r="22" hidden="1" spans="1:9">
      <c r="A22" s="7" t="s">
        <v>31</v>
      </c>
      <c r="B22" s="8">
        <f>VLOOKUP(A22,'[1]MGM Report'!$D:$K,8,FALSE)</f>
        <v>1187782</v>
      </c>
      <c r="C22" s="8">
        <f>VLOOKUP(A22,[2]ShobizMGMReportResults!$E:$L,8,FALSE)</f>
        <v>1181830</v>
      </c>
      <c r="D22" s="8">
        <f>VLOOKUP(A22,[2]ShobizMGMReportResults!$E:$S,9,FALSE)</f>
        <v>5952</v>
      </c>
      <c r="E22" s="8">
        <v>0</v>
      </c>
      <c r="F22" s="9">
        <f t="shared" si="0"/>
        <v>1187782</v>
      </c>
      <c r="G22" s="9">
        <f t="shared" si="1"/>
        <v>0</v>
      </c>
      <c r="H22" s="8" t="b">
        <f t="shared" si="2"/>
        <v>1</v>
      </c>
      <c r="I22" s="15"/>
    </row>
    <row r="23" hidden="1" spans="1:9">
      <c r="A23" s="7" t="s">
        <v>32</v>
      </c>
      <c r="B23" s="8">
        <f>VLOOKUP(A23,'[1]MGM Report'!$D:$K,8,FALSE)</f>
        <v>650000</v>
      </c>
      <c r="C23" s="8">
        <f>VLOOKUP(A23,[2]ShobizMGMReportResults!$E:$L,8,FALSE)</f>
        <v>650000</v>
      </c>
      <c r="D23" s="8">
        <f>VLOOKUP(A23,[2]ShobizMGMReportResults!$E:$S,9,FALSE)</f>
        <v>0</v>
      </c>
      <c r="E23" s="8">
        <v>0</v>
      </c>
      <c r="F23" s="9">
        <f t="shared" si="0"/>
        <v>650000</v>
      </c>
      <c r="G23" s="9">
        <f t="shared" si="1"/>
        <v>0</v>
      </c>
      <c r="H23" s="8" t="b">
        <f t="shared" si="2"/>
        <v>1</v>
      </c>
      <c r="I23" s="15"/>
    </row>
    <row r="24" hidden="1" spans="1:9">
      <c r="A24" s="7" t="s">
        <v>33</v>
      </c>
      <c r="B24" s="8">
        <f>VLOOKUP(A24,'[1]MGM Report'!$D:$K,8,FALSE)</f>
        <v>5758</v>
      </c>
      <c r="C24" s="8">
        <f>VLOOKUP(A24,[2]ShobizMGMReportResults!$E:$L,8,FALSE)</f>
        <v>0</v>
      </c>
      <c r="D24" s="8">
        <f>VLOOKUP(A24,[2]ShobizMGMReportResults!$E:$S,9,FALSE)</f>
        <v>5758</v>
      </c>
      <c r="E24" s="8">
        <v>0</v>
      </c>
      <c r="F24" s="9">
        <f t="shared" si="0"/>
        <v>5758</v>
      </c>
      <c r="G24" s="9">
        <f t="shared" si="1"/>
        <v>0</v>
      </c>
      <c r="H24" s="8" t="b">
        <f t="shared" si="2"/>
        <v>1</v>
      </c>
      <c r="I24" s="15"/>
    </row>
    <row r="25" hidden="1" spans="1:9">
      <c r="A25" s="7" t="s">
        <v>34</v>
      </c>
      <c r="B25" s="8">
        <f>VLOOKUP(A25,'[1]MGM Report'!$D:$K,8,FALSE)</f>
        <v>1117962</v>
      </c>
      <c r="C25" s="8">
        <f>VLOOKUP(A25,[2]ShobizMGMReportResults!$E:$L,8,FALSE)</f>
        <v>1117050</v>
      </c>
      <c r="D25" s="8">
        <f>VLOOKUP(A25,[2]ShobizMGMReportResults!$E:$S,9,FALSE)</f>
        <v>912</v>
      </c>
      <c r="E25" s="8">
        <v>0</v>
      </c>
      <c r="F25" s="9">
        <f t="shared" si="0"/>
        <v>1117962</v>
      </c>
      <c r="G25" s="9">
        <f t="shared" si="1"/>
        <v>0</v>
      </c>
      <c r="H25" s="8" t="b">
        <f t="shared" si="2"/>
        <v>1</v>
      </c>
      <c r="I25" s="15"/>
    </row>
    <row r="26" hidden="1" spans="1:9">
      <c r="A26" s="7" t="s">
        <v>35</v>
      </c>
      <c r="B26" s="8">
        <f>VLOOKUP(A26,'[1]MGM Report'!$D:$K,8,FALSE)</f>
        <v>328729.78</v>
      </c>
      <c r="C26" s="8">
        <f>VLOOKUP(A26,[2]ShobizMGMReportResults!$E:$L,8,FALSE)</f>
        <v>321788.78</v>
      </c>
      <c r="D26" s="8">
        <f>VLOOKUP(A26,[2]ShobizMGMReportResults!$E:$S,9,FALSE)</f>
        <v>6941</v>
      </c>
      <c r="E26" s="8">
        <v>0</v>
      </c>
      <c r="F26" s="9">
        <f t="shared" si="0"/>
        <v>328729.78</v>
      </c>
      <c r="G26" s="9">
        <f t="shared" si="1"/>
        <v>0</v>
      </c>
      <c r="H26" s="8" t="b">
        <f t="shared" si="2"/>
        <v>1</v>
      </c>
      <c r="I26" s="15"/>
    </row>
    <row r="27" hidden="1" spans="1:9">
      <c r="A27" s="7" t="s">
        <v>36</v>
      </c>
      <c r="B27" s="8">
        <f>VLOOKUP(A27,'[1]MGM Report'!$D:$K,8,FALSE)</f>
        <v>0</v>
      </c>
      <c r="C27" s="8">
        <f>VLOOKUP(A27,[2]ShobizMGMReportResults!$E:$L,8,FALSE)</f>
        <v>0</v>
      </c>
      <c r="D27" s="8">
        <f>VLOOKUP(A27,[2]ShobizMGMReportResults!$E:$S,9,FALSE)</f>
        <v>0</v>
      </c>
      <c r="E27" s="8">
        <v>0</v>
      </c>
      <c r="F27" s="9">
        <f t="shared" si="0"/>
        <v>0</v>
      </c>
      <c r="G27" s="9">
        <f t="shared" si="1"/>
        <v>0</v>
      </c>
      <c r="H27" s="8" t="b">
        <f t="shared" si="2"/>
        <v>1</v>
      </c>
      <c r="I27" s="15"/>
    </row>
    <row r="28" hidden="1" spans="1:9">
      <c r="A28" s="7" t="s">
        <v>37</v>
      </c>
      <c r="B28" s="8">
        <f>VLOOKUP(A28,'[1]MGM Report'!$D:$K,8,FALSE)</f>
        <v>0</v>
      </c>
      <c r="C28" s="8">
        <f>VLOOKUP(A28,[2]ShobizMGMReportResults!$E:$L,8,FALSE)</f>
        <v>0</v>
      </c>
      <c r="D28" s="8">
        <f>VLOOKUP(A28,[2]ShobizMGMReportResults!$E:$S,9,FALSE)</f>
        <v>0</v>
      </c>
      <c r="E28" s="8">
        <v>0</v>
      </c>
      <c r="F28" s="9">
        <f t="shared" si="0"/>
        <v>0</v>
      </c>
      <c r="G28" s="9">
        <f t="shared" si="1"/>
        <v>0</v>
      </c>
      <c r="H28" s="8" t="b">
        <f t="shared" si="2"/>
        <v>1</v>
      </c>
      <c r="I28" s="15"/>
    </row>
    <row r="29" hidden="1" spans="1:9">
      <c r="A29" s="7" t="s">
        <v>38</v>
      </c>
      <c r="B29" s="8">
        <f>VLOOKUP(A29,'[1]MGM Report'!$D:$K,8,FALSE)</f>
        <v>191318</v>
      </c>
      <c r="C29" s="8">
        <f>VLOOKUP(A29,[2]ShobizMGMReportResults!$E:$L,8,FALSE)</f>
        <v>191318</v>
      </c>
      <c r="D29" s="8">
        <f>VLOOKUP(A29,[2]ShobizMGMReportResults!$E:$S,9,FALSE)</f>
        <v>0</v>
      </c>
      <c r="E29" s="8">
        <v>0</v>
      </c>
      <c r="F29" s="9">
        <f t="shared" si="0"/>
        <v>191318</v>
      </c>
      <c r="G29" s="9">
        <f t="shared" si="1"/>
        <v>0</v>
      </c>
      <c r="H29" s="8" t="b">
        <f t="shared" si="2"/>
        <v>1</v>
      </c>
      <c r="I29" s="15"/>
    </row>
    <row r="30" hidden="1" spans="1:9">
      <c r="A30" s="7" t="s">
        <v>39</v>
      </c>
      <c r="B30" s="8">
        <f>VLOOKUP(A30,'[1]MGM Report'!$D:$K,8,FALSE)</f>
        <v>261201</v>
      </c>
      <c r="C30" s="8">
        <f>VLOOKUP(A30,[2]ShobizMGMReportResults!$E:$L,8,FALSE)</f>
        <v>261201</v>
      </c>
      <c r="D30" s="8">
        <f>VLOOKUP(A30,[2]ShobizMGMReportResults!$E:$S,9,FALSE)</f>
        <v>0</v>
      </c>
      <c r="E30" s="8">
        <v>0</v>
      </c>
      <c r="F30" s="9">
        <f t="shared" si="0"/>
        <v>261201</v>
      </c>
      <c r="G30" s="9">
        <f t="shared" si="1"/>
        <v>0</v>
      </c>
      <c r="H30" s="8" t="b">
        <f t="shared" si="2"/>
        <v>1</v>
      </c>
      <c r="I30" s="15"/>
    </row>
    <row r="31" hidden="1" spans="1:9">
      <c r="A31" s="7" t="s">
        <v>40</v>
      </c>
      <c r="B31" s="8">
        <f>VLOOKUP(A31,'[1]MGM Report'!$D:$K,8,FALSE)</f>
        <v>54100</v>
      </c>
      <c r="C31" s="8">
        <f>VLOOKUP(A31,[2]ShobizMGMReportResults!$E:$L,8,FALSE)</f>
        <v>54100</v>
      </c>
      <c r="D31" s="8">
        <f>VLOOKUP(A31,[2]ShobizMGMReportResults!$E:$S,9,FALSE)</f>
        <v>0</v>
      </c>
      <c r="E31" s="8">
        <v>0</v>
      </c>
      <c r="F31" s="9">
        <f t="shared" si="0"/>
        <v>54100</v>
      </c>
      <c r="G31" s="9">
        <f t="shared" si="1"/>
        <v>0</v>
      </c>
      <c r="H31" s="8" t="b">
        <f t="shared" si="2"/>
        <v>1</v>
      </c>
      <c r="I31" s="15"/>
    </row>
    <row r="32" hidden="1" spans="1:9">
      <c r="A32" s="7" t="s">
        <v>41</v>
      </c>
      <c r="B32" s="8">
        <f>VLOOKUP(A32,'[1]MGM Report'!$D:$K,8,FALSE)</f>
        <v>0</v>
      </c>
      <c r="C32" s="8">
        <f>VLOOKUP(A32,[2]ShobizMGMReportResults!$E:$L,8,FALSE)</f>
        <v>0</v>
      </c>
      <c r="D32" s="8">
        <f>VLOOKUP(A32,[2]ShobizMGMReportResults!$E:$S,9,FALSE)</f>
        <v>0</v>
      </c>
      <c r="E32" s="8">
        <v>0</v>
      </c>
      <c r="F32" s="9">
        <f t="shared" si="0"/>
        <v>0</v>
      </c>
      <c r="G32" s="9">
        <f t="shared" si="1"/>
        <v>0</v>
      </c>
      <c r="H32" s="8" t="b">
        <f t="shared" si="2"/>
        <v>1</v>
      </c>
      <c r="I32" s="15"/>
    </row>
    <row r="33" hidden="1" spans="1:9">
      <c r="A33" s="7" t="s">
        <v>42</v>
      </c>
      <c r="B33" s="8">
        <f>VLOOKUP(A33,'[1]MGM Report'!$D:$K,8,FALSE)</f>
        <v>0</v>
      </c>
      <c r="C33" s="8">
        <f>VLOOKUP(A33,[2]ShobizMGMReportResults!$E:$L,8,FALSE)</f>
        <v>0</v>
      </c>
      <c r="D33" s="8">
        <f>VLOOKUP(A33,[2]ShobizMGMReportResults!$E:$S,9,FALSE)</f>
        <v>0</v>
      </c>
      <c r="E33" s="8">
        <v>0</v>
      </c>
      <c r="F33" s="9">
        <f t="shared" si="0"/>
        <v>0</v>
      </c>
      <c r="G33" s="9">
        <f t="shared" si="1"/>
        <v>0</v>
      </c>
      <c r="H33" s="8" t="b">
        <f t="shared" si="2"/>
        <v>1</v>
      </c>
      <c r="I33" s="15"/>
    </row>
    <row r="34" hidden="1" spans="1:9">
      <c r="A34" s="7" t="s">
        <v>43</v>
      </c>
      <c r="B34" s="8">
        <f>VLOOKUP(A34,'[1]MGM Report'!$D:$K,8,FALSE)</f>
        <v>0</v>
      </c>
      <c r="C34" s="8">
        <f>VLOOKUP(A34,[2]ShobizMGMReportResults!$E:$L,8,FALSE)</f>
        <v>0</v>
      </c>
      <c r="D34" s="8">
        <f>VLOOKUP(A34,[2]ShobizMGMReportResults!$E:$S,9,FALSE)</f>
        <v>0</v>
      </c>
      <c r="E34" s="8">
        <v>0</v>
      </c>
      <c r="F34" s="9">
        <f t="shared" si="0"/>
        <v>0</v>
      </c>
      <c r="G34" s="9">
        <f t="shared" si="1"/>
        <v>0</v>
      </c>
      <c r="H34" s="8" t="b">
        <f t="shared" si="2"/>
        <v>1</v>
      </c>
      <c r="I34" s="15"/>
    </row>
    <row r="35" hidden="1" spans="1:9">
      <c r="A35" s="7" t="s">
        <v>44</v>
      </c>
      <c r="B35" s="8">
        <f>VLOOKUP(A35,'[1]MGM Report'!$D:$K,8,FALSE)</f>
        <v>0</v>
      </c>
      <c r="C35" s="8">
        <f>VLOOKUP(A35,[2]ShobizMGMReportResults!$E:$L,8,FALSE)</f>
        <v>0</v>
      </c>
      <c r="D35" s="8">
        <f>VLOOKUP(A35,[2]ShobizMGMReportResults!$E:$S,9,FALSE)</f>
        <v>0</v>
      </c>
      <c r="E35" s="8">
        <v>0</v>
      </c>
      <c r="F35" s="9">
        <f t="shared" si="0"/>
        <v>0</v>
      </c>
      <c r="G35" s="9">
        <f t="shared" si="1"/>
        <v>0</v>
      </c>
      <c r="H35" s="8" t="b">
        <f t="shared" si="2"/>
        <v>1</v>
      </c>
      <c r="I35" s="15"/>
    </row>
    <row r="36" hidden="1" spans="1:9">
      <c r="A36" s="7" t="s">
        <v>45</v>
      </c>
      <c r="B36" s="8">
        <f>VLOOKUP(A36,'[1]MGM Report'!$D:$K,8,FALSE)</f>
        <v>0</v>
      </c>
      <c r="C36" s="8">
        <f>VLOOKUP(A36,[2]ShobizMGMReportResults!$E:$L,8,FALSE)</f>
        <v>0</v>
      </c>
      <c r="D36" s="8">
        <f>VLOOKUP(A36,[2]ShobizMGMReportResults!$E:$S,9,FALSE)</f>
        <v>0</v>
      </c>
      <c r="E36" s="8">
        <v>0</v>
      </c>
      <c r="F36" s="9">
        <f t="shared" si="0"/>
        <v>0</v>
      </c>
      <c r="G36" s="9">
        <f t="shared" si="1"/>
        <v>0</v>
      </c>
      <c r="H36" s="8" t="b">
        <f t="shared" si="2"/>
        <v>1</v>
      </c>
      <c r="I36" s="15"/>
    </row>
    <row r="37" hidden="1" spans="1:9">
      <c r="A37" s="7" t="s">
        <v>46</v>
      </c>
      <c r="B37" s="8">
        <f>VLOOKUP(A37,'[1]MGM Report'!$D:$K,8,FALSE)</f>
        <v>0</v>
      </c>
      <c r="C37" s="8">
        <f>VLOOKUP(A37,[2]ShobizMGMReportResults!$E:$L,8,FALSE)</f>
        <v>0</v>
      </c>
      <c r="D37" s="8">
        <f>VLOOKUP(A37,[2]ShobizMGMReportResults!$E:$S,9,FALSE)</f>
        <v>0</v>
      </c>
      <c r="E37" s="8">
        <v>0</v>
      </c>
      <c r="F37" s="9">
        <f t="shared" si="0"/>
        <v>0</v>
      </c>
      <c r="G37" s="9">
        <f t="shared" si="1"/>
        <v>0</v>
      </c>
      <c r="H37" s="8" t="b">
        <f t="shared" si="2"/>
        <v>1</v>
      </c>
      <c r="I37" s="15"/>
    </row>
    <row r="38" hidden="1" spans="1:9">
      <c r="A38" s="7" t="s">
        <v>47</v>
      </c>
      <c r="B38" s="8">
        <f>VLOOKUP(A38,'[1]MGM Report'!$D:$K,8,FALSE)</f>
        <v>263100</v>
      </c>
      <c r="C38" s="8">
        <f>VLOOKUP(A38,[2]ShobizMGMReportResults!$E:$L,8,FALSE)</f>
        <v>263100</v>
      </c>
      <c r="D38" s="8">
        <f>VLOOKUP(A38,[2]ShobizMGMReportResults!$E:$S,9,FALSE)</f>
        <v>0</v>
      </c>
      <c r="E38" s="8">
        <v>0</v>
      </c>
      <c r="F38" s="9">
        <f t="shared" si="0"/>
        <v>263100</v>
      </c>
      <c r="G38" s="9">
        <f t="shared" si="1"/>
        <v>0</v>
      </c>
      <c r="H38" s="8" t="b">
        <f t="shared" si="2"/>
        <v>1</v>
      </c>
      <c r="I38" s="15"/>
    </row>
    <row r="39" hidden="1" spans="1:9">
      <c r="A39" s="7" t="s">
        <v>48</v>
      </c>
      <c r="B39" s="8">
        <f>VLOOKUP(A39,'[1]MGM Report'!$D:$K,8,FALSE)</f>
        <v>924455</v>
      </c>
      <c r="C39" s="8">
        <f>VLOOKUP(A39,[2]ShobizMGMReportResults!$E:$L,8,FALSE)</f>
        <v>924455</v>
      </c>
      <c r="D39" s="8">
        <f>VLOOKUP(A39,[2]ShobizMGMReportResults!$E:$S,9,FALSE)</f>
        <v>0</v>
      </c>
      <c r="E39" s="8">
        <v>0</v>
      </c>
      <c r="F39" s="9">
        <f t="shared" si="0"/>
        <v>924455</v>
      </c>
      <c r="G39" s="9">
        <f t="shared" si="1"/>
        <v>0</v>
      </c>
      <c r="H39" s="8" t="b">
        <f t="shared" si="2"/>
        <v>1</v>
      </c>
      <c r="I39" s="15"/>
    </row>
    <row r="40" hidden="1" spans="1:9">
      <c r="A40" s="7" t="s">
        <v>49</v>
      </c>
      <c r="B40" s="8">
        <f>VLOOKUP(A40,'[1]MGM Report'!$D:$K,8,FALSE)</f>
        <v>0</v>
      </c>
      <c r="C40" s="8">
        <f>VLOOKUP(A40,[2]ShobizMGMReportResults!$E:$L,8,FALSE)</f>
        <v>0</v>
      </c>
      <c r="D40" s="8">
        <f>VLOOKUP(A40,[2]ShobizMGMReportResults!$E:$S,9,FALSE)</f>
        <v>0</v>
      </c>
      <c r="E40" s="8">
        <v>0</v>
      </c>
      <c r="F40" s="9">
        <f t="shared" si="0"/>
        <v>0</v>
      </c>
      <c r="G40" s="9">
        <f t="shared" si="1"/>
        <v>0</v>
      </c>
      <c r="H40" s="8" t="b">
        <f t="shared" si="2"/>
        <v>1</v>
      </c>
      <c r="I40" s="15"/>
    </row>
    <row r="41" hidden="1" spans="1:9">
      <c r="A41" s="7" t="s">
        <v>50</v>
      </c>
      <c r="B41" s="8">
        <f>VLOOKUP(A41,'[1]MGM Report'!$D:$K,8,FALSE)</f>
        <v>227815</v>
      </c>
      <c r="C41" s="8">
        <f>VLOOKUP(A41,[2]ShobizMGMReportResults!$E:$L,8,FALSE)</f>
        <v>227815</v>
      </c>
      <c r="D41" s="8">
        <f>VLOOKUP(A41,[2]ShobizMGMReportResults!$E:$S,9,FALSE)</f>
        <v>0</v>
      </c>
      <c r="E41" s="8">
        <v>0</v>
      </c>
      <c r="F41" s="9">
        <f t="shared" si="0"/>
        <v>227815</v>
      </c>
      <c r="G41" s="9">
        <f t="shared" si="1"/>
        <v>0</v>
      </c>
      <c r="H41" s="8" t="b">
        <f t="shared" si="2"/>
        <v>1</v>
      </c>
      <c r="I41" s="15"/>
    </row>
    <row r="42" hidden="1" spans="1:9">
      <c r="A42" s="7" t="s">
        <v>51</v>
      </c>
      <c r="B42" s="8">
        <f>VLOOKUP(A42,'[1]MGM Report'!$D:$K,8,FALSE)</f>
        <v>126380</v>
      </c>
      <c r="C42" s="8">
        <f>VLOOKUP(A42,[2]ShobizMGMReportResults!$E:$L,8,FALSE)</f>
        <v>126380</v>
      </c>
      <c r="D42" s="8">
        <f>VLOOKUP(A42,[2]ShobizMGMReportResults!$E:$S,9,FALSE)</f>
        <v>0</v>
      </c>
      <c r="E42" s="8">
        <v>0</v>
      </c>
      <c r="F42" s="9">
        <f t="shared" si="0"/>
        <v>126380</v>
      </c>
      <c r="G42" s="9">
        <f t="shared" si="1"/>
        <v>0</v>
      </c>
      <c r="H42" s="8" t="b">
        <f t="shared" si="2"/>
        <v>1</v>
      </c>
      <c r="I42" s="15"/>
    </row>
    <row r="43" hidden="1" spans="1:9">
      <c r="A43" s="7" t="s">
        <v>52</v>
      </c>
      <c r="B43" s="8">
        <f>VLOOKUP(A43,'[1]MGM Report'!$D:$K,8,FALSE)</f>
        <v>0</v>
      </c>
      <c r="C43" s="8">
        <f>VLOOKUP(A43,[2]ShobizMGMReportResults!$E:$L,8,FALSE)</f>
        <v>0</v>
      </c>
      <c r="D43" s="8">
        <f>VLOOKUP(A43,[2]ShobizMGMReportResults!$E:$S,9,FALSE)</f>
        <v>0</v>
      </c>
      <c r="E43" s="8">
        <v>0</v>
      </c>
      <c r="F43" s="9">
        <f t="shared" si="0"/>
        <v>0</v>
      </c>
      <c r="G43" s="9">
        <f t="shared" si="1"/>
        <v>0</v>
      </c>
      <c r="H43" s="8" t="b">
        <f t="shared" si="2"/>
        <v>1</v>
      </c>
      <c r="I43" s="15"/>
    </row>
    <row r="44" hidden="1" spans="1:9">
      <c r="A44" s="7" t="s">
        <v>53</v>
      </c>
      <c r="B44" s="8">
        <f>VLOOKUP(A44,'[1]MGM Report'!$D:$K,8,FALSE)</f>
        <v>306</v>
      </c>
      <c r="C44" s="8">
        <f>VLOOKUP(A44,[2]ShobizMGMReportResults!$E:$L,8,FALSE)</f>
        <v>0</v>
      </c>
      <c r="D44" s="8">
        <f>VLOOKUP(A44,[2]ShobizMGMReportResults!$E:$S,9,FALSE)</f>
        <v>306</v>
      </c>
      <c r="E44" s="8">
        <v>0</v>
      </c>
      <c r="F44" s="9">
        <f t="shared" si="0"/>
        <v>306</v>
      </c>
      <c r="G44" s="9">
        <f t="shared" si="1"/>
        <v>0</v>
      </c>
      <c r="H44" s="8" t="b">
        <f t="shared" si="2"/>
        <v>1</v>
      </c>
      <c r="I44" s="15"/>
    </row>
    <row r="45" hidden="1" spans="1:9">
      <c r="A45" s="7" t="s">
        <v>54</v>
      </c>
      <c r="B45" s="8">
        <f>VLOOKUP(A45,'[1]MGM Report'!$D:$K,8,FALSE)</f>
        <v>585823</v>
      </c>
      <c r="C45" s="8">
        <f>VLOOKUP(A45,[2]ShobizMGMReportResults!$E:$L,8,FALSE)</f>
        <v>585823</v>
      </c>
      <c r="D45" s="8">
        <f>VLOOKUP(A45,[2]ShobizMGMReportResults!$E:$S,9,FALSE)</f>
        <v>0</v>
      </c>
      <c r="E45" s="8">
        <v>0</v>
      </c>
      <c r="F45" s="9">
        <f t="shared" si="0"/>
        <v>585823</v>
      </c>
      <c r="G45" s="9">
        <f t="shared" si="1"/>
        <v>0</v>
      </c>
      <c r="H45" s="8" t="b">
        <f t="shared" si="2"/>
        <v>1</v>
      </c>
      <c r="I45" s="15"/>
    </row>
    <row r="46" hidden="1" spans="1:9">
      <c r="A46" s="7" t="s">
        <v>55</v>
      </c>
      <c r="B46" s="8">
        <f>VLOOKUP(A46,'[1]MGM Report'!$D:$K,8,FALSE)</f>
        <v>141550</v>
      </c>
      <c r="C46" s="8">
        <f>VLOOKUP(A46,[2]ShobizMGMReportResults!$E:$L,8,FALSE)</f>
        <v>141550</v>
      </c>
      <c r="D46" s="8">
        <f>VLOOKUP(A46,[2]ShobizMGMReportResults!$E:$S,9,FALSE)</f>
        <v>0</v>
      </c>
      <c r="E46" s="8">
        <v>0</v>
      </c>
      <c r="F46" s="9">
        <f t="shared" si="0"/>
        <v>141550</v>
      </c>
      <c r="G46" s="9">
        <f t="shared" si="1"/>
        <v>0</v>
      </c>
      <c r="H46" s="8" t="b">
        <f t="shared" si="2"/>
        <v>1</v>
      </c>
      <c r="I46" s="15"/>
    </row>
    <row r="47" hidden="1" spans="1:9">
      <c r="A47" s="7" t="s">
        <v>56</v>
      </c>
      <c r="B47" s="8">
        <f>VLOOKUP(A47,'[1]MGM Report'!$D:$K,8,FALSE)</f>
        <v>59695</v>
      </c>
      <c r="C47" s="8">
        <f>VLOOKUP(A47,[2]ShobizMGMReportResults!$E:$L,8,FALSE)</f>
        <v>41100</v>
      </c>
      <c r="D47" s="8">
        <f>VLOOKUP(A47,[2]ShobizMGMReportResults!$E:$S,9,FALSE)</f>
        <v>18595</v>
      </c>
      <c r="E47" s="8">
        <v>0</v>
      </c>
      <c r="F47" s="9">
        <f t="shared" si="0"/>
        <v>59695</v>
      </c>
      <c r="G47" s="9">
        <f t="shared" si="1"/>
        <v>0</v>
      </c>
      <c r="H47" s="8" t="b">
        <f t="shared" si="2"/>
        <v>1</v>
      </c>
      <c r="I47" s="15"/>
    </row>
    <row r="48" hidden="1" spans="1:9">
      <c r="A48" s="7" t="s">
        <v>57</v>
      </c>
      <c r="B48" s="8">
        <f>VLOOKUP(A48,'[1]MGM Report'!$D:$K,8,FALSE)</f>
        <v>6000</v>
      </c>
      <c r="C48" s="8">
        <f>VLOOKUP(A48,[2]ShobizMGMReportResults!$E:$L,8,FALSE)</f>
        <v>6000</v>
      </c>
      <c r="D48" s="8">
        <f>VLOOKUP(A48,[2]ShobizMGMReportResults!$E:$S,9,FALSE)</f>
        <v>0</v>
      </c>
      <c r="E48" s="8">
        <v>0</v>
      </c>
      <c r="F48" s="9">
        <f t="shared" si="0"/>
        <v>6000</v>
      </c>
      <c r="G48" s="9">
        <f t="shared" si="1"/>
        <v>0</v>
      </c>
      <c r="H48" s="8" t="b">
        <f t="shared" si="2"/>
        <v>1</v>
      </c>
      <c r="I48" s="15"/>
    </row>
    <row r="49" ht="43.5" spans="1:9">
      <c r="A49" s="10" t="s">
        <v>58</v>
      </c>
      <c r="B49" s="11">
        <f>VLOOKUP(A49,'[1]MGM Report'!$D:$K,8,FALSE)</f>
        <v>1204302.48</v>
      </c>
      <c r="C49" s="11">
        <f>VLOOKUP(A49,[2]ShobizMGMReportResults!$E:$L,8,FALSE)</f>
        <v>1207064.04</v>
      </c>
      <c r="D49" s="11">
        <f>VLOOKUP(A49,[2]ShobizMGMReportResults!$E:$S,9,FALSE)</f>
        <v>15153.44</v>
      </c>
      <c r="E49" s="11">
        <v>0</v>
      </c>
      <c r="F49" s="12">
        <f t="shared" si="0"/>
        <v>1222217.48</v>
      </c>
      <c r="G49" s="12">
        <f>B49-F49</f>
        <v>-17915</v>
      </c>
      <c r="H49" s="11" t="b">
        <f t="shared" si="2"/>
        <v>0</v>
      </c>
      <c r="I49" s="17" t="s">
        <v>59</v>
      </c>
    </row>
    <row r="50" hidden="1" spans="1:9">
      <c r="A50" s="7" t="s">
        <v>60</v>
      </c>
      <c r="B50" s="8">
        <f>VLOOKUP(A50,'[1]MGM Report'!$D:$K,8,FALSE)</f>
        <v>0</v>
      </c>
      <c r="C50" s="8">
        <v>0</v>
      </c>
      <c r="D50" s="8">
        <v>0</v>
      </c>
      <c r="E50" s="8">
        <v>0</v>
      </c>
      <c r="F50" s="9">
        <f t="shared" si="0"/>
        <v>0</v>
      </c>
      <c r="G50" s="9">
        <f t="shared" si="1"/>
        <v>0</v>
      </c>
      <c r="H50" s="8" t="b">
        <f t="shared" si="2"/>
        <v>1</v>
      </c>
      <c r="I50" s="15"/>
    </row>
    <row r="51" hidden="1" spans="1:9">
      <c r="A51" s="7" t="s">
        <v>61</v>
      </c>
      <c r="B51" s="8">
        <f>VLOOKUP(A51,'[1]MGM Report'!$D:$K,8,FALSE)</f>
        <v>3453.33</v>
      </c>
      <c r="C51" s="8">
        <f>VLOOKUP(A51,[2]ShobizMGMReportResults!$E:$L,8,FALSE)</f>
        <v>0</v>
      </c>
      <c r="D51" s="8">
        <f>VLOOKUP(A51,[2]ShobizMGMReportResults!$E:$S,9,FALSE)</f>
        <v>3453.33</v>
      </c>
      <c r="E51" s="8">
        <v>0</v>
      </c>
      <c r="F51" s="9">
        <f t="shared" si="0"/>
        <v>3453.33</v>
      </c>
      <c r="G51" s="9">
        <f t="shared" si="1"/>
        <v>0</v>
      </c>
      <c r="H51" s="8" t="b">
        <f t="shared" si="2"/>
        <v>1</v>
      </c>
      <c r="I51" s="15"/>
    </row>
    <row r="52" hidden="1" spans="1:9">
      <c r="A52" s="7" t="s">
        <v>62</v>
      </c>
      <c r="B52" s="8">
        <f>VLOOKUP(A52,'[1]MGM Report'!$D:$K,8,FALSE)</f>
        <v>9728.8</v>
      </c>
      <c r="C52" s="8">
        <f>VLOOKUP(A52,[2]ShobizMGMReportResults!$E:$L,8,FALSE)</f>
        <v>0</v>
      </c>
      <c r="D52" s="8">
        <f>VLOOKUP(A52,[2]ShobizMGMReportResults!$E:$S,9,FALSE)</f>
        <v>9728.8</v>
      </c>
      <c r="E52" s="8">
        <v>0</v>
      </c>
      <c r="F52" s="9">
        <f t="shared" si="0"/>
        <v>9728.8</v>
      </c>
      <c r="G52" s="9">
        <f t="shared" si="1"/>
        <v>0</v>
      </c>
      <c r="H52" s="8" t="b">
        <f t="shared" si="2"/>
        <v>1</v>
      </c>
      <c r="I52" s="15"/>
    </row>
    <row r="53" hidden="1" spans="1:9">
      <c r="A53" s="7" t="s">
        <v>63</v>
      </c>
      <c r="B53" s="8">
        <f>VLOOKUP(A53,'[1]MGM Report'!$D:$K,8,FALSE)</f>
        <v>1120374</v>
      </c>
      <c r="C53" s="8">
        <f>VLOOKUP(A53,[2]ShobizMGMReportResults!$E:$L,8,FALSE)</f>
        <v>1110460</v>
      </c>
      <c r="D53" s="8">
        <f>VLOOKUP(A53,[2]ShobizMGMReportResults!$E:$S,9,FALSE)</f>
        <v>9914</v>
      </c>
      <c r="E53" s="8">
        <v>0</v>
      </c>
      <c r="F53" s="9">
        <f t="shared" si="0"/>
        <v>1120374</v>
      </c>
      <c r="G53" s="9">
        <f t="shared" si="1"/>
        <v>0</v>
      </c>
      <c r="H53" s="8" t="b">
        <f t="shared" si="2"/>
        <v>1</v>
      </c>
      <c r="I53" s="15"/>
    </row>
    <row r="54" hidden="1" spans="1:9">
      <c r="A54" s="7" t="s">
        <v>64</v>
      </c>
      <c r="B54" s="8">
        <f>VLOOKUP(A54,'[1]MGM Report'!$D:$K,8,FALSE)</f>
        <v>496966.43</v>
      </c>
      <c r="C54" s="8">
        <f>VLOOKUP(A54,[2]ShobizMGMReportResults!$E:$L,8,FALSE)</f>
        <v>475550</v>
      </c>
      <c r="D54" s="8">
        <f>VLOOKUP(A54,[2]ShobizMGMReportResults!$E:$S,9,FALSE)</f>
        <v>21416.43</v>
      </c>
      <c r="E54" s="8">
        <v>0</v>
      </c>
      <c r="F54" s="9">
        <f t="shared" si="0"/>
        <v>496966.43</v>
      </c>
      <c r="G54" s="9">
        <f t="shared" si="1"/>
        <v>0</v>
      </c>
      <c r="H54" s="8" t="b">
        <f t="shared" si="2"/>
        <v>1</v>
      </c>
      <c r="I54" s="15"/>
    </row>
    <row r="55" hidden="1" spans="1:9">
      <c r="A55" s="7" t="s">
        <v>65</v>
      </c>
      <c r="B55" s="8">
        <f>VLOOKUP(A55,'[1]MGM Report'!$D:$K,8,FALSE)</f>
        <v>258689.94</v>
      </c>
      <c r="C55" s="8">
        <f>VLOOKUP(A55,[2]ShobizMGMReportResults!$E:$L,8,FALSE)</f>
        <v>236500</v>
      </c>
      <c r="D55" s="8">
        <f>VLOOKUP(A55,[2]ShobizMGMReportResults!$E:$S,9,FALSE)</f>
        <v>22189.94</v>
      </c>
      <c r="E55" s="8">
        <v>0</v>
      </c>
      <c r="F55" s="9">
        <f t="shared" si="0"/>
        <v>258689.94</v>
      </c>
      <c r="G55" s="9">
        <f t="shared" si="1"/>
        <v>0</v>
      </c>
      <c r="H55" s="8" t="b">
        <f t="shared" si="2"/>
        <v>1</v>
      </c>
      <c r="I55" s="15"/>
    </row>
    <row r="56" hidden="1" spans="1:9">
      <c r="A56" s="7" t="s">
        <v>66</v>
      </c>
      <c r="B56" s="8">
        <f>VLOOKUP(A56,'[1]MGM Report'!$D:$K,8,FALSE)</f>
        <v>43200</v>
      </c>
      <c r="C56" s="8">
        <f>VLOOKUP(A56,[2]ShobizMGMReportResults!$E:$L,8,FALSE)</f>
        <v>43200</v>
      </c>
      <c r="D56" s="8">
        <f>VLOOKUP(A56,[2]ShobizMGMReportResults!$E:$S,9,FALSE)</f>
        <v>0</v>
      </c>
      <c r="E56" s="8">
        <v>0</v>
      </c>
      <c r="F56" s="9">
        <f t="shared" si="0"/>
        <v>43200</v>
      </c>
      <c r="G56" s="9">
        <f t="shared" si="1"/>
        <v>0</v>
      </c>
      <c r="H56" s="8" t="b">
        <f t="shared" si="2"/>
        <v>1</v>
      </c>
      <c r="I56" s="15"/>
    </row>
    <row r="57" hidden="1" spans="1:9">
      <c r="A57" s="7" t="s">
        <v>67</v>
      </c>
      <c r="B57" s="8">
        <f>VLOOKUP(A57,'[1]MGM Report'!$D:$K,8,FALSE)</f>
        <v>0</v>
      </c>
      <c r="C57" s="8">
        <f>VLOOKUP(A57,[2]ShobizMGMReportResults!$E:$L,8,FALSE)</f>
        <v>0</v>
      </c>
      <c r="D57" s="8">
        <f>VLOOKUP(A57,[2]ShobizMGMReportResults!$E:$S,9,FALSE)</f>
        <v>0</v>
      </c>
      <c r="E57" s="8">
        <v>0</v>
      </c>
      <c r="F57" s="9">
        <f t="shared" si="0"/>
        <v>0</v>
      </c>
      <c r="G57" s="9">
        <f t="shared" si="1"/>
        <v>0</v>
      </c>
      <c r="H57" s="8" t="b">
        <f t="shared" si="2"/>
        <v>1</v>
      </c>
      <c r="I57" s="15"/>
    </row>
    <row r="58" hidden="1" spans="1:9">
      <c r="A58" s="7" t="s">
        <v>68</v>
      </c>
      <c r="B58" s="8">
        <f>VLOOKUP(A58,'[1]MGM Report'!$D:$K,8,FALSE)</f>
        <v>0</v>
      </c>
      <c r="C58" s="8">
        <f>VLOOKUP(A58,[2]ShobizMGMReportResults!$E:$L,8,FALSE)</f>
        <v>0</v>
      </c>
      <c r="D58" s="8">
        <f>VLOOKUP(A58,[2]ShobizMGMReportResults!$E:$S,9,FALSE)</f>
        <v>0</v>
      </c>
      <c r="E58" s="8">
        <v>0</v>
      </c>
      <c r="F58" s="9">
        <f t="shared" si="0"/>
        <v>0</v>
      </c>
      <c r="G58" s="9">
        <f t="shared" si="1"/>
        <v>0</v>
      </c>
      <c r="H58" s="8" t="b">
        <f t="shared" si="2"/>
        <v>1</v>
      </c>
      <c r="I58" s="15"/>
    </row>
    <row r="59" hidden="1" spans="1:9">
      <c r="A59" s="7" t="s">
        <v>69</v>
      </c>
      <c r="B59" s="8">
        <f>VLOOKUP(A59,'[1]MGM Report'!$D:$K,8,FALSE)</f>
        <v>32000</v>
      </c>
      <c r="C59" s="8">
        <f>VLOOKUP(A59,[2]ShobizMGMReportResults!$E:$L,8,FALSE)</f>
        <v>32000</v>
      </c>
      <c r="D59" s="8">
        <f>VLOOKUP(A59,[2]ShobizMGMReportResults!$E:$S,9,FALSE)</f>
        <v>0</v>
      </c>
      <c r="E59" s="8">
        <v>0</v>
      </c>
      <c r="F59" s="9">
        <f t="shared" si="0"/>
        <v>32000</v>
      </c>
      <c r="G59" s="9">
        <f t="shared" si="1"/>
        <v>0</v>
      </c>
      <c r="H59" s="8" t="b">
        <f t="shared" si="2"/>
        <v>1</v>
      </c>
      <c r="I59" s="15"/>
    </row>
    <row r="60" hidden="1" spans="1:9">
      <c r="A60" s="7" t="s">
        <v>70</v>
      </c>
      <c r="B60" s="8">
        <f>VLOOKUP(A60,'[1]MGM Report'!$D:$K,8,FALSE)</f>
        <v>3500</v>
      </c>
      <c r="C60" s="8">
        <f>VLOOKUP(A60,[2]ShobizMGMReportResults!$E:$L,8,FALSE)</f>
        <v>3500</v>
      </c>
      <c r="D60" s="8">
        <f>VLOOKUP(A60,[2]ShobizMGMReportResults!$E:$S,9,FALSE)</f>
        <v>0</v>
      </c>
      <c r="E60" s="8">
        <v>0</v>
      </c>
      <c r="F60" s="9">
        <f t="shared" si="0"/>
        <v>3500</v>
      </c>
      <c r="G60" s="9">
        <f t="shared" si="1"/>
        <v>0</v>
      </c>
      <c r="H60" s="8" t="b">
        <f t="shared" si="2"/>
        <v>1</v>
      </c>
      <c r="I60" s="15"/>
    </row>
    <row r="61" hidden="1" spans="1:9">
      <c r="A61" s="7" t="s">
        <v>71</v>
      </c>
      <c r="B61" s="8">
        <f>VLOOKUP(A61,'[1]MGM Report'!$D:$K,8,FALSE)</f>
        <v>49700</v>
      </c>
      <c r="C61" s="8">
        <f>VLOOKUP(A61,[2]ShobizMGMReportResults!$E:$L,8,FALSE)</f>
        <v>49700</v>
      </c>
      <c r="D61" s="8">
        <f>VLOOKUP(A61,[2]ShobizMGMReportResults!$E:$S,9,FALSE)</f>
        <v>0</v>
      </c>
      <c r="E61" s="8">
        <v>0</v>
      </c>
      <c r="F61" s="9">
        <f t="shared" si="0"/>
        <v>49700</v>
      </c>
      <c r="G61" s="9">
        <f t="shared" si="1"/>
        <v>0</v>
      </c>
      <c r="H61" s="8" t="b">
        <f t="shared" si="2"/>
        <v>1</v>
      </c>
      <c r="I61" s="15"/>
    </row>
    <row r="62" hidden="1" spans="1:9">
      <c r="A62" s="7" t="s">
        <v>72</v>
      </c>
      <c r="B62" s="8">
        <f>VLOOKUP(A62,'[1]MGM Report'!$D:$K,8,FALSE)</f>
        <v>40000</v>
      </c>
      <c r="C62" s="8">
        <f>VLOOKUP(A62,[2]ShobizMGMReportResults!$E:$L,8,FALSE)</f>
        <v>40000</v>
      </c>
      <c r="D62" s="8">
        <f>VLOOKUP(A62,[2]ShobizMGMReportResults!$E:$S,9,FALSE)</f>
        <v>0</v>
      </c>
      <c r="E62" s="8">
        <v>0</v>
      </c>
      <c r="F62" s="9">
        <f t="shared" si="0"/>
        <v>40000</v>
      </c>
      <c r="G62" s="9">
        <f t="shared" si="1"/>
        <v>0</v>
      </c>
      <c r="H62" s="8" t="b">
        <f t="shared" si="2"/>
        <v>1</v>
      </c>
      <c r="I62" s="15"/>
    </row>
    <row r="63" ht="29" spans="1:9">
      <c r="A63" s="10" t="s">
        <v>73</v>
      </c>
      <c r="B63" s="11">
        <f>VLOOKUP(A63,'[1]MGM Report'!$D:$K,8,FALSE)</f>
        <v>156000</v>
      </c>
      <c r="C63" s="11">
        <f>VLOOKUP(A63,[2]ShobizMGMReportResults!$E:$L,8,FALSE)</f>
        <v>11000</v>
      </c>
      <c r="D63" s="11">
        <f>VLOOKUP(A63,[2]ShobizMGMReportResults!$E:$S,9,FALSE)</f>
        <v>0</v>
      </c>
      <c r="E63" s="11">
        <v>0</v>
      </c>
      <c r="F63" s="12">
        <f t="shared" si="0"/>
        <v>11000</v>
      </c>
      <c r="G63" s="12">
        <f>B63-F63</f>
        <v>145000</v>
      </c>
      <c r="H63" s="11" t="b">
        <f t="shared" si="2"/>
        <v>0</v>
      </c>
      <c r="I63" s="17" t="s">
        <v>74</v>
      </c>
    </row>
    <row r="64" spans="1:9">
      <c r="A64" s="10" t="s">
        <v>75</v>
      </c>
      <c r="B64" s="11">
        <f>VLOOKUP(A64,'[1]MGM Report'!$D:$K,8,FALSE)</f>
        <v>6416420.67</v>
      </c>
      <c r="C64" s="11">
        <f>VLOOKUP(A64,[2]ShobizMGMReportResults!$E:$L,8,FALSE)</f>
        <v>6019028.5</v>
      </c>
      <c r="D64" s="11">
        <f>VLOOKUP(A64,[2]ShobizMGMReportResults!$E:$S,9,FALSE)</f>
        <v>345726.17</v>
      </c>
      <c r="E64" s="11">
        <f>VLOOKUP(A64,[3]ShobizPOwithProjectCodeBodyLev!$F:$I,4,FALSE)</f>
        <v>45000</v>
      </c>
      <c r="F64" s="12">
        <f t="shared" si="0"/>
        <v>6409754.67</v>
      </c>
      <c r="G64" s="12">
        <f>B64-F64</f>
        <v>6666</v>
      </c>
      <c r="H64" s="11" t="b">
        <f t="shared" si="2"/>
        <v>0</v>
      </c>
      <c r="I64" s="17" t="s">
        <v>76</v>
      </c>
    </row>
    <row r="65" hidden="1" spans="1:9">
      <c r="A65" s="7" t="s">
        <v>77</v>
      </c>
      <c r="B65" s="8">
        <f>VLOOKUP(A65,'[1]MGM Report'!$D:$K,8,FALSE)</f>
        <v>658382</v>
      </c>
      <c r="C65" s="8">
        <f>VLOOKUP(A65,[2]ShobizMGMReportResults!$E:$L,8,FALSE)</f>
        <v>658382</v>
      </c>
      <c r="D65" s="8">
        <f>VLOOKUP(A65,[2]ShobizMGMReportResults!$E:$S,9,FALSE)</f>
        <v>0</v>
      </c>
      <c r="E65" s="8">
        <v>0</v>
      </c>
      <c r="F65" s="9">
        <f t="shared" si="0"/>
        <v>658382</v>
      </c>
      <c r="G65" s="9">
        <f t="shared" si="1"/>
        <v>0</v>
      </c>
      <c r="H65" s="8" t="b">
        <f t="shared" si="2"/>
        <v>1</v>
      </c>
      <c r="I65" s="15"/>
    </row>
    <row r="66" hidden="1" spans="1:9">
      <c r="A66" s="7" t="s">
        <v>78</v>
      </c>
      <c r="B66" s="8">
        <f>VLOOKUP(A66,'[1]MGM Report'!$D:$K,8,FALSE)</f>
        <v>1100000</v>
      </c>
      <c r="C66" s="8">
        <f>VLOOKUP(A66,[2]ShobizMGMReportResults!$E:$L,8,FALSE)</f>
        <v>1100000</v>
      </c>
      <c r="D66" s="8">
        <f>VLOOKUP(A66,[2]ShobizMGMReportResults!$E:$S,9,FALSE)</f>
        <v>0</v>
      </c>
      <c r="E66" s="8">
        <v>0</v>
      </c>
      <c r="F66" s="9">
        <f t="shared" si="0"/>
        <v>1100000</v>
      </c>
      <c r="G66" s="9">
        <f t="shared" si="1"/>
        <v>0</v>
      </c>
      <c r="H66" s="8" t="b">
        <f t="shared" si="2"/>
        <v>1</v>
      </c>
      <c r="I66" s="15"/>
    </row>
    <row r="67" hidden="1" spans="1:9">
      <c r="A67" s="7" t="s">
        <v>79</v>
      </c>
      <c r="B67" s="8">
        <f>VLOOKUP(A67,'[1]MGM Report'!$D:$K,8,FALSE)</f>
        <v>751830.29</v>
      </c>
      <c r="C67" s="8">
        <f>VLOOKUP(A67,[2]ShobizMGMReportResults!$E:$L,8,FALSE)</f>
        <v>721790.29</v>
      </c>
      <c r="D67" s="8">
        <f>VLOOKUP(A67,[2]ShobizMGMReportResults!$E:$S,9,FALSE)</f>
        <v>30040</v>
      </c>
      <c r="E67" s="8">
        <v>0</v>
      </c>
      <c r="F67" s="9">
        <f t="shared" ref="F67:F130" si="3">SUM(C67:E67)</f>
        <v>751830.29</v>
      </c>
      <c r="G67" s="9">
        <f t="shared" ref="G67:G130" si="4">F67-B67</f>
        <v>0</v>
      </c>
      <c r="H67" s="8" t="b">
        <f t="shared" ref="H67:H130" si="5">F67=B67</f>
        <v>1</v>
      </c>
      <c r="I67" s="15"/>
    </row>
    <row r="68" hidden="1" spans="1:9">
      <c r="A68" s="7" t="s">
        <v>80</v>
      </c>
      <c r="B68" s="8">
        <f>VLOOKUP(A68,'[1]MGM Report'!$D:$K,8,FALSE)</f>
        <v>2793503</v>
      </c>
      <c r="C68" s="8">
        <f>VLOOKUP(A68,[2]ShobizMGMReportResults!$E:$L,8,FALSE)</f>
        <v>2767500</v>
      </c>
      <c r="D68" s="8">
        <f>VLOOKUP(A68,[2]ShobizMGMReportResults!$E:$S,9,FALSE)</f>
        <v>26003</v>
      </c>
      <c r="E68" s="8">
        <v>0</v>
      </c>
      <c r="F68" s="9">
        <f t="shared" si="3"/>
        <v>2793503</v>
      </c>
      <c r="G68" s="9">
        <f t="shared" si="4"/>
        <v>0</v>
      </c>
      <c r="H68" s="8" t="b">
        <f t="shared" si="5"/>
        <v>1</v>
      </c>
      <c r="I68" s="15"/>
    </row>
    <row r="69" spans="1:9">
      <c r="A69" s="10" t="s">
        <v>81</v>
      </c>
      <c r="B69" s="11">
        <f>VLOOKUP(A69,'[1]MGM Report'!$D:$K,8,FALSE)</f>
        <v>1689013.57</v>
      </c>
      <c r="C69" s="11">
        <f>VLOOKUP(A69,[2]ShobizMGMReportResults!$E:$L,8,FALSE)</f>
        <v>1581653.26</v>
      </c>
      <c r="D69" s="11">
        <f>VLOOKUP(A69,[2]ShobizMGMReportResults!$E:$S,9,FALSE)</f>
        <v>87360.31</v>
      </c>
      <c r="E69" s="11">
        <v>0</v>
      </c>
      <c r="F69" s="12">
        <f t="shared" si="3"/>
        <v>1669013.57</v>
      </c>
      <c r="G69" s="12">
        <f>B69-F69</f>
        <v>20000</v>
      </c>
      <c r="H69" s="11" t="b">
        <f t="shared" si="5"/>
        <v>0</v>
      </c>
      <c r="I69" s="17" t="s">
        <v>82</v>
      </c>
    </row>
    <row r="70" hidden="1" spans="1:9">
      <c r="A70" s="7" t="s">
        <v>83</v>
      </c>
      <c r="B70" s="8">
        <f>VLOOKUP(A70,'[1]MGM Report'!$D:$K,8,FALSE)</f>
        <v>608501.24</v>
      </c>
      <c r="C70" s="8">
        <f>VLOOKUP(A70,[2]ShobizMGMReportResults!$E:$L,8,FALSE)</f>
        <v>404442</v>
      </c>
      <c r="D70" s="8">
        <f>VLOOKUP(A70,[2]ShobizMGMReportResults!$E:$S,9,FALSE)</f>
        <v>204059.24</v>
      </c>
      <c r="E70" s="8">
        <v>0</v>
      </c>
      <c r="F70" s="9">
        <f t="shared" si="3"/>
        <v>608501.24</v>
      </c>
      <c r="G70" s="9">
        <f t="shared" si="4"/>
        <v>0</v>
      </c>
      <c r="H70" s="8" t="b">
        <f t="shared" si="5"/>
        <v>1</v>
      </c>
      <c r="I70" s="15"/>
    </row>
    <row r="71" hidden="1" spans="1:9">
      <c r="A71" s="7" t="s">
        <v>84</v>
      </c>
      <c r="B71" s="8">
        <f>VLOOKUP(A71,'[1]MGM Report'!$D:$K,8,FALSE)</f>
        <v>7985</v>
      </c>
      <c r="C71" s="8">
        <f>VLOOKUP(A71,[2]ShobizMGMReportResults!$E:$L,8,FALSE)</f>
        <v>0</v>
      </c>
      <c r="D71" s="8">
        <f>VLOOKUP(A71,[2]ShobizMGMReportResults!$E:$S,9,FALSE)</f>
        <v>7985</v>
      </c>
      <c r="E71" s="8">
        <v>0</v>
      </c>
      <c r="F71" s="9">
        <f t="shared" si="3"/>
        <v>7985</v>
      </c>
      <c r="G71" s="9">
        <f t="shared" si="4"/>
        <v>0</v>
      </c>
      <c r="H71" s="8" t="b">
        <f t="shared" si="5"/>
        <v>1</v>
      </c>
      <c r="I71" s="15"/>
    </row>
    <row r="72" hidden="1" spans="1:9">
      <c r="A72" s="7" t="s">
        <v>85</v>
      </c>
      <c r="B72" s="8">
        <f>VLOOKUP(A72,'[1]MGM Report'!$D:$K,8,FALSE)</f>
        <v>850000</v>
      </c>
      <c r="C72" s="8">
        <f>VLOOKUP(A72,[2]ShobizMGMReportResults!$E:$L,8,FALSE)</f>
        <v>850000</v>
      </c>
      <c r="D72" s="8">
        <f>VLOOKUP(A72,[2]ShobizMGMReportResults!$E:$S,9,FALSE)</f>
        <v>0</v>
      </c>
      <c r="E72" s="8">
        <v>0</v>
      </c>
      <c r="F72" s="9">
        <f t="shared" si="3"/>
        <v>850000</v>
      </c>
      <c r="G72" s="9">
        <f t="shared" si="4"/>
        <v>0</v>
      </c>
      <c r="H72" s="8" t="b">
        <f t="shared" si="5"/>
        <v>1</v>
      </c>
      <c r="I72" s="15"/>
    </row>
    <row r="73" hidden="1" spans="1:9">
      <c r="A73" s="7" t="s">
        <v>86</v>
      </c>
      <c r="B73" s="8">
        <f>VLOOKUP(A73,'[1]MGM Report'!$D:$K,8,FALSE)</f>
        <v>52292</v>
      </c>
      <c r="C73" s="8">
        <f>VLOOKUP(A73,[2]ShobizMGMReportResults!$E:$L,8,FALSE)</f>
        <v>50000</v>
      </c>
      <c r="D73" s="8">
        <f>VLOOKUP(A73,[2]ShobizMGMReportResults!$E:$S,9,FALSE)</f>
        <v>2292</v>
      </c>
      <c r="E73" s="8">
        <v>0</v>
      </c>
      <c r="F73" s="9">
        <f t="shared" si="3"/>
        <v>52292</v>
      </c>
      <c r="G73" s="9">
        <f t="shared" si="4"/>
        <v>0</v>
      </c>
      <c r="H73" s="8" t="b">
        <f t="shared" si="5"/>
        <v>1</v>
      </c>
      <c r="I73" s="15"/>
    </row>
    <row r="74" hidden="1" spans="1:9">
      <c r="A74" s="7" t="s">
        <v>87</v>
      </c>
      <c r="B74" s="8">
        <f>VLOOKUP(A74,'[1]MGM Report'!$D:$K,8,FALSE)</f>
        <v>0</v>
      </c>
      <c r="C74" s="8">
        <f>VLOOKUP(A74,[2]ShobizMGMReportResults!$E:$L,8,FALSE)</f>
        <v>0</v>
      </c>
      <c r="D74" s="8">
        <f>VLOOKUP(A74,[2]ShobizMGMReportResults!$E:$S,9,FALSE)</f>
        <v>0</v>
      </c>
      <c r="E74" s="8">
        <v>0</v>
      </c>
      <c r="F74" s="9">
        <f t="shared" si="3"/>
        <v>0</v>
      </c>
      <c r="G74" s="9">
        <f t="shared" si="4"/>
        <v>0</v>
      </c>
      <c r="H74" s="8" t="b">
        <f t="shared" si="5"/>
        <v>1</v>
      </c>
      <c r="I74" s="15"/>
    </row>
    <row r="75" spans="1:9">
      <c r="A75" s="10" t="s">
        <v>88</v>
      </c>
      <c r="B75" s="11">
        <f>VLOOKUP(A75,'[1]MGM Report'!$D:$K,8,FALSE)</f>
        <v>1181572</v>
      </c>
      <c r="C75" s="11">
        <f>VLOOKUP(A75,[2]ShobizMGMReportResults!$E:$L,8,FALSE)</f>
        <v>1148205</v>
      </c>
      <c r="D75" s="11">
        <f>VLOOKUP(A75,[2]ShobizMGMReportResults!$E:$S,9,FALSE)</f>
        <v>29867</v>
      </c>
      <c r="E75" s="11">
        <v>0</v>
      </c>
      <c r="F75" s="12">
        <f t="shared" si="3"/>
        <v>1178072</v>
      </c>
      <c r="G75" s="12">
        <f>B75-F75</f>
        <v>3500</v>
      </c>
      <c r="H75" s="11" t="b">
        <f t="shared" si="5"/>
        <v>0</v>
      </c>
      <c r="I75" s="17" t="s">
        <v>76</v>
      </c>
    </row>
    <row r="76" hidden="1" spans="1:9">
      <c r="A76" s="7" t="s">
        <v>89</v>
      </c>
      <c r="B76" s="8">
        <f>VLOOKUP(A76,'[1]MGM Report'!$D:$K,8,FALSE)</f>
        <v>6000</v>
      </c>
      <c r="C76" s="8">
        <f>VLOOKUP(A76,[2]ShobizMGMReportResults!$E:$L,8,FALSE)</f>
        <v>6000</v>
      </c>
      <c r="D76" s="8">
        <f>VLOOKUP(A76,[2]ShobizMGMReportResults!$E:$S,9,FALSE)</f>
        <v>0</v>
      </c>
      <c r="E76" s="8">
        <v>0</v>
      </c>
      <c r="F76" s="9">
        <f t="shared" si="3"/>
        <v>6000</v>
      </c>
      <c r="G76" s="9">
        <f t="shared" si="4"/>
        <v>0</v>
      </c>
      <c r="H76" s="8" t="b">
        <f t="shared" si="5"/>
        <v>1</v>
      </c>
      <c r="I76" s="15"/>
    </row>
    <row r="77" hidden="1" spans="1:9">
      <c r="A77" s="7" t="s">
        <v>90</v>
      </c>
      <c r="B77" s="8">
        <f>VLOOKUP(A77,'[1]MGM Report'!$D:$K,8,FALSE)</f>
        <v>26000</v>
      </c>
      <c r="C77" s="8">
        <f>VLOOKUP(A77,[2]ShobizMGMReportResults!$E:$L,8,FALSE)</f>
        <v>26000</v>
      </c>
      <c r="D77" s="8">
        <f>VLOOKUP(A77,[2]ShobizMGMReportResults!$E:$S,9,FALSE)</f>
        <v>0</v>
      </c>
      <c r="E77" s="8">
        <v>0</v>
      </c>
      <c r="F77" s="9">
        <f t="shared" si="3"/>
        <v>26000</v>
      </c>
      <c r="G77" s="9">
        <f t="shared" si="4"/>
        <v>0</v>
      </c>
      <c r="H77" s="8" t="b">
        <f t="shared" si="5"/>
        <v>1</v>
      </c>
      <c r="I77" s="15"/>
    </row>
    <row r="78" hidden="1" spans="1:9">
      <c r="A78" s="7" t="s">
        <v>91</v>
      </c>
      <c r="B78" s="8">
        <f>VLOOKUP(A78,'[1]MGM Report'!$D:$K,8,FALSE)</f>
        <v>197038</v>
      </c>
      <c r="C78" s="8">
        <f>VLOOKUP(A78,[2]ShobizMGMReportResults!$E:$L,8,FALSE)</f>
        <v>197038</v>
      </c>
      <c r="D78" s="8">
        <f>VLOOKUP(A78,[2]ShobizMGMReportResults!$E:$S,9,FALSE)</f>
        <v>0</v>
      </c>
      <c r="E78" s="8">
        <v>0</v>
      </c>
      <c r="F78" s="9">
        <f t="shared" si="3"/>
        <v>197038</v>
      </c>
      <c r="G78" s="9">
        <f t="shared" si="4"/>
        <v>0</v>
      </c>
      <c r="H78" s="8" t="b">
        <f t="shared" si="5"/>
        <v>1</v>
      </c>
      <c r="I78" s="15"/>
    </row>
    <row r="79" hidden="1" spans="1:9">
      <c r="A79" s="7" t="s">
        <v>92</v>
      </c>
      <c r="B79" s="8">
        <f>VLOOKUP(A79,'[1]MGM Report'!$D:$K,8,FALSE)</f>
        <v>700</v>
      </c>
      <c r="C79" s="8">
        <f>VLOOKUP(A79,[2]ShobizMGMReportResults!$E:$L,8,FALSE)</f>
        <v>700</v>
      </c>
      <c r="D79" s="8">
        <f>VLOOKUP(A79,[2]ShobizMGMReportResults!$E:$S,9,FALSE)</f>
        <v>0</v>
      </c>
      <c r="E79" s="8">
        <v>0</v>
      </c>
      <c r="F79" s="9">
        <f t="shared" si="3"/>
        <v>700</v>
      </c>
      <c r="G79" s="9">
        <f t="shared" si="4"/>
        <v>0</v>
      </c>
      <c r="H79" s="8" t="b">
        <f t="shared" si="5"/>
        <v>1</v>
      </c>
      <c r="I79" s="15"/>
    </row>
    <row r="80" hidden="1" spans="1:9">
      <c r="A80" s="7" t="s">
        <v>93</v>
      </c>
      <c r="B80" s="8">
        <f>VLOOKUP(A80,'[1]MGM Report'!$D:$K,8,FALSE)</f>
        <v>19848.91</v>
      </c>
      <c r="C80" s="8">
        <f>VLOOKUP(A80,[2]ShobizMGMReportResults!$E:$L,8,FALSE)</f>
        <v>0</v>
      </c>
      <c r="D80" s="8">
        <f>VLOOKUP(A80,[2]ShobizMGMReportResults!$E:$S,9,FALSE)</f>
        <v>19848.91</v>
      </c>
      <c r="E80" s="8">
        <v>0</v>
      </c>
      <c r="F80" s="9">
        <f t="shared" si="3"/>
        <v>19848.91</v>
      </c>
      <c r="G80" s="9">
        <f t="shared" si="4"/>
        <v>0</v>
      </c>
      <c r="H80" s="8" t="b">
        <f t="shared" si="5"/>
        <v>1</v>
      </c>
      <c r="I80" s="15"/>
    </row>
    <row r="81" hidden="1" spans="1:9">
      <c r="A81" s="7" t="s">
        <v>94</v>
      </c>
      <c r="B81" s="8">
        <f>VLOOKUP(A81,'[1]MGM Report'!$D:$K,8,FALSE)</f>
        <v>1260505.02</v>
      </c>
      <c r="C81" s="8">
        <f>VLOOKUP(A81,[2]ShobizMGMReportResults!$E:$L,8,FALSE)</f>
        <v>1209120</v>
      </c>
      <c r="D81" s="8">
        <f>VLOOKUP(A81,[2]ShobizMGMReportResults!$E:$S,9,FALSE)</f>
        <v>51385.02</v>
      </c>
      <c r="E81" s="8">
        <v>0</v>
      </c>
      <c r="F81" s="9">
        <f t="shared" si="3"/>
        <v>1260505.02</v>
      </c>
      <c r="G81" s="9">
        <f t="shared" si="4"/>
        <v>0</v>
      </c>
      <c r="H81" s="8" t="b">
        <f t="shared" si="5"/>
        <v>1</v>
      </c>
      <c r="I81" s="15"/>
    </row>
    <row r="82" hidden="1" spans="1:9">
      <c r="A82" s="7" t="s">
        <v>95</v>
      </c>
      <c r="B82" s="8">
        <f>VLOOKUP(A82,'[1]MGM Report'!$D:$K,8,FALSE)</f>
        <v>0</v>
      </c>
      <c r="C82" s="8">
        <f>VLOOKUP(A82,[2]ShobizMGMReportResults!$E:$L,8,FALSE)</f>
        <v>0</v>
      </c>
      <c r="D82" s="8">
        <f>VLOOKUP(A82,[2]ShobizMGMReportResults!$E:$S,9,FALSE)</f>
        <v>0</v>
      </c>
      <c r="E82" s="8">
        <v>0</v>
      </c>
      <c r="F82" s="9">
        <f t="shared" si="3"/>
        <v>0</v>
      </c>
      <c r="G82" s="9">
        <f t="shared" si="4"/>
        <v>0</v>
      </c>
      <c r="H82" s="8" t="b">
        <f t="shared" si="5"/>
        <v>1</v>
      </c>
      <c r="I82" s="15"/>
    </row>
    <row r="83" hidden="1" spans="1:9">
      <c r="A83" s="7" t="s">
        <v>96</v>
      </c>
      <c r="B83" s="8">
        <f>VLOOKUP(A83,'[1]MGM Report'!$D:$K,8,FALSE)</f>
        <v>559134.47</v>
      </c>
      <c r="C83" s="8">
        <f>VLOOKUP(A83,[2]ShobizMGMReportResults!$E:$L,8,FALSE)</f>
        <v>0</v>
      </c>
      <c r="D83" s="8">
        <f>VLOOKUP(A83,[2]ShobizMGMReportResults!$E:$S,9,FALSE)</f>
        <v>559134.47</v>
      </c>
      <c r="E83" s="8">
        <v>0</v>
      </c>
      <c r="F83" s="9">
        <f t="shared" si="3"/>
        <v>559134.47</v>
      </c>
      <c r="G83" s="9">
        <f t="shared" si="4"/>
        <v>0</v>
      </c>
      <c r="H83" s="8" t="b">
        <f t="shared" si="5"/>
        <v>1</v>
      </c>
      <c r="I83" s="15"/>
    </row>
    <row r="84" hidden="1" spans="1:9">
      <c r="A84" s="7" t="s">
        <v>97</v>
      </c>
      <c r="B84" s="8">
        <f>VLOOKUP(A84,'[1]MGM Report'!$D:$K,8,FALSE)</f>
        <v>461394</v>
      </c>
      <c r="C84" s="8">
        <f>VLOOKUP(A84,[2]ShobizMGMReportResults!$E:$L,8,FALSE)</f>
        <v>461394</v>
      </c>
      <c r="D84" s="8">
        <f>VLOOKUP(A84,[2]ShobizMGMReportResults!$E:$S,9,FALSE)</f>
        <v>0</v>
      </c>
      <c r="E84" s="8">
        <v>0</v>
      </c>
      <c r="F84" s="9">
        <f t="shared" si="3"/>
        <v>461394</v>
      </c>
      <c r="G84" s="9">
        <f t="shared" si="4"/>
        <v>0</v>
      </c>
      <c r="H84" s="8" t="b">
        <f t="shared" si="5"/>
        <v>1</v>
      </c>
      <c r="I84" s="15"/>
    </row>
    <row r="85" hidden="1" spans="1:9">
      <c r="A85" s="7" t="s">
        <v>98</v>
      </c>
      <c r="B85" s="8">
        <f>VLOOKUP(A85,'[1]MGM Report'!$D:$K,8,FALSE)</f>
        <v>0</v>
      </c>
      <c r="C85" s="8">
        <f>VLOOKUP(A85,[2]ShobizMGMReportResults!$E:$L,8,FALSE)</f>
        <v>0</v>
      </c>
      <c r="D85" s="8">
        <f>VLOOKUP(A85,[2]ShobizMGMReportResults!$E:$S,9,FALSE)</f>
        <v>0</v>
      </c>
      <c r="E85" s="8">
        <v>0</v>
      </c>
      <c r="F85" s="9">
        <f t="shared" si="3"/>
        <v>0</v>
      </c>
      <c r="G85" s="9">
        <f t="shared" si="4"/>
        <v>0</v>
      </c>
      <c r="H85" s="8" t="b">
        <f t="shared" si="5"/>
        <v>1</v>
      </c>
      <c r="I85" s="15"/>
    </row>
    <row r="86" hidden="1" spans="1:9">
      <c r="A86" s="7" t="s">
        <v>99</v>
      </c>
      <c r="B86" s="8">
        <f>VLOOKUP(A86,'[1]MGM Report'!$D:$K,8,FALSE)</f>
        <v>3500</v>
      </c>
      <c r="C86" s="8">
        <f>VLOOKUP(A86,[2]ShobizMGMReportResults!$E:$L,8,FALSE)</f>
        <v>3500</v>
      </c>
      <c r="D86" s="8">
        <f>VLOOKUP(A86,[2]ShobizMGMReportResults!$E:$S,9,FALSE)</f>
        <v>0</v>
      </c>
      <c r="E86" s="8">
        <v>0</v>
      </c>
      <c r="F86" s="9">
        <f t="shared" si="3"/>
        <v>3500</v>
      </c>
      <c r="G86" s="9">
        <f t="shared" si="4"/>
        <v>0</v>
      </c>
      <c r="H86" s="8" t="b">
        <f t="shared" si="5"/>
        <v>1</v>
      </c>
      <c r="I86" s="15"/>
    </row>
    <row r="87" hidden="1" spans="1:9">
      <c r="A87" s="7" t="s">
        <v>100</v>
      </c>
      <c r="B87" s="8">
        <f>VLOOKUP(A87,'[1]MGM Report'!$D:$K,8,FALSE)</f>
        <v>39500</v>
      </c>
      <c r="C87" s="8">
        <f>VLOOKUP(A87,[2]ShobizMGMReportResults!$E:$L,8,FALSE)</f>
        <v>39500</v>
      </c>
      <c r="D87" s="8">
        <f>VLOOKUP(A87,[2]ShobizMGMReportResults!$E:$S,9,FALSE)</f>
        <v>0</v>
      </c>
      <c r="E87" s="8">
        <v>0</v>
      </c>
      <c r="F87" s="9">
        <f t="shared" si="3"/>
        <v>39500</v>
      </c>
      <c r="G87" s="9">
        <f t="shared" si="4"/>
        <v>0</v>
      </c>
      <c r="H87" s="8" t="b">
        <f t="shared" si="5"/>
        <v>1</v>
      </c>
      <c r="I87" s="15"/>
    </row>
    <row r="88" hidden="1" spans="1:9">
      <c r="A88" s="7" t="s">
        <v>101</v>
      </c>
      <c r="B88" s="8">
        <f>VLOOKUP(A88,'[1]MGM Report'!$D:$K,8,FALSE)</f>
        <v>0</v>
      </c>
      <c r="C88" s="8">
        <f>VLOOKUP(A88,[2]ShobizMGMReportResults!$E:$L,8,FALSE)</f>
        <v>0</v>
      </c>
      <c r="D88" s="8">
        <f>VLOOKUP(A88,[2]ShobizMGMReportResults!$E:$S,9,FALSE)</f>
        <v>0</v>
      </c>
      <c r="E88" s="8">
        <v>0</v>
      </c>
      <c r="F88" s="9">
        <f t="shared" si="3"/>
        <v>0</v>
      </c>
      <c r="G88" s="9">
        <f t="shared" si="4"/>
        <v>0</v>
      </c>
      <c r="H88" s="8" t="b">
        <f t="shared" si="5"/>
        <v>1</v>
      </c>
      <c r="I88" s="15"/>
    </row>
    <row r="89" hidden="1" spans="1:9">
      <c r="A89" s="7" t="s">
        <v>102</v>
      </c>
      <c r="B89" s="8">
        <f>VLOOKUP(A89,'[1]MGM Report'!$D:$K,8,FALSE)</f>
        <v>26000</v>
      </c>
      <c r="C89" s="8">
        <f>VLOOKUP(A89,[2]ShobizMGMReportResults!$E:$L,8,FALSE)</f>
        <v>26000</v>
      </c>
      <c r="D89" s="8">
        <f>VLOOKUP(A89,[2]ShobizMGMReportResults!$E:$S,9,FALSE)</f>
        <v>0</v>
      </c>
      <c r="E89" s="8">
        <v>0</v>
      </c>
      <c r="F89" s="9">
        <f t="shared" si="3"/>
        <v>26000</v>
      </c>
      <c r="G89" s="9">
        <f t="shared" si="4"/>
        <v>0</v>
      </c>
      <c r="H89" s="8" t="b">
        <f t="shared" si="5"/>
        <v>1</v>
      </c>
      <c r="I89" s="15"/>
    </row>
    <row r="90" hidden="1" spans="1:9">
      <c r="A90" s="7" t="s">
        <v>103</v>
      </c>
      <c r="B90" s="8">
        <f>VLOOKUP(A90,'[1]MGM Report'!$D:$K,8,FALSE)</f>
        <v>180000</v>
      </c>
      <c r="C90" s="8">
        <f>VLOOKUP(A90,[2]ShobizMGMReportResults!$E:$L,8,FALSE)</f>
        <v>180000</v>
      </c>
      <c r="D90" s="8">
        <f>VLOOKUP(A90,[2]ShobizMGMReportResults!$E:$S,9,FALSE)</f>
        <v>0</v>
      </c>
      <c r="E90" s="8">
        <v>0</v>
      </c>
      <c r="F90" s="9">
        <f t="shared" si="3"/>
        <v>180000</v>
      </c>
      <c r="G90" s="9">
        <f t="shared" si="4"/>
        <v>0</v>
      </c>
      <c r="H90" s="8" t="b">
        <f t="shared" si="5"/>
        <v>1</v>
      </c>
      <c r="I90" s="15"/>
    </row>
    <row r="91" hidden="1" spans="1:9">
      <c r="A91" s="7" t="s">
        <v>104</v>
      </c>
      <c r="B91" s="8">
        <f>VLOOKUP(A91,'[1]MGM Report'!$D:$K,8,FALSE)</f>
        <v>428608.3</v>
      </c>
      <c r="C91" s="8">
        <f>VLOOKUP(A91,[2]ShobizMGMReportResults!$E:$L,8,FALSE)</f>
        <v>304268</v>
      </c>
      <c r="D91" s="8">
        <f>VLOOKUP(A91,[2]ShobizMGMReportResults!$E:$S,9,FALSE)</f>
        <v>124340.3</v>
      </c>
      <c r="E91" s="8">
        <v>0</v>
      </c>
      <c r="F91" s="9">
        <f t="shared" si="3"/>
        <v>428608.3</v>
      </c>
      <c r="G91" s="9">
        <f t="shared" si="4"/>
        <v>0</v>
      </c>
      <c r="H91" s="8" t="b">
        <f t="shared" si="5"/>
        <v>1</v>
      </c>
      <c r="I91" s="15"/>
    </row>
    <row r="92" hidden="1" spans="1:9">
      <c r="A92" s="7" t="s">
        <v>105</v>
      </c>
      <c r="B92" s="8">
        <f>VLOOKUP(A92,'[1]MGM Report'!$D:$K,8,FALSE)</f>
        <v>330000</v>
      </c>
      <c r="C92" s="8">
        <f>VLOOKUP(A92,[2]ShobizMGMReportResults!$E:$L,8,FALSE)</f>
        <v>330000</v>
      </c>
      <c r="D92" s="8">
        <f>VLOOKUP(A92,[2]ShobizMGMReportResults!$E:$S,9,FALSE)</f>
        <v>0</v>
      </c>
      <c r="E92" s="8">
        <v>0</v>
      </c>
      <c r="F92" s="9">
        <f t="shared" si="3"/>
        <v>330000</v>
      </c>
      <c r="G92" s="9">
        <f t="shared" si="4"/>
        <v>0</v>
      </c>
      <c r="H92" s="8" t="b">
        <f t="shared" si="5"/>
        <v>1</v>
      </c>
      <c r="I92" s="15"/>
    </row>
    <row r="93" hidden="1" spans="1:9">
      <c r="A93" s="7" t="s">
        <v>106</v>
      </c>
      <c r="B93" s="8">
        <f>VLOOKUP(A93,'[1]MGM Report'!$D:$K,8,FALSE)</f>
        <v>94000</v>
      </c>
      <c r="C93" s="8">
        <f>VLOOKUP(A93,[2]ShobizMGMReportResults!$E:$L,8,FALSE)</f>
        <v>94000</v>
      </c>
      <c r="D93" s="8">
        <f>VLOOKUP(A93,[2]ShobizMGMReportResults!$E:$S,9,FALSE)</f>
        <v>0</v>
      </c>
      <c r="E93" s="8">
        <v>0</v>
      </c>
      <c r="F93" s="9">
        <f t="shared" si="3"/>
        <v>94000</v>
      </c>
      <c r="G93" s="9">
        <f t="shared" si="4"/>
        <v>0</v>
      </c>
      <c r="H93" s="8" t="b">
        <f t="shared" si="5"/>
        <v>1</v>
      </c>
      <c r="I93" s="15"/>
    </row>
    <row r="94" spans="1:9">
      <c r="A94" s="10" t="s">
        <v>107</v>
      </c>
      <c r="B94" s="11">
        <f>VLOOKUP(A94,'[1]MGM Report'!$D:$K,8,FALSE)</f>
        <v>2128089.05</v>
      </c>
      <c r="C94" s="11">
        <f>VLOOKUP(A94,[2]ShobizMGMReportResults!$E:$L,8,FALSE)</f>
        <v>1947512</v>
      </c>
      <c r="D94" s="11">
        <f>VLOOKUP(A94,[2]ShobizMGMReportResults!$E:$S,9,FALSE)</f>
        <v>200577.05</v>
      </c>
      <c r="E94" s="11">
        <v>0</v>
      </c>
      <c r="F94" s="12">
        <f t="shared" si="3"/>
        <v>2148089.05</v>
      </c>
      <c r="G94" s="12">
        <f>B94-F94</f>
        <v>-20000</v>
      </c>
      <c r="H94" s="11" t="b">
        <f t="shared" si="5"/>
        <v>0</v>
      </c>
      <c r="I94" s="17" t="s">
        <v>108</v>
      </c>
    </row>
    <row r="95" hidden="1" spans="1:9">
      <c r="A95" s="7" t="s">
        <v>109</v>
      </c>
      <c r="B95" s="8">
        <f>VLOOKUP(A95,'[1]MGM Report'!$D:$K,8,FALSE)</f>
        <v>536803</v>
      </c>
      <c r="C95" s="8">
        <f>VLOOKUP(A95,[2]ShobizMGMReportResults!$E:$L,8,FALSE)</f>
        <v>496685</v>
      </c>
      <c r="D95" s="8">
        <f>VLOOKUP(A95,[2]ShobizMGMReportResults!$E:$S,9,FALSE)</f>
        <v>40118</v>
      </c>
      <c r="E95" s="8">
        <v>0</v>
      </c>
      <c r="F95" s="9">
        <f t="shared" si="3"/>
        <v>536803</v>
      </c>
      <c r="G95" s="9">
        <f t="shared" si="4"/>
        <v>0</v>
      </c>
      <c r="H95" s="8" t="b">
        <f t="shared" si="5"/>
        <v>1</v>
      </c>
      <c r="I95" s="15"/>
    </row>
    <row r="96" hidden="1" spans="1:9">
      <c r="A96" s="7" t="s">
        <v>110</v>
      </c>
      <c r="B96" s="8">
        <f>VLOOKUP(A96,'[1]MGM Report'!$D:$K,8,FALSE)</f>
        <v>0</v>
      </c>
      <c r="C96" s="8">
        <f>VLOOKUP(A96,[2]ShobizMGMReportResults!$E:$L,8,FALSE)</f>
        <v>0</v>
      </c>
      <c r="D96" s="8">
        <f>VLOOKUP(A96,[2]ShobizMGMReportResults!$E:$S,9,FALSE)</f>
        <v>0</v>
      </c>
      <c r="E96" s="8">
        <v>0</v>
      </c>
      <c r="F96" s="9">
        <f t="shared" si="3"/>
        <v>0</v>
      </c>
      <c r="G96" s="9">
        <f t="shared" si="4"/>
        <v>0</v>
      </c>
      <c r="H96" s="8" t="b">
        <f t="shared" si="5"/>
        <v>1</v>
      </c>
      <c r="I96" s="15"/>
    </row>
    <row r="97" hidden="1" spans="1:9">
      <c r="A97" s="7" t="s">
        <v>111</v>
      </c>
      <c r="B97" s="8">
        <f>VLOOKUP(A97,'[1]MGM Report'!$D:$K,8,FALSE)</f>
        <v>188596</v>
      </c>
      <c r="C97" s="8">
        <f>VLOOKUP(A97,[2]ShobizMGMReportResults!$E:$L,8,FALSE)</f>
        <v>160000</v>
      </c>
      <c r="D97" s="8">
        <f>VLOOKUP(A97,[2]ShobizMGMReportResults!$E:$S,9,FALSE)</f>
        <v>28596</v>
      </c>
      <c r="E97" s="8">
        <v>0</v>
      </c>
      <c r="F97" s="9">
        <f t="shared" si="3"/>
        <v>188596</v>
      </c>
      <c r="G97" s="9">
        <f t="shared" si="4"/>
        <v>0</v>
      </c>
      <c r="H97" s="8" t="b">
        <f t="shared" si="5"/>
        <v>1</v>
      </c>
      <c r="I97" s="15"/>
    </row>
    <row r="98" hidden="1" spans="1:9">
      <c r="A98" s="7" t="s">
        <v>112</v>
      </c>
      <c r="B98" s="8">
        <f>VLOOKUP(A98,'[1]MGM Report'!$D:$K,8,FALSE)</f>
        <v>57381</v>
      </c>
      <c r="C98" s="8">
        <f>VLOOKUP(A98,[2]ShobizMGMReportResults!$E:$L,8,FALSE)</f>
        <v>52280</v>
      </c>
      <c r="D98" s="8">
        <f>VLOOKUP(A98,[2]ShobizMGMReportResults!$E:$S,9,FALSE)</f>
        <v>5101</v>
      </c>
      <c r="E98" s="8">
        <v>0</v>
      </c>
      <c r="F98" s="9">
        <f t="shared" si="3"/>
        <v>57381</v>
      </c>
      <c r="G98" s="9">
        <f t="shared" si="4"/>
        <v>0</v>
      </c>
      <c r="H98" s="8" t="b">
        <f t="shared" si="5"/>
        <v>1</v>
      </c>
      <c r="I98" s="15"/>
    </row>
    <row r="99" hidden="1" spans="1:9">
      <c r="A99" s="7" t="s">
        <v>113</v>
      </c>
      <c r="B99" s="8">
        <f>VLOOKUP(A99,'[1]MGM Report'!$D:$K,8,FALSE)</f>
        <v>0</v>
      </c>
      <c r="C99" s="8">
        <f>VLOOKUP(A99,[2]ShobizMGMReportResults!$E:$L,8,FALSE)</f>
        <v>0</v>
      </c>
      <c r="D99" s="8">
        <f>VLOOKUP(A99,[2]ShobizMGMReportResults!$E:$S,9,FALSE)</f>
        <v>0</v>
      </c>
      <c r="E99" s="8">
        <v>0</v>
      </c>
      <c r="F99" s="9">
        <f t="shared" si="3"/>
        <v>0</v>
      </c>
      <c r="G99" s="9">
        <f t="shared" si="4"/>
        <v>0</v>
      </c>
      <c r="H99" s="8" t="b">
        <f t="shared" si="5"/>
        <v>1</v>
      </c>
      <c r="I99" s="15"/>
    </row>
    <row r="100" hidden="1" spans="1:9">
      <c r="A100" s="7" t="s">
        <v>114</v>
      </c>
      <c r="B100" s="8">
        <f>VLOOKUP(A100,'[1]MGM Report'!$D:$K,8,FALSE)</f>
        <v>58146.67</v>
      </c>
      <c r="C100" s="8">
        <f>VLOOKUP(A100,[2]ShobizMGMReportResults!$E:$L,8,FALSE)</f>
        <v>58146.67</v>
      </c>
      <c r="D100" s="8">
        <f>VLOOKUP(A100,[2]ShobizMGMReportResults!$E:$S,9,FALSE)</f>
        <v>0</v>
      </c>
      <c r="E100" s="8">
        <v>0</v>
      </c>
      <c r="F100" s="9">
        <f t="shared" si="3"/>
        <v>58146.67</v>
      </c>
      <c r="G100" s="9">
        <f t="shared" si="4"/>
        <v>0</v>
      </c>
      <c r="H100" s="8" t="b">
        <f t="shared" si="5"/>
        <v>1</v>
      </c>
      <c r="I100" s="15"/>
    </row>
    <row r="101" hidden="1" spans="1:9">
      <c r="A101" s="7" t="s">
        <v>115</v>
      </c>
      <c r="B101" s="8">
        <f>VLOOKUP(A101,'[1]MGM Report'!$D:$K,8,FALSE)</f>
        <v>878028</v>
      </c>
      <c r="C101" s="8">
        <f>VLOOKUP(A101,[2]ShobizMGMReportResults!$E:$L,8,FALSE)</f>
        <v>878028</v>
      </c>
      <c r="D101" s="8">
        <f>VLOOKUP(A101,[2]ShobizMGMReportResults!$E:$S,9,FALSE)</f>
        <v>0</v>
      </c>
      <c r="E101" s="8">
        <v>0</v>
      </c>
      <c r="F101" s="9">
        <f t="shared" si="3"/>
        <v>878028</v>
      </c>
      <c r="G101" s="9">
        <f t="shared" si="4"/>
        <v>0</v>
      </c>
      <c r="H101" s="8" t="b">
        <f t="shared" si="5"/>
        <v>1</v>
      </c>
      <c r="I101" s="15"/>
    </row>
    <row r="102" hidden="1" spans="1:9">
      <c r="A102" s="7" t="s">
        <v>116</v>
      </c>
      <c r="B102" s="8">
        <f>VLOOKUP(A102,'[1]MGM Report'!$D:$K,8,FALSE)</f>
        <v>1691</v>
      </c>
      <c r="C102" s="8">
        <f>VLOOKUP(A102,[2]ShobizMGMReportResults!$E:$L,8,FALSE)</f>
        <v>0</v>
      </c>
      <c r="D102" s="8">
        <f>VLOOKUP(A102,[2]ShobizMGMReportResults!$E:$S,9,FALSE)</f>
        <v>1691</v>
      </c>
      <c r="E102" s="8">
        <v>0</v>
      </c>
      <c r="F102" s="9">
        <f t="shared" si="3"/>
        <v>1691</v>
      </c>
      <c r="G102" s="9">
        <f t="shared" si="4"/>
        <v>0</v>
      </c>
      <c r="H102" s="8" t="b">
        <f t="shared" si="5"/>
        <v>1</v>
      </c>
      <c r="I102" s="15"/>
    </row>
    <row r="103" hidden="1" spans="1:9">
      <c r="A103" s="7" t="s">
        <v>117</v>
      </c>
      <c r="B103" s="8">
        <f>VLOOKUP(A103,'[1]MGM Report'!$D:$K,8,FALSE)</f>
        <v>133500</v>
      </c>
      <c r="C103" s="8">
        <f>VLOOKUP(A103,[2]ShobizMGMReportResults!$E:$L,8,FALSE)</f>
        <v>133500</v>
      </c>
      <c r="D103" s="8">
        <f>VLOOKUP(A103,[2]ShobizMGMReportResults!$E:$S,9,FALSE)</f>
        <v>0</v>
      </c>
      <c r="E103" s="8">
        <v>0</v>
      </c>
      <c r="F103" s="9">
        <f t="shared" si="3"/>
        <v>133500</v>
      </c>
      <c r="G103" s="9">
        <f t="shared" si="4"/>
        <v>0</v>
      </c>
      <c r="H103" s="8" t="b">
        <f t="shared" si="5"/>
        <v>1</v>
      </c>
      <c r="I103" s="15"/>
    </row>
    <row r="104" hidden="1" spans="1:9">
      <c r="A104" s="7" t="s">
        <v>118</v>
      </c>
      <c r="B104" s="8">
        <f>VLOOKUP(A104,'[1]MGM Report'!$D:$K,8,FALSE)</f>
        <v>37050</v>
      </c>
      <c r="C104" s="8">
        <f>VLOOKUP(A104,[2]ShobizMGMReportResults!$E:$L,8,FALSE)</f>
        <v>37050</v>
      </c>
      <c r="D104" s="8">
        <f>VLOOKUP(A104,[2]ShobizMGMReportResults!$E:$S,9,FALSE)</f>
        <v>0</v>
      </c>
      <c r="E104" s="8">
        <v>0</v>
      </c>
      <c r="F104" s="9">
        <f t="shared" si="3"/>
        <v>37050</v>
      </c>
      <c r="G104" s="9">
        <f t="shared" si="4"/>
        <v>0</v>
      </c>
      <c r="H104" s="8" t="b">
        <f t="shared" si="5"/>
        <v>1</v>
      </c>
      <c r="I104" s="15"/>
    </row>
    <row r="105" hidden="1" spans="1:9">
      <c r="A105" s="7" t="s">
        <v>119</v>
      </c>
      <c r="B105" s="8">
        <f>VLOOKUP(A105,'[1]MGM Report'!$D:$K,8,FALSE)</f>
        <v>7552</v>
      </c>
      <c r="C105" s="8">
        <f>VLOOKUP(A105,[2]ShobizMGMReportResults!$E:$L,8,FALSE)</f>
        <v>7552</v>
      </c>
      <c r="D105" s="8">
        <f>VLOOKUP(A105,[2]ShobizMGMReportResults!$E:$S,9,FALSE)</f>
        <v>0</v>
      </c>
      <c r="E105" s="8">
        <v>0</v>
      </c>
      <c r="F105" s="9">
        <f t="shared" si="3"/>
        <v>7552</v>
      </c>
      <c r="G105" s="9">
        <f t="shared" si="4"/>
        <v>0</v>
      </c>
      <c r="H105" s="8" t="b">
        <f t="shared" si="5"/>
        <v>1</v>
      </c>
      <c r="I105" s="15"/>
    </row>
    <row r="106" hidden="1" spans="1:9">
      <c r="A106" s="7" t="s">
        <v>120</v>
      </c>
      <c r="B106" s="8">
        <f>VLOOKUP(A106,'[1]MGM Report'!$D:$K,8,FALSE)</f>
        <v>36830</v>
      </c>
      <c r="C106" s="8">
        <f>VLOOKUP(A106,[2]ShobizMGMReportResults!$E:$L,8,FALSE)</f>
        <v>36830</v>
      </c>
      <c r="D106" s="8">
        <f>VLOOKUP(A106,[2]ShobizMGMReportResults!$E:$S,9,FALSE)</f>
        <v>0</v>
      </c>
      <c r="E106" s="8">
        <v>0</v>
      </c>
      <c r="F106" s="9">
        <f t="shared" si="3"/>
        <v>36830</v>
      </c>
      <c r="G106" s="9">
        <f t="shared" si="4"/>
        <v>0</v>
      </c>
      <c r="H106" s="8" t="b">
        <f t="shared" si="5"/>
        <v>1</v>
      </c>
      <c r="I106" s="15"/>
    </row>
    <row r="107" hidden="1" spans="1:9">
      <c r="A107" s="7" t="s">
        <v>121</v>
      </c>
      <c r="B107" s="8">
        <f>VLOOKUP(A107,'[1]MGM Report'!$D:$K,8,FALSE)</f>
        <v>8391</v>
      </c>
      <c r="C107" s="8">
        <f>VLOOKUP(A107,[2]ShobizMGMReportResults!$E:$L,8,FALSE)</f>
        <v>8391</v>
      </c>
      <c r="D107" s="8">
        <f>VLOOKUP(A107,[2]ShobizMGMReportResults!$E:$S,9,FALSE)</f>
        <v>0</v>
      </c>
      <c r="E107" s="8">
        <v>0</v>
      </c>
      <c r="F107" s="9">
        <f t="shared" si="3"/>
        <v>8391</v>
      </c>
      <c r="G107" s="9">
        <f t="shared" si="4"/>
        <v>0</v>
      </c>
      <c r="H107" s="8" t="b">
        <f t="shared" si="5"/>
        <v>1</v>
      </c>
      <c r="I107" s="15"/>
    </row>
    <row r="108" hidden="1" spans="1:9">
      <c r="A108" s="7" t="s">
        <v>122</v>
      </c>
      <c r="B108" s="8">
        <f>VLOOKUP(A108,'[1]MGM Report'!$D:$K,8,FALSE)</f>
        <v>22800</v>
      </c>
      <c r="C108" s="8">
        <f>VLOOKUP(A108,[2]ShobizMGMReportResults!$E:$L,8,FALSE)</f>
        <v>22800</v>
      </c>
      <c r="D108" s="8">
        <f>VLOOKUP(A108,[2]ShobizMGMReportResults!$E:$S,9,FALSE)</f>
        <v>0</v>
      </c>
      <c r="E108" s="8">
        <v>0</v>
      </c>
      <c r="F108" s="9">
        <f t="shared" si="3"/>
        <v>22800</v>
      </c>
      <c r="G108" s="9">
        <f t="shared" si="4"/>
        <v>0</v>
      </c>
      <c r="H108" s="8" t="b">
        <f t="shared" si="5"/>
        <v>1</v>
      </c>
      <c r="I108" s="15"/>
    </row>
    <row r="109" hidden="1" spans="1:9">
      <c r="A109" s="7" t="s">
        <v>123</v>
      </c>
      <c r="B109" s="8">
        <f>VLOOKUP(A109,'[1]MGM Report'!$D:$K,8,FALSE)</f>
        <v>42110</v>
      </c>
      <c r="C109" s="8">
        <f>VLOOKUP(A109,[2]ShobizMGMReportResults!$E:$L,8,FALSE)</f>
        <v>42110</v>
      </c>
      <c r="D109" s="8">
        <f>VLOOKUP(A109,[2]ShobizMGMReportResults!$E:$S,9,FALSE)</f>
        <v>0</v>
      </c>
      <c r="E109" s="8">
        <v>0</v>
      </c>
      <c r="F109" s="9">
        <f t="shared" si="3"/>
        <v>42110</v>
      </c>
      <c r="G109" s="9">
        <f t="shared" si="4"/>
        <v>0</v>
      </c>
      <c r="H109" s="8" t="b">
        <f t="shared" si="5"/>
        <v>1</v>
      </c>
      <c r="I109" s="15"/>
    </row>
    <row r="110" hidden="1" spans="1:9">
      <c r="A110" s="7" t="s">
        <v>124</v>
      </c>
      <c r="B110" s="8">
        <f>VLOOKUP(A110,'[1]MGM Report'!$D:$K,8,FALSE)</f>
        <v>15000</v>
      </c>
      <c r="C110" s="8">
        <f>VLOOKUP(A110,[2]ShobizMGMReportResults!$E:$L,8,FALSE)</f>
        <v>15000</v>
      </c>
      <c r="D110" s="8">
        <f>VLOOKUP(A110,[2]ShobizMGMReportResults!$E:$S,9,FALSE)</f>
        <v>0</v>
      </c>
      <c r="E110" s="8">
        <v>0</v>
      </c>
      <c r="F110" s="9">
        <f t="shared" si="3"/>
        <v>15000</v>
      </c>
      <c r="G110" s="9">
        <f t="shared" si="4"/>
        <v>0</v>
      </c>
      <c r="H110" s="8" t="b">
        <f t="shared" si="5"/>
        <v>1</v>
      </c>
      <c r="I110" s="15"/>
    </row>
    <row r="111" hidden="1" spans="1:9">
      <c r="A111" s="7" t="s">
        <v>125</v>
      </c>
      <c r="B111" s="8">
        <f>VLOOKUP(A111,'[1]MGM Report'!$D:$K,8,FALSE)</f>
        <v>52056</v>
      </c>
      <c r="C111" s="8">
        <f>VLOOKUP(A111,[2]ShobizMGMReportResults!$E:$L,8,FALSE)</f>
        <v>50500</v>
      </c>
      <c r="D111" s="8">
        <f>VLOOKUP(A111,[2]ShobizMGMReportResults!$E:$S,9,FALSE)</f>
        <v>1556</v>
      </c>
      <c r="E111" s="8">
        <v>0</v>
      </c>
      <c r="F111" s="9">
        <f t="shared" si="3"/>
        <v>52056</v>
      </c>
      <c r="G111" s="9">
        <f t="shared" si="4"/>
        <v>0</v>
      </c>
      <c r="H111" s="8" t="b">
        <f t="shared" si="5"/>
        <v>1</v>
      </c>
      <c r="I111" s="15"/>
    </row>
    <row r="112" hidden="1" spans="1:9">
      <c r="A112" s="7" t="s">
        <v>126</v>
      </c>
      <c r="B112" s="8">
        <f>VLOOKUP(A112,'[1]MGM Report'!$D:$K,8,FALSE)</f>
        <v>1903</v>
      </c>
      <c r="C112" s="8">
        <f>VLOOKUP(A112,[2]ShobizMGMReportResults!$E:$L,8,FALSE)</f>
        <v>0</v>
      </c>
      <c r="D112" s="8">
        <f>VLOOKUP(A112,[2]ShobizMGMReportResults!$E:$S,9,FALSE)</f>
        <v>1903</v>
      </c>
      <c r="E112" s="8">
        <v>0</v>
      </c>
      <c r="F112" s="9">
        <f t="shared" si="3"/>
        <v>1903</v>
      </c>
      <c r="G112" s="9">
        <f t="shared" si="4"/>
        <v>0</v>
      </c>
      <c r="H112" s="8" t="b">
        <f t="shared" si="5"/>
        <v>1</v>
      </c>
      <c r="I112" s="15"/>
    </row>
    <row r="113" hidden="1" spans="1:9">
      <c r="A113" s="7" t="s">
        <v>127</v>
      </c>
      <c r="B113" s="8">
        <f>VLOOKUP(A113,'[1]MGM Report'!$D:$K,8,FALSE)</f>
        <v>0</v>
      </c>
      <c r="C113" s="8">
        <f>VLOOKUP(A113,[2]ShobizMGMReportResults!$E:$L,8,FALSE)</f>
        <v>0</v>
      </c>
      <c r="D113" s="8">
        <f>VLOOKUP(A113,[2]ShobizMGMReportResults!$E:$S,9,FALSE)</f>
        <v>0</v>
      </c>
      <c r="E113" s="8">
        <v>0</v>
      </c>
      <c r="F113" s="9">
        <f t="shared" si="3"/>
        <v>0</v>
      </c>
      <c r="G113" s="9">
        <f t="shared" si="4"/>
        <v>0</v>
      </c>
      <c r="H113" s="8" t="b">
        <f t="shared" si="5"/>
        <v>1</v>
      </c>
      <c r="I113" s="15"/>
    </row>
    <row r="114" hidden="1" spans="1:9">
      <c r="A114" s="7" t="s">
        <v>128</v>
      </c>
      <c r="B114" s="8">
        <f>VLOOKUP(A114,'[1]MGM Report'!$D:$K,8,FALSE)</f>
        <v>708765</v>
      </c>
      <c r="C114" s="8">
        <f>VLOOKUP(A114,[2]ShobizMGMReportResults!$E:$L,8,FALSE)</f>
        <v>705944</v>
      </c>
      <c r="D114" s="8">
        <f>VLOOKUP(A114,[2]ShobizMGMReportResults!$E:$S,9,FALSE)</f>
        <v>2821</v>
      </c>
      <c r="E114" s="8">
        <v>0</v>
      </c>
      <c r="F114" s="9">
        <f t="shared" si="3"/>
        <v>708765</v>
      </c>
      <c r="G114" s="9">
        <f t="shared" si="4"/>
        <v>0</v>
      </c>
      <c r="H114" s="8" t="b">
        <f t="shared" si="5"/>
        <v>1</v>
      </c>
      <c r="I114" s="15"/>
    </row>
    <row r="115" hidden="1" spans="1:9">
      <c r="A115" s="7" t="s">
        <v>129</v>
      </c>
      <c r="B115" s="8">
        <f>VLOOKUP(A115,'[1]MGM Report'!$D:$K,8,FALSE)</f>
        <v>0</v>
      </c>
      <c r="C115" s="8">
        <f>VLOOKUP(A115,[2]ShobizMGMReportResults!$E:$L,8,FALSE)</f>
        <v>0</v>
      </c>
      <c r="D115" s="8">
        <f>VLOOKUP(A115,[2]ShobizMGMReportResults!$E:$S,9,FALSE)</f>
        <v>0</v>
      </c>
      <c r="E115" s="8">
        <v>0</v>
      </c>
      <c r="F115" s="9">
        <f t="shared" si="3"/>
        <v>0</v>
      </c>
      <c r="G115" s="9">
        <f t="shared" si="4"/>
        <v>0</v>
      </c>
      <c r="H115" s="8" t="b">
        <f t="shared" si="5"/>
        <v>1</v>
      </c>
      <c r="I115" s="15"/>
    </row>
    <row r="116" hidden="1" spans="1:9">
      <c r="A116" s="7" t="s">
        <v>130</v>
      </c>
      <c r="B116" s="8">
        <f>VLOOKUP(A116,'[1]MGM Report'!$D:$K,8,FALSE)</f>
        <v>0</v>
      </c>
      <c r="C116" s="8">
        <f>VLOOKUP(A116,[2]ShobizMGMReportResults!$E:$L,8,FALSE)</f>
        <v>0</v>
      </c>
      <c r="D116" s="8">
        <f>VLOOKUP(A116,[2]ShobizMGMReportResults!$E:$S,9,FALSE)</f>
        <v>0</v>
      </c>
      <c r="E116" s="8">
        <v>0</v>
      </c>
      <c r="F116" s="9">
        <f t="shared" si="3"/>
        <v>0</v>
      </c>
      <c r="G116" s="9">
        <f t="shared" si="4"/>
        <v>0</v>
      </c>
      <c r="H116" s="8" t="b">
        <f t="shared" si="5"/>
        <v>1</v>
      </c>
      <c r="I116" s="15"/>
    </row>
    <row r="117" hidden="1" spans="1:9">
      <c r="A117" s="7" t="s">
        <v>131</v>
      </c>
      <c r="B117" s="8">
        <f>VLOOKUP(A117,'[1]MGM Report'!$D:$K,8,FALSE)</f>
        <v>0</v>
      </c>
      <c r="C117" s="8">
        <f>VLOOKUP(A117,[2]ShobizMGMReportResults!$E:$L,8,FALSE)</f>
        <v>0</v>
      </c>
      <c r="D117" s="8">
        <f>VLOOKUP(A117,[2]ShobizMGMReportResults!$E:$S,9,FALSE)</f>
        <v>0</v>
      </c>
      <c r="E117" s="8">
        <v>0</v>
      </c>
      <c r="F117" s="9">
        <f t="shared" si="3"/>
        <v>0</v>
      </c>
      <c r="G117" s="9">
        <f t="shared" si="4"/>
        <v>0</v>
      </c>
      <c r="H117" s="8" t="b">
        <f t="shared" si="5"/>
        <v>1</v>
      </c>
      <c r="I117" s="15"/>
    </row>
    <row r="118" hidden="1" spans="1:9">
      <c r="A118" s="7" t="s">
        <v>132</v>
      </c>
      <c r="B118" s="8">
        <f>VLOOKUP(A118,'[1]MGM Report'!$D:$K,8,FALSE)</f>
        <v>0</v>
      </c>
      <c r="C118" s="8">
        <f>VLOOKUP(A118,[2]ShobizMGMReportResults!$E:$L,8,FALSE)</f>
        <v>0</v>
      </c>
      <c r="D118" s="8">
        <f>VLOOKUP(A118,[2]ShobizMGMReportResults!$E:$S,9,FALSE)</f>
        <v>0</v>
      </c>
      <c r="E118" s="8">
        <v>0</v>
      </c>
      <c r="F118" s="9">
        <f t="shared" si="3"/>
        <v>0</v>
      </c>
      <c r="G118" s="9">
        <f t="shared" si="4"/>
        <v>0</v>
      </c>
      <c r="H118" s="8" t="b">
        <f t="shared" si="5"/>
        <v>1</v>
      </c>
      <c r="I118" s="15"/>
    </row>
    <row r="119" hidden="1" spans="1:9">
      <c r="A119" s="7" t="s">
        <v>133</v>
      </c>
      <c r="B119" s="8">
        <f>VLOOKUP(A119,'[1]MGM Report'!$D:$K,8,FALSE)</f>
        <v>0</v>
      </c>
      <c r="C119" s="8">
        <f>VLOOKUP(A119,[2]ShobizMGMReportResults!$E:$L,8,FALSE)</f>
        <v>0</v>
      </c>
      <c r="D119" s="8">
        <f>VLOOKUP(A119,[2]ShobizMGMReportResults!$E:$S,9,FALSE)</f>
        <v>0</v>
      </c>
      <c r="E119" s="8">
        <v>0</v>
      </c>
      <c r="F119" s="9">
        <f t="shared" si="3"/>
        <v>0</v>
      </c>
      <c r="G119" s="9">
        <f t="shared" si="4"/>
        <v>0</v>
      </c>
      <c r="H119" s="8" t="b">
        <f t="shared" si="5"/>
        <v>1</v>
      </c>
      <c r="I119" s="15"/>
    </row>
    <row r="120" hidden="1" spans="1:9">
      <c r="A120" s="7" t="s">
        <v>134</v>
      </c>
      <c r="B120" s="8">
        <f>VLOOKUP(A120,'[1]MGM Report'!$D:$K,8,FALSE)</f>
        <v>0</v>
      </c>
      <c r="C120" s="8">
        <f>VLOOKUP(A120,[2]ShobizMGMReportResults!$E:$L,8,FALSE)</f>
        <v>0</v>
      </c>
      <c r="D120" s="8">
        <f>VLOOKUP(A120,[2]ShobizMGMReportResults!$E:$S,9,FALSE)</f>
        <v>0</v>
      </c>
      <c r="E120" s="8">
        <v>0</v>
      </c>
      <c r="F120" s="9">
        <f t="shared" si="3"/>
        <v>0</v>
      </c>
      <c r="G120" s="9">
        <f t="shared" si="4"/>
        <v>0</v>
      </c>
      <c r="H120" s="8" t="b">
        <f t="shared" si="5"/>
        <v>1</v>
      </c>
      <c r="I120" s="15"/>
    </row>
    <row r="121" hidden="1" spans="1:9">
      <c r="A121" s="7" t="s">
        <v>135</v>
      </c>
      <c r="B121" s="8">
        <f>VLOOKUP(A121,'[1]MGM Report'!$D:$K,8,FALSE)</f>
        <v>0</v>
      </c>
      <c r="C121" s="8">
        <f>VLOOKUP(A121,[2]ShobizMGMReportResults!$E:$L,8,FALSE)</f>
        <v>0</v>
      </c>
      <c r="D121" s="8">
        <f>VLOOKUP(A121,[2]ShobizMGMReportResults!$E:$S,9,FALSE)</f>
        <v>0</v>
      </c>
      <c r="E121" s="8">
        <v>0</v>
      </c>
      <c r="F121" s="9">
        <f t="shared" si="3"/>
        <v>0</v>
      </c>
      <c r="G121" s="9">
        <f t="shared" si="4"/>
        <v>0</v>
      </c>
      <c r="H121" s="8" t="b">
        <f t="shared" si="5"/>
        <v>1</v>
      </c>
      <c r="I121" s="15"/>
    </row>
    <row r="122" hidden="1" spans="1:9">
      <c r="A122" s="7" t="s">
        <v>136</v>
      </c>
      <c r="B122" s="8">
        <f>VLOOKUP(A122,'[1]MGM Report'!$D:$K,8,FALSE)</f>
        <v>133928</v>
      </c>
      <c r="C122" s="8">
        <f>VLOOKUP(A122,[2]ShobizMGMReportResults!$E:$L,8,FALSE)</f>
        <v>82324</v>
      </c>
      <c r="D122" s="8">
        <f>VLOOKUP(A122,[2]ShobizMGMReportResults!$E:$S,9,FALSE)</f>
        <v>51604</v>
      </c>
      <c r="E122" s="8">
        <v>0</v>
      </c>
      <c r="F122" s="9">
        <f t="shared" si="3"/>
        <v>133928</v>
      </c>
      <c r="G122" s="9">
        <f t="shared" si="4"/>
        <v>0</v>
      </c>
      <c r="H122" s="8" t="b">
        <f t="shared" si="5"/>
        <v>1</v>
      </c>
      <c r="I122" s="15"/>
    </row>
    <row r="123" hidden="1" spans="1:9">
      <c r="A123" s="7" t="s">
        <v>137</v>
      </c>
      <c r="B123" s="8">
        <f>VLOOKUP(A123,'[1]MGM Report'!$D:$K,8,FALSE)</f>
        <v>0</v>
      </c>
      <c r="C123" s="8">
        <f>VLOOKUP(A123,[2]ShobizMGMReportResults!$E:$L,8,FALSE)</f>
        <v>0</v>
      </c>
      <c r="D123" s="8">
        <f>VLOOKUP(A123,[2]ShobizMGMReportResults!$E:$S,9,FALSE)</f>
        <v>0</v>
      </c>
      <c r="E123" s="8">
        <v>0</v>
      </c>
      <c r="F123" s="9">
        <f t="shared" si="3"/>
        <v>0</v>
      </c>
      <c r="G123" s="9">
        <f t="shared" si="4"/>
        <v>0</v>
      </c>
      <c r="H123" s="8" t="b">
        <f t="shared" si="5"/>
        <v>1</v>
      </c>
      <c r="I123" s="15"/>
    </row>
    <row r="124" hidden="1" spans="1:9">
      <c r="A124" s="7" t="s">
        <v>138</v>
      </c>
      <c r="B124" s="8">
        <f>VLOOKUP(A124,'[1]MGM Report'!$D:$K,8,FALSE)</f>
        <v>28800</v>
      </c>
      <c r="C124" s="8">
        <f>VLOOKUP(A124,[2]ShobizMGMReportResults!$E:$L,8,FALSE)</f>
        <v>28800</v>
      </c>
      <c r="D124" s="8">
        <f>VLOOKUP(A124,[2]ShobizMGMReportResults!$E:$S,9,FALSE)</f>
        <v>0</v>
      </c>
      <c r="E124" s="8">
        <v>0</v>
      </c>
      <c r="F124" s="9">
        <f t="shared" si="3"/>
        <v>28800</v>
      </c>
      <c r="G124" s="9">
        <f t="shared" si="4"/>
        <v>0</v>
      </c>
      <c r="H124" s="8" t="b">
        <f t="shared" si="5"/>
        <v>1</v>
      </c>
      <c r="I124" s="15"/>
    </row>
    <row r="125" hidden="1" spans="1:9">
      <c r="A125" s="7" t="s">
        <v>139</v>
      </c>
      <c r="B125" s="8">
        <f>VLOOKUP(A125,'[1]MGM Report'!$D:$K,8,FALSE)</f>
        <v>102685</v>
      </c>
      <c r="C125" s="8">
        <f>VLOOKUP(A125,[2]ShobizMGMReportResults!$E:$L,8,FALSE)</f>
        <v>45451</v>
      </c>
      <c r="D125" s="8">
        <f>VLOOKUP(A125,[2]ShobizMGMReportResults!$E:$S,9,FALSE)</f>
        <v>57234</v>
      </c>
      <c r="E125" s="8">
        <v>0</v>
      </c>
      <c r="F125" s="9">
        <f t="shared" si="3"/>
        <v>102685</v>
      </c>
      <c r="G125" s="9">
        <f t="shared" si="4"/>
        <v>0</v>
      </c>
      <c r="H125" s="8" t="b">
        <f t="shared" si="5"/>
        <v>1</v>
      </c>
      <c r="I125" s="15"/>
    </row>
    <row r="126" hidden="1" spans="1:9">
      <c r="A126" s="7" t="s">
        <v>140</v>
      </c>
      <c r="B126" s="8">
        <f>VLOOKUP(A126,'[1]MGM Report'!$D:$K,8,FALSE)</f>
        <v>110000</v>
      </c>
      <c r="C126" s="8">
        <f>VLOOKUP(A126,[2]ShobizMGMReportResults!$E:$L,8,FALSE)</f>
        <v>110000</v>
      </c>
      <c r="D126" s="8">
        <f>VLOOKUP(A126,[2]ShobizMGMReportResults!$E:$S,9,FALSE)</f>
        <v>0</v>
      </c>
      <c r="E126" s="8">
        <v>0</v>
      </c>
      <c r="F126" s="9">
        <f t="shared" si="3"/>
        <v>110000</v>
      </c>
      <c r="G126" s="9">
        <f t="shared" si="4"/>
        <v>0</v>
      </c>
      <c r="H126" s="8" t="b">
        <f t="shared" si="5"/>
        <v>1</v>
      </c>
      <c r="I126" s="15"/>
    </row>
    <row r="127" hidden="1" spans="1:9">
      <c r="A127" s="7" t="s">
        <v>141</v>
      </c>
      <c r="B127" s="8">
        <f>VLOOKUP(A127,'[1]MGM Report'!$D:$K,8,FALSE)</f>
        <v>5690525</v>
      </c>
      <c r="C127" s="8">
        <f>VLOOKUP(A127,[2]ShobizMGMReportResults!$E:$L,8,FALSE)</f>
        <v>5687425</v>
      </c>
      <c r="D127" s="8">
        <f>VLOOKUP(A127,[2]ShobizMGMReportResults!$E:$S,9,FALSE)</f>
        <v>3100</v>
      </c>
      <c r="E127" s="8">
        <v>0</v>
      </c>
      <c r="F127" s="9">
        <f t="shared" si="3"/>
        <v>5690525</v>
      </c>
      <c r="G127" s="9">
        <f t="shared" si="4"/>
        <v>0</v>
      </c>
      <c r="H127" s="8" t="b">
        <f t="shared" si="5"/>
        <v>1</v>
      </c>
      <c r="I127" s="15"/>
    </row>
    <row r="128" hidden="1" spans="1:9">
      <c r="A128" s="7" t="s">
        <v>142</v>
      </c>
      <c r="B128" s="8">
        <f>VLOOKUP(A128,'[1]MGM Report'!$D:$K,8,FALSE)</f>
        <v>1942440</v>
      </c>
      <c r="C128" s="8">
        <f>VLOOKUP(A128,[2]ShobizMGMReportResults!$E:$L,8,FALSE)</f>
        <v>1942440</v>
      </c>
      <c r="D128" s="8">
        <f>VLOOKUP(A128,[2]ShobizMGMReportResults!$E:$S,9,FALSE)</f>
        <v>0</v>
      </c>
      <c r="E128" s="8">
        <v>0</v>
      </c>
      <c r="F128" s="9">
        <f t="shared" si="3"/>
        <v>1942440</v>
      </c>
      <c r="G128" s="9">
        <f t="shared" si="4"/>
        <v>0</v>
      </c>
      <c r="H128" s="8" t="b">
        <f t="shared" si="5"/>
        <v>1</v>
      </c>
      <c r="I128" s="15"/>
    </row>
    <row r="129" hidden="1" spans="1:9">
      <c r="A129" s="7" t="s">
        <v>143</v>
      </c>
      <c r="B129" s="8">
        <f>VLOOKUP(A129,'[1]MGM Report'!$D:$K,8,FALSE)</f>
        <v>1021439</v>
      </c>
      <c r="C129" s="8">
        <f>VLOOKUP(A129,[2]ShobizMGMReportResults!$E:$L,8,FALSE)</f>
        <v>1021439</v>
      </c>
      <c r="D129" s="8">
        <f>VLOOKUP(A129,[2]ShobizMGMReportResults!$E:$S,9,FALSE)</f>
        <v>0</v>
      </c>
      <c r="E129" s="8">
        <v>0</v>
      </c>
      <c r="F129" s="9">
        <f t="shared" si="3"/>
        <v>1021439</v>
      </c>
      <c r="G129" s="9">
        <f t="shared" si="4"/>
        <v>0</v>
      </c>
      <c r="H129" s="8" t="b">
        <f t="shared" si="5"/>
        <v>1</v>
      </c>
      <c r="I129" s="15"/>
    </row>
    <row r="130" hidden="1" spans="1:9">
      <c r="A130" s="7" t="s">
        <v>144</v>
      </c>
      <c r="B130" s="8">
        <f>VLOOKUP(A130,'[1]MGM Report'!$D:$K,8,FALSE)</f>
        <v>400000</v>
      </c>
      <c r="C130" s="8">
        <f>VLOOKUP(A130,[2]ShobizMGMReportResults!$E:$L,8,FALSE)</f>
        <v>400000</v>
      </c>
      <c r="D130" s="8">
        <f>VLOOKUP(A130,[2]ShobizMGMReportResults!$E:$S,9,FALSE)</f>
        <v>0</v>
      </c>
      <c r="E130" s="8">
        <v>0</v>
      </c>
      <c r="F130" s="9">
        <f t="shared" si="3"/>
        <v>400000</v>
      </c>
      <c r="G130" s="9">
        <f t="shared" si="4"/>
        <v>0</v>
      </c>
      <c r="H130" s="8" t="b">
        <f t="shared" si="5"/>
        <v>1</v>
      </c>
      <c r="I130" s="15"/>
    </row>
    <row r="131" hidden="1" spans="1:9">
      <c r="A131" s="7" t="s">
        <v>145</v>
      </c>
      <c r="B131" s="8">
        <f>VLOOKUP(A131,'[1]MGM Report'!$D:$K,8,FALSE)</f>
        <v>205945</v>
      </c>
      <c r="C131" s="8">
        <f>VLOOKUP(A131,[2]ShobizMGMReportResults!$E:$L,8,FALSE)</f>
        <v>202856</v>
      </c>
      <c r="D131" s="8">
        <f>VLOOKUP(A131,[2]ShobizMGMReportResults!$E:$S,9,FALSE)</f>
        <v>3089</v>
      </c>
      <c r="E131" s="8">
        <v>0</v>
      </c>
      <c r="F131" s="9">
        <f t="shared" ref="F131:F194" si="6">SUM(C131:E131)</f>
        <v>205945</v>
      </c>
      <c r="G131" s="9">
        <f t="shared" ref="G131:G194" si="7">F131-B131</f>
        <v>0</v>
      </c>
      <c r="H131" s="8" t="b">
        <f t="shared" ref="H131:H194" si="8">F131=B131</f>
        <v>1</v>
      </c>
      <c r="I131" s="15"/>
    </row>
    <row r="132" hidden="1" spans="1:9">
      <c r="A132" s="7" t="s">
        <v>146</v>
      </c>
      <c r="B132" s="8">
        <f>VLOOKUP(A132,'[1]MGM Report'!$D:$K,8,FALSE)</f>
        <v>192445</v>
      </c>
      <c r="C132" s="8">
        <f>VLOOKUP(A132,[2]ShobizMGMReportResults!$E:$L,8,FALSE)</f>
        <v>192445</v>
      </c>
      <c r="D132" s="8">
        <f>VLOOKUP(A132,[2]ShobizMGMReportResults!$E:$S,9,FALSE)</f>
        <v>0</v>
      </c>
      <c r="E132" s="8">
        <v>0</v>
      </c>
      <c r="F132" s="9">
        <f t="shared" si="6"/>
        <v>192445</v>
      </c>
      <c r="G132" s="9">
        <f t="shared" si="7"/>
        <v>0</v>
      </c>
      <c r="H132" s="8" t="b">
        <f t="shared" si="8"/>
        <v>1</v>
      </c>
      <c r="I132" s="15"/>
    </row>
    <row r="133" hidden="1" spans="1:9">
      <c r="A133" s="7" t="s">
        <v>147</v>
      </c>
      <c r="B133" s="8">
        <f>VLOOKUP(A133,'[1]MGM Report'!$D:$K,8,FALSE)</f>
        <v>0</v>
      </c>
      <c r="C133" s="8">
        <f>VLOOKUP(A133,[2]ShobizMGMReportResults!$E:$L,8,FALSE)</f>
        <v>0</v>
      </c>
      <c r="D133" s="8">
        <f>VLOOKUP(A133,[2]ShobizMGMReportResults!$E:$S,9,FALSE)</f>
        <v>0</v>
      </c>
      <c r="E133" s="8">
        <v>0</v>
      </c>
      <c r="F133" s="9">
        <f t="shared" si="6"/>
        <v>0</v>
      </c>
      <c r="G133" s="9">
        <f t="shared" si="7"/>
        <v>0</v>
      </c>
      <c r="H133" s="8" t="b">
        <f t="shared" si="8"/>
        <v>1</v>
      </c>
      <c r="I133" s="15"/>
    </row>
    <row r="134" hidden="1" spans="1:9">
      <c r="A134" s="7" t="s">
        <v>148</v>
      </c>
      <c r="B134" s="8">
        <f>VLOOKUP(A134,'[1]MGM Report'!$D:$K,8,FALSE)</f>
        <v>68559</v>
      </c>
      <c r="C134" s="8">
        <f>VLOOKUP(A134,[2]ShobizMGMReportResults!$E:$L,8,FALSE)</f>
        <v>59205</v>
      </c>
      <c r="D134" s="8">
        <f>VLOOKUP(A134,[2]ShobizMGMReportResults!$E:$S,9,FALSE)</f>
        <v>9354</v>
      </c>
      <c r="E134" s="8">
        <v>0</v>
      </c>
      <c r="F134" s="9">
        <f t="shared" si="6"/>
        <v>68559</v>
      </c>
      <c r="G134" s="9">
        <f t="shared" si="7"/>
        <v>0</v>
      </c>
      <c r="H134" s="8" t="b">
        <f t="shared" si="8"/>
        <v>1</v>
      </c>
      <c r="I134" s="15"/>
    </row>
    <row r="135" hidden="1" spans="1:9">
      <c r="A135" s="7" t="s">
        <v>149</v>
      </c>
      <c r="B135" s="8">
        <f>VLOOKUP(A135,'[1]MGM Report'!$D:$K,8,FALSE)</f>
        <v>151500</v>
      </c>
      <c r="C135" s="8">
        <f>VLOOKUP(A135,[2]ShobizMGMReportResults!$E:$L,8,FALSE)</f>
        <v>151500</v>
      </c>
      <c r="D135" s="8">
        <f>VLOOKUP(A135,[2]ShobizMGMReportResults!$E:$S,9,FALSE)</f>
        <v>0</v>
      </c>
      <c r="E135" s="8">
        <v>0</v>
      </c>
      <c r="F135" s="9">
        <f t="shared" si="6"/>
        <v>151500</v>
      </c>
      <c r="G135" s="9">
        <f t="shared" si="7"/>
        <v>0</v>
      </c>
      <c r="H135" s="8" t="b">
        <f t="shared" si="8"/>
        <v>1</v>
      </c>
      <c r="I135" s="15"/>
    </row>
    <row r="136" hidden="1" spans="1:9">
      <c r="A136" s="7" t="s">
        <v>150</v>
      </c>
      <c r="B136" s="8">
        <f>VLOOKUP(A136,'[1]MGM Report'!$D:$K,8,FALSE)</f>
        <v>24024</v>
      </c>
      <c r="C136" s="8">
        <f>VLOOKUP(A136,[2]ShobizMGMReportResults!$E:$L,8,FALSE)</f>
        <v>10000</v>
      </c>
      <c r="D136" s="8">
        <f>VLOOKUP(A136,[2]ShobizMGMReportResults!$E:$S,9,FALSE)</f>
        <v>14024</v>
      </c>
      <c r="E136" s="8">
        <v>0</v>
      </c>
      <c r="F136" s="9">
        <f t="shared" si="6"/>
        <v>24024</v>
      </c>
      <c r="G136" s="9">
        <f t="shared" si="7"/>
        <v>0</v>
      </c>
      <c r="H136" s="8" t="b">
        <f t="shared" si="8"/>
        <v>1</v>
      </c>
      <c r="I136" s="15"/>
    </row>
    <row r="137" hidden="1" spans="1:9">
      <c r="A137" s="7" t="s">
        <v>151</v>
      </c>
      <c r="B137" s="8">
        <f>VLOOKUP(A137,'[1]MGM Report'!$D:$K,8,FALSE)</f>
        <v>9400</v>
      </c>
      <c r="C137" s="8">
        <f>VLOOKUP(A137,[2]ShobizMGMReportResults!$E:$L,8,FALSE)</f>
        <v>9400</v>
      </c>
      <c r="D137" s="8">
        <f>VLOOKUP(A137,[2]ShobizMGMReportResults!$E:$S,9,FALSE)</f>
        <v>0</v>
      </c>
      <c r="E137" s="8">
        <v>0</v>
      </c>
      <c r="F137" s="9">
        <f t="shared" si="6"/>
        <v>9400</v>
      </c>
      <c r="G137" s="9">
        <f t="shared" si="7"/>
        <v>0</v>
      </c>
      <c r="H137" s="8" t="b">
        <f t="shared" si="8"/>
        <v>1</v>
      </c>
      <c r="I137" s="15"/>
    </row>
    <row r="138" hidden="1" spans="1:9">
      <c r="A138" s="7" t="s">
        <v>152</v>
      </c>
      <c r="B138" s="8">
        <f>VLOOKUP(A138,'[1]MGM Report'!$D:$K,8,FALSE)</f>
        <v>0</v>
      </c>
      <c r="C138" s="8">
        <f>VLOOKUP(A138,[2]ShobizMGMReportResults!$E:$L,8,FALSE)</f>
        <v>0</v>
      </c>
      <c r="D138" s="8">
        <f>VLOOKUP(A138,[2]ShobizMGMReportResults!$E:$S,9,FALSE)</f>
        <v>0</v>
      </c>
      <c r="E138" s="8">
        <v>0</v>
      </c>
      <c r="F138" s="9">
        <f t="shared" si="6"/>
        <v>0</v>
      </c>
      <c r="G138" s="9">
        <f t="shared" si="7"/>
        <v>0</v>
      </c>
      <c r="H138" s="8" t="b">
        <f t="shared" si="8"/>
        <v>1</v>
      </c>
      <c r="I138" s="15"/>
    </row>
    <row r="139" hidden="1" spans="1:9">
      <c r="A139" s="7" t="s">
        <v>153</v>
      </c>
      <c r="B139" s="8">
        <f>VLOOKUP(A139,'[1]MGM Report'!$D:$K,8,FALSE)</f>
        <v>33353</v>
      </c>
      <c r="C139" s="8">
        <f>VLOOKUP(A139,[2]ShobizMGMReportResults!$E:$L,8,FALSE)</f>
        <v>33353</v>
      </c>
      <c r="D139" s="8">
        <f>VLOOKUP(A139,[2]ShobizMGMReportResults!$E:$S,9,FALSE)</f>
        <v>0</v>
      </c>
      <c r="E139" s="8">
        <v>0</v>
      </c>
      <c r="F139" s="9">
        <f t="shared" si="6"/>
        <v>33353</v>
      </c>
      <c r="G139" s="9">
        <f t="shared" si="7"/>
        <v>0</v>
      </c>
      <c r="H139" s="8" t="b">
        <f t="shared" si="8"/>
        <v>1</v>
      </c>
      <c r="I139" s="15"/>
    </row>
    <row r="140" hidden="1" spans="1:9">
      <c r="A140" s="7" t="s">
        <v>154</v>
      </c>
      <c r="B140" s="8">
        <f>VLOOKUP(A140,'[1]MGM Report'!$D:$K,8,FALSE)</f>
        <v>0</v>
      </c>
      <c r="C140" s="8">
        <f>VLOOKUP(A140,[2]ShobizMGMReportResults!$E:$L,8,FALSE)</f>
        <v>0</v>
      </c>
      <c r="D140" s="8">
        <f>VLOOKUP(A140,[2]ShobizMGMReportResults!$E:$S,9,FALSE)</f>
        <v>0</v>
      </c>
      <c r="E140" s="8">
        <v>0</v>
      </c>
      <c r="F140" s="9">
        <f t="shared" si="6"/>
        <v>0</v>
      </c>
      <c r="G140" s="9">
        <f t="shared" si="7"/>
        <v>0</v>
      </c>
      <c r="H140" s="8" t="b">
        <f t="shared" si="8"/>
        <v>1</v>
      </c>
      <c r="I140" s="15"/>
    </row>
    <row r="141" hidden="1" spans="1:9">
      <c r="A141" s="7" t="s">
        <v>155</v>
      </c>
      <c r="B141" s="8">
        <f>VLOOKUP(A141,'[1]MGM Report'!$D:$K,8,FALSE)</f>
        <v>0</v>
      </c>
      <c r="C141" s="8">
        <f>VLOOKUP(A141,[2]ShobizMGMReportResults!$E:$L,8,FALSE)</f>
        <v>0</v>
      </c>
      <c r="D141" s="8">
        <f>VLOOKUP(A141,[2]ShobizMGMReportResults!$E:$S,9,FALSE)</f>
        <v>0</v>
      </c>
      <c r="E141" s="8">
        <v>0</v>
      </c>
      <c r="F141" s="9">
        <f t="shared" si="6"/>
        <v>0</v>
      </c>
      <c r="G141" s="9">
        <f t="shared" si="7"/>
        <v>0</v>
      </c>
      <c r="H141" s="8" t="b">
        <f t="shared" si="8"/>
        <v>1</v>
      </c>
      <c r="I141" s="15"/>
    </row>
    <row r="142" hidden="1" spans="1:9">
      <c r="A142" s="7" t="s">
        <v>156</v>
      </c>
      <c r="B142" s="8">
        <f>VLOOKUP(A142,'[1]MGM Report'!$D:$K,8,FALSE)</f>
        <v>4000</v>
      </c>
      <c r="C142" s="8">
        <f>VLOOKUP(A142,[2]ShobizMGMReportResults!$E:$L,8,FALSE)</f>
        <v>4000</v>
      </c>
      <c r="D142" s="8">
        <f>VLOOKUP(A142,[2]ShobizMGMReportResults!$E:$S,9,FALSE)</f>
        <v>0</v>
      </c>
      <c r="E142" s="8">
        <v>0</v>
      </c>
      <c r="F142" s="9">
        <f t="shared" si="6"/>
        <v>4000</v>
      </c>
      <c r="G142" s="9">
        <f t="shared" si="7"/>
        <v>0</v>
      </c>
      <c r="H142" s="8" t="b">
        <f t="shared" si="8"/>
        <v>1</v>
      </c>
      <c r="I142" s="15"/>
    </row>
    <row r="143" hidden="1" spans="1:9">
      <c r="A143" s="7" t="s">
        <v>157</v>
      </c>
      <c r="B143" s="8">
        <f>VLOOKUP(A143,'[1]MGM Report'!$D:$K,8,FALSE)</f>
        <v>585000.79</v>
      </c>
      <c r="C143" s="8">
        <f>VLOOKUP(A143,[2]ShobizMGMReportResults!$E:$L,8,FALSE)</f>
        <v>585000.79</v>
      </c>
      <c r="D143" s="8">
        <f>VLOOKUP(A143,[2]ShobizMGMReportResults!$E:$S,9,FALSE)</f>
        <v>0</v>
      </c>
      <c r="E143" s="8">
        <v>0</v>
      </c>
      <c r="F143" s="9">
        <f t="shared" si="6"/>
        <v>585000.79</v>
      </c>
      <c r="G143" s="9">
        <f t="shared" si="7"/>
        <v>0</v>
      </c>
      <c r="H143" s="8" t="b">
        <f t="shared" si="8"/>
        <v>1</v>
      </c>
      <c r="I143" s="15"/>
    </row>
    <row r="144" hidden="1" spans="1:9">
      <c r="A144" s="7" t="s">
        <v>158</v>
      </c>
      <c r="B144" s="8">
        <f>VLOOKUP(A144,'[1]MGM Report'!$D:$K,8,FALSE)</f>
        <v>446136</v>
      </c>
      <c r="C144" s="8">
        <f>VLOOKUP(A144,[2]ShobizMGMReportResults!$E:$L,8,FALSE)</f>
        <v>433834</v>
      </c>
      <c r="D144" s="8">
        <f>VLOOKUP(A144,[2]ShobizMGMReportResults!$E:$S,9,FALSE)</f>
        <v>12302</v>
      </c>
      <c r="E144" s="8">
        <v>0</v>
      </c>
      <c r="F144" s="9">
        <f t="shared" si="6"/>
        <v>446136</v>
      </c>
      <c r="G144" s="9">
        <f t="shared" si="7"/>
        <v>0</v>
      </c>
      <c r="H144" s="8" t="b">
        <f t="shared" si="8"/>
        <v>1</v>
      </c>
      <c r="I144" s="15"/>
    </row>
    <row r="145" hidden="1" spans="1:9">
      <c r="A145" s="7" t="s">
        <v>159</v>
      </c>
      <c r="B145" s="8">
        <f>VLOOKUP(A145,'[1]MGM Report'!$D:$K,8,FALSE)</f>
        <v>0</v>
      </c>
      <c r="C145" s="8">
        <f>VLOOKUP(A145,[2]ShobizMGMReportResults!$E:$L,8,FALSE)</f>
        <v>0</v>
      </c>
      <c r="D145" s="8">
        <f>VLOOKUP(A145,[2]ShobizMGMReportResults!$E:$S,9,FALSE)</f>
        <v>0</v>
      </c>
      <c r="E145" s="8">
        <v>0</v>
      </c>
      <c r="F145" s="9">
        <f t="shared" si="6"/>
        <v>0</v>
      </c>
      <c r="G145" s="9">
        <f t="shared" si="7"/>
        <v>0</v>
      </c>
      <c r="H145" s="8" t="b">
        <f t="shared" si="8"/>
        <v>1</v>
      </c>
      <c r="I145" s="15"/>
    </row>
    <row r="146" hidden="1" spans="1:9">
      <c r="A146" s="7" t="s">
        <v>160</v>
      </c>
      <c r="B146" s="8">
        <f>VLOOKUP(A146,'[1]MGM Report'!$D:$K,8,FALSE)</f>
        <v>58820</v>
      </c>
      <c r="C146" s="8">
        <f>VLOOKUP(A146,[2]ShobizMGMReportResults!$E:$L,8,FALSE)</f>
        <v>58820</v>
      </c>
      <c r="D146" s="8">
        <f>VLOOKUP(A146,[2]ShobizMGMReportResults!$E:$S,9,FALSE)</f>
        <v>0</v>
      </c>
      <c r="E146" s="8">
        <v>0</v>
      </c>
      <c r="F146" s="9">
        <f t="shared" si="6"/>
        <v>58820</v>
      </c>
      <c r="G146" s="9">
        <f t="shared" si="7"/>
        <v>0</v>
      </c>
      <c r="H146" s="8" t="b">
        <f t="shared" si="8"/>
        <v>1</v>
      </c>
      <c r="I146" s="15"/>
    </row>
    <row r="147" hidden="1" spans="1:9">
      <c r="A147" s="7" t="s">
        <v>161</v>
      </c>
      <c r="B147" s="8">
        <f>VLOOKUP(A147,'[1]MGM Report'!$D:$K,8,FALSE)</f>
        <v>70000</v>
      </c>
      <c r="C147" s="8">
        <f>VLOOKUP(A147,[2]ShobizMGMReportResults!$E:$L,8,FALSE)</f>
        <v>70000</v>
      </c>
      <c r="D147" s="8">
        <f>VLOOKUP(A147,[2]ShobizMGMReportResults!$E:$S,9,FALSE)</f>
        <v>0</v>
      </c>
      <c r="E147" s="8">
        <v>0</v>
      </c>
      <c r="F147" s="9">
        <f t="shared" si="6"/>
        <v>70000</v>
      </c>
      <c r="G147" s="9">
        <f t="shared" si="7"/>
        <v>0</v>
      </c>
      <c r="H147" s="8" t="b">
        <f t="shared" si="8"/>
        <v>1</v>
      </c>
      <c r="I147" s="15"/>
    </row>
    <row r="148" hidden="1" spans="1:9">
      <c r="A148" s="7" t="s">
        <v>162</v>
      </c>
      <c r="B148" s="8">
        <f>VLOOKUP(A148,'[1]MGM Report'!$D:$K,8,FALSE)</f>
        <v>205612</v>
      </c>
      <c r="C148" s="8">
        <f>VLOOKUP(A148,[2]ShobizMGMReportResults!$E:$L,8,FALSE)</f>
        <v>205612</v>
      </c>
      <c r="D148" s="8">
        <f>VLOOKUP(A148,[2]ShobizMGMReportResults!$E:$S,9,FALSE)</f>
        <v>0</v>
      </c>
      <c r="E148" s="8">
        <v>0</v>
      </c>
      <c r="F148" s="9">
        <f t="shared" si="6"/>
        <v>205612</v>
      </c>
      <c r="G148" s="9">
        <f t="shared" si="7"/>
        <v>0</v>
      </c>
      <c r="H148" s="8" t="b">
        <f t="shared" si="8"/>
        <v>1</v>
      </c>
      <c r="I148" s="15"/>
    </row>
    <row r="149" hidden="1" spans="1:9">
      <c r="A149" s="7" t="s">
        <v>163</v>
      </c>
      <c r="B149" s="8">
        <f>VLOOKUP(A149,'[1]MGM Report'!$D:$K,8,FALSE)</f>
        <v>75591</v>
      </c>
      <c r="C149" s="8">
        <f>VLOOKUP(A149,[2]ShobizMGMReportResults!$E:$L,8,FALSE)</f>
        <v>74410</v>
      </c>
      <c r="D149" s="8">
        <f>VLOOKUP(A149,[2]ShobizMGMReportResults!$E:$S,9,FALSE)</f>
        <v>1181</v>
      </c>
      <c r="E149" s="8">
        <v>0</v>
      </c>
      <c r="F149" s="9">
        <f t="shared" si="6"/>
        <v>75591</v>
      </c>
      <c r="G149" s="9">
        <f t="shared" si="7"/>
        <v>0</v>
      </c>
      <c r="H149" s="8" t="b">
        <f t="shared" si="8"/>
        <v>1</v>
      </c>
      <c r="I149" s="15"/>
    </row>
    <row r="150" hidden="1" spans="1:9">
      <c r="A150" s="7" t="s">
        <v>164</v>
      </c>
      <c r="B150" s="8">
        <f>VLOOKUP(A150,'[1]MGM Report'!$D:$K,8,FALSE)</f>
        <v>58437.5</v>
      </c>
      <c r="C150" s="8">
        <f>VLOOKUP(A150,[2]ShobizMGMReportResults!$E:$L,8,FALSE)</f>
        <v>58437.5</v>
      </c>
      <c r="D150" s="8">
        <f>VLOOKUP(A150,[2]ShobizMGMReportResults!$E:$S,9,FALSE)</f>
        <v>0</v>
      </c>
      <c r="E150" s="8">
        <v>0</v>
      </c>
      <c r="F150" s="9">
        <f t="shared" si="6"/>
        <v>58437.5</v>
      </c>
      <c r="G150" s="9">
        <f t="shared" si="7"/>
        <v>0</v>
      </c>
      <c r="H150" s="8" t="b">
        <f t="shared" si="8"/>
        <v>1</v>
      </c>
      <c r="I150" s="15"/>
    </row>
    <row r="151" hidden="1" spans="1:9">
      <c r="A151" s="7" t="s">
        <v>165</v>
      </c>
      <c r="B151" s="8">
        <f>VLOOKUP(A151,'[1]MGM Report'!$D:$K,8,FALSE)</f>
        <v>4000</v>
      </c>
      <c r="C151" s="8">
        <f>VLOOKUP(A151,[2]ShobizMGMReportResults!$E:$L,8,FALSE)</f>
        <v>4000</v>
      </c>
      <c r="D151" s="8">
        <f>VLOOKUP(A151,[2]ShobizMGMReportResults!$E:$S,9,FALSE)</f>
        <v>0</v>
      </c>
      <c r="E151" s="8">
        <v>0</v>
      </c>
      <c r="F151" s="9">
        <f t="shared" si="6"/>
        <v>4000</v>
      </c>
      <c r="G151" s="9">
        <f t="shared" si="7"/>
        <v>0</v>
      </c>
      <c r="H151" s="8" t="b">
        <f t="shared" si="8"/>
        <v>1</v>
      </c>
      <c r="I151" s="15"/>
    </row>
    <row r="152" hidden="1" spans="1:9">
      <c r="A152" s="7" t="s">
        <v>166</v>
      </c>
      <c r="B152" s="8">
        <f>VLOOKUP(A152,'[1]MGM Report'!$D:$K,8,FALSE)</f>
        <v>6130</v>
      </c>
      <c r="C152" s="8">
        <f>VLOOKUP(A152,[2]ShobizMGMReportResults!$E:$L,8,FALSE)</f>
        <v>3000</v>
      </c>
      <c r="D152" s="8">
        <f>VLOOKUP(A152,[2]ShobizMGMReportResults!$E:$S,9,FALSE)</f>
        <v>3130</v>
      </c>
      <c r="E152" s="8">
        <v>0</v>
      </c>
      <c r="F152" s="9">
        <f t="shared" si="6"/>
        <v>6130</v>
      </c>
      <c r="G152" s="9">
        <f t="shared" si="7"/>
        <v>0</v>
      </c>
      <c r="H152" s="8" t="b">
        <f t="shared" si="8"/>
        <v>1</v>
      </c>
      <c r="I152" s="15"/>
    </row>
    <row r="153" hidden="1" spans="1:9">
      <c r="A153" s="7" t="s">
        <v>167</v>
      </c>
      <c r="B153" s="8">
        <f>VLOOKUP(A153,'[1]MGM Report'!$D:$K,8,FALSE)</f>
        <v>1650000</v>
      </c>
      <c r="C153" s="8">
        <f>VLOOKUP(A153,[2]ShobizMGMReportResults!$E:$L,8,FALSE)</f>
        <v>1650000</v>
      </c>
      <c r="D153" s="8">
        <f>VLOOKUP(A153,[2]ShobizMGMReportResults!$E:$S,9,FALSE)</f>
        <v>0</v>
      </c>
      <c r="E153" s="8">
        <v>0</v>
      </c>
      <c r="F153" s="9">
        <f t="shared" si="6"/>
        <v>1650000</v>
      </c>
      <c r="G153" s="9">
        <f t="shared" si="7"/>
        <v>0</v>
      </c>
      <c r="H153" s="8" t="b">
        <f t="shared" si="8"/>
        <v>1</v>
      </c>
      <c r="I153" s="15"/>
    </row>
    <row r="154" hidden="1" spans="1:9">
      <c r="A154" s="7" t="s">
        <v>168</v>
      </c>
      <c r="B154" s="8">
        <f>VLOOKUP(A154,'[1]MGM Report'!$D:$K,8,FALSE)</f>
        <v>0</v>
      </c>
      <c r="C154" s="8">
        <f>VLOOKUP(A154,[2]ShobizMGMReportResults!$E:$L,8,FALSE)</f>
        <v>0</v>
      </c>
      <c r="D154" s="8">
        <f>VLOOKUP(A154,[2]ShobizMGMReportResults!$E:$S,9,FALSE)</f>
        <v>0</v>
      </c>
      <c r="E154" s="8">
        <v>0</v>
      </c>
      <c r="F154" s="9">
        <f t="shared" si="6"/>
        <v>0</v>
      </c>
      <c r="G154" s="9">
        <f t="shared" si="7"/>
        <v>0</v>
      </c>
      <c r="H154" s="8" t="b">
        <f t="shared" si="8"/>
        <v>1</v>
      </c>
      <c r="I154" s="15"/>
    </row>
    <row r="155" hidden="1" spans="1:9">
      <c r="A155" s="7" t="s">
        <v>169</v>
      </c>
      <c r="B155" s="8">
        <f>VLOOKUP(A155,'[1]MGM Report'!$D:$K,8,FALSE)</f>
        <v>0</v>
      </c>
      <c r="C155" s="8">
        <f>VLOOKUP(A155,[2]ShobizMGMReportResults!$E:$L,8,FALSE)</f>
        <v>0</v>
      </c>
      <c r="D155" s="8">
        <f>VLOOKUP(A155,[2]ShobizMGMReportResults!$E:$S,9,FALSE)</f>
        <v>0</v>
      </c>
      <c r="E155" s="8">
        <v>0</v>
      </c>
      <c r="F155" s="9">
        <f t="shared" si="6"/>
        <v>0</v>
      </c>
      <c r="G155" s="9">
        <f t="shared" si="7"/>
        <v>0</v>
      </c>
      <c r="H155" s="8" t="b">
        <f t="shared" si="8"/>
        <v>1</v>
      </c>
      <c r="I155" s="15"/>
    </row>
    <row r="156" hidden="1" spans="1:9">
      <c r="A156" s="7" t="s">
        <v>170</v>
      </c>
      <c r="B156" s="8">
        <f>VLOOKUP(A156,'[1]MGM Report'!$D:$K,8,FALSE)</f>
        <v>36000</v>
      </c>
      <c r="C156" s="8">
        <f>VLOOKUP(A156,[2]ShobizMGMReportResults!$E:$L,8,FALSE)</f>
        <v>36000</v>
      </c>
      <c r="D156" s="8">
        <f>VLOOKUP(A156,[2]ShobizMGMReportResults!$E:$S,9,FALSE)</f>
        <v>0</v>
      </c>
      <c r="E156" s="8">
        <v>0</v>
      </c>
      <c r="F156" s="9">
        <f t="shared" si="6"/>
        <v>36000</v>
      </c>
      <c r="G156" s="9">
        <f t="shared" si="7"/>
        <v>0</v>
      </c>
      <c r="H156" s="8" t="b">
        <f t="shared" si="8"/>
        <v>1</v>
      </c>
      <c r="I156" s="15"/>
    </row>
    <row r="157" hidden="1" spans="1:9">
      <c r="A157" s="7" t="s">
        <v>171</v>
      </c>
      <c r="B157" s="8">
        <f>VLOOKUP(A157,'[1]MGM Report'!$D:$K,8,FALSE)</f>
        <v>11500</v>
      </c>
      <c r="C157" s="8">
        <f>VLOOKUP(A157,[2]ShobizMGMReportResults!$E:$L,8,FALSE)</f>
        <v>11500</v>
      </c>
      <c r="D157" s="8">
        <f>VLOOKUP(A157,[2]ShobizMGMReportResults!$E:$S,9,FALSE)</f>
        <v>0</v>
      </c>
      <c r="E157" s="8">
        <v>0</v>
      </c>
      <c r="F157" s="9">
        <f t="shared" si="6"/>
        <v>11500</v>
      </c>
      <c r="G157" s="9">
        <f t="shared" si="7"/>
        <v>0</v>
      </c>
      <c r="H157" s="8" t="b">
        <f t="shared" si="8"/>
        <v>1</v>
      </c>
      <c r="I157" s="15"/>
    </row>
    <row r="158" hidden="1" spans="1:9">
      <c r="A158" s="7" t="s">
        <v>172</v>
      </c>
      <c r="B158" s="8">
        <f>VLOOKUP(A158,'[1]MGM Report'!$D:$K,8,FALSE)</f>
        <v>0</v>
      </c>
      <c r="C158" s="8">
        <f>VLOOKUP(A158,[2]ShobizMGMReportResults!$E:$L,8,FALSE)</f>
        <v>0</v>
      </c>
      <c r="D158" s="8">
        <f>VLOOKUP(A158,[2]ShobizMGMReportResults!$E:$S,9,FALSE)</f>
        <v>0</v>
      </c>
      <c r="E158" s="8">
        <v>0</v>
      </c>
      <c r="F158" s="9">
        <f t="shared" si="6"/>
        <v>0</v>
      </c>
      <c r="G158" s="9">
        <f t="shared" si="7"/>
        <v>0</v>
      </c>
      <c r="H158" s="8" t="b">
        <f t="shared" si="8"/>
        <v>1</v>
      </c>
      <c r="I158" s="15"/>
    </row>
    <row r="159" hidden="1" spans="1:9">
      <c r="A159" s="7" t="s">
        <v>173</v>
      </c>
      <c r="B159" s="8">
        <f>VLOOKUP(A159,'[1]MGM Report'!$D:$K,8,FALSE)</f>
        <v>0</v>
      </c>
      <c r="C159" s="8">
        <f>VLOOKUP(A159,[2]ShobizMGMReportResults!$E:$L,8,FALSE)</f>
        <v>0</v>
      </c>
      <c r="D159" s="8">
        <f>VLOOKUP(A159,[2]ShobizMGMReportResults!$E:$S,9,FALSE)</f>
        <v>0</v>
      </c>
      <c r="E159" s="8">
        <v>0</v>
      </c>
      <c r="F159" s="9">
        <f t="shared" si="6"/>
        <v>0</v>
      </c>
      <c r="G159" s="9">
        <f t="shared" si="7"/>
        <v>0</v>
      </c>
      <c r="H159" s="8" t="b">
        <f t="shared" si="8"/>
        <v>1</v>
      </c>
      <c r="I159" s="15"/>
    </row>
    <row r="160" hidden="1" spans="1:9">
      <c r="A160" s="7" t="s">
        <v>174</v>
      </c>
      <c r="B160" s="8">
        <f>VLOOKUP(A160,'[1]MGM Report'!$D:$K,8,FALSE)</f>
        <v>2261631</v>
      </c>
      <c r="C160" s="8">
        <f>VLOOKUP(A160,[2]ShobizMGMReportResults!$E:$L,8,FALSE)</f>
        <v>2230141</v>
      </c>
      <c r="D160" s="8">
        <f>VLOOKUP(A160,[2]ShobizMGMReportResults!$E:$S,9,FALSE)</f>
        <v>31490</v>
      </c>
      <c r="E160" s="8">
        <v>0</v>
      </c>
      <c r="F160" s="9">
        <f t="shared" si="6"/>
        <v>2261631</v>
      </c>
      <c r="G160" s="9">
        <f t="shared" si="7"/>
        <v>0</v>
      </c>
      <c r="H160" s="8" t="b">
        <f t="shared" si="8"/>
        <v>1</v>
      </c>
      <c r="I160" s="15"/>
    </row>
    <row r="161" hidden="1" spans="1:9">
      <c r="A161" s="7" t="s">
        <v>175</v>
      </c>
      <c r="B161" s="8">
        <f>VLOOKUP(A161,'[1]MGM Report'!$D:$K,8,FALSE)</f>
        <v>490814</v>
      </c>
      <c r="C161" s="8">
        <f>VLOOKUP(A161,[2]ShobizMGMReportResults!$E:$L,8,FALSE)</f>
        <v>490814</v>
      </c>
      <c r="D161" s="8">
        <f>VLOOKUP(A161,[2]ShobizMGMReportResults!$E:$S,9,FALSE)</f>
        <v>0</v>
      </c>
      <c r="E161" s="8">
        <v>0</v>
      </c>
      <c r="F161" s="9">
        <f t="shared" si="6"/>
        <v>490814</v>
      </c>
      <c r="G161" s="9">
        <f t="shared" si="7"/>
        <v>0</v>
      </c>
      <c r="H161" s="8" t="b">
        <f t="shared" si="8"/>
        <v>1</v>
      </c>
      <c r="I161" s="15"/>
    </row>
    <row r="162" hidden="1" spans="1:9">
      <c r="A162" s="7" t="s">
        <v>176</v>
      </c>
      <c r="B162" s="8">
        <f>VLOOKUP(A162,'[1]MGM Report'!$D:$K,8,FALSE)</f>
        <v>614211</v>
      </c>
      <c r="C162" s="8">
        <f>VLOOKUP(A162,[2]ShobizMGMReportResults!$E:$L,8,FALSE)</f>
        <v>601271</v>
      </c>
      <c r="D162" s="8">
        <f>VLOOKUP(A162,[2]ShobizMGMReportResults!$E:$S,9,FALSE)</f>
        <v>12940</v>
      </c>
      <c r="E162" s="8">
        <v>0</v>
      </c>
      <c r="F162" s="9">
        <f t="shared" si="6"/>
        <v>614211</v>
      </c>
      <c r="G162" s="9">
        <f t="shared" si="7"/>
        <v>0</v>
      </c>
      <c r="H162" s="8" t="b">
        <f t="shared" si="8"/>
        <v>1</v>
      </c>
      <c r="I162" s="15"/>
    </row>
    <row r="163" hidden="1" spans="1:9">
      <c r="A163" s="7" t="s">
        <v>177</v>
      </c>
      <c r="B163" s="8">
        <f>VLOOKUP(A163,'[1]MGM Report'!$D:$K,8,FALSE)</f>
        <v>330740</v>
      </c>
      <c r="C163" s="8">
        <f>VLOOKUP(A163,[2]ShobizMGMReportResults!$E:$L,8,FALSE)</f>
        <v>330740</v>
      </c>
      <c r="D163" s="8">
        <f>VLOOKUP(A163,[2]ShobizMGMReportResults!$E:$S,9,FALSE)</f>
        <v>0</v>
      </c>
      <c r="E163" s="8">
        <v>0</v>
      </c>
      <c r="F163" s="9">
        <f t="shared" si="6"/>
        <v>330740</v>
      </c>
      <c r="G163" s="9">
        <f t="shared" si="7"/>
        <v>0</v>
      </c>
      <c r="H163" s="8" t="b">
        <f t="shared" si="8"/>
        <v>1</v>
      </c>
      <c r="I163" s="15"/>
    </row>
    <row r="164" hidden="1" spans="1:9">
      <c r="A164" s="7" t="s">
        <v>178</v>
      </c>
      <c r="B164" s="8">
        <f>VLOOKUP(A164,'[1]MGM Report'!$D:$K,8,FALSE)</f>
        <v>180250</v>
      </c>
      <c r="C164" s="8">
        <f>VLOOKUP(A164,[2]ShobizMGMReportResults!$E:$L,8,FALSE)</f>
        <v>180250</v>
      </c>
      <c r="D164" s="8">
        <f>VLOOKUP(A164,[2]ShobizMGMReportResults!$E:$S,9,FALSE)</f>
        <v>0</v>
      </c>
      <c r="E164" s="8">
        <v>0</v>
      </c>
      <c r="F164" s="9">
        <f t="shared" si="6"/>
        <v>180250</v>
      </c>
      <c r="G164" s="9">
        <f t="shared" si="7"/>
        <v>0</v>
      </c>
      <c r="H164" s="8" t="b">
        <f t="shared" si="8"/>
        <v>1</v>
      </c>
      <c r="I164" s="15"/>
    </row>
    <row r="165" hidden="1" spans="1:9">
      <c r="A165" s="7" t="s">
        <v>179</v>
      </c>
      <c r="B165" s="8">
        <f>VLOOKUP(A165,'[1]MGM Report'!$D:$K,8,FALSE)</f>
        <v>241305</v>
      </c>
      <c r="C165" s="8">
        <f>VLOOKUP(A165,[2]ShobizMGMReportResults!$E:$L,8,FALSE)</f>
        <v>205805</v>
      </c>
      <c r="D165" s="8">
        <f>VLOOKUP(A165,[2]ShobizMGMReportResults!$E:$S,9,FALSE)</f>
        <v>0</v>
      </c>
      <c r="E165" s="8">
        <f>VLOOKUP(A165,[3]ShobizPOwithProjectCodeBodyLev!$F:$I,4,FALSE)</f>
        <v>35500</v>
      </c>
      <c r="F165" s="9">
        <f t="shared" si="6"/>
        <v>241305</v>
      </c>
      <c r="G165" s="9">
        <f t="shared" si="7"/>
        <v>0</v>
      </c>
      <c r="H165" s="8" t="b">
        <f t="shared" si="8"/>
        <v>1</v>
      </c>
      <c r="I165" s="15"/>
    </row>
    <row r="166" hidden="1" spans="1:9">
      <c r="A166" s="7" t="s">
        <v>180</v>
      </c>
      <c r="B166" s="8">
        <f>VLOOKUP(A166,'[1]MGM Report'!$D:$K,8,FALSE)</f>
        <v>569191.04</v>
      </c>
      <c r="C166" s="8">
        <f>VLOOKUP(A166,[2]ShobizMGMReportResults!$E:$L,8,FALSE)</f>
        <v>560504</v>
      </c>
      <c r="D166" s="8">
        <f>VLOOKUP(A166,[2]ShobizMGMReportResults!$E:$S,9,FALSE)</f>
        <v>8687.04</v>
      </c>
      <c r="E166" s="8">
        <v>0</v>
      </c>
      <c r="F166" s="9">
        <f t="shared" si="6"/>
        <v>569191.04</v>
      </c>
      <c r="G166" s="9">
        <f t="shared" si="7"/>
        <v>0</v>
      </c>
      <c r="H166" s="8" t="b">
        <f t="shared" si="8"/>
        <v>1</v>
      </c>
      <c r="I166" s="15"/>
    </row>
    <row r="167" hidden="1" spans="1:9">
      <c r="A167" s="7" t="s">
        <v>181</v>
      </c>
      <c r="B167" s="8">
        <f>VLOOKUP(A167,'[1]MGM Report'!$D:$K,8,FALSE)</f>
        <v>18000</v>
      </c>
      <c r="C167" s="8">
        <f>VLOOKUP(A167,[2]ShobizMGMReportResults!$E:$L,8,FALSE)</f>
        <v>18000</v>
      </c>
      <c r="D167" s="8">
        <f>VLOOKUP(A167,[2]ShobizMGMReportResults!$E:$S,9,FALSE)</f>
        <v>0</v>
      </c>
      <c r="E167" s="8">
        <v>0</v>
      </c>
      <c r="F167" s="9">
        <f t="shared" si="6"/>
        <v>18000</v>
      </c>
      <c r="G167" s="9">
        <f t="shared" si="7"/>
        <v>0</v>
      </c>
      <c r="H167" s="8" t="b">
        <f t="shared" si="8"/>
        <v>1</v>
      </c>
      <c r="I167" s="15"/>
    </row>
    <row r="168" hidden="1" spans="1:9">
      <c r="A168" s="7" t="s">
        <v>182</v>
      </c>
      <c r="B168" s="8">
        <f>VLOOKUP(A168,'[1]MGM Report'!$D:$K,8,FALSE)</f>
        <v>0</v>
      </c>
      <c r="C168" s="8">
        <f>VLOOKUP(A168,[2]ShobizMGMReportResults!$E:$L,8,FALSE)</f>
        <v>0</v>
      </c>
      <c r="D168" s="8">
        <f>VLOOKUP(A168,[2]ShobizMGMReportResults!$E:$S,9,FALSE)</f>
        <v>0</v>
      </c>
      <c r="E168" s="8">
        <v>0</v>
      </c>
      <c r="F168" s="9">
        <f t="shared" si="6"/>
        <v>0</v>
      </c>
      <c r="G168" s="9">
        <f t="shared" si="7"/>
        <v>0</v>
      </c>
      <c r="H168" s="8" t="b">
        <f t="shared" si="8"/>
        <v>1</v>
      </c>
      <c r="I168" s="15"/>
    </row>
    <row r="169" hidden="1" spans="1:9">
      <c r="A169" s="7" t="s">
        <v>183</v>
      </c>
      <c r="B169" s="8">
        <f>VLOOKUP(A169,'[1]MGM Report'!$D:$K,8,FALSE)</f>
        <v>0</v>
      </c>
      <c r="C169" s="8">
        <f>VLOOKUP(A169,[2]ShobizMGMReportResults!$E:$L,8,FALSE)</f>
        <v>0</v>
      </c>
      <c r="D169" s="8">
        <f>VLOOKUP(A169,[2]ShobizMGMReportResults!$E:$S,9,FALSE)</f>
        <v>0</v>
      </c>
      <c r="E169" s="8">
        <v>0</v>
      </c>
      <c r="F169" s="9">
        <f t="shared" si="6"/>
        <v>0</v>
      </c>
      <c r="G169" s="9">
        <f t="shared" si="7"/>
        <v>0</v>
      </c>
      <c r="H169" s="8" t="b">
        <f t="shared" si="8"/>
        <v>1</v>
      </c>
      <c r="I169" s="15"/>
    </row>
    <row r="170" hidden="1" spans="1:9">
      <c r="A170" s="7" t="s">
        <v>184</v>
      </c>
      <c r="B170" s="8">
        <f>VLOOKUP(A170,'[1]MGM Report'!$D:$K,8,FALSE)</f>
        <v>255000</v>
      </c>
      <c r="C170" s="8">
        <f>VLOOKUP(A170,[2]ShobizMGMReportResults!$E:$L,8,FALSE)</f>
        <v>255000</v>
      </c>
      <c r="D170" s="8">
        <f>VLOOKUP(A170,[2]ShobizMGMReportResults!$E:$S,9,FALSE)</f>
        <v>0</v>
      </c>
      <c r="E170" s="8">
        <v>0</v>
      </c>
      <c r="F170" s="9">
        <f t="shared" si="6"/>
        <v>255000</v>
      </c>
      <c r="G170" s="9">
        <f t="shared" si="7"/>
        <v>0</v>
      </c>
      <c r="H170" s="8" t="b">
        <f t="shared" si="8"/>
        <v>1</v>
      </c>
      <c r="I170" s="15"/>
    </row>
    <row r="171" hidden="1" spans="1:9">
      <c r="A171" s="7" t="s">
        <v>185</v>
      </c>
      <c r="B171" s="8">
        <f>VLOOKUP(A171,'[1]MGM Report'!$D:$K,8,FALSE)</f>
        <v>6379</v>
      </c>
      <c r="C171" s="8">
        <f>VLOOKUP(A171,[2]ShobizMGMReportResults!$E:$L,8,FALSE)</f>
        <v>0</v>
      </c>
      <c r="D171" s="8">
        <f>VLOOKUP(A171,[2]ShobizMGMReportResults!$E:$S,9,FALSE)</f>
        <v>6379</v>
      </c>
      <c r="E171" s="8">
        <v>0</v>
      </c>
      <c r="F171" s="9">
        <f t="shared" si="6"/>
        <v>6379</v>
      </c>
      <c r="G171" s="9">
        <f t="shared" si="7"/>
        <v>0</v>
      </c>
      <c r="H171" s="8" t="b">
        <f t="shared" si="8"/>
        <v>1</v>
      </c>
      <c r="I171" s="15"/>
    </row>
    <row r="172" hidden="1" spans="1:9">
      <c r="A172" s="7" t="s">
        <v>186</v>
      </c>
      <c r="B172" s="8">
        <f>VLOOKUP(A172,'[1]MGM Report'!$D:$K,8,FALSE)</f>
        <v>81190</v>
      </c>
      <c r="C172" s="8">
        <f>VLOOKUP(A172,[2]ShobizMGMReportResults!$E:$L,8,FALSE)</f>
        <v>80047</v>
      </c>
      <c r="D172" s="8">
        <f>VLOOKUP(A172,[2]ShobizMGMReportResults!$E:$S,9,FALSE)</f>
        <v>1143</v>
      </c>
      <c r="E172" s="8">
        <v>0</v>
      </c>
      <c r="F172" s="9">
        <f t="shared" si="6"/>
        <v>81190</v>
      </c>
      <c r="G172" s="9">
        <f t="shared" si="7"/>
        <v>0</v>
      </c>
      <c r="H172" s="8" t="b">
        <f t="shared" si="8"/>
        <v>1</v>
      </c>
      <c r="I172" s="15"/>
    </row>
    <row r="173" hidden="1" spans="1:9">
      <c r="A173" s="7" t="s">
        <v>187</v>
      </c>
      <c r="B173" s="8">
        <f>VLOOKUP(A173,'[1]MGM Report'!$D:$K,8,FALSE)</f>
        <v>81200</v>
      </c>
      <c r="C173" s="8">
        <f>VLOOKUP(A173,[2]ShobizMGMReportResults!$E:$L,8,FALSE)</f>
        <v>81200</v>
      </c>
      <c r="D173" s="8">
        <f>VLOOKUP(A173,[2]ShobizMGMReportResults!$E:$S,9,FALSE)</f>
        <v>0</v>
      </c>
      <c r="E173" s="8">
        <v>0</v>
      </c>
      <c r="F173" s="9">
        <f t="shared" si="6"/>
        <v>81200</v>
      </c>
      <c r="G173" s="9">
        <f t="shared" si="7"/>
        <v>0</v>
      </c>
      <c r="H173" s="8" t="b">
        <f t="shared" si="8"/>
        <v>1</v>
      </c>
      <c r="I173" s="15"/>
    </row>
    <row r="174" hidden="1" spans="1:9">
      <c r="A174" s="7" t="s">
        <v>188</v>
      </c>
      <c r="B174" s="8">
        <f>VLOOKUP(A174,'[1]MGM Report'!$D:$K,8,FALSE)</f>
        <v>15000</v>
      </c>
      <c r="C174" s="8">
        <f>VLOOKUP(A174,[2]ShobizMGMReportResults!$E:$L,8,FALSE)</f>
        <v>15000</v>
      </c>
      <c r="D174" s="8">
        <f>VLOOKUP(A174,[2]ShobizMGMReportResults!$E:$S,9,FALSE)</f>
        <v>0</v>
      </c>
      <c r="E174" s="8">
        <v>0</v>
      </c>
      <c r="F174" s="9">
        <f t="shared" si="6"/>
        <v>15000</v>
      </c>
      <c r="G174" s="9">
        <f t="shared" si="7"/>
        <v>0</v>
      </c>
      <c r="H174" s="8" t="b">
        <f t="shared" si="8"/>
        <v>1</v>
      </c>
      <c r="I174" s="15"/>
    </row>
    <row r="175" hidden="1" spans="1:9">
      <c r="A175" s="7" t="s">
        <v>189</v>
      </c>
      <c r="B175" s="8">
        <f>VLOOKUP(A175,'[1]MGM Report'!$D:$K,8,FALSE)</f>
        <v>640954.03</v>
      </c>
      <c r="C175" s="8">
        <f>VLOOKUP(A175,[2]ShobizMGMReportResults!$E:$L,8,FALSE)</f>
        <v>615388.76</v>
      </c>
      <c r="D175" s="8">
        <f>VLOOKUP(A175,[2]ShobizMGMReportResults!$E:$S,9,FALSE)</f>
        <v>25565.27</v>
      </c>
      <c r="E175" s="8">
        <v>0</v>
      </c>
      <c r="F175" s="9">
        <f t="shared" si="6"/>
        <v>640954.03</v>
      </c>
      <c r="G175" s="9">
        <f t="shared" si="7"/>
        <v>0</v>
      </c>
      <c r="H175" s="8" t="b">
        <f t="shared" si="8"/>
        <v>1</v>
      </c>
      <c r="I175" s="15"/>
    </row>
    <row r="176" hidden="1" spans="1:9">
      <c r="A176" s="7" t="s">
        <v>190</v>
      </c>
      <c r="B176" s="8">
        <f>VLOOKUP(A176,'[1]MGM Report'!$D:$K,8,FALSE)</f>
        <v>15407</v>
      </c>
      <c r="C176" s="8">
        <f>VLOOKUP(A176,[2]ShobizMGMReportResults!$E:$L,8,FALSE)</f>
        <v>15407</v>
      </c>
      <c r="D176" s="8">
        <f>VLOOKUP(A176,[2]ShobizMGMReportResults!$E:$S,9,FALSE)</f>
        <v>0</v>
      </c>
      <c r="E176" s="8">
        <v>0</v>
      </c>
      <c r="F176" s="9">
        <f t="shared" si="6"/>
        <v>15407</v>
      </c>
      <c r="G176" s="9">
        <f t="shared" si="7"/>
        <v>0</v>
      </c>
      <c r="H176" s="8" t="b">
        <f t="shared" si="8"/>
        <v>1</v>
      </c>
      <c r="I176" s="15"/>
    </row>
    <row r="177" hidden="1" spans="1:9">
      <c r="A177" s="7" t="s">
        <v>191</v>
      </c>
      <c r="B177" s="8">
        <f>VLOOKUP(A177,'[1]MGM Report'!$D:$K,8,FALSE)</f>
        <v>15150</v>
      </c>
      <c r="C177" s="8">
        <f>VLOOKUP(A177,[2]ShobizMGMReportResults!$E:$L,8,FALSE)</f>
        <v>15150</v>
      </c>
      <c r="D177" s="8">
        <f>VLOOKUP(A177,[2]ShobizMGMReportResults!$E:$S,9,FALSE)</f>
        <v>0</v>
      </c>
      <c r="E177" s="8">
        <v>0</v>
      </c>
      <c r="F177" s="9">
        <f t="shared" si="6"/>
        <v>15150</v>
      </c>
      <c r="G177" s="9">
        <f t="shared" si="7"/>
        <v>0</v>
      </c>
      <c r="H177" s="8" t="b">
        <f t="shared" si="8"/>
        <v>1</v>
      </c>
      <c r="I177" s="15"/>
    </row>
    <row r="178" hidden="1" spans="1:9">
      <c r="A178" s="7" t="s">
        <v>192</v>
      </c>
      <c r="B178" s="8">
        <f>VLOOKUP(A178,'[1]MGM Report'!$D:$K,8,FALSE)</f>
        <v>620826.06</v>
      </c>
      <c r="C178" s="8">
        <f>VLOOKUP(A178,[2]ShobizMGMReportResults!$E:$L,8,FALSE)</f>
        <v>620826.06</v>
      </c>
      <c r="D178" s="8">
        <f>VLOOKUP(A178,[2]ShobizMGMReportResults!$E:$S,9,FALSE)</f>
        <v>0</v>
      </c>
      <c r="E178" s="8">
        <v>0</v>
      </c>
      <c r="F178" s="9">
        <f t="shared" si="6"/>
        <v>620826.06</v>
      </c>
      <c r="G178" s="9">
        <f t="shared" si="7"/>
        <v>0</v>
      </c>
      <c r="H178" s="8" t="b">
        <f t="shared" si="8"/>
        <v>1</v>
      </c>
      <c r="I178" s="15"/>
    </row>
    <row r="179" hidden="1" spans="1:9">
      <c r="A179" s="7" t="s">
        <v>193</v>
      </c>
      <c r="B179" s="8">
        <f>VLOOKUP(A179,'[1]MGM Report'!$D:$K,8,FALSE)</f>
        <v>3154805.5</v>
      </c>
      <c r="C179" s="8">
        <f>VLOOKUP(A179,[2]ShobizMGMReportResults!$E:$L,8,FALSE)</f>
        <v>3145315.5</v>
      </c>
      <c r="D179" s="8">
        <f>VLOOKUP(A179,[2]ShobizMGMReportResults!$E:$S,9,FALSE)</f>
        <v>9490</v>
      </c>
      <c r="E179" s="8">
        <v>0</v>
      </c>
      <c r="F179" s="9">
        <f t="shared" si="6"/>
        <v>3154805.5</v>
      </c>
      <c r="G179" s="9">
        <f t="shared" si="7"/>
        <v>0</v>
      </c>
      <c r="H179" s="8" t="b">
        <f t="shared" si="8"/>
        <v>1</v>
      </c>
      <c r="I179" s="15"/>
    </row>
    <row r="180" hidden="1" spans="1:9">
      <c r="A180" s="7" t="s">
        <v>194</v>
      </c>
      <c r="B180" s="8">
        <f>VLOOKUP(A180,'[1]MGM Report'!$D:$K,8,FALSE)</f>
        <v>0</v>
      </c>
      <c r="C180" s="8">
        <f>VLOOKUP(A180,[2]ShobizMGMReportResults!$E:$L,8,FALSE)</f>
        <v>0</v>
      </c>
      <c r="D180" s="8">
        <f>VLOOKUP(A180,[2]ShobizMGMReportResults!$E:$S,9,FALSE)</f>
        <v>0</v>
      </c>
      <c r="E180" s="8">
        <v>0</v>
      </c>
      <c r="F180" s="9">
        <f t="shared" si="6"/>
        <v>0</v>
      </c>
      <c r="G180" s="9">
        <f t="shared" si="7"/>
        <v>0</v>
      </c>
      <c r="H180" s="8" t="b">
        <f t="shared" si="8"/>
        <v>1</v>
      </c>
      <c r="I180" s="15"/>
    </row>
    <row r="181" hidden="1" spans="1:9">
      <c r="A181" s="7" t="s">
        <v>195</v>
      </c>
      <c r="B181" s="8">
        <f>VLOOKUP(A181,'[1]MGM Report'!$D:$K,8,FALSE)</f>
        <v>1337624.19</v>
      </c>
      <c r="C181" s="8">
        <f>VLOOKUP(A181,[2]ShobizMGMReportResults!$E:$L,8,FALSE)</f>
        <v>1302957.19</v>
      </c>
      <c r="D181" s="8">
        <f>VLOOKUP(A181,[2]ShobizMGMReportResults!$E:$S,9,FALSE)</f>
        <v>34667</v>
      </c>
      <c r="E181" s="8">
        <v>0</v>
      </c>
      <c r="F181" s="9">
        <f t="shared" si="6"/>
        <v>1337624.19</v>
      </c>
      <c r="G181" s="9">
        <f t="shared" si="7"/>
        <v>0</v>
      </c>
      <c r="H181" s="8" t="b">
        <f t="shared" si="8"/>
        <v>1</v>
      </c>
      <c r="I181" s="15"/>
    </row>
    <row r="182" hidden="1" spans="1:9">
      <c r="A182" s="7" t="s">
        <v>196</v>
      </c>
      <c r="B182" s="8">
        <f>VLOOKUP(A182,'[1]MGM Report'!$D:$K,8,FALSE)</f>
        <v>0</v>
      </c>
      <c r="C182" s="8">
        <f>VLOOKUP(A182,[2]ShobizMGMReportResults!$E:$L,8,FALSE)</f>
        <v>0</v>
      </c>
      <c r="D182" s="8">
        <f>VLOOKUP(A182,[2]ShobizMGMReportResults!$E:$S,9,FALSE)</f>
        <v>0</v>
      </c>
      <c r="E182" s="8">
        <v>0</v>
      </c>
      <c r="F182" s="9">
        <f t="shared" si="6"/>
        <v>0</v>
      </c>
      <c r="G182" s="9">
        <f t="shared" si="7"/>
        <v>0</v>
      </c>
      <c r="H182" s="8" t="b">
        <f t="shared" si="8"/>
        <v>1</v>
      </c>
      <c r="I182" s="15"/>
    </row>
    <row r="183" hidden="1" spans="1:9">
      <c r="A183" s="7" t="s">
        <v>197</v>
      </c>
      <c r="B183" s="8">
        <f>VLOOKUP(A183,'[1]MGM Report'!$D:$K,8,FALSE)</f>
        <v>1073620.06</v>
      </c>
      <c r="C183" s="8">
        <f>VLOOKUP(A183,[2]ShobizMGMReportResults!$E:$L,8,FALSE)</f>
        <v>990284.45</v>
      </c>
      <c r="D183" s="8">
        <f>VLOOKUP(A183,[2]ShobizMGMReportResults!$E:$S,9,FALSE)</f>
        <v>83335.61</v>
      </c>
      <c r="E183" s="8">
        <v>0</v>
      </c>
      <c r="F183" s="9">
        <f t="shared" si="6"/>
        <v>1073620.06</v>
      </c>
      <c r="G183" s="9">
        <f t="shared" si="7"/>
        <v>0</v>
      </c>
      <c r="H183" s="8" t="b">
        <f t="shared" si="8"/>
        <v>1</v>
      </c>
      <c r="I183" s="15"/>
    </row>
    <row r="184" hidden="1" spans="1:9">
      <c r="A184" s="7" t="s">
        <v>198</v>
      </c>
      <c r="B184" s="8">
        <f>VLOOKUP(A184,'[1]MGM Report'!$D:$K,8,FALSE)</f>
        <v>0</v>
      </c>
      <c r="C184" s="8">
        <f>VLOOKUP(A184,[2]ShobizMGMReportResults!$E:$L,8,FALSE)</f>
        <v>0</v>
      </c>
      <c r="D184" s="8">
        <f>VLOOKUP(A184,[2]ShobizMGMReportResults!$E:$S,9,FALSE)</f>
        <v>0</v>
      </c>
      <c r="E184" s="8">
        <v>0</v>
      </c>
      <c r="F184" s="9">
        <f t="shared" si="6"/>
        <v>0</v>
      </c>
      <c r="G184" s="9">
        <f t="shared" si="7"/>
        <v>0</v>
      </c>
      <c r="H184" s="8" t="b">
        <f t="shared" si="8"/>
        <v>1</v>
      </c>
      <c r="I184" s="15"/>
    </row>
    <row r="185" spans="1:9">
      <c r="A185" s="10" t="s">
        <v>199</v>
      </c>
      <c r="B185" s="11">
        <f>VLOOKUP(A185,'[1]MGM Report'!$D:$K,8,FALSE)</f>
        <v>14050951.51</v>
      </c>
      <c r="C185" s="11">
        <f>VLOOKUP(A185,[2]ShobizMGMReportResults!$E:$L,8,FALSE)</f>
        <v>13992658.51</v>
      </c>
      <c r="D185" s="11">
        <f>VLOOKUP(A185,[2]ShobizMGMReportResults!$E:$S,9,FALSE)</f>
        <v>108677</v>
      </c>
      <c r="E185" s="18">
        <v>0</v>
      </c>
      <c r="F185" s="12">
        <f t="shared" si="6"/>
        <v>14101335.51</v>
      </c>
      <c r="G185" s="12">
        <f>B185-F185</f>
        <v>-50384</v>
      </c>
      <c r="H185" s="11" t="b">
        <f t="shared" si="8"/>
        <v>0</v>
      </c>
      <c r="I185" s="17" t="s">
        <v>200</v>
      </c>
    </row>
    <row r="186" spans="1:9">
      <c r="A186" s="10" t="s">
        <v>201</v>
      </c>
      <c r="B186" s="11">
        <f>VLOOKUP(A186,'[1]MGM Report'!$D:$K,8,FALSE)</f>
        <v>1799035.11</v>
      </c>
      <c r="C186" s="11">
        <f>VLOOKUP(A186,[2]ShobizMGMReportResults!$E:$L,8,FALSE)</f>
        <v>1855018.71</v>
      </c>
      <c r="D186" s="11">
        <f>VLOOKUP(A186,[2]ShobizMGMReportResults!$E:$S,9,FALSE)</f>
        <v>5377</v>
      </c>
      <c r="E186" s="18">
        <v>0</v>
      </c>
      <c r="F186" s="12">
        <f t="shared" si="6"/>
        <v>1860395.71</v>
      </c>
      <c r="G186" s="12">
        <f>B186-F186</f>
        <v>-61360.5999999999</v>
      </c>
      <c r="H186" s="11" t="b">
        <f t="shared" si="8"/>
        <v>0</v>
      </c>
      <c r="I186" s="17" t="s">
        <v>202</v>
      </c>
    </row>
    <row r="187" hidden="1" spans="1:9">
      <c r="A187" s="7" t="s">
        <v>203</v>
      </c>
      <c r="B187" s="8">
        <f>VLOOKUP(A187,'[1]MGM Report'!$D:$K,8,FALSE)</f>
        <v>329500</v>
      </c>
      <c r="C187" s="8">
        <f>VLOOKUP(A187,[2]ShobizMGMReportResults!$E:$L,8,FALSE)</f>
        <v>329500</v>
      </c>
      <c r="D187" s="8">
        <f>VLOOKUP(A187,[2]ShobizMGMReportResults!$E:$S,9,FALSE)</f>
        <v>0</v>
      </c>
      <c r="E187" s="8">
        <v>0</v>
      </c>
      <c r="F187" s="9">
        <f t="shared" si="6"/>
        <v>329500</v>
      </c>
      <c r="G187" s="9">
        <f t="shared" si="7"/>
        <v>0</v>
      </c>
      <c r="H187" s="8" t="b">
        <f t="shared" si="8"/>
        <v>1</v>
      </c>
      <c r="I187" s="15"/>
    </row>
    <row r="188" hidden="1" spans="1:9">
      <c r="A188" s="7" t="s">
        <v>204</v>
      </c>
      <c r="B188" s="8">
        <f>VLOOKUP(A188,'[1]MGM Report'!$D:$K,8,FALSE)</f>
        <v>1930784.69</v>
      </c>
      <c r="C188" s="8">
        <f>VLOOKUP(A188,[2]ShobizMGMReportResults!$E:$L,8,FALSE)</f>
        <v>1930784.69</v>
      </c>
      <c r="D188" s="8">
        <f>VLOOKUP(A188,[2]ShobizMGMReportResults!$E:$S,9,FALSE)</f>
        <v>0</v>
      </c>
      <c r="E188" s="8">
        <v>0</v>
      </c>
      <c r="F188" s="9">
        <f t="shared" si="6"/>
        <v>1930784.69</v>
      </c>
      <c r="G188" s="9">
        <f t="shared" si="7"/>
        <v>0</v>
      </c>
      <c r="H188" s="8" t="b">
        <f t="shared" si="8"/>
        <v>1</v>
      </c>
      <c r="I188" s="15"/>
    </row>
    <row r="189" hidden="1" spans="1:9">
      <c r="A189" s="7" t="s">
        <v>205</v>
      </c>
      <c r="B189" s="8">
        <f>VLOOKUP(A189,'[1]MGM Report'!$D:$K,8,FALSE)</f>
        <v>4853328</v>
      </c>
      <c r="C189" s="8">
        <f>VLOOKUP(A189,[2]ShobizMGMReportResults!$E:$L,8,FALSE)</f>
        <v>4796619</v>
      </c>
      <c r="D189" s="8">
        <f>VLOOKUP(A189,[2]ShobizMGMReportResults!$E:$S,9,FALSE)</f>
        <v>56709</v>
      </c>
      <c r="E189" s="8">
        <v>0</v>
      </c>
      <c r="F189" s="9">
        <f t="shared" si="6"/>
        <v>4853328</v>
      </c>
      <c r="G189" s="9">
        <f t="shared" si="7"/>
        <v>0</v>
      </c>
      <c r="H189" s="8" t="b">
        <f t="shared" si="8"/>
        <v>1</v>
      </c>
      <c r="I189" s="15"/>
    </row>
    <row r="190" hidden="1" spans="1:9">
      <c r="A190" s="7" t="s">
        <v>206</v>
      </c>
      <c r="B190" s="8">
        <f>VLOOKUP(A190,'[1]MGM Report'!$D:$K,8,FALSE)</f>
        <v>2721802</v>
      </c>
      <c r="C190" s="8">
        <f>VLOOKUP(A190,[2]ShobizMGMReportResults!$E:$L,8,FALSE)</f>
        <v>2721618</v>
      </c>
      <c r="D190" s="8">
        <f>VLOOKUP(A190,[2]ShobizMGMReportResults!$E:$S,9,FALSE)</f>
        <v>184</v>
      </c>
      <c r="E190" s="8">
        <v>0</v>
      </c>
      <c r="F190" s="9">
        <f t="shared" si="6"/>
        <v>2721802</v>
      </c>
      <c r="G190" s="9">
        <f t="shared" si="7"/>
        <v>0</v>
      </c>
      <c r="H190" s="8" t="b">
        <f t="shared" si="8"/>
        <v>1</v>
      </c>
      <c r="I190" s="15"/>
    </row>
    <row r="191" hidden="1" spans="1:9">
      <c r="A191" s="7" t="s">
        <v>207</v>
      </c>
      <c r="B191" s="8">
        <f>VLOOKUP(A191,'[1]MGM Report'!$D:$K,8,FALSE)</f>
        <v>0</v>
      </c>
      <c r="C191" s="8">
        <f>VLOOKUP(A191,[2]ShobizMGMReportResults!$E:$L,8,FALSE)</f>
        <v>0</v>
      </c>
      <c r="D191" s="8">
        <f>VLOOKUP(A191,[2]ShobizMGMReportResults!$E:$S,9,FALSE)</f>
        <v>0</v>
      </c>
      <c r="E191" s="8">
        <v>0</v>
      </c>
      <c r="F191" s="9">
        <f t="shared" si="6"/>
        <v>0</v>
      </c>
      <c r="G191" s="9">
        <f t="shared" si="7"/>
        <v>0</v>
      </c>
      <c r="H191" s="8" t="b">
        <f t="shared" si="8"/>
        <v>1</v>
      </c>
      <c r="I191" s="15"/>
    </row>
    <row r="192" hidden="1" spans="1:9">
      <c r="A192" s="7" t="s">
        <v>208</v>
      </c>
      <c r="B192" s="8">
        <f>VLOOKUP(A192,'[1]MGM Report'!$D:$K,8,FALSE)</f>
        <v>0</v>
      </c>
      <c r="C192" s="8">
        <f>VLOOKUP(A192,[2]ShobizMGMReportResults!$E:$L,8,FALSE)</f>
        <v>0</v>
      </c>
      <c r="D192" s="8">
        <f>VLOOKUP(A192,[2]ShobizMGMReportResults!$E:$S,9,FALSE)</f>
        <v>0</v>
      </c>
      <c r="E192" s="8">
        <v>0</v>
      </c>
      <c r="F192" s="9">
        <f t="shared" si="6"/>
        <v>0</v>
      </c>
      <c r="G192" s="9">
        <f t="shared" si="7"/>
        <v>0</v>
      </c>
      <c r="H192" s="8" t="b">
        <f t="shared" si="8"/>
        <v>1</v>
      </c>
      <c r="I192" s="15"/>
    </row>
    <row r="193" hidden="1" spans="1:9">
      <c r="A193" s="7" t="s">
        <v>209</v>
      </c>
      <c r="B193" s="8">
        <f>VLOOKUP(A193,'[1]MGM Report'!$D:$K,8,FALSE)</f>
        <v>0</v>
      </c>
      <c r="C193" s="8">
        <f>VLOOKUP(A193,[2]ShobizMGMReportResults!$E:$L,8,FALSE)</f>
        <v>0</v>
      </c>
      <c r="D193" s="8">
        <f>VLOOKUP(A193,[2]ShobizMGMReportResults!$E:$S,9,FALSE)</f>
        <v>0</v>
      </c>
      <c r="E193" s="8">
        <v>0</v>
      </c>
      <c r="F193" s="9">
        <f t="shared" si="6"/>
        <v>0</v>
      </c>
      <c r="G193" s="9">
        <f t="shared" si="7"/>
        <v>0</v>
      </c>
      <c r="H193" s="8" t="b">
        <f t="shared" si="8"/>
        <v>1</v>
      </c>
      <c r="I193" s="15"/>
    </row>
    <row r="194" hidden="1" spans="1:9">
      <c r="A194" s="7" t="s">
        <v>210</v>
      </c>
      <c r="B194" s="8">
        <f>VLOOKUP(A194,'[1]MGM Report'!$D:$K,8,FALSE)</f>
        <v>0</v>
      </c>
      <c r="C194" s="8">
        <f>VLOOKUP(A194,[2]ShobizMGMReportResults!$E:$L,8,FALSE)</f>
        <v>0</v>
      </c>
      <c r="D194" s="8">
        <f>VLOOKUP(A194,[2]ShobizMGMReportResults!$E:$S,9,FALSE)</f>
        <v>0</v>
      </c>
      <c r="E194" s="8">
        <v>0</v>
      </c>
      <c r="F194" s="9">
        <f t="shared" si="6"/>
        <v>0</v>
      </c>
      <c r="G194" s="9">
        <f t="shared" si="7"/>
        <v>0</v>
      </c>
      <c r="H194" s="8" t="b">
        <f t="shared" si="8"/>
        <v>1</v>
      </c>
      <c r="I194" s="15"/>
    </row>
    <row r="195" hidden="1" spans="1:9">
      <c r="A195" s="7" t="s">
        <v>211</v>
      </c>
      <c r="B195" s="8">
        <f>VLOOKUP(A195,'[1]MGM Report'!$D:$K,8,FALSE)</f>
        <v>0</v>
      </c>
      <c r="C195" s="8">
        <f>VLOOKUP(A195,[2]ShobizMGMReportResults!$E:$L,8,FALSE)</f>
        <v>0</v>
      </c>
      <c r="D195" s="8">
        <f>VLOOKUP(A195,[2]ShobizMGMReportResults!$E:$S,9,FALSE)</f>
        <v>0</v>
      </c>
      <c r="E195" s="8">
        <v>0</v>
      </c>
      <c r="F195" s="9">
        <f t="shared" ref="F195:F241" si="9">SUM(C195:E195)</f>
        <v>0</v>
      </c>
      <c r="G195" s="9">
        <f t="shared" ref="G195:G241" si="10">F195-B195</f>
        <v>0</v>
      </c>
      <c r="H195" s="8" t="b">
        <f t="shared" ref="H195:H240" si="11">F195=B195</f>
        <v>1</v>
      </c>
      <c r="I195" s="15"/>
    </row>
    <row r="196" hidden="1" spans="1:9">
      <c r="A196" s="7" t="s">
        <v>212</v>
      </c>
      <c r="B196" s="8">
        <f>VLOOKUP(A196,'[1]MGM Report'!$D:$K,8,FALSE)</f>
        <v>191040</v>
      </c>
      <c r="C196" s="8">
        <f>VLOOKUP(A196,[2]ShobizMGMReportResults!$E:$L,8,FALSE)</f>
        <v>191040</v>
      </c>
      <c r="D196" s="8">
        <f>VLOOKUP(A196,[2]ShobizMGMReportResults!$E:$S,9,FALSE)</f>
        <v>0</v>
      </c>
      <c r="E196" s="8">
        <v>0</v>
      </c>
      <c r="F196" s="9">
        <f t="shared" si="9"/>
        <v>191040</v>
      </c>
      <c r="G196" s="9">
        <f t="shared" si="10"/>
        <v>0</v>
      </c>
      <c r="H196" s="8" t="b">
        <f t="shared" si="11"/>
        <v>1</v>
      </c>
      <c r="I196" s="15"/>
    </row>
    <row r="197" hidden="1" spans="1:9">
      <c r="A197" s="7" t="s">
        <v>213</v>
      </c>
      <c r="B197" s="8">
        <f>VLOOKUP(A197,'[1]MGM Report'!$D:$K,8,FALSE)</f>
        <v>4949540</v>
      </c>
      <c r="C197" s="8">
        <f>VLOOKUP(A197,[2]ShobizMGMReportResults!$E:$L,8,FALSE)</f>
        <v>4817834</v>
      </c>
      <c r="D197" s="8">
        <f>VLOOKUP(A197,[2]ShobizMGMReportResults!$E:$S,9,FALSE)</f>
        <v>131706</v>
      </c>
      <c r="E197" s="8">
        <v>0</v>
      </c>
      <c r="F197" s="9">
        <f t="shared" si="9"/>
        <v>4949540</v>
      </c>
      <c r="G197" s="9">
        <f t="shared" si="10"/>
        <v>0</v>
      </c>
      <c r="H197" s="8" t="b">
        <f t="shared" si="11"/>
        <v>1</v>
      </c>
      <c r="I197" s="15"/>
    </row>
    <row r="198" hidden="1" spans="1:9">
      <c r="A198" s="7" t="s">
        <v>214</v>
      </c>
      <c r="B198" s="8">
        <f>VLOOKUP(A198,'[1]MGM Report'!$D:$K,8,FALSE)</f>
        <v>10725</v>
      </c>
      <c r="C198" s="8">
        <f>VLOOKUP(A198,[2]ShobizMGMReportResults!$E:$L,8,FALSE)</f>
        <v>10725</v>
      </c>
      <c r="D198" s="8">
        <f>VLOOKUP(A198,[2]ShobizMGMReportResults!$E:$S,9,FALSE)</f>
        <v>0</v>
      </c>
      <c r="E198" s="8">
        <v>0</v>
      </c>
      <c r="F198" s="9">
        <f t="shared" si="9"/>
        <v>10725</v>
      </c>
      <c r="G198" s="9">
        <f t="shared" si="10"/>
        <v>0</v>
      </c>
      <c r="H198" s="8" t="b">
        <f t="shared" si="11"/>
        <v>1</v>
      </c>
      <c r="I198" s="15"/>
    </row>
    <row r="199" hidden="1" spans="1:9">
      <c r="A199" s="7" t="s">
        <v>215</v>
      </c>
      <c r="B199" s="8">
        <f>VLOOKUP(A199,'[1]MGM Report'!$D:$K,8,FALSE)</f>
        <v>0</v>
      </c>
      <c r="C199" s="8">
        <f>VLOOKUP(A199,[2]ShobizMGMReportResults!$E:$L,8,FALSE)</f>
        <v>0</v>
      </c>
      <c r="D199" s="8">
        <f>VLOOKUP(A199,[2]ShobizMGMReportResults!$E:$S,9,FALSE)</f>
        <v>0</v>
      </c>
      <c r="E199" s="8">
        <v>0</v>
      </c>
      <c r="F199" s="9">
        <f t="shared" si="9"/>
        <v>0</v>
      </c>
      <c r="G199" s="9">
        <f t="shared" si="10"/>
        <v>0</v>
      </c>
      <c r="H199" s="8" t="b">
        <f t="shared" si="11"/>
        <v>1</v>
      </c>
      <c r="I199" s="15"/>
    </row>
    <row r="200" hidden="1" spans="1:9">
      <c r="A200" s="7" t="s">
        <v>216</v>
      </c>
      <c r="B200" s="8">
        <f>VLOOKUP(A200,'[1]MGM Report'!$D:$K,8,FALSE)</f>
        <v>1547166</v>
      </c>
      <c r="C200" s="8">
        <f>VLOOKUP(A200,[2]ShobizMGMReportResults!$E:$L,8,FALSE)</f>
        <v>1537420</v>
      </c>
      <c r="D200" s="8">
        <f>VLOOKUP(A200,[2]ShobizMGMReportResults!$E:$S,9,FALSE)</f>
        <v>9746</v>
      </c>
      <c r="E200" s="8">
        <v>0</v>
      </c>
      <c r="F200" s="9">
        <f t="shared" si="9"/>
        <v>1547166</v>
      </c>
      <c r="G200" s="9">
        <f t="shared" si="10"/>
        <v>0</v>
      </c>
      <c r="H200" s="8" t="b">
        <f t="shared" si="11"/>
        <v>1</v>
      </c>
      <c r="I200" s="15"/>
    </row>
    <row r="201" hidden="1" spans="1:9">
      <c r="A201" s="7" t="s">
        <v>217</v>
      </c>
      <c r="B201" s="8">
        <f>VLOOKUP(A201,'[1]MGM Report'!$D:$K,8,FALSE)</f>
        <v>30000</v>
      </c>
      <c r="C201" s="8">
        <f>VLOOKUP(A201,[2]ShobizMGMReportResults!$E:$L,8,FALSE)</f>
        <v>30000</v>
      </c>
      <c r="D201" s="8">
        <f>VLOOKUP(A201,[2]ShobizMGMReportResults!$E:$S,9,FALSE)</f>
        <v>0</v>
      </c>
      <c r="E201" s="8">
        <v>0</v>
      </c>
      <c r="F201" s="9">
        <f t="shared" si="9"/>
        <v>30000</v>
      </c>
      <c r="G201" s="9">
        <f t="shared" si="10"/>
        <v>0</v>
      </c>
      <c r="H201" s="8" t="b">
        <f t="shared" si="11"/>
        <v>1</v>
      </c>
      <c r="I201" s="15"/>
    </row>
    <row r="202" hidden="1" spans="1:9">
      <c r="A202" s="7" t="s">
        <v>218</v>
      </c>
      <c r="B202" s="8">
        <f>VLOOKUP(A202,'[1]MGM Report'!$D:$K,8,FALSE)</f>
        <v>1553200</v>
      </c>
      <c r="C202" s="8">
        <f>VLOOKUP(A202,[2]ShobizMGMReportResults!$E:$L,8,FALSE)</f>
        <v>1553200</v>
      </c>
      <c r="D202" s="8">
        <f>VLOOKUP(A202,[2]ShobizMGMReportResults!$E:$S,9,FALSE)</f>
        <v>0</v>
      </c>
      <c r="E202" s="8">
        <v>0</v>
      </c>
      <c r="F202" s="9">
        <f t="shared" si="9"/>
        <v>1553200</v>
      </c>
      <c r="G202" s="9">
        <f t="shared" si="10"/>
        <v>0</v>
      </c>
      <c r="H202" s="8" t="b">
        <f t="shared" si="11"/>
        <v>1</v>
      </c>
      <c r="I202" s="15"/>
    </row>
    <row r="203" hidden="1" spans="1:9">
      <c r="A203" s="7" t="s">
        <v>219</v>
      </c>
      <c r="B203" s="8">
        <f>VLOOKUP(A203,'[1]MGM Report'!$D:$K,8,FALSE)</f>
        <v>0</v>
      </c>
      <c r="C203" s="8">
        <f>VLOOKUP(A203,[2]ShobizMGMReportResults!$E:$L,8,FALSE)</f>
        <v>0</v>
      </c>
      <c r="D203" s="8">
        <f>VLOOKUP(A203,[2]ShobizMGMReportResults!$E:$S,9,FALSE)</f>
        <v>0</v>
      </c>
      <c r="E203" s="8">
        <v>0</v>
      </c>
      <c r="F203" s="9">
        <f t="shared" si="9"/>
        <v>0</v>
      </c>
      <c r="G203" s="9">
        <f t="shared" si="10"/>
        <v>0</v>
      </c>
      <c r="H203" s="8" t="b">
        <f t="shared" si="11"/>
        <v>1</v>
      </c>
      <c r="I203" s="15"/>
    </row>
    <row r="204" hidden="1" spans="1:9">
      <c r="A204" s="7" t="s">
        <v>220</v>
      </c>
      <c r="B204" s="8">
        <f>VLOOKUP(A204,'[1]MGM Report'!$D:$K,8,FALSE)</f>
        <v>0</v>
      </c>
      <c r="C204" s="8">
        <f>VLOOKUP(A204,[2]ShobizMGMReportResults!$E:$L,8,FALSE)</f>
        <v>0</v>
      </c>
      <c r="D204" s="8">
        <f>VLOOKUP(A204,[2]ShobizMGMReportResults!$E:$S,9,FALSE)</f>
        <v>0</v>
      </c>
      <c r="E204" s="8">
        <v>0</v>
      </c>
      <c r="F204" s="9">
        <f t="shared" si="9"/>
        <v>0</v>
      </c>
      <c r="G204" s="9">
        <f t="shared" si="10"/>
        <v>0</v>
      </c>
      <c r="H204" s="8" t="b">
        <f t="shared" si="11"/>
        <v>1</v>
      </c>
      <c r="I204" s="15"/>
    </row>
    <row r="205" hidden="1" spans="1:9">
      <c r="A205" s="7" t="s">
        <v>221</v>
      </c>
      <c r="B205" s="8">
        <f>VLOOKUP(A205,'[1]MGM Report'!$D:$K,8,FALSE)</f>
        <v>692150</v>
      </c>
      <c r="C205" s="8">
        <f>VLOOKUP(A205,[2]ShobizMGMReportResults!$E:$L,8,FALSE)</f>
        <v>692150</v>
      </c>
      <c r="D205" s="8">
        <f>VLOOKUP(A205,[2]ShobizMGMReportResults!$E:$S,9,FALSE)</f>
        <v>0</v>
      </c>
      <c r="E205" s="8">
        <v>0</v>
      </c>
      <c r="F205" s="9">
        <f t="shared" si="9"/>
        <v>692150</v>
      </c>
      <c r="G205" s="9">
        <f t="shared" si="10"/>
        <v>0</v>
      </c>
      <c r="H205" s="8" t="b">
        <f t="shared" si="11"/>
        <v>1</v>
      </c>
      <c r="I205" s="15"/>
    </row>
    <row r="206" hidden="1" spans="1:9">
      <c r="A206" s="7" t="s">
        <v>222</v>
      </c>
      <c r="B206" s="8">
        <f>VLOOKUP(A206,'[1]MGM Report'!$D:$K,8,FALSE)</f>
        <v>3075000</v>
      </c>
      <c r="C206" s="8">
        <f>VLOOKUP(A206,[2]ShobizMGMReportResults!$E:$L,8,FALSE)</f>
        <v>3075000</v>
      </c>
      <c r="D206" s="8">
        <f>VLOOKUP(A206,[2]ShobizMGMReportResults!$E:$S,9,FALSE)</f>
        <v>0</v>
      </c>
      <c r="E206" s="8">
        <v>0</v>
      </c>
      <c r="F206" s="9">
        <f t="shared" si="9"/>
        <v>3075000</v>
      </c>
      <c r="G206" s="9">
        <f t="shared" si="10"/>
        <v>0</v>
      </c>
      <c r="H206" s="8" t="b">
        <f t="shared" si="11"/>
        <v>1</v>
      </c>
      <c r="I206" s="15"/>
    </row>
    <row r="207" hidden="1" spans="1:9">
      <c r="A207" s="7" t="s">
        <v>223</v>
      </c>
      <c r="B207" s="8">
        <f>VLOOKUP(A207,'[1]MGM Report'!$D:$K,8,FALSE)</f>
        <v>119741.6</v>
      </c>
      <c r="C207" s="8">
        <f>VLOOKUP(A207,[2]ShobizMGMReportResults!$E:$L,8,FALSE)</f>
        <v>119741.6</v>
      </c>
      <c r="D207" s="8">
        <f>VLOOKUP(A207,[2]ShobizMGMReportResults!$E:$S,9,FALSE)</f>
        <v>0</v>
      </c>
      <c r="E207" s="8">
        <v>0</v>
      </c>
      <c r="F207" s="9">
        <f t="shared" si="9"/>
        <v>119741.6</v>
      </c>
      <c r="G207" s="9">
        <f t="shared" si="10"/>
        <v>0</v>
      </c>
      <c r="H207" s="8" t="b">
        <f t="shared" si="11"/>
        <v>1</v>
      </c>
      <c r="I207" s="15"/>
    </row>
    <row r="208" spans="1:9">
      <c r="A208" s="10" t="s">
        <v>224</v>
      </c>
      <c r="B208" s="11">
        <f>VLOOKUP(A208,'[1]MGM Report'!$D:$K,8,FALSE)</f>
        <v>303120</v>
      </c>
      <c r="C208" s="11">
        <f>VLOOKUP(A208,[2]ShobizMGMReportResults!$E:$L,8,FALSE)</f>
        <v>254000</v>
      </c>
      <c r="D208" s="11">
        <f>VLOOKUP(A208,[2]ShobizMGMReportResults!$E:$S,9,FALSE)</f>
        <v>39950</v>
      </c>
      <c r="E208" s="18">
        <v>0</v>
      </c>
      <c r="F208" s="12">
        <f t="shared" si="9"/>
        <v>293950</v>
      </c>
      <c r="G208" s="12">
        <f>B208-F208</f>
        <v>9170</v>
      </c>
      <c r="H208" s="11" t="b">
        <f t="shared" si="11"/>
        <v>0</v>
      </c>
      <c r="I208" s="17" t="s">
        <v>225</v>
      </c>
    </row>
    <row r="209" hidden="1" spans="1:9">
      <c r="A209" s="7" t="s">
        <v>226</v>
      </c>
      <c r="B209" s="8">
        <f>VLOOKUP(A209,'[1]MGM Report'!$D:$K,8,FALSE)</f>
        <v>138700</v>
      </c>
      <c r="C209" s="8">
        <f>VLOOKUP(A209,[2]ShobizMGMReportResults!$E:$L,8,FALSE)</f>
        <v>138700</v>
      </c>
      <c r="D209" s="8">
        <f>VLOOKUP(A209,[2]ShobizMGMReportResults!$E:$S,9,FALSE)</f>
        <v>0</v>
      </c>
      <c r="E209" s="8">
        <v>0</v>
      </c>
      <c r="F209" s="9">
        <f t="shared" si="9"/>
        <v>138700</v>
      </c>
      <c r="G209" s="9">
        <f t="shared" si="10"/>
        <v>0</v>
      </c>
      <c r="H209" s="8" t="b">
        <f t="shared" si="11"/>
        <v>1</v>
      </c>
      <c r="I209" s="15"/>
    </row>
    <row r="210" spans="1:9">
      <c r="A210" s="10" t="s">
        <v>227</v>
      </c>
      <c r="B210" s="11">
        <f>VLOOKUP(A210,'[1]MGM Report'!$D:$K,8,FALSE)</f>
        <v>1038189.75</v>
      </c>
      <c r="C210" s="11">
        <f>VLOOKUP(A210,[2]ShobizMGMReportResults!$E:$L,8,FALSE)</f>
        <v>1038189.76</v>
      </c>
      <c r="D210" s="11">
        <f>VLOOKUP(A210,[2]ShobizMGMReportResults!$E:$S,9,FALSE)</f>
        <v>0</v>
      </c>
      <c r="E210" s="18">
        <v>0</v>
      </c>
      <c r="F210" s="12">
        <f t="shared" si="9"/>
        <v>1038189.76</v>
      </c>
      <c r="G210" s="12">
        <f>B210-F210</f>
        <v>-0.0100000000093132</v>
      </c>
      <c r="H210" s="11" t="b">
        <f t="shared" si="11"/>
        <v>0</v>
      </c>
      <c r="I210" s="17"/>
    </row>
    <row r="211" hidden="1" spans="1:9">
      <c r="A211" s="7" t="s">
        <v>228</v>
      </c>
      <c r="B211" s="8">
        <f>VLOOKUP(A211,'[1]MGM Report'!$D:$K,8,FALSE)</f>
        <v>0</v>
      </c>
      <c r="C211" s="8">
        <f>VLOOKUP(A211,[2]ShobizMGMReportResults!$E:$L,8,FALSE)</f>
        <v>0</v>
      </c>
      <c r="D211" s="8">
        <f>VLOOKUP(A211,[2]ShobizMGMReportResults!$E:$S,9,FALSE)</f>
        <v>0</v>
      </c>
      <c r="E211" s="8">
        <v>0</v>
      </c>
      <c r="F211" s="9">
        <f t="shared" si="9"/>
        <v>0</v>
      </c>
      <c r="G211" s="9">
        <f t="shared" si="10"/>
        <v>0</v>
      </c>
      <c r="H211" s="8" t="b">
        <f t="shared" si="11"/>
        <v>1</v>
      </c>
      <c r="I211" s="15"/>
    </row>
    <row r="212" hidden="1" spans="1:9">
      <c r="A212" s="7" t="s">
        <v>229</v>
      </c>
      <c r="B212" s="8">
        <f>VLOOKUP(A212,'[1]MGM Report'!$D:$K,8,FALSE)</f>
        <v>45000</v>
      </c>
      <c r="C212" s="8">
        <f>VLOOKUP(A212,[2]ShobizMGMReportResults!$E:$L,8,FALSE)</f>
        <v>45000</v>
      </c>
      <c r="D212" s="8">
        <f>VLOOKUP(A212,[2]ShobizMGMReportResults!$E:$S,9,FALSE)</f>
        <v>0</v>
      </c>
      <c r="E212" s="8">
        <v>0</v>
      </c>
      <c r="F212" s="9">
        <f t="shared" si="9"/>
        <v>45000</v>
      </c>
      <c r="G212" s="9">
        <f t="shared" si="10"/>
        <v>0</v>
      </c>
      <c r="H212" s="8" t="b">
        <f t="shared" si="11"/>
        <v>1</v>
      </c>
      <c r="I212" s="15"/>
    </row>
    <row r="213" hidden="1" spans="1:9">
      <c r="A213" s="7" t="s">
        <v>230</v>
      </c>
      <c r="B213" s="8">
        <f>VLOOKUP(A213,'[1]MGM Report'!$D:$K,8,FALSE)</f>
        <v>541000</v>
      </c>
      <c r="C213" s="8">
        <f>VLOOKUP(A213,[2]ShobizMGMReportResults!$E:$L,8,FALSE)</f>
        <v>541000</v>
      </c>
      <c r="D213" s="8">
        <f>VLOOKUP(A213,[2]ShobizMGMReportResults!$E:$S,9,FALSE)</f>
        <v>0</v>
      </c>
      <c r="E213" s="8">
        <v>0</v>
      </c>
      <c r="F213" s="9">
        <f t="shared" si="9"/>
        <v>541000</v>
      </c>
      <c r="G213" s="9">
        <f t="shared" si="10"/>
        <v>0</v>
      </c>
      <c r="H213" s="8" t="b">
        <f t="shared" si="11"/>
        <v>1</v>
      </c>
      <c r="I213" s="15"/>
    </row>
    <row r="214" hidden="1" spans="1:9">
      <c r="A214" s="7" t="s">
        <v>231</v>
      </c>
      <c r="B214" s="8">
        <f>VLOOKUP(A214,'[1]MGM Report'!$D:$K,8,FALSE)</f>
        <v>8898</v>
      </c>
      <c r="C214" s="8">
        <f>VLOOKUP(A214,[2]ShobizMGMReportResults!$E:$L,8,FALSE)</f>
        <v>8898</v>
      </c>
      <c r="D214" s="8">
        <f>VLOOKUP(A214,[2]ShobizMGMReportResults!$E:$S,9,FALSE)</f>
        <v>0</v>
      </c>
      <c r="E214" s="8">
        <v>0</v>
      </c>
      <c r="F214" s="9">
        <f t="shared" si="9"/>
        <v>8898</v>
      </c>
      <c r="G214" s="9">
        <f t="shared" si="10"/>
        <v>0</v>
      </c>
      <c r="H214" s="8" t="b">
        <f t="shared" si="11"/>
        <v>1</v>
      </c>
      <c r="I214" s="15"/>
    </row>
    <row r="215" hidden="1" spans="1:9">
      <c r="A215" s="7" t="s">
        <v>232</v>
      </c>
      <c r="B215" s="8">
        <f>VLOOKUP(A215,'[1]MGM Report'!$D:$K,8,FALSE)</f>
        <v>0</v>
      </c>
      <c r="C215" s="8">
        <f>VLOOKUP(A215,[2]ShobizMGMReportResults!$E:$L,8,FALSE)</f>
        <v>0</v>
      </c>
      <c r="D215" s="8">
        <f>VLOOKUP(A215,[2]ShobizMGMReportResults!$E:$S,9,FALSE)</f>
        <v>0</v>
      </c>
      <c r="E215" s="8">
        <v>0</v>
      </c>
      <c r="F215" s="9">
        <f t="shared" si="9"/>
        <v>0</v>
      </c>
      <c r="G215" s="9">
        <f t="shared" si="10"/>
        <v>0</v>
      </c>
      <c r="H215" s="8" t="b">
        <f t="shared" si="11"/>
        <v>1</v>
      </c>
      <c r="I215" s="15"/>
    </row>
    <row r="216" hidden="1" spans="1:9">
      <c r="A216" s="7" t="s">
        <v>233</v>
      </c>
      <c r="B216" s="8">
        <f>VLOOKUP(A216,'[1]MGM Report'!$D:$K,8,FALSE)</f>
        <v>55000</v>
      </c>
      <c r="C216" s="8">
        <f>VLOOKUP(A216,[2]ShobizMGMReportResults!$E:$L,8,FALSE)</f>
        <v>55000</v>
      </c>
      <c r="D216" s="8">
        <f>VLOOKUP(A216,[2]ShobizMGMReportResults!$E:$S,9,FALSE)</f>
        <v>0</v>
      </c>
      <c r="E216" s="8">
        <v>0</v>
      </c>
      <c r="F216" s="9">
        <f t="shared" si="9"/>
        <v>55000</v>
      </c>
      <c r="G216" s="9">
        <f t="shared" si="10"/>
        <v>0</v>
      </c>
      <c r="H216" s="8" t="b">
        <f t="shared" si="11"/>
        <v>1</v>
      </c>
      <c r="I216" s="15"/>
    </row>
    <row r="217" spans="1:9">
      <c r="A217" s="10" t="s">
        <v>234</v>
      </c>
      <c r="B217" s="11">
        <f>VLOOKUP(A217,'[1]MGM Report'!$D:$K,8,FALSE)</f>
        <v>8867050.75</v>
      </c>
      <c r="C217" s="11">
        <f>VLOOKUP(A217,[2]ShobizMGMReportResults!$E:$L,8,FALSE)</f>
        <v>8707290.75</v>
      </c>
      <c r="D217" s="11">
        <f>VLOOKUP(A217,[2]ShobizMGMReportResults!$E:$S,9,FALSE)</f>
        <v>157482</v>
      </c>
      <c r="E217" s="11">
        <f>VLOOKUP(A217,[3]ShobizPOwithProjectCodeBodyLev!$F:$I,4,FALSE)</f>
        <v>8500000</v>
      </c>
      <c r="F217" s="12">
        <f t="shared" si="9"/>
        <v>17364772.75</v>
      </c>
      <c r="G217" s="12">
        <f>B217-F217</f>
        <v>-8497722</v>
      </c>
      <c r="H217" s="11" t="b">
        <f t="shared" si="11"/>
        <v>0</v>
      </c>
      <c r="I217" s="17" t="s">
        <v>235</v>
      </c>
    </row>
    <row r="218" hidden="1" spans="1:9">
      <c r="A218" s="7" t="s">
        <v>236</v>
      </c>
      <c r="B218" s="8">
        <f>VLOOKUP(A218,'[1]MGM Report'!$D:$K,8,FALSE)</f>
        <v>0</v>
      </c>
      <c r="C218" s="8">
        <f>VLOOKUP(A218,[2]ShobizMGMReportResults!$E:$L,8,FALSE)</f>
        <v>0</v>
      </c>
      <c r="D218" s="8">
        <f>VLOOKUP(A218,[2]ShobizMGMReportResults!$E:$S,9,FALSE)</f>
        <v>0</v>
      </c>
      <c r="E218" s="8"/>
      <c r="F218" s="9">
        <f t="shared" si="9"/>
        <v>0</v>
      </c>
      <c r="G218" s="9">
        <f t="shared" si="10"/>
        <v>0</v>
      </c>
      <c r="H218" s="8" t="b">
        <f t="shared" si="11"/>
        <v>1</v>
      </c>
      <c r="I218" s="15"/>
    </row>
    <row r="219" hidden="1" spans="1:9">
      <c r="A219" s="7" t="s">
        <v>237</v>
      </c>
      <c r="B219" s="8">
        <f>VLOOKUP(A219,'[1]MGM Report'!$D:$K,8,FALSE)</f>
        <v>1139500</v>
      </c>
      <c r="C219" s="8">
        <f>VLOOKUP(A219,[2]ShobizMGMReportResults!$E:$L,8,FALSE)</f>
        <v>1139500</v>
      </c>
      <c r="D219" s="8">
        <f>VLOOKUP(A219,[2]ShobizMGMReportResults!$E:$S,9,FALSE)</f>
        <v>0</v>
      </c>
      <c r="E219" s="8"/>
      <c r="F219" s="9">
        <f t="shared" si="9"/>
        <v>1139500</v>
      </c>
      <c r="G219" s="9">
        <f t="shared" si="10"/>
        <v>0</v>
      </c>
      <c r="H219" s="8" t="b">
        <f t="shared" si="11"/>
        <v>1</v>
      </c>
      <c r="I219" s="15"/>
    </row>
    <row r="220" hidden="1" spans="1:9">
      <c r="A220" s="7" t="s">
        <v>238</v>
      </c>
      <c r="B220" s="8">
        <f>VLOOKUP(A220,'[1]MGM Report'!$D:$K,8,FALSE)</f>
        <v>0</v>
      </c>
      <c r="C220" s="8">
        <f>VLOOKUP(A220,[2]ShobizMGMReportResults!$E:$L,8,FALSE)</f>
        <v>0</v>
      </c>
      <c r="D220" s="8">
        <f>VLOOKUP(A220,[2]ShobizMGMReportResults!$E:$S,9,FALSE)</f>
        <v>0</v>
      </c>
      <c r="E220" s="8"/>
      <c r="F220" s="9">
        <f t="shared" si="9"/>
        <v>0</v>
      </c>
      <c r="G220" s="9">
        <f t="shared" si="10"/>
        <v>0</v>
      </c>
      <c r="H220" s="8" t="b">
        <f t="shared" si="11"/>
        <v>1</v>
      </c>
      <c r="I220" s="15"/>
    </row>
    <row r="221" hidden="1" spans="1:9">
      <c r="A221" s="7" t="s">
        <v>239</v>
      </c>
      <c r="B221" s="8">
        <f>VLOOKUP(A221,'[1]MGM Report'!$D:$K,8,FALSE)</f>
        <v>299730</v>
      </c>
      <c r="C221" s="8">
        <f>VLOOKUP(A221,[2]ShobizMGMReportResults!$E:$L,8,FALSE)</f>
        <v>299730</v>
      </c>
      <c r="D221" s="8">
        <f>VLOOKUP(A221,[2]ShobizMGMReportResults!$E:$S,9,FALSE)</f>
        <v>0</v>
      </c>
      <c r="E221" s="8"/>
      <c r="F221" s="9">
        <f t="shared" si="9"/>
        <v>299730</v>
      </c>
      <c r="G221" s="9">
        <f t="shared" si="10"/>
        <v>0</v>
      </c>
      <c r="H221" s="8" t="b">
        <f t="shared" si="11"/>
        <v>1</v>
      </c>
      <c r="I221" s="15"/>
    </row>
    <row r="222" hidden="1" spans="1:9">
      <c r="A222" s="7" t="s">
        <v>240</v>
      </c>
      <c r="B222" s="8">
        <f>VLOOKUP(A222,'[1]MGM Report'!$D:$K,8,FALSE)</f>
        <v>351863.99</v>
      </c>
      <c r="C222" s="8">
        <f>VLOOKUP(A222,[2]ShobizMGMReportResults!$E:$L,8,FALSE)</f>
        <v>263194.99</v>
      </c>
      <c r="D222" s="8">
        <f>VLOOKUP(A222,[2]ShobizMGMReportResults!$E:$S,9,FALSE)</f>
        <v>88669</v>
      </c>
      <c r="E222" s="8"/>
      <c r="F222" s="9">
        <f t="shared" si="9"/>
        <v>351863.99</v>
      </c>
      <c r="G222" s="9">
        <f t="shared" si="10"/>
        <v>0</v>
      </c>
      <c r="H222" s="8" t="b">
        <f t="shared" si="11"/>
        <v>1</v>
      </c>
      <c r="I222" s="15"/>
    </row>
    <row r="223" spans="1:9">
      <c r="A223" s="10" t="s">
        <v>241</v>
      </c>
      <c r="B223" s="11">
        <f>VLOOKUP(A223,'[1]MGM Report'!$D:$K,8,FALSE)</f>
        <v>7350</v>
      </c>
      <c r="C223" s="11">
        <f>VLOOKUP(A223,[2]ShobizMGMReportResults!$E:$L,8,FALSE)</f>
        <v>0</v>
      </c>
      <c r="D223" s="11">
        <f>VLOOKUP(A223,[2]ShobizMGMReportResults!$E:$S,9,FALSE)</f>
        <v>0</v>
      </c>
      <c r="E223" s="11">
        <v>0</v>
      </c>
      <c r="F223" s="12">
        <f t="shared" si="9"/>
        <v>0</v>
      </c>
      <c r="G223" s="12">
        <f>B223-F223</f>
        <v>7350</v>
      </c>
      <c r="H223" s="11" t="b">
        <f t="shared" si="11"/>
        <v>0</v>
      </c>
      <c r="I223" s="17" t="s">
        <v>242</v>
      </c>
    </row>
    <row r="224" hidden="1" spans="1:9">
      <c r="A224" s="7" t="s">
        <v>243</v>
      </c>
      <c r="B224" s="8">
        <f>VLOOKUP(A224,'[1]MGM Report'!$D:$K,8,FALSE)</f>
        <v>0</v>
      </c>
      <c r="C224" s="8">
        <f>VLOOKUP(A224,[2]ShobizMGMReportResults!$E:$L,8,FALSE)</f>
        <v>0</v>
      </c>
      <c r="D224" s="8">
        <f>VLOOKUP(A224,[2]ShobizMGMReportResults!$E:$S,9,FALSE)</f>
        <v>0</v>
      </c>
      <c r="E224" s="8"/>
      <c r="F224" s="9">
        <f t="shared" si="9"/>
        <v>0</v>
      </c>
      <c r="G224" s="9">
        <f t="shared" si="10"/>
        <v>0</v>
      </c>
      <c r="H224" s="8" t="b">
        <f t="shared" si="11"/>
        <v>1</v>
      </c>
      <c r="I224" s="15"/>
    </row>
    <row r="225" spans="1:9">
      <c r="A225" s="10" t="s">
        <v>244</v>
      </c>
      <c r="B225" s="11">
        <f>VLOOKUP(A225,'[1]MGM Report'!$D:$K,8,FALSE)</f>
        <v>3695140.6</v>
      </c>
      <c r="C225" s="11">
        <f>VLOOKUP(A225,[2]ShobizMGMReportResults!$E:$L,8,FALSE)</f>
        <v>3565894.6</v>
      </c>
      <c r="D225" s="11">
        <f>VLOOKUP(A225,[2]ShobizMGMReportResults!$E:$S,9,FALSE)</f>
        <v>85596</v>
      </c>
      <c r="E225" s="11">
        <v>0</v>
      </c>
      <c r="F225" s="12">
        <f t="shared" si="9"/>
        <v>3651490.6</v>
      </c>
      <c r="G225" s="12">
        <f>B225-F225</f>
        <v>43650</v>
      </c>
      <c r="H225" s="11" t="b">
        <f t="shared" si="11"/>
        <v>0</v>
      </c>
      <c r="I225" s="17" t="s">
        <v>245</v>
      </c>
    </row>
    <row r="226" hidden="1" spans="1:9">
      <c r="A226" s="7" t="s">
        <v>246</v>
      </c>
      <c r="B226" s="8">
        <f>VLOOKUP(A226,'[1]MGM Report'!$D:$K,8,FALSE)</f>
        <v>1211651.14</v>
      </c>
      <c r="C226" s="8">
        <f>VLOOKUP(A226,[2]ShobizMGMReportResults!$E:$L,8,FALSE)</f>
        <v>1211651.14</v>
      </c>
      <c r="D226" s="8">
        <f>VLOOKUP(A226,[2]ShobizMGMReportResults!$E:$S,9,FALSE)</f>
        <v>0</v>
      </c>
      <c r="E226" s="8"/>
      <c r="F226" s="9">
        <f t="shared" si="9"/>
        <v>1211651.14</v>
      </c>
      <c r="G226" s="9">
        <f t="shared" si="10"/>
        <v>0</v>
      </c>
      <c r="H226" s="8" t="b">
        <f t="shared" si="11"/>
        <v>1</v>
      </c>
      <c r="I226" s="15"/>
    </row>
    <row r="227" hidden="1" spans="1:9">
      <c r="A227" s="7" t="s">
        <v>247</v>
      </c>
      <c r="B227" s="8">
        <f>VLOOKUP(A227,'[1]MGM Report'!$D:$K,8,FALSE)</f>
        <v>0</v>
      </c>
      <c r="C227" s="8">
        <f>VLOOKUP(A227,[2]ShobizMGMReportResults!$E:$L,8,FALSE)</f>
        <v>0</v>
      </c>
      <c r="D227" s="8">
        <f>VLOOKUP(A227,[2]ShobizMGMReportResults!$E:$S,9,FALSE)</f>
        <v>0</v>
      </c>
      <c r="E227" s="8"/>
      <c r="F227" s="9">
        <f t="shared" si="9"/>
        <v>0</v>
      </c>
      <c r="G227" s="9">
        <f t="shared" si="10"/>
        <v>0</v>
      </c>
      <c r="H227" s="8" t="b">
        <f t="shared" si="11"/>
        <v>1</v>
      </c>
      <c r="I227" s="15"/>
    </row>
    <row r="228" hidden="1" spans="1:9">
      <c r="A228" s="7" t="s">
        <v>248</v>
      </c>
      <c r="B228" s="8">
        <f>VLOOKUP(A228,'[1]MGM Report'!$D:$K,8,FALSE)</f>
        <v>0</v>
      </c>
      <c r="C228" s="8">
        <f>VLOOKUP(A228,[2]ShobizMGMReportResults!$E:$L,8,FALSE)</f>
        <v>0</v>
      </c>
      <c r="D228" s="8">
        <f>VLOOKUP(A228,[2]ShobizMGMReportResults!$E:$S,9,FALSE)</f>
        <v>0</v>
      </c>
      <c r="E228" s="8"/>
      <c r="F228" s="9">
        <f t="shared" si="9"/>
        <v>0</v>
      </c>
      <c r="G228" s="9">
        <f t="shared" si="10"/>
        <v>0</v>
      </c>
      <c r="H228" s="8" t="b">
        <f t="shared" si="11"/>
        <v>1</v>
      </c>
      <c r="I228" s="15"/>
    </row>
    <row r="229" hidden="1" spans="1:9">
      <c r="A229" s="7" t="s">
        <v>249</v>
      </c>
      <c r="B229" s="8">
        <f>VLOOKUP(A229,'[1]MGM Report'!$D:$K,8,FALSE)</f>
        <v>1312055</v>
      </c>
      <c r="C229" s="8">
        <f>VLOOKUP(A229,[2]ShobizMGMReportResults!$E:$L,8,FALSE)</f>
        <v>1312055</v>
      </c>
      <c r="D229" s="8">
        <f>VLOOKUP(A229,[2]ShobizMGMReportResults!$E:$S,9,FALSE)</f>
        <v>0</v>
      </c>
      <c r="E229" s="8"/>
      <c r="F229" s="9">
        <f t="shared" si="9"/>
        <v>1312055</v>
      </c>
      <c r="G229" s="9">
        <f t="shared" si="10"/>
        <v>0</v>
      </c>
      <c r="H229" s="8" t="b">
        <f t="shared" si="11"/>
        <v>1</v>
      </c>
      <c r="I229" s="15"/>
    </row>
    <row r="230" hidden="1" spans="1:9">
      <c r="A230" s="7" t="s">
        <v>250</v>
      </c>
      <c r="B230" s="8">
        <f>VLOOKUP(A230,'[1]MGM Report'!$D:$K,8,FALSE)</f>
        <v>187950</v>
      </c>
      <c r="C230" s="8">
        <f>VLOOKUP(A230,[2]ShobizMGMReportResults!$E:$L,8,FALSE)</f>
        <v>187950</v>
      </c>
      <c r="D230" s="8">
        <f>VLOOKUP(A230,[2]ShobizMGMReportResults!$E:$S,9,FALSE)</f>
        <v>0</v>
      </c>
      <c r="E230" s="8"/>
      <c r="F230" s="9">
        <f t="shared" si="9"/>
        <v>187950</v>
      </c>
      <c r="G230" s="9">
        <f t="shared" si="10"/>
        <v>0</v>
      </c>
      <c r="H230" s="8" t="b">
        <f t="shared" si="11"/>
        <v>1</v>
      </c>
      <c r="I230" s="15"/>
    </row>
    <row r="231" hidden="1" spans="1:9">
      <c r="A231" s="7" t="s">
        <v>251</v>
      </c>
      <c r="B231" s="8">
        <f>VLOOKUP(A231,'[1]MGM Report'!$D:$K,8,FALSE)</f>
        <v>63687.5</v>
      </c>
      <c r="C231" s="8">
        <f>VLOOKUP(A231,[2]ShobizMGMReportResults!$E:$L,8,FALSE)</f>
        <v>62197.5</v>
      </c>
      <c r="D231" s="8">
        <f>VLOOKUP(A231,[2]ShobizMGMReportResults!$E:$S,9,FALSE)</f>
        <v>1490</v>
      </c>
      <c r="E231" s="8"/>
      <c r="F231" s="9">
        <f t="shared" si="9"/>
        <v>63687.5</v>
      </c>
      <c r="G231" s="9">
        <f t="shared" si="10"/>
        <v>0</v>
      </c>
      <c r="H231" s="8" t="b">
        <f t="shared" si="11"/>
        <v>1</v>
      </c>
      <c r="I231" s="15"/>
    </row>
    <row r="232" hidden="1" spans="1:9">
      <c r="A232" s="7" t="s">
        <v>252</v>
      </c>
      <c r="B232" s="8">
        <f>VLOOKUP(A232,'[1]MGM Report'!$D:$K,8,FALSE)</f>
        <v>45000</v>
      </c>
      <c r="C232" s="8">
        <f>VLOOKUP(A232,[2]ShobizMGMReportResults!$E:$L,8,FALSE)</f>
        <v>0</v>
      </c>
      <c r="D232" s="8">
        <f>VLOOKUP(A232,[2]ShobizMGMReportResults!$E:$S,9,FALSE)</f>
        <v>0</v>
      </c>
      <c r="E232" s="8">
        <f>VLOOKUP(A232,[3]ShobizPOwithProjectCodeBodyLev!$F:$I,4,FALSE)</f>
        <v>45000</v>
      </c>
      <c r="F232" s="9">
        <f t="shared" si="9"/>
        <v>45000</v>
      </c>
      <c r="G232" s="9">
        <f t="shared" si="10"/>
        <v>0</v>
      </c>
      <c r="H232" s="8" t="b">
        <f t="shared" si="11"/>
        <v>1</v>
      </c>
      <c r="I232" s="15"/>
    </row>
    <row r="233" hidden="1" spans="1:9">
      <c r="A233" s="7" t="s">
        <v>253</v>
      </c>
      <c r="B233" s="8">
        <f>VLOOKUP(A233,'[1]MGM Report'!$D:$K,8,FALSE)</f>
        <v>5188</v>
      </c>
      <c r="C233" s="8">
        <f>VLOOKUP(A233,[2]ShobizMGMReportResults!$E:$L,8,FALSE)</f>
        <v>5188</v>
      </c>
      <c r="D233" s="8">
        <f>VLOOKUP(A233,[2]ShobizMGMReportResults!$E:$S,9,FALSE)</f>
        <v>0</v>
      </c>
      <c r="E233" s="8"/>
      <c r="F233" s="9">
        <f t="shared" si="9"/>
        <v>5188</v>
      </c>
      <c r="G233" s="9">
        <f t="shared" si="10"/>
        <v>0</v>
      </c>
      <c r="H233" s="8" t="b">
        <f t="shared" si="11"/>
        <v>1</v>
      </c>
      <c r="I233" s="15"/>
    </row>
    <row r="234" hidden="1" spans="1:9">
      <c r="A234" s="7" t="s">
        <v>254</v>
      </c>
      <c r="B234" s="8">
        <f>VLOOKUP(A234,'[1]MGM Report'!$D:$K,8,FALSE)</f>
        <v>4785048.76</v>
      </c>
      <c r="C234" s="8">
        <f>VLOOKUP(A234,[2]ShobizMGMReportResults!$E:$L,8,FALSE)</f>
        <v>4783056.76</v>
      </c>
      <c r="D234" s="8">
        <f>VLOOKUP(A234,[2]ShobizMGMReportResults!$E:$S,9,FALSE)</f>
        <v>1992</v>
      </c>
      <c r="E234" s="8"/>
      <c r="F234" s="9">
        <f t="shared" si="9"/>
        <v>4785048.76</v>
      </c>
      <c r="G234" s="9">
        <f t="shared" si="10"/>
        <v>0</v>
      </c>
      <c r="H234" s="8" t="b">
        <f t="shared" si="11"/>
        <v>1</v>
      </c>
      <c r="I234" s="15"/>
    </row>
    <row r="235" hidden="1" spans="1:9">
      <c r="A235" s="7" t="s">
        <v>255</v>
      </c>
      <c r="B235" s="8">
        <f>VLOOKUP(A235,'[1]MGM Report'!$D:$K,8,FALSE)</f>
        <v>0</v>
      </c>
      <c r="C235" s="8">
        <f>VLOOKUP(A235,[2]ShobizMGMReportResults!$E:$L,8,FALSE)</f>
        <v>0</v>
      </c>
      <c r="D235" s="8">
        <f>VLOOKUP(A235,[2]ShobizMGMReportResults!$E:$S,9,FALSE)</f>
        <v>0</v>
      </c>
      <c r="E235" s="8"/>
      <c r="F235" s="9">
        <f t="shared" si="9"/>
        <v>0</v>
      </c>
      <c r="G235" s="9">
        <f t="shared" si="10"/>
        <v>0</v>
      </c>
      <c r="H235" s="8" t="b">
        <f t="shared" si="11"/>
        <v>1</v>
      </c>
      <c r="I235" s="15"/>
    </row>
    <row r="236" hidden="1" spans="1:9">
      <c r="A236" s="7" t="s">
        <v>256</v>
      </c>
      <c r="B236" s="8">
        <f>VLOOKUP(A236,'[1]MGM Report'!$D:$K,8,FALSE)</f>
        <v>0</v>
      </c>
      <c r="C236" s="8">
        <f>VLOOKUP(A236,[2]ShobizMGMReportResults!$E:$L,8,FALSE)</f>
        <v>0</v>
      </c>
      <c r="D236" s="8">
        <f>VLOOKUP(A236,[2]ShobizMGMReportResults!$E:$S,9,FALSE)</f>
        <v>0</v>
      </c>
      <c r="E236" s="8"/>
      <c r="F236" s="9">
        <f t="shared" si="9"/>
        <v>0</v>
      </c>
      <c r="G236" s="9">
        <f t="shared" si="10"/>
        <v>0</v>
      </c>
      <c r="H236" s="8" t="b">
        <f t="shared" si="11"/>
        <v>1</v>
      </c>
      <c r="I236" s="15"/>
    </row>
    <row r="237" hidden="1" spans="1:9">
      <c r="A237" s="7" t="s">
        <v>257</v>
      </c>
      <c r="B237" s="8">
        <f>VLOOKUP(A237,'[1]MGM Report'!$D:$K,8,FALSE)</f>
        <v>0</v>
      </c>
      <c r="C237" s="8">
        <f>VLOOKUP(A237,[2]ShobizMGMReportResults!$E:$L,8,FALSE)</f>
        <v>0</v>
      </c>
      <c r="D237" s="8">
        <f>VLOOKUP(A237,[2]ShobizMGMReportResults!$E:$S,9,FALSE)</f>
        <v>0</v>
      </c>
      <c r="E237" s="8"/>
      <c r="F237" s="9">
        <f t="shared" si="9"/>
        <v>0</v>
      </c>
      <c r="G237" s="9">
        <f t="shared" si="10"/>
        <v>0</v>
      </c>
      <c r="H237" s="8" t="b">
        <f t="shared" si="11"/>
        <v>1</v>
      </c>
      <c r="I237" s="15"/>
    </row>
    <row r="238" ht="29" spans="1:9">
      <c r="A238" s="10" t="s">
        <v>258</v>
      </c>
      <c r="B238" s="11">
        <f>VLOOKUP(A238,'[1]MGM Report'!$D:$K,8,FALSE)</f>
        <v>3294032</v>
      </c>
      <c r="C238" s="11">
        <f>VLOOKUP(A238,[2]ShobizMGMReportResults!$E:$L,8,FALSE)</f>
        <v>3294032</v>
      </c>
      <c r="D238" s="11">
        <f>VLOOKUP(A238,[2]ShobizMGMReportResults!$E:$S,9,FALSE)</f>
        <v>0</v>
      </c>
      <c r="E238" s="11">
        <f>VLOOKUP(A238,[3]ShobizPOwithProjectCodeBodyLev!$F:$I,4,FALSE)</f>
        <v>1250000</v>
      </c>
      <c r="F238" s="12">
        <f t="shared" si="9"/>
        <v>4544032</v>
      </c>
      <c r="G238" s="12">
        <f>B238-F238</f>
        <v>-1250000</v>
      </c>
      <c r="H238" s="11" t="b">
        <f t="shared" si="11"/>
        <v>0</v>
      </c>
      <c r="I238" s="17" t="s">
        <v>259</v>
      </c>
    </row>
    <row r="239" spans="1:9">
      <c r="A239" s="10" t="s">
        <v>260</v>
      </c>
      <c r="B239" s="11">
        <f>VLOOKUP(A239,'[1]MGM Report'!$D:$K,8,FALSE)</f>
        <v>2565317.34</v>
      </c>
      <c r="C239" s="11">
        <f>VLOOKUP(A239,[2]ShobizMGMReportResults!$E:$L,8,FALSE)</f>
        <v>2452132.34</v>
      </c>
      <c r="D239" s="11">
        <f>VLOOKUP(A239,[2]ShobizMGMReportResults!$E:$S,9,FALSE)</f>
        <v>112310</v>
      </c>
      <c r="E239" s="11"/>
      <c r="F239" s="12">
        <f t="shared" si="9"/>
        <v>2564442.34</v>
      </c>
      <c r="G239" s="12">
        <f>B239-F239</f>
        <v>875</v>
      </c>
      <c r="H239" s="11" t="b">
        <f t="shared" si="11"/>
        <v>0</v>
      </c>
      <c r="I239" s="17" t="s">
        <v>261</v>
      </c>
    </row>
    <row r="240" ht="15.25" hidden="1" spans="1:9">
      <c r="A240" s="19" t="s">
        <v>262</v>
      </c>
      <c r="B240" s="20">
        <f>VLOOKUP(A240,'[1]MGM Report'!$D:$K,8,FALSE)</f>
        <v>0</v>
      </c>
      <c r="C240" s="20">
        <v>0</v>
      </c>
      <c r="D240" s="20">
        <v>0</v>
      </c>
      <c r="E240" s="20">
        <v>0</v>
      </c>
      <c r="F240" s="21">
        <f t="shared" si="9"/>
        <v>0</v>
      </c>
      <c r="G240" s="21">
        <f t="shared" si="10"/>
        <v>0</v>
      </c>
      <c r="H240" s="20" t="b">
        <f t="shared" si="11"/>
        <v>1</v>
      </c>
      <c r="I240" s="24"/>
    </row>
    <row r="241" ht="15.25" hidden="1" spans="1:9">
      <c r="A241" s="22" t="s">
        <v>263</v>
      </c>
      <c r="B241" s="23">
        <f>SUM(B2:B240)</f>
        <v>150851276.3</v>
      </c>
      <c r="C241" s="3"/>
      <c r="D241" s="3"/>
      <c r="E241" s="3"/>
      <c r="F241" s="23">
        <f>SUM(F2:F240)</f>
        <v>160513321.91</v>
      </c>
      <c r="G241" s="23">
        <f t="shared" si="10"/>
        <v>9662045.60999998</v>
      </c>
      <c r="H241" s="3"/>
      <c r="I241" s="25"/>
    </row>
  </sheetData>
  <autoFilter xmlns:etc="http://www.wps.cn/officeDocument/2017/etCustomData" ref="A1:H241" etc:filterBottomFollowUsedRange="0">
    <filterColumn colId="7">
      <filters>
        <filter val="FALS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AshwaniSingh</dc:creator>
  <cp:lastModifiedBy>Kalyani Chaudhari</cp:lastModifiedBy>
  <dcterms:created xsi:type="dcterms:W3CDTF">2025-09-11T07:07:00Z</dcterms:created>
  <dcterms:modified xsi:type="dcterms:W3CDTF">2025-09-11T12:11:36Z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7C1DAAE5A63F42128D5D1620CE8A084D_11</vt:lpwstr>
  </property>
  <property fmtid="{D5CDD505-2E9C-101B-9397-08002B2CF9AE}" pid="3" name="KSOProductBuildVer">
    <vt:lpwstr>1033-12.2.0.22530</vt:lpwstr>
  </property>
</Properties>
</file>