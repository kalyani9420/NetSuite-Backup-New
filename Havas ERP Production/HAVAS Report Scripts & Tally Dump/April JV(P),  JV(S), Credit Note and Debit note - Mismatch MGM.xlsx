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03"/>
  <workbookPr/>
  <xr:revisionPtr revIDLastSave="1" documentId="11_2D4F60F522E3CEE4F10C44FB2D7B2C049786FC07" xr6:coauthVersionLast="47" xr6:coauthVersionMax="47" xr10:uidLastSave="{9EA9B5F0-A422-48BE-8BB0-4EFDDCE238FD}"/>
  <bookViews>
    <workbookView xWindow="0" yWindow="0" windowWidth="18350" windowHeight="6350" firstSheet="3" activeTab="3" xr2:uid="{00000000-000D-0000-FFFF-FFFF00000000}"/>
  </bookViews>
  <sheets>
    <sheet name="JV Value (S)" sheetId="1" r:id="rId1"/>
    <sheet name="Credit Note" sheetId="2" r:id="rId2"/>
    <sheet name="JV Value (P)" sheetId="3" r:id="rId3"/>
    <sheet name="Debit Note" sheetId="4" r:id="rId4"/>
  </sheets>
  <externalReferences>
    <externalReference r:id="rId5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1" i="4" l="1"/>
  <c r="C241" i="4"/>
  <c r="E240" i="4"/>
  <c r="C240" i="4"/>
  <c r="E239" i="4"/>
  <c r="D239" i="4"/>
  <c r="C239" i="4"/>
  <c r="E238" i="4"/>
  <c r="D238" i="4"/>
  <c r="C238" i="4"/>
  <c r="E237" i="4"/>
  <c r="D237" i="4"/>
  <c r="C237" i="4"/>
  <c r="E236" i="4"/>
  <c r="D236" i="4"/>
  <c r="C236" i="4"/>
  <c r="E235" i="4"/>
  <c r="D235" i="4"/>
  <c r="C235" i="4"/>
  <c r="E234" i="4"/>
  <c r="D234" i="4"/>
  <c r="C234" i="4"/>
  <c r="E233" i="4"/>
  <c r="D233" i="4"/>
  <c r="C233" i="4"/>
  <c r="E232" i="4"/>
  <c r="D232" i="4"/>
  <c r="C232" i="4"/>
  <c r="E231" i="4"/>
  <c r="D231" i="4"/>
  <c r="C231" i="4"/>
  <c r="E230" i="4"/>
  <c r="D230" i="4"/>
  <c r="C230" i="4"/>
  <c r="E229" i="4"/>
  <c r="D229" i="4"/>
  <c r="C229" i="4"/>
  <c r="E228" i="4"/>
  <c r="D228" i="4"/>
  <c r="C228" i="4"/>
  <c r="E227" i="4"/>
  <c r="D227" i="4"/>
  <c r="C227" i="4"/>
  <c r="E226" i="4"/>
  <c r="D226" i="4"/>
  <c r="C226" i="4"/>
  <c r="E225" i="4"/>
  <c r="D225" i="4"/>
  <c r="C225" i="4"/>
  <c r="E224" i="4"/>
  <c r="D224" i="4"/>
  <c r="C224" i="4"/>
  <c r="E223" i="4"/>
  <c r="D223" i="4"/>
  <c r="C223" i="4"/>
  <c r="E222" i="4"/>
  <c r="D222" i="4"/>
  <c r="C222" i="4"/>
  <c r="E221" i="4"/>
  <c r="D221" i="4"/>
  <c r="C221" i="4"/>
  <c r="E220" i="4"/>
  <c r="D220" i="4"/>
  <c r="C220" i="4"/>
  <c r="E219" i="4"/>
  <c r="D219" i="4"/>
  <c r="C219" i="4"/>
  <c r="E218" i="4"/>
  <c r="D218" i="4"/>
  <c r="C218" i="4"/>
  <c r="E217" i="4"/>
  <c r="D217" i="4"/>
  <c r="C217" i="4"/>
  <c r="E216" i="4"/>
  <c r="D216" i="4"/>
  <c r="C216" i="4"/>
  <c r="E215" i="4"/>
  <c r="D215" i="4"/>
  <c r="C215" i="4"/>
  <c r="E214" i="4"/>
  <c r="D214" i="4"/>
  <c r="C214" i="4"/>
  <c r="E213" i="4"/>
  <c r="D213" i="4"/>
  <c r="C213" i="4"/>
  <c r="E212" i="4"/>
  <c r="D212" i="4"/>
  <c r="C212" i="4"/>
  <c r="E211" i="4"/>
  <c r="D211" i="4"/>
  <c r="C211" i="4"/>
  <c r="E210" i="4"/>
  <c r="D210" i="4"/>
  <c r="C210" i="4"/>
  <c r="E209" i="4"/>
  <c r="D209" i="4"/>
  <c r="C209" i="4"/>
  <c r="E208" i="4"/>
  <c r="D208" i="4"/>
  <c r="C208" i="4"/>
  <c r="E207" i="4"/>
  <c r="D207" i="4"/>
  <c r="C207" i="4"/>
  <c r="E206" i="4"/>
  <c r="D206" i="4"/>
  <c r="C206" i="4"/>
  <c r="E205" i="4"/>
  <c r="D205" i="4"/>
  <c r="C205" i="4"/>
  <c r="E204" i="4"/>
  <c r="D204" i="4"/>
  <c r="C204" i="4"/>
  <c r="E203" i="4"/>
  <c r="D203" i="4"/>
  <c r="C203" i="4"/>
  <c r="E202" i="4"/>
  <c r="D202" i="4"/>
  <c r="C202" i="4"/>
  <c r="E201" i="4"/>
  <c r="D201" i="4"/>
  <c r="C201" i="4"/>
  <c r="E200" i="4"/>
  <c r="D200" i="4"/>
  <c r="C200" i="4"/>
  <c r="E199" i="4"/>
  <c r="D199" i="4"/>
  <c r="C199" i="4"/>
  <c r="E198" i="4"/>
  <c r="D198" i="4"/>
  <c r="C198" i="4"/>
  <c r="E197" i="4"/>
  <c r="D197" i="4"/>
  <c r="C197" i="4"/>
  <c r="E196" i="4"/>
  <c r="D196" i="4"/>
  <c r="C196" i="4"/>
  <c r="E195" i="4"/>
  <c r="D195" i="4"/>
  <c r="C195" i="4"/>
  <c r="E194" i="4"/>
  <c r="D194" i="4"/>
  <c r="C194" i="4"/>
  <c r="E193" i="4"/>
  <c r="D193" i="4"/>
  <c r="C193" i="4"/>
  <c r="E192" i="4"/>
  <c r="D192" i="4"/>
  <c r="C192" i="4"/>
  <c r="E191" i="4"/>
  <c r="D191" i="4"/>
  <c r="C191" i="4"/>
  <c r="E190" i="4"/>
  <c r="D190" i="4"/>
  <c r="C190" i="4"/>
  <c r="E189" i="4"/>
  <c r="D189" i="4"/>
  <c r="C189" i="4"/>
  <c r="E188" i="4"/>
  <c r="D188" i="4"/>
  <c r="C188" i="4"/>
  <c r="E187" i="4"/>
  <c r="D187" i="4"/>
  <c r="C187" i="4"/>
  <c r="E186" i="4"/>
  <c r="D186" i="4"/>
  <c r="C186" i="4"/>
  <c r="E185" i="4"/>
  <c r="D185" i="4"/>
  <c r="C185" i="4"/>
  <c r="E184" i="4"/>
  <c r="D184" i="4"/>
  <c r="C184" i="4"/>
  <c r="E183" i="4"/>
  <c r="D183" i="4"/>
  <c r="C183" i="4"/>
  <c r="E182" i="4"/>
  <c r="D182" i="4"/>
  <c r="C182" i="4"/>
  <c r="E181" i="4"/>
  <c r="D181" i="4"/>
  <c r="C181" i="4"/>
  <c r="E180" i="4"/>
  <c r="D180" i="4"/>
  <c r="C180" i="4"/>
  <c r="E179" i="4"/>
  <c r="D179" i="4"/>
  <c r="C179" i="4"/>
  <c r="E178" i="4"/>
  <c r="D178" i="4"/>
  <c r="C178" i="4"/>
  <c r="E177" i="4"/>
  <c r="D177" i="4"/>
  <c r="C177" i="4"/>
  <c r="E176" i="4"/>
  <c r="D176" i="4"/>
  <c r="C176" i="4"/>
  <c r="E175" i="4"/>
  <c r="D175" i="4"/>
  <c r="C175" i="4"/>
  <c r="E174" i="4"/>
  <c r="D174" i="4"/>
  <c r="C174" i="4"/>
  <c r="E173" i="4"/>
  <c r="D173" i="4"/>
  <c r="C173" i="4"/>
  <c r="E172" i="4"/>
  <c r="D172" i="4"/>
  <c r="C172" i="4"/>
  <c r="E171" i="4"/>
  <c r="D171" i="4"/>
  <c r="C171" i="4"/>
  <c r="E170" i="4"/>
  <c r="D170" i="4"/>
  <c r="C170" i="4"/>
  <c r="E169" i="4"/>
  <c r="D169" i="4"/>
  <c r="C169" i="4"/>
  <c r="E168" i="4"/>
  <c r="D168" i="4"/>
  <c r="C168" i="4"/>
  <c r="E167" i="4"/>
  <c r="D167" i="4"/>
  <c r="C167" i="4"/>
  <c r="E166" i="4"/>
  <c r="D166" i="4"/>
  <c r="C166" i="4"/>
  <c r="E165" i="4"/>
  <c r="D165" i="4"/>
  <c r="C165" i="4"/>
  <c r="E164" i="4"/>
  <c r="D164" i="4"/>
  <c r="C164" i="4"/>
  <c r="E163" i="4"/>
  <c r="D163" i="4"/>
  <c r="C163" i="4"/>
  <c r="E162" i="4"/>
  <c r="D162" i="4"/>
  <c r="C162" i="4"/>
  <c r="E161" i="4"/>
  <c r="D161" i="4"/>
  <c r="C161" i="4"/>
  <c r="E160" i="4"/>
  <c r="D160" i="4"/>
  <c r="C160" i="4"/>
  <c r="E159" i="4"/>
  <c r="D159" i="4"/>
  <c r="C159" i="4"/>
  <c r="E158" i="4"/>
  <c r="D158" i="4"/>
  <c r="C158" i="4"/>
  <c r="E157" i="4"/>
  <c r="D157" i="4"/>
  <c r="C157" i="4"/>
  <c r="E156" i="4"/>
  <c r="D156" i="4"/>
  <c r="C156" i="4"/>
  <c r="E155" i="4"/>
  <c r="D155" i="4"/>
  <c r="C155" i="4"/>
  <c r="E154" i="4"/>
  <c r="D154" i="4"/>
  <c r="C154" i="4"/>
  <c r="E153" i="4"/>
  <c r="D153" i="4"/>
  <c r="C153" i="4"/>
  <c r="E152" i="4"/>
  <c r="D152" i="4"/>
  <c r="C152" i="4"/>
  <c r="E151" i="4"/>
  <c r="D151" i="4"/>
  <c r="C151" i="4"/>
  <c r="E150" i="4"/>
  <c r="D150" i="4"/>
  <c r="C150" i="4"/>
  <c r="E149" i="4"/>
  <c r="D149" i="4"/>
  <c r="C149" i="4"/>
  <c r="E148" i="4"/>
  <c r="D148" i="4"/>
  <c r="C148" i="4"/>
  <c r="E147" i="4"/>
  <c r="D147" i="4"/>
  <c r="C147" i="4"/>
  <c r="E146" i="4"/>
  <c r="D146" i="4"/>
  <c r="C146" i="4"/>
  <c r="E145" i="4"/>
  <c r="D145" i="4"/>
  <c r="C145" i="4"/>
  <c r="E144" i="4"/>
  <c r="D144" i="4"/>
  <c r="C144" i="4"/>
  <c r="E143" i="4"/>
  <c r="D143" i="4"/>
  <c r="C143" i="4"/>
  <c r="E142" i="4"/>
  <c r="D142" i="4"/>
  <c r="C142" i="4"/>
  <c r="E141" i="4"/>
  <c r="D141" i="4"/>
  <c r="C141" i="4"/>
  <c r="E140" i="4"/>
  <c r="D140" i="4"/>
  <c r="C140" i="4"/>
  <c r="E139" i="4"/>
  <c r="D139" i="4"/>
  <c r="C139" i="4"/>
  <c r="E138" i="4"/>
  <c r="D138" i="4"/>
  <c r="C138" i="4"/>
  <c r="E137" i="4"/>
  <c r="D137" i="4"/>
  <c r="C137" i="4"/>
  <c r="E136" i="4"/>
  <c r="D136" i="4"/>
  <c r="C136" i="4"/>
  <c r="E135" i="4"/>
  <c r="D135" i="4"/>
  <c r="C135" i="4"/>
  <c r="E134" i="4"/>
  <c r="D134" i="4"/>
  <c r="C134" i="4"/>
  <c r="E133" i="4"/>
  <c r="D133" i="4"/>
  <c r="C133" i="4"/>
  <c r="E132" i="4"/>
  <c r="D132" i="4"/>
  <c r="C132" i="4"/>
  <c r="E131" i="4"/>
  <c r="D131" i="4"/>
  <c r="C131" i="4"/>
  <c r="E130" i="4"/>
  <c r="D130" i="4"/>
  <c r="C130" i="4"/>
  <c r="E129" i="4"/>
  <c r="D129" i="4"/>
  <c r="C129" i="4"/>
  <c r="E128" i="4"/>
  <c r="D128" i="4"/>
  <c r="C128" i="4"/>
  <c r="E127" i="4"/>
  <c r="D127" i="4"/>
  <c r="C127" i="4"/>
  <c r="E126" i="4"/>
  <c r="D126" i="4"/>
  <c r="C126" i="4"/>
  <c r="E125" i="4"/>
  <c r="D125" i="4"/>
  <c r="C125" i="4"/>
  <c r="E124" i="4"/>
  <c r="D124" i="4"/>
  <c r="C124" i="4"/>
  <c r="E123" i="4"/>
  <c r="D123" i="4"/>
  <c r="C123" i="4"/>
  <c r="E122" i="4"/>
  <c r="D122" i="4"/>
  <c r="C122" i="4"/>
  <c r="E121" i="4"/>
  <c r="D121" i="4"/>
  <c r="C121" i="4"/>
  <c r="E120" i="4"/>
  <c r="D120" i="4"/>
  <c r="C120" i="4"/>
  <c r="E119" i="4"/>
  <c r="D119" i="4"/>
  <c r="C119" i="4"/>
  <c r="E118" i="4"/>
  <c r="D118" i="4"/>
  <c r="C118" i="4"/>
  <c r="E117" i="4"/>
  <c r="D117" i="4"/>
  <c r="C117" i="4"/>
  <c r="E116" i="4"/>
  <c r="D116" i="4"/>
  <c r="C116" i="4"/>
  <c r="E115" i="4"/>
  <c r="D115" i="4"/>
  <c r="C115" i="4"/>
  <c r="E114" i="4"/>
  <c r="D114" i="4"/>
  <c r="C114" i="4"/>
  <c r="E113" i="4"/>
  <c r="D113" i="4"/>
  <c r="C113" i="4"/>
  <c r="E112" i="4"/>
  <c r="D112" i="4"/>
  <c r="C112" i="4"/>
  <c r="E111" i="4"/>
  <c r="D111" i="4"/>
  <c r="C111" i="4"/>
  <c r="E110" i="4"/>
  <c r="D110" i="4"/>
  <c r="C110" i="4"/>
  <c r="E109" i="4"/>
  <c r="D109" i="4"/>
  <c r="C109" i="4"/>
  <c r="E108" i="4"/>
  <c r="D108" i="4"/>
  <c r="C108" i="4"/>
  <c r="E107" i="4"/>
  <c r="D107" i="4"/>
  <c r="C107" i="4"/>
  <c r="E106" i="4"/>
  <c r="D106" i="4"/>
  <c r="C106" i="4"/>
  <c r="E105" i="4"/>
  <c r="D105" i="4"/>
  <c r="C105" i="4"/>
  <c r="E104" i="4"/>
  <c r="D104" i="4"/>
  <c r="C104" i="4"/>
  <c r="E103" i="4"/>
  <c r="D103" i="4"/>
  <c r="C103" i="4"/>
  <c r="E102" i="4"/>
  <c r="D102" i="4"/>
  <c r="C102" i="4"/>
  <c r="E101" i="4"/>
  <c r="D101" i="4"/>
  <c r="C101" i="4"/>
  <c r="E100" i="4"/>
  <c r="D100" i="4"/>
  <c r="C100" i="4"/>
  <c r="E99" i="4"/>
  <c r="D99" i="4"/>
  <c r="C99" i="4"/>
  <c r="E98" i="4"/>
  <c r="D98" i="4"/>
  <c r="C98" i="4"/>
  <c r="E97" i="4"/>
  <c r="D97" i="4"/>
  <c r="C97" i="4"/>
  <c r="E96" i="4"/>
  <c r="D96" i="4"/>
  <c r="C96" i="4"/>
  <c r="E95" i="4"/>
  <c r="D95" i="4"/>
  <c r="C95" i="4"/>
  <c r="E94" i="4"/>
  <c r="D94" i="4"/>
  <c r="C94" i="4"/>
  <c r="E93" i="4"/>
  <c r="D93" i="4"/>
  <c r="C93" i="4"/>
  <c r="E92" i="4"/>
  <c r="D92" i="4"/>
  <c r="C92" i="4"/>
  <c r="E91" i="4"/>
  <c r="D91" i="4"/>
  <c r="C91" i="4"/>
  <c r="E90" i="4"/>
  <c r="D90" i="4"/>
  <c r="C90" i="4"/>
  <c r="E89" i="4"/>
  <c r="D89" i="4"/>
  <c r="C89" i="4"/>
  <c r="E88" i="4"/>
  <c r="D88" i="4"/>
  <c r="C88" i="4"/>
  <c r="E87" i="4"/>
  <c r="D87" i="4"/>
  <c r="C87" i="4"/>
  <c r="E86" i="4"/>
  <c r="D86" i="4"/>
  <c r="C86" i="4"/>
  <c r="E85" i="4"/>
  <c r="D85" i="4"/>
  <c r="C85" i="4"/>
  <c r="E84" i="4"/>
  <c r="D84" i="4"/>
  <c r="C84" i="4"/>
  <c r="E83" i="4"/>
  <c r="D83" i="4"/>
  <c r="C83" i="4"/>
  <c r="E82" i="4"/>
  <c r="D82" i="4"/>
  <c r="C82" i="4"/>
  <c r="E81" i="4"/>
  <c r="D81" i="4"/>
  <c r="C81" i="4"/>
  <c r="E80" i="4"/>
  <c r="D80" i="4"/>
  <c r="C80" i="4"/>
  <c r="E79" i="4"/>
  <c r="D79" i="4"/>
  <c r="C79" i="4"/>
  <c r="E78" i="4"/>
  <c r="D78" i="4"/>
  <c r="C78" i="4"/>
  <c r="E77" i="4"/>
  <c r="D77" i="4"/>
  <c r="C77" i="4"/>
  <c r="E76" i="4"/>
  <c r="D76" i="4"/>
  <c r="C76" i="4"/>
  <c r="E75" i="4"/>
  <c r="D75" i="4"/>
  <c r="C75" i="4"/>
  <c r="E74" i="4"/>
  <c r="D74" i="4"/>
  <c r="C74" i="4"/>
  <c r="E73" i="4"/>
  <c r="D73" i="4"/>
  <c r="C73" i="4"/>
  <c r="E72" i="4"/>
  <c r="D72" i="4"/>
  <c r="C72" i="4"/>
  <c r="E71" i="4"/>
  <c r="D71" i="4"/>
  <c r="C71" i="4"/>
  <c r="E70" i="4"/>
  <c r="D70" i="4"/>
  <c r="C70" i="4"/>
  <c r="E69" i="4"/>
  <c r="D69" i="4"/>
  <c r="C69" i="4"/>
  <c r="E68" i="4"/>
  <c r="D68" i="4"/>
  <c r="C68" i="4"/>
  <c r="E67" i="4"/>
  <c r="D67" i="4"/>
  <c r="C67" i="4"/>
  <c r="E66" i="4"/>
  <c r="D66" i="4"/>
  <c r="C66" i="4"/>
  <c r="E65" i="4"/>
  <c r="D65" i="4"/>
  <c r="C65" i="4"/>
  <c r="E64" i="4"/>
  <c r="D64" i="4"/>
  <c r="C64" i="4"/>
  <c r="E63" i="4"/>
  <c r="D63" i="4"/>
  <c r="C63" i="4"/>
  <c r="E62" i="4"/>
  <c r="D62" i="4"/>
  <c r="C62" i="4"/>
  <c r="E61" i="4"/>
  <c r="D61" i="4"/>
  <c r="C61" i="4"/>
  <c r="E60" i="4"/>
  <c r="D60" i="4"/>
  <c r="C60" i="4"/>
  <c r="E59" i="4"/>
  <c r="D59" i="4"/>
  <c r="C59" i="4"/>
  <c r="E58" i="4"/>
  <c r="D58" i="4"/>
  <c r="C58" i="4"/>
  <c r="E57" i="4"/>
  <c r="D57" i="4"/>
  <c r="C57" i="4"/>
  <c r="E56" i="4"/>
  <c r="D56" i="4"/>
  <c r="C56" i="4"/>
  <c r="E55" i="4"/>
  <c r="D55" i="4"/>
  <c r="C55" i="4"/>
  <c r="E54" i="4"/>
  <c r="D54" i="4"/>
  <c r="C54" i="4"/>
  <c r="E53" i="4"/>
  <c r="D53" i="4"/>
  <c r="C53" i="4"/>
  <c r="E52" i="4"/>
  <c r="D52" i="4"/>
  <c r="C52" i="4"/>
  <c r="E51" i="4"/>
  <c r="D51" i="4"/>
  <c r="C51" i="4"/>
  <c r="E50" i="4"/>
  <c r="C50" i="4"/>
  <c r="E49" i="4"/>
  <c r="D49" i="4"/>
  <c r="C49" i="4"/>
  <c r="E48" i="4"/>
  <c r="D48" i="4"/>
  <c r="C48" i="4"/>
  <c r="E47" i="4"/>
  <c r="D47" i="4"/>
  <c r="C47" i="4"/>
  <c r="E46" i="4"/>
  <c r="D46" i="4"/>
  <c r="C46" i="4"/>
  <c r="E45" i="4"/>
  <c r="D45" i="4"/>
  <c r="C45" i="4"/>
  <c r="E44" i="4"/>
  <c r="D44" i="4"/>
  <c r="C44" i="4"/>
  <c r="E43" i="4"/>
  <c r="D43" i="4"/>
  <c r="C43" i="4"/>
  <c r="E42" i="4"/>
  <c r="D42" i="4"/>
  <c r="C42" i="4"/>
  <c r="E41" i="4"/>
  <c r="D41" i="4"/>
  <c r="C41" i="4"/>
  <c r="E40" i="4"/>
  <c r="D40" i="4"/>
  <c r="C40" i="4"/>
  <c r="E39" i="4"/>
  <c r="D39" i="4"/>
  <c r="C39" i="4"/>
  <c r="E38" i="4"/>
  <c r="D38" i="4"/>
  <c r="C38" i="4"/>
  <c r="E37" i="4"/>
  <c r="D37" i="4"/>
  <c r="C37" i="4"/>
  <c r="E36" i="4"/>
  <c r="D36" i="4"/>
  <c r="C36" i="4"/>
  <c r="E35" i="4"/>
  <c r="D35" i="4"/>
  <c r="C35" i="4"/>
  <c r="E34" i="4"/>
  <c r="D34" i="4"/>
  <c r="C34" i="4"/>
  <c r="E33" i="4"/>
  <c r="D33" i="4"/>
  <c r="C33" i="4"/>
  <c r="E32" i="4"/>
  <c r="D32" i="4"/>
  <c r="C32" i="4"/>
  <c r="E31" i="4"/>
  <c r="D31" i="4"/>
  <c r="C31" i="4"/>
  <c r="E30" i="4"/>
  <c r="D30" i="4"/>
  <c r="C30" i="4"/>
  <c r="E29" i="4"/>
  <c r="D29" i="4"/>
  <c r="C29" i="4"/>
  <c r="E28" i="4"/>
  <c r="D28" i="4"/>
  <c r="C28" i="4"/>
  <c r="E27" i="4"/>
  <c r="D27" i="4"/>
  <c r="C27" i="4"/>
  <c r="E26" i="4"/>
  <c r="D26" i="4"/>
  <c r="C26" i="4"/>
  <c r="E25" i="4"/>
  <c r="D25" i="4"/>
  <c r="C25" i="4"/>
  <c r="E24" i="4"/>
  <c r="D24" i="4"/>
  <c r="C24" i="4"/>
  <c r="E23" i="4"/>
  <c r="D23" i="4"/>
  <c r="C23" i="4"/>
  <c r="E22" i="4"/>
  <c r="D22" i="4"/>
  <c r="C22" i="4"/>
  <c r="E21" i="4"/>
  <c r="D21" i="4"/>
  <c r="C21" i="4"/>
  <c r="E20" i="4"/>
  <c r="D20" i="4"/>
  <c r="C20" i="4"/>
  <c r="E19" i="4"/>
  <c r="D19" i="4"/>
  <c r="C19" i="4"/>
  <c r="E18" i="4"/>
  <c r="D18" i="4"/>
  <c r="C18" i="4"/>
  <c r="E17" i="4"/>
  <c r="D17" i="4"/>
  <c r="C17" i="4"/>
  <c r="E16" i="4"/>
  <c r="D16" i="4"/>
  <c r="C16" i="4"/>
  <c r="E15" i="4"/>
  <c r="D15" i="4"/>
  <c r="C15" i="4"/>
  <c r="E14" i="4"/>
  <c r="D14" i="4"/>
  <c r="C14" i="4"/>
  <c r="E13" i="4"/>
  <c r="D13" i="4"/>
  <c r="C13" i="4"/>
  <c r="E12" i="4"/>
  <c r="D12" i="4"/>
  <c r="C12" i="4"/>
  <c r="E11" i="4"/>
  <c r="D11" i="4"/>
  <c r="C11" i="4"/>
  <c r="E10" i="4"/>
  <c r="D10" i="4"/>
  <c r="C10" i="4"/>
  <c r="E9" i="4"/>
  <c r="D9" i="4"/>
  <c r="C9" i="4"/>
  <c r="E8" i="4"/>
  <c r="D8" i="4"/>
  <c r="C8" i="4"/>
  <c r="E7" i="4"/>
  <c r="D7" i="4"/>
  <c r="C7" i="4"/>
  <c r="E6" i="4"/>
  <c r="D6" i="4"/>
  <c r="C6" i="4"/>
  <c r="E5" i="4"/>
  <c r="D5" i="4"/>
  <c r="C5" i="4"/>
  <c r="E4" i="4"/>
  <c r="D4" i="4"/>
  <c r="C4" i="4"/>
  <c r="E3" i="4"/>
  <c r="D3" i="4"/>
  <c r="C3" i="4"/>
  <c r="E2" i="4"/>
  <c r="D2" i="4"/>
  <c r="C2" i="4"/>
  <c r="D241" i="3"/>
  <c r="E240" i="3"/>
  <c r="C240" i="3"/>
  <c r="E239" i="3"/>
  <c r="D239" i="3"/>
  <c r="C239" i="3"/>
  <c r="E238" i="3"/>
  <c r="D238" i="3"/>
  <c r="C238" i="3"/>
  <c r="E237" i="3"/>
  <c r="D237" i="3"/>
  <c r="C237" i="3"/>
  <c r="E236" i="3"/>
  <c r="D236" i="3"/>
  <c r="C236" i="3"/>
  <c r="E235" i="3"/>
  <c r="D235" i="3"/>
  <c r="C235" i="3"/>
  <c r="E234" i="3"/>
  <c r="D234" i="3"/>
  <c r="C234" i="3"/>
  <c r="E233" i="3"/>
  <c r="D233" i="3"/>
  <c r="C233" i="3"/>
  <c r="E232" i="3"/>
  <c r="D232" i="3"/>
  <c r="C232" i="3"/>
  <c r="E231" i="3"/>
  <c r="D231" i="3"/>
  <c r="C231" i="3"/>
  <c r="E230" i="3"/>
  <c r="D230" i="3"/>
  <c r="C230" i="3"/>
  <c r="E229" i="3"/>
  <c r="D229" i="3"/>
  <c r="C229" i="3"/>
  <c r="E228" i="3"/>
  <c r="D228" i="3"/>
  <c r="C228" i="3"/>
  <c r="E227" i="3"/>
  <c r="D227" i="3"/>
  <c r="C227" i="3"/>
  <c r="E226" i="3"/>
  <c r="D226" i="3"/>
  <c r="C226" i="3"/>
  <c r="E225" i="3"/>
  <c r="D225" i="3"/>
  <c r="C225" i="3"/>
  <c r="E224" i="3"/>
  <c r="D224" i="3"/>
  <c r="C224" i="3"/>
  <c r="E223" i="3"/>
  <c r="D223" i="3"/>
  <c r="C223" i="3"/>
  <c r="E222" i="3"/>
  <c r="D222" i="3"/>
  <c r="C222" i="3"/>
  <c r="E221" i="3"/>
  <c r="D221" i="3"/>
  <c r="C221" i="3"/>
  <c r="E220" i="3"/>
  <c r="D220" i="3"/>
  <c r="C220" i="3"/>
  <c r="E219" i="3"/>
  <c r="D219" i="3"/>
  <c r="C219" i="3"/>
  <c r="E218" i="3"/>
  <c r="D218" i="3"/>
  <c r="C218" i="3"/>
  <c r="E217" i="3"/>
  <c r="D217" i="3"/>
  <c r="C217" i="3"/>
  <c r="E216" i="3"/>
  <c r="D216" i="3"/>
  <c r="C216" i="3"/>
  <c r="E215" i="3"/>
  <c r="D215" i="3"/>
  <c r="C215" i="3"/>
  <c r="E214" i="3"/>
  <c r="D214" i="3"/>
  <c r="C214" i="3"/>
  <c r="E213" i="3"/>
  <c r="D213" i="3"/>
  <c r="C213" i="3"/>
  <c r="E212" i="3"/>
  <c r="D212" i="3"/>
  <c r="C212" i="3"/>
  <c r="E211" i="3"/>
  <c r="D211" i="3"/>
  <c r="C211" i="3"/>
  <c r="E210" i="3"/>
  <c r="D210" i="3"/>
  <c r="C210" i="3"/>
  <c r="E209" i="3"/>
  <c r="D209" i="3"/>
  <c r="C209" i="3"/>
  <c r="E208" i="3"/>
  <c r="D208" i="3"/>
  <c r="C208" i="3"/>
  <c r="E207" i="3"/>
  <c r="D207" i="3"/>
  <c r="C207" i="3"/>
  <c r="E206" i="3"/>
  <c r="D206" i="3"/>
  <c r="C206" i="3"/>
  <c r="E205" i="3"/>
  <c r="D205" i="3"/>
  <c r="C205" i="3"/>
  <c r="E204" i="3"/>
  <c r="D204" i="3"/>
  <c r="C204" i="3"/>
  <c r="E203" i="3"/>
  <c r="D203" i="3"/>
  <c r="C203" i="3"/>
  <c r="E202" i="3"/>
  <c r="D202" i="3"/>
  <c r="C202" i="3"/>
  <c r="E201" i="3"/>
  <c r="D201" i="3"/>
  <c r="C201" i="3"/>
  <c r="E200" i="3"/>
  <c r="D200" i="3"/>
  <c r="C200" i="3"/>
  <c r="E199" i="3"/>
  <c r="D199" i="3"/>
  <c r="C199" i="3"/>
  <c r="E198" i="3"/>
  <c r="D198" i="3"/>
  <c r="C198" i="3"/>
  <c r="E197" i="3"/>
  <c r="D197" i="3"/>
  <c r="C197" i="3"/>
  <c r="E196" i="3"/>
  <c r="D196" i="3"/>
  <c r="C196" i="3"/>
  <c r="E195" i="3"/>
  <c r="D195" i="3"/>
  <c r="C195" i="3"/>
  <c r="E194" i="3"/>
  <c r="D194" i="3"/>
  <c r="C194" i="3"/>
  <c r="E193" i="3"/>
  <c r="D193" i="3"/>
  <c r="C193" i="3"/>
  <c r="E192" i="3"/>
  <c r="D192" i="3"/>
  <c r="C192" i="3"/>
  <c r="E191" i="3"/>
  <c r="D191" i="3"/>
  <c r="C191" i="3"/>
  <c r="E190" i="3"/>
  <c r="D190" i="3"/>
  <c r="C190" i="3"/>
  <c r="E189" i="3"/>
  <c r="D189" i="3"/>
  <c r="C189" i="3"/>
  <c r="E188" i="3"/>
  <c r="D188" i="3"/>
  <c r="C188" i="3"/>
  <c r="E187" i="3"/>
  <c r="D187" i="3"/>
  <c r="C187" i="3"/>
  <c r="E186" i="3"/>
  <c r="D186" i="3"/>
  <c r="C186" i="3"/>
  <c r="E185" i="3"/>
  <c r="D185" i="3"/>
  <c r="C185" i="3"/>
  <c r="E184" i="3"/>
  <c r="D184" i="3"/>
  <c r="C184" i="3"/>
  <c r="E183" i="3"/>
  <c r="D183" i="3"/>
  <c r="C183" i="3"/>
  <c r="E182" i="3"/>
  <c r="D182" i="3"/>
  <c r="C182" i="3"/>
  <c r="E181" i="3"/>
  <c r="D181" i="3"/>
  <c r="C181" i="3"/>
  <c r="E180" i="3"/>
  <c r="D180" i="3"/>
  <c r="C180" i="3"/>
  <c r="E179" i="3"/>
  <c r="D179" i="3"/>
  <c r="C179" i="3"/>
  <c r="E178" i="3"/>
  <c r="D178" i="3"/>
  <c r="C178" i="3"/>
  <c r="E177" i="3"/>
  <c r="D177" i="3"/>
  <c r="C177" i="3"/>
  <c r="E176" i="3"/>
  <c r="D176" i="3"/>
  <c r="C176" i="3"/>
  <c r="E175" i="3"/>
  <c r="D175" i="3"/>
  <c r="C175" i="3"/>
  <c r="E174" i="3"/>
  <c r="D174" i="3"/>
  <c r="C174" i="3"/>
  <c r="E173" i="3"/>
  <c r="D173" i="3"/>
  <c r="C173" i="3"/>
  <c r="E172" i="3"/>
  <c r="D172" i="3"/>
  <c r="C172" i="3"/>
  <c r="E171" i="3"/>
  <c r="D171" i="3"/>
  <c r="C171" i="3"/>
  <c r="E170" i="3"/>
  <c r="D170" i="3"/>
  <c r="C170" i="3"/>
  <c r="E169" i="3"/>
  <c r="D169" i="3"/>
  <c r="C169" i="3"/>
  <c r="E168" i="3"/>
  <c r="D168" i="3"/>
  <c r="C168" i="3"/>
  <c r="E167" i="3"/>
  <c r="D167" i="3"/>
  <c r="C167" i="3"/>
  <c r="E166" i="3"/>
  <c r="D166" i="3"/>
  <c r="C166" i="3"/>
  <c r="E165" i="3"/>
  <c r="D165" i="3"/>
  <c r="C165" i="3"/>
  <c r="E164" i="3"/>
  <c r="D164" i="3"/>
  <c r="C164" i="3"/>
  <c r="E163" i="3"/>
  <c r="D163" i="3"/>
  <c r="C163" i="3"/>
  <c r="E162" i="3"/>
  <c r="D162" i="3"/>
  <c r="C162" i="3"/>
  <c r="E161" i="3"/>
  <c r="D161" i="3"/>
  <c r="C161" i="3"/>
  <c r="E160" i="3"/>
  <c r="D160" i="3"/>
  <c r="C160" i="3"/>
  <c r="E159" i="3"/>
  <c r="D159" i="3"/>
  <c r="C159" i="3"/>
  <c r="E158" i="3"/>
  <c r="D158" i="3"/>
  <c r="C158" i="3"/>
  <c r="E157" i="3"/>
  <c r="D157" i="3"/>
  <c r="C157" i="3"/>
  <c r="E156" i="3"/>
  <c r="D156" i="3"/>
  <c r="C156" i="3"/>
  <c r="E155" i="3"/>
  <c r="D155" i="3"/>
  <c r="C155" i="3"/>
  <c r="E154" i="3"/>
  <c r="D154" i="3"/>
  <c r="C154" i="3"/>
  <c r="E153" i="3"/>
  <c r="D153" i="3"/>
  <c r="C153" i="3"/>
  <c r="E152" i="3"/>
  <c r="D152" i="3"/>
  <c r="C152" i="3"/>
  <c r="E151" i="3"/>
  <c r="D151" i="3"/>
  <c r="C151" i="3"/>
  <c r="E150" i="3"/>
  <c r="D150" i="3"/>
  <c r="C150" i="3"/>
  <c r="E149" i="3"/>
  <c r="D149" i="3"/>
  <c r="C149" i="3"/>
  <c r="E148" i="3"/>
  <c r="D148" i="3"/>
  <c r="C148" i="3"/>
  <c r="E147" i="3"/>
  <c r="D147" i="3"/>
  <c r="C147" i="3"/>
  <c r="E146" i="3"/>
  <c r="D146" i="3"/>
  <c r="C146" i="3"/>
  <c r="E145" i="3"/>
  <c r="D145" i="3"/>
  <c r="C145" i="3"/>
  <c r="E144" i="3"/>
  <c r="D144" i="3"/>
  <c r="C144" i="3"/>
  <c r="E143" i="3"/>
  <c r="D143" i="3"/>
  <c r="C143" i="3"/>
  <c r="E142" i="3"/>
  <c r="D142" i="3"/>
  <c r="C142" i="3"/>
  <c r="E141" i="3"/>
  <c r="D141" i="3"/>
  <c r="C141" i="3"/>
  <c r="E140" i="3"/>
  <c r="D140" i="3"/>
  <c r="C140" i="3"/>
  <c r="E139" i="3"/>
  <c r="D139" i="3"/>
  <c r="C139" i="3"/>
  <c r="E138" i="3"/>
  <c r="D138" i="3"/>
  <c r="C138" i="3"/>
  <c r="E137" i="3"/>
  <c r="D137" i="3"/>
  <c r="C137" i="3"/>
  <c r="E136" i="3"/>
  <c r="D136" i="3"/>
  <c r="C136" i="3"/>
  <c r="E135" i="3"/>
  <c r="D135" i="3"/>
  <c r="C135" i="3"/>
  <c r="E134" i="3"/>
  <c r="D134" i="3"/>
  <c r="C134" i="3"/>
  <c r="E133" i="3"/>
  <c r="D133" i="3"/>
  <c r="C133" i="3"/>
  <c r="E132" i="3"/>
  <c r="D132" i="3"/>
  <c r="C132" i="3"/>
  <c r="E131" i="3"/>
  <c r="D131" i="3"/>
  <c r="C131" i="3"/>
  <c r="E130" i="3"/>
  <c r="D130" i="3"/>
  <c r="C130" i="3"/>
  <c r="E129" i="3"/>
  <c r="D129" i="3"/>
  <c r="C129" i="3"/>
  <c r="E128" i="3"/>
  <c r="D128" i="3"/>
  <c r="C128" i="3"/>
  <c r="E127" i="3"/>
  <c r="D127" i="3"/>
  <c r="C127" i="3"/>
  <c r="E126" i="3"/>
  <c r="D126" i="3"/>
  <c r="C126" i="3"/>
  <c r="E125" i="3"/>
  <c r="D125" i="3"/>
  <c r="C125" i="3"/>
  <c r="E124" i="3"/>
  <c r="D124" i="3"/>
  <c r="C124" i="3"/>
  <c r="E123" i="3"/>
  <c r="D123" i="3"/>
  <c r="C123" i="3"/>
  <c r="E122" i="3"/>
  <c r="D122" i="3"/>
  <c r="C122" i="3"/>
  <c r="E121" i="3"/>
  <c r="D121" i="3"/>
  <c r="C121" i="3"/>
  <c r="E120" i="3"/>
  <c r="D120" i="3"/>
  <c r="C120" i="3"/>
  <c r="E119" i="3"/>
  <c r="D119" i="3"/>
  <c r="C119" i="3"/>
  <c r="E118" i="3"/>
  <c r="D118" i="3"/>
  <c r="C118" i="3"/>
  <c r="E117" i="3"/>
  <c r="D117" i="3"/>
  <c r="C117" i="3"/>
  <c r="E116" i="3"/>
  <c r="D116" i="3"/>
  <c r="C116" i="3"/>
  <c r="E115" i="3"/>
  <c r="D115" i="3"/>
  <c r="C115" i="3"/>
  <c r="E114" i="3"/>
  <c r="D114" i="3"/>
  <c r="C114" i="3"/>
  <c r="E113" i="3"/>
  <c r="D113" i="3"/>
  <c r="C113" i="3"/>
  <c r="E112" i="3"/>
  <c r="D112" i="3"/>
  <c r="C112" i="3"/>
  <c r="E111" i="3"/>
  <c r="D111" i="3"/>
  <c r="C111" i="3"/>
  <c r="E110" i="3"/>
  <c r="D110" i="3"/>
  <c r="C110" i="3"/>
  <c r="E109" i="3"/>
  <c r="D109" i="3"/>
  <c r="C109" i="3"/>
  <c r="E108" i="3"/>
  <c r="D108" i="3"/>
  <c r="C108" i="3"/>
  <c r="E107" i="3"/>
  <c r="D107" i="3"/>
  <c r="C107" i="3"/>
  <c r="E106" i="3"/>
  <c r="D106" i="3"/>
  <c r="C106" i="3"/>
  <c r="E105" i="3"/>
  <c r="D105" i="3"/>
  <c r="C105" i="3"/>
  <c r="E104" i="3"/>
  <c r="D104" i="3"/>
  <c r="C104" i="3"/>
  <c r="E103" i="3"/>
  <c r="D103" i="3"/>
  <c r="C103" i="3"/>
  <c r="E102" i="3"/>
  <c r="D102" i="3"/>
  <c r="C102" i="3"/>
  <c r="E101" i="3"/>
  <c r="D101" i="3"/>
  <c r="C101" i="3"/>
  <c r="E100" i="3"/>
  <c r="D100" i="3"/>
  <c r="C100" i="3"/>
  <c r="E99" i="3"/>
  <c r="D99" i="3"/>
  <c r="C99" i="3"/>
  <c r="E98" i="3"/>
  <c r="D98" i="3"/>
  <c r="C98" i="3"/>
  <c r="E97" i="3"/>
  <c r="D97" i="3"/>
  <c r="C97" i="3"/>
  <c r="E96" i="3"/>
  <c r="D96" i="3"/>
  <c r="C96" i="3"/>
  <c r="E95" i="3"/>
  <c r="D95" i="3"/>
  <c r="C95" i="3"/>
  <c r="E94" i="3"/>
  <c r="D94" i="3"/>
  <c r="C94" i="3"/>
  <c r="E93" i="3"/>
  <c r="D93" i="3"/>
  <c r="C93" i="3"/>
  <c r="E92" i="3"/>
  <c r="D92" i="3"/>
  <c r="C92" i="3"/>
  <c r="E91" i="3"/>
  <c r="D91" i="3"/>
  <c r="C91" i="3"/>
  <c r="E90" i="3"/>
  <c r="D90" i="3"/>
  <c r="C90" i="3"/>
  <c r="E89" i="3"/>
  <c r="D89" i="3"/>
  <c r="C89" i="3"/>
  <c r="E88" i="3"/>
  <c r="D88" i="3"/>
  <c r="C88" i="3"/>
  <c r="E87" i="3"/>
  <c r="D87" i="3"/>
  <c r="C87" i="3"/>
  <c r="E86" i="3"/>
  <c r="D86" i="3"/>
  <c r="C86" i="3"/>
  <c r="E85" i="3"/>
  <c r="D85" i="3"/>
  <c r="C85" i="3"/>
  <c r="E84" i="3"/>
  <c r="D84" i="3"/>
  <c r="C84" i="3"/>
  <c r="E83" i="3"/>
  <c r="D83" i="3"/>
  <c r="C83" i="3"/>
  <c r="E82" i="3"/>
  <c r="D82" i="3"/>
  <c r="C82" i="3"/>
  <c r="E81" i="3"/>
  <c r="D81" i="3"/>
  <c r="C81" i="3"/>
  <c r="E80" i="3"/>
  <c r="D80" i="3"/>
  <c r="C80" i="3"/>
  <c r="E79" i="3"/>
  <c r="D79" i="3"/>
  <c r="C79" i="3"/>
  <c r="E78" i="3"/>
  <c r="D78" i="3"/>
  <c r="C78" i="3"/>
  <c r="E77" i="3"/>
  <c r="D77" i="3"/>
  <c r="C77" i="3"/>
  <c r="E76" i="3"/>
  <c r="D76" i="3"/>
  <c r="C76" i="3"/>
  <c r="E75" i="3"/>
  <c r="D75" i="3"/>
  <c r="C75" i="3"/>
  <c r="E74" i="3"/>
  <c r="D74" i="3"/>
  <c r="C74" i="3"/>
  <c r="E73" i="3"/>
  <c r="D73" i="3"/>
  <c r="C73" i="3"/>
  <c r="E72" i="3"/>
  <c r="D72" i="3"/>
  <c r="C72" i="3"/>
  <c r="E71" i="3"/>
  <c r="D71" i="3"/>
  <c r="C71" i="3"/>
  <c r="E70" i="3"/>
  <c r="D70" i="3"/>
  <c r="C70" i="3"/>
  <c r="E69" i="3"/>
  <c r="D69" i="3"/>
  <c r="C69" i="3"/>
  <c r="E68" i="3"/>
  <c r="D68" i="3"/>
  <c r="C68" i="3"/>
  <c r="E67" i="3"/>
  <c r="D67" i="3"/>
  <c r="C67" i="3"/>
  <c r="E66" i="3"/>
  <c r="D66" i="3"/>
  <c r="C66" i="3"/>
  <c r="E65" i="3"/>
  <c r="D65" i="3"/>
  <c r="C65" i="3"/>
  <c r="E64" i="3"/>
  <c r="D64" i="3"/>
  <c r="C64" i="3"/>
  <c r="E63" i="3"/>
  <c r="D63" i="3"/>
  <c r="C63" i="3"/>
  <c r="E62" i="3"/>
  <c r="D62" i="3"/>
  <c r="C62" i="3"/>
  <c r="E61" i="3"/>
  <c r="D61" i="3"/>
  <c r="C61" i="3"/>
  <c r="E60" i="3"/>
  <c r="D60" i="3"/>
  <c r="C60" i="3"/>
  <c r="E59" i="3"/>
  <c r="D59" i="3"/>
  <c r="C59" i="3"/>
  <c r="E58" i="3"/>
  <c r="D58" i="3"/>
  <c r="C58" i="3"/>
  <c r="E57" i="3"/>
  <c r="D57" i="3"/>
  <c r="C57" i="3"/>
  <c r="E56" i="3"/>
  <c r="D56" i="3"/>
  <c r="C56" i="3"/>
  <c r="E55" i="3"/>
  <c r="D55" i="3"/>
  <c r="C55" i="3"/>
  <c r="E54" i="3"/>
  <c r="D54" i="3"/>
  <c r="C54" i="3"/>
  <c r="E53" i="3"/>
  <c r="D53" i="3"/>
  <c r="C53" i="3"/>
  <c r="E52" i="3"/>
  <c r="D52" i="3"/>
  <c r="C52" i="3"/>
  <c r="E51" i="3"/>
  <c r="D51" i="3"/>
  <c r="C51" i="3"/>
  <c r="E50" i="3"/>
  <c r="C50" i="3"/>
  <c r="E49" i="3"/>
  <c r="D49" i="3"/>
  <c r="C49" i="3"/>
  <c r="E48" i="3"/>
  <c r="D48" i="3"/>
  <c r="C48" i="3"/>
  <c r="E47" i="3"/>
  <c r="D47" i="3"/>
  <c r="C47" i="3"/>
  <c r="E46" i="3"/>
  <c r="D46" i="3"/>
  <c r="C46" i="3"/>
  <c r="E45" i="3"/>
  <c r="D45" i="3"/>
  <c r="C45" i="3"/>
  <c r="E44" i="3"/>
  <c r="D44" i="3"/>
  <c r="C44" i="3"/>
  <c r="E43" i="3"/>
  <c r="D43" i="3"/>
  <c r="C43" i="3"/>
  <c r="E42" i="3"/>
  <c r="D42" i="3"/>
  <c r="C42" i="3"/>
  <c r="E41" i="3"/>
  <c r="D41" i="3"/>
  <c r="C41" i="3"/>
  <c r="E40" i="3"/>
  <c r="D40" i="3"/>
  <c r="C40" i="3"/>
  <c r="E39" i="3"/>
  <c r="D39" i="3"/>
  <c r="C39" i="3"/>
  <c r="E38" i="3"/>
  <c r="D38" i="3"/>
  <c r="C38" i="3"/>
  <c r="E37" i="3"/>
  <c r="D37" i="3"/>
  <c r="C37" i="3"/>
  <c r="E36" i="3"/>
  <c r="D36" i="3"/>
  <c r="C36" i="3"/>
  <c r="E35" i="3"/>
  <c r="D35" i="3"/>
  <c r="C35" i="3"/>
  <c r="E34" i="3"/>
  <c r="D34" i="3"/>
  <c r="C34" i="3"/>
  <c r="E33" i="3"/>
  <c r="D33" i="3"/>
  <c r="C33" i="3"/>
  <c r="E32" i="3"/>
  <c r="D32" i="3"/>
  <c r="C32" i="3"/>
  <c r="E31" i="3"/>
  <c r="D31" i="3"/>
  <c r="C31" i="3"/>
  <c r="E30" i="3"/>
  <c r="D30" i="3"/>
  <c r="C30" i="3"/>
  <c r="E29" i="3"/>
  <c r="D29" i="3"/>
  <c r="C29" i="3"/>
  <c r="E28" i="3"/>
  <c r="D28" i="3"/>
  <c r="C28" i="3"/>
  <c r="E27" i="3"/>
  <c r="D27" i="3"/>
  <c r="C27" i="3"/>
  <c r="E26" i="3"/>
  <c r="D26" i="3"/>
  <c r="C26" i="3"/>
  <c r="E25" i="3"/>
  <c r="D25" i="3"/>
  <c r="C25" i="3"/>
  <c r="E24" i="3"/>
  <c r="D24" i="3"/>
  <c r="C24" i="3"/>
  <c r="E23" i="3"/>
  <c r="D23" i="3"/>
  <c r="C23" i="3"/>
  <c r="E22" i="3"/>
  <c r="D22" i="3"/>
  <c r="C22" i="3"/>
  <c r="E21" i="3"/>
  <c r="D21" i="3"/>
  <c r="C21" i="3"/>
  <c r="E20" i="3"/>
  <c r="D20" i="3"/>
  <c r="C20" i="3"/>
  <c r="E19" i="3"/>
  <c r="D19" i="3"/>
  <c r="C19" i="3"/>
  <c r="E18" i="3"/>
  <c r="D18" i="3"/>
  <c r="C18" i="3"/>
  <c r="E17" i="3"/>
  <c r="D17" i="3"/>
  <c r="C17" i="3"/>
  <c r="E16" i="3"/>
  <c r="D16" i="3"/>
  <c r="C16" i="3"/>
  <c r="E15" i="3"/>
  <c r="D15" i="3"/>
  <c r="C15" i="3"/>
  <c r="E14" i="3"/>
  <c r="D14" i="3"/>
  <c r="C14" i="3"/>
  <c r="E13" i="3"/>
  <c r="D13" i="3"/>
  <c r="C13" i="3"/>
  <c r="E12" i="3"/>
  <c r="D12" i="3"/>
  <c r="C12" i="3"/>
  <c r="E11" i="3"/>
  <c r="D11" i="3"/>
  <c r="C11" i="3"/>
  <c r="E10" i="3"/>
  <c r="D10" i="3"/>
  <c r="C10" i="3"/>
  <c r="E9" i="3"/>
  <c r="D9" i="3"/>
  <c r="C9" i="3"/>
  <c r="E8" i="3"/>
  <c r="D8" i="3"/>
  <c r="C8" i="3"/>
  <c r="E7" i="3"/>
  <c r="D7" i="3"/>
  <c r="C7" i="3"/>
  <c r="E6" i="3"/>
  <c r="D6" i="3"/>
  <c r="C6" i="3"/>
  <c r="E5" i="3"/>
  <c r="D5" i="3"/>
  <c r="C5" i="3"/>
  <c r="E4" i="3"/>
  <c r="D4" i="3"/>
  <c r="C4" i="3"/>
  <c r="E3" i="3"/>
  <c r="D3" i="3"/>
  <c r="C3" i="3"/>
  <c r="E2" i="3"/>
  <c r="D2" i="3"/>
  <c r="C2" i="3"/>
  <c r="D241" i="2"/>
  <c r="E240" i="2"/>
  <c r="C240" i="2"/>
  <c r="E239" i="2"/>
  <c r="D239" i="2"/>
  <c r="C239" i="2"/>
  <c r="E238" i="2"/>
  <c r="D238" i="2"/>
  <c r="C238" i="2"/>
  <c r="E237" i="2"/>
  <c r="D237" i="2"/>
  <c r="C237" i="2"/>
  <c r="E236" i="2"/>
  <c r="D236" i="2"/>
  <c r="C236" i="2"/>
  <c r="E235" i="2"/>
  <c r="D235" i="2"/>
  <c r="C235" i="2"/>
  <c r="E234" i="2"/>
  <c r="D234" i="2"/>
  <c r="C234" i="2"/>
  <c r="E233" i="2"/>
  <c r="D233" i="2"/>
  <c r="C233" i="2"/>
  <c r="E232" i="2"/>
  <c r="D232" i="2"/>
  <c r="C232" i="2"/>
  <c r="E231" i="2"/>
  <c r="D231" i="2"/>
  <c r="C231" i="2"/>
  <c r="E230" i="2"/>
  <c r="D230" i="2"/>
  <c r="C230" i="2"/>
  <c r="E229" i="2"/>
  <c r="D229" i="2"/>
  <c r="C229" i="2"/>
  <c r="E228" i="2"/>
  <c r="D228" i="2"/>
  <c r="C228" i="2"/>
  <c r="E227" i="2"/>
  <c r="D227" i="2"/>
  <c r="C227" i="2"/>
  <c r="E226" i="2"/>
  <c r="D226" i="2"/>
  <c r="C226" i="2"/>
  <c r="E225" i="2"/>
  <c r="D225" i="2"/>
  <c r="C225" i="2"/>
  <c r="E224" i="2"/>
  <c r="D224" i="2"/>
  <c r="C224" i="2"/>
  <c r="E223" i="2"/>
  <c r="D223" i="2"/>
  <c r="C223" i="2"/>
  <c r="E222" i="2"/>
  <c r="D222" i="2"/>
  <c r="C222" i="2"/>
  <c r="E221" i="2"/>
  <c r="D221" i="2"/>
  <c r="C221" i="2"/>
  <c r="E220" i="2"/>
  <c r="D220" i="2"/>
  <c r="C220" i="2"/>
  <c r="E219" i="2"/>
  <c r="D219" i="2"/>
  <c r="C219" i="2"/>
  <c r="E218" i="2"/>
  <c r="D218" i="2"/>
  <c r="C218" i="2"/>
  <c r="E217" i="2"/>
  <c r="D217" i="2"/>
  <c r="C217" i="2"/>
  <c r="E216" i="2"/>
  <c r="D216" i="2"/>
  <c r="C216" i="2"/>
  <c r="E215" i="2"/>
  <c r="D215" i="2"/>
  <c r="C215" i="2"/>
  <c r="E214" i="2"/>
  <c r="D214" i="2"/>
  <c r="C214" i="2"/>
  <c r="E213" i="2"/>
  <c r="D213" i="2"/>
  <c r="C213" i="2"/>
  <c r="E212" i="2"/>
  <c r="D212" i="2"/>
  <c r="C212" i="2"/>
  <c r="E211" i="2"/>
  <c r="D211" i="2"/>
  <c r="C211" i="2"/>
  <c r="E210" i="2"/>
  <c r="D210" i="2"/>
  <c r="C210" i="2"/>
  <c r="E209" i="2"/>
  <c r="D209" i="2"/>
  <c r="C209" i="2"/>
  <c r="E208" i="2"/>
  <c r="D208" i="2"/>
  <c r="C208" i="2"/>
  <c r="E207" i="2"/>
  <c r="D207" i="2"/>
  <c r="C207" i="2"/>
  <c r="E206" i="2"/>
  <c r="D206" i="2"/>
  <c r="C206" i="2"/>
  <c r="E205" i="2"/>
  <c r="D205" i="2"/>
  <c r="C205" i="2"/>
  <c r="E204" i="2"/>
  <c r="D204" i="2"/>
  <c r="C204" i="2"/>
  <c r="E203" i="2"/>
  <c r="D203" i="2"/>
  <c r="C203" i="2"/>
  <c r="E202" i="2"/>
  <c r="D202" i="2"/>
  <c r="C202" i="2"/>
  <c r="E201" i="2"/>
  <c r="D201" i="2"/>
  <c r="C201" i="2"/>
  <c r="E200" i="2"/>
  <c r="D200" i="2"/>
  <c r="C200" i="2"/>
  <c r="E199" i="2"/>
  <c r="D199" i="2"/>
  <c r="C199" i="2"/>
  <c r="E198" i="2"/>
  <c r="D198" i="2"/>
  <c r="C198" i="2"/>
  <c r="E197" i="2"/>
  <c r="D197" i="2"/>
  <c r="C197" i="2"/>
  <c r="E196" i="2"/>
  <c r="D196" i="2"/>
  <c r="C196" i="2"/>
  <c r="E195" i="2"/>
  <c r="D195" i="2"/>
  <c r="C195" i="2"/>
  <c r="E194" i="2"/>
  <c r="D194" i="2"/>
  <c r="C194" i="2"/>
  <c r="E193" i="2"/>
  <c r="D193" i="2"/>
  <c r="C193" i="2"/>
  <c r="E192" i="2"/>
  <c r="D192" i="2"/>
  <c r="C192" i="2"/>
  <c r="E191" i="2"/>
  <c r="D191" i="2"/>
  <c r="C191" i="2"/>
  <c r="E190" i="2"/>
  <c r="D190" i="2"/>
  <c r="C190" i="2"/>
  <c r="E189" i="2"/>
  <c r="D189" i="2"/>
  <c r="C189" i="2"/>
  <c r="E188" i="2"/>
  <c r="D188" i="2"/>
  <c r="C188" i="2"/>
  <c r="E187" i="2"/>
  <c r="D187" i="2"/>
  <c r="C187" i="2"/>
  <c r="E186" i="2"/>
  <c r="D186" i="2"/>
  <c r="C186" i="2"/>
  <c r="E185" i="2"/>
  <c r="D185" i="2"/>
  <c r="C185" i="2"/>
  <c r="E184" i="2"/>
  <c r="D184" i="2"/>
  <c r="C184" i="2"/>
  <c r="E183" i="2"/>
  <c r="D183" i="2"/>
  <c r="C183" i="2"/>
  <c r="E182" i="2"/>
  <c r="D182" i="2"/>
  <c r="C182" i="2"/>
  <c r="E181" i="2"/>
  <c r="D181" i="2"/>
  <c r="C181" i="2"/>
  <c r="E180" i="2"/>
  <c r="D180" i="2"/>
  <c r="C180" i="2"/>
  <c r="E179" i="2"/>
  <c r="D179" i="2"/>
  <c r="C179" i="2"/>
  <c r="E178" i="2"/>
  <c r="D178" i="2"/>
  <c r="C178" i="2"/>
  <c r="E177" i="2"/>
  <c r="D177" i="2"/>
  <c r="C177" i="2"/>
  <c r="E176" i="2"/>
  <c r="D176" i="2"/>
  <c r="C176" i="2"/>
  <c r="E175" i="2"/>
  <c r="D175" i="2"/>
  <c r="C175" i="2"/>
  <c r="E174" i="2"/>
  <c r="D174" i="2"/>
  <c r="C174" i="2"/>
  <c r="E173" i="2"/>
  <c r="D173" i="2"/>
  <c r="C173" i="2"/>
  <c r="E172" i="2"/>
  <c r="D172" i="2"/>
  <c r="C172" i="2"/>
  <c r="E171" i="2"/>
  <c r="D171" i="2"/>
  <c r="C171" i="2"/>
  <c r="E170" i="2"/>
  <c r="D170" i="2"/>
  <c r="C170" i="2"/>
  <c r="E169" i="2"/>
  <c r="D169" i="2"/>
  <c r="C169" i="2"/>
  <c r="E168" i="2"/>
  <c r="D168" i="2"/>
  <c r="C168" i="2"/>
  <c r="E167" i="2"/>
  <c r="D167" i="2"/>
  <c r="C167" i="2"/>
  <c r="E166" i="2"/>
  <c r="D166" i="2"/>
  <c r="C166" i="2"/>
  <c r="E165" i="2"/>
  <c r="D165" i="2"/>
  <c r="C165" i="2"/>
  <c r="E164" i="2"/>
  <c r="D164" i="2"/>
  <c r="C164" i="2"/>
  <c r="E163" i="2"/>
  <c r="D163" i="2"/>
  <c r="C163" i="2"/>
  <c r="E162" i="2"/>
  <c r="D162" i="2"/>
  <c r="C162" i="2"/>
  <c r="E161" i="2"/>
  <c r="D161" i="2"/>
  <c r="C161" i="2"/>
  <c r="E160" i="2"/>
  <c r="D160" i="2"/>
  <c r="C160" i="2"/>
  <c r="E159" i="2"/>
  <c r="D159" i="2"/>
  <c r="C159" i="2"/>
  <c r="E158" i="2"/>
  <c r="D158" i="2"/>
  <c r="C158" i="2"/>
  <c r="E157" i="2"/>
  <c r="D157" i="2"/>
  <c r="C157" i="2"/>
  <c r="E156" i="2"/>
  <c r="D156" i="2"/>
  <c r="C156" i="2"/>
  <c r="E155" i="2"/>
  <c r="D155" i="2"/>
  <c r="C155" i="2"/>
  <c r="E154" i="2"/>
  <c r="D154" i="2"/>
  <c r="C154" i="2"/>
  <c r="E153" i="2"/>
  <c r="D153" i="2"/>
  <c r="C153" i="2"/>
  <c r="E152" i="2"/>
  <c r="D152" i="2"/>
  <c r="C152" i="2"/>
  <c r="E151" i="2"/>
  <c r="D151" i="2"/>
  <c r="C151" i="2"/>
  <c r="E150" i="2"/>
  <c r="D150" i="2"/>
  <c r="C150" i="2"/>
  <c r="E149" i="2"/>
  <c r="D149" i="2"/>
  <c r="C149" i="2"/>
  <c r="E148" i="2"/>
  <c r="D148" i="2"/>
  <c r="C148" i="2"/>
  <c r="E147" i="2"/>
  <c r="D147" i="2"/>
  <c r="C147" i="2"/>
  <c r="E146" i="2"/>
  <c r="D146" i="2"/>
  <c r="C146" i="2"/>
  <c r="E145" i="2"/>
  <c r="D145" i="2"/>
  <c r="C145" i="2"/>
  <c r="E144" i="2"/>
  <c r="D144" i="2"/>
  <c r="C144" i="2"/>
  <c r="E143" i="2"/>
  <c r="D143" i="2"/>
  <c r="C143" i="2"/>
  <c r="E142" i="2"/>
  <c r="D142" i="2"/>
  <c r="C142" i="2"/>
  <c r="E141" i="2"/>
  <c r="D141" i="2"/>
  <c r="C141" i="2"/>
  <c r="E140" i="2"/>
  <c r="D140" i="2"/>
  <c r="C140" i="2"/>
  <c r="E139" i="2"/>
  <c r="D139" i="2"/>
  <c r="C139" i="2"/>
  <c r="E138" i="2"/>
  <c r="D138" i="2"/>
  <c r="C138" i="2"/>
  <c r="E137" i="2"/>
  <c r="D137" i="2"/>
  <c r="C137" i="2"/>
  <c r="E136" i="2"/>
  <c r="D136" i="2"/>
  <c r="C136" i="2"/>
  <c r="E135" i="2"/>
  <c r="D135" i="2"/>
  <c r="C135" i="2"/>
  <c r="E134" i="2"/>
  <c r="D134" i="2"/>
  <c r="C134" i="2"/>
  <c r="E133" i="2"/>
  <c r="D133" i="2"/>
  <c r="C133" i="2"/>
  <c r="E132" i="2"/>
  <c r="D132" i="2"/>
  <c r="C132" i="2"/>
  <c r="E131" i="2"/>
  <c r="D131" i="2"/>
  <c r="C131" i="2"/>
  <c r="E130" i="2"/>
  <c r="D130" i="2"/>
  <c r="C130" i="2"/>
  <c r="E129" i="2"/>
  <c r="D129" i="2"/>
  <c r="C129" i="2"/>
  <c r="E128" i="2"/>
  <c r="D128" i="2"/>
  <c r="C128" i="2"/>
  <c r="E127" i="2"/>
  <c r="D127" i="2"/>
  <c r="C127" i="2"/>
  <c r="E126" i="2"/>
  <c r="D126" i="2"/>
  <c r="C126" i="2"/>
  <c r="E125" i="2"/>
  <c r="D125" i="2"/>
  <c r="C125" i="2"/>
  <c r="E124" i="2"/>
  <c r="D124" i="2"/>
  <c r="C124" i="2"/>
  <c r="E123" i="2"/>
  <c r="D123" i="2"/>
  <c r="C123" i="2"/>
  <c r="E122" i="2"/>
  <c r="D122" i="2"/>
  <c r="C122" i="2"/>
  <c r="E121" i="2"/>
  <c r="D121" i="2"/>
  <c r="C121" i="2"/>
  <c r="E120" i="2"/>
  <c r="D120" i="2"/>
  <c r="C120" i="2"/>
  <c r="E119" i="2"/>
  <c r="D119" i="2"/>
  <c r="C119" i="2"/>
  <c r="E118" i="2"/>
  <c r="D118" i="2"/>
  <c r="C118" i="2"/>
  <c r="E117" i="2"/>
  <c r="D117" i="2"/>
  <c r="C117" i="2"/>
  <c r="E116" i="2"/>
  <c r="D116" i="2"/>
  <c r="C116" i="2"/>
  <c r="E115" i="2"/>
  <c r="D115" i="2"/>
  <c r="C115" i="2"/>
  <c r="E114" i="2"/>
  <c r="D114" i="2"/>
  <c r="C114" i="2"/>
  <c r="E113" i="2"/>
  <c r="D113" i="2"/>
  <c r="C113" i="2"/>
  <c r="E112" i="2"/>
  <c r="D112" i="2"/>
  <c r="C112" i="2"/>
  <c r="E111" i="2"/>
  <c r="D111" i="2"/>
  <c r="C111" i="2"/>
  <c r="E110" i="2"/>
  <c r="D110" i="2"/>
  <c r="C110" i="2"/>
  <c r="E109" i="2"/>
  <c r="D109" i="2"/>
  <c r="C109" i="2"/>
  <c r="E108" i="2"/>
  <c r="D108" i="2"/>
  <c r="C108" i="2"/>
  <c r="E107" i="2"/>
  <c r="D107" i="2"/>
  <c r="C107" i="2"/>
  <c r="E106" i="2"/>
  <c r="D106" i="2"/>
  <c r="C106" i="2"/>
  <c r="E105" i="2"/>
  <c r="D105" i="2"/>
  <c r="C105" i="2"/>
  <c r="E104" i="2"/>
  <c r="D104" i="2"/>
  <c r="C104" i="2"/>
  <c r="E103" i="2"/>
  <c r="D103" i="2"/>
  <c r="C103" i="2"/>
  <c r="E102" i="2"/>
  <c r="D102" i="2"/>
  <c r="C102" i="2"/>
  <c r="E101" i="2"/>
  <c r="D101" i="2"/>
  <c r="C101" i="2"/>
  <c r="E100" i="2"/>
  <c r="D100" i="2"/>
  <c r="C100" i="2"/>
  <c r="E99" i="2"/>
  <c r="D99" i="2"/>
  <c r="C99" i="2"/>
  <c r="E98" i="2"/>
  <c r="D98" i="2"/>
  <c r="C98" i="2"/>
  <c r="E97" i="2"/>
  <c r="D97" i="2"/>
  <c r="C97" i="2"/>
  <c r="E96" i="2"/>
  <c r="D96" i="2"/>
  <c r="C96" i="2"/>
  <c r="E95" i="2"/>
  <c r="D95" i="2"/>
  <c r="C95" i="2"/>
  <c r="E94" i="2"/>
  <c r="D94" i="2"/>
  <c r="C94" i="2"/>
  <c r="E93" i="2"/>
  <c r="D93" i="2"/>
  <c r="C93" i="2"/>
  <c r="E92" i="2"/>
  <c r="D92" i="2"/>
  <c r="C92" i="2"/>
  <c r="E91" i="2"/>
  <c r="D91" i="2"/>
  <c r="C91" i="2"/>
  <c r="E90" i="2"/>
  <c r="D90" i="2"/>
  <c r="C90" i="2"/>
  <c r="E89" i="2"/>
  <c r="D89" i="2"/>
  <c r="C89" i="2"/>
  <c r="E88" i="2"/>
  <c r="D88" i="2"/>
  <c r="C88" i="2"/>
  <c r="E87" i="2"/>
  <c r="D87" i="2"/>
  <c r="C87" i="2"/>
  <c r="E86" i="2"/>
  <c r="D86" i="2"/>
  <c r="C86" i="2"/>
  <c r="E85" i="2"/>
  <c r="D85" i="2"/>
  <c r="C85" i="2"/>
  <c r="E84" i="2"/>
  <c r="D84" i="2"/>
  <c r="C84" i="2"/>
  <c r="E83" i="2"/>
  <c r="D83" i="2"/>
  <c r="C83" i="2"/>
  <c r="E82" i="2"/>
  <c r="D82" i="2"/>
  <c r="C82" i="2"/>
  <c r="E81" i="2"/>
  <c r="D81" i="2"/>
  <c r="C81" i="2"/>
  <c r="E80" i="2"/>
  <c r="D80" i="2"/>
  <c r="C80" i="2"/>
  <c r="E79" i="2"/>
  <c r="D79" i="2"/>
  <c r="C79" i="2"/>
  <c r="E78" i="2"/>
  <c r="D78" i="2"/>
  <c r="C78" i="2"/>
  <c r="E77" i="2"/>
  <c r="D77" i="2"/>
  <c r="C77" i="2"/>
  <c r="E76" i="2"/>
  <c r="D76" i="2"/>
  <c r="C76" i="2"/>
  <c r="E75" i="2"/>
  <c r="D75" i="2"/>
  <c r="C75" i="2"/>
  <c r="E74" i="2"/>
  <c r="D74" i="2"/>
  <c r="C74" i="2"/>
  <c r="E73" i="2"/>
  <c r="D73" i="2"/>
  <c r="C73" i="2"/>
  <c r="E72" i="2"/>
  <c r="D72" i="2"/>
  <c r="C72" i="2"/>
  <c r="E71" i="2"/>
  <c r="D71" i="2"/>
  <c r="C71" i="2"/>
  <c r="E70" i="2"/>
  <c r="D70" i="2"/>
  <c r="C70" i="2"/>
  <c r="E69" i="2"/>
  <c r="D69" i="2"/>
  <c r="C69" i="2"/>
  <c r="E68" i="2"/>
  <c r="D68" i="2"/>
  <c r="C68" i="2"/>
  <c r="E67" i="2"/>
  <c r="D67" i="2"/>
  <c r="C67" i="2"/>
  <c r="E66" i="2"/>
  <c r="D66" i="2"/>
  <c r="C66" i="2"/>
  <c r="E65" i="2"/>
  <c r="D65" i="2"/>
  <c r="C65" i="2"/>
  <c r="E64" i="2"/>
  <c r="D64" i="2"/>
  <c r="C64" i="2"/>
  <c r="E63" i="2"/>
  <c r="D63" i="2"/>
  <c r="C63" i="2"/>
  <c r="E62" i="2"/>
  <c r="D62" i="2"/>
  <c r="C62" i="2"/>
  <c r="E61" i="2"/>
  <c r="D61" i="2"/>
  <c r="C61" i="2"/>
  <c r="E60" i="2"/>
  <c r="D60" i="2"/>
  <c r="C60" i="2"/>
  <c r="E59" i="2"/>
  <c r="D59" i="2"/>
  <c r="C59" i="2"/>
  <c r="E58" i="2"/>
  <c r="D58" i="2"/>
  <c r="C58" i="2"/>
  <c r="E57" i="2"/>
  <c r="D57" i="2"/>
  <c r="C57" i="2"/>
  <c r="E56" i="2"/>
  <c r="D56" i="2"/>
  <c r="C56" i="2"/>
  <c r="E55" i="2"/>
  <c r="D55" i="2"/>
  <c r="C55" i="2"/>
  <c r="E54" i="2"/>
  <c r="D54" i="2"/>
  <c r="C54" i="2"/>
  <c r="E53" i="2"/>
  <c r="D53" i="2"/>
  <c r="C53" i="2"/>
  <c r="E52" i="2"/>
  <c r="D52" i="2"/>
  <c r="C52" i="2"/>
  <c r="E51" i="2"/>
  <c r="D51" i="2"/>
  <c r="C51" i="2"/>
  <c r="E50" i="2"/>
  <c r="C50" i="2"/>
  <c r="E49" i="2"/>
  <c r="D49" i="2"/>
  <c r="C49" i="2"/>
  <c r="E48" i="2"/>
  <c r="D48" i="2"/>
  <c r="C48" i="2"/>
  <c r="E47" i="2"/>
  <c r="D47" i="2"/>
  <c r="C47" i="2"/>
  <c r="E46" i="2"/>
  <c r="D46" i="2"/>
  <c r="C46" i="2"/>
  <c r="E45" i="2"/>
  <c r="D45" i="2"/>
  <c r="C45" i="2"/>
  <c r="E44" i="2"/>
  <c r="D44" i="2"/>
  <c r="C44" i="2"/>
  <c r="E43" i="2"/>
  <c r="D43" i="2"/>
  <c r="C43" i="2"/>
  <c r="E42" i="2"/>
  <c r="D42" i="2"/>
  <c r="C42" i="2"/>
  <c r="E41" i="2"/>
  <c r="D41" i="2"/>
  <c r="C41" i="2"/>
  <c r="E40" i="2"/>
  <c r="D40" i="2"/>
  <c r="C40" i="2"/>
  <c r="E39" i="2"/>
  <c r="D39" i="2"/>
  <c r="C39" i="2"/>
  <c r="E38" i="2"/>
  <c r="D38" i="2"/>
  <c r="C38" i="2"/>
  <c r="E37" i="2"/>
  <c r="D37" i="2"/>
  <c r="C37" i="2"/>
  <c r="E36" i="2"/>
  <c r="D36" i="2"/>
  <c r="C36" i="2"/>
  <c r="E35" i="2"/>
  <c r="D35" i="2"/>
  <c r="C35" i="2"/>
  <c r="E34" i="2"/>
  <c r="D34" i="2"/>
  <c r="C34" i="2"/>
  <c r="E33" i="2"/>
  <c r="D33" i="2"/>
  <c r="C33" i="2"/>
  <c r="E32" i="2"/>
  <c r="D32" i="2"/>
  <c r="C32" i="2"/>
  <c r="E31" i="2"/>
  <c r="D31" i="2"/>
  <c r="C31" i="2"/>
  <c r="E30" i="2"/>
  <c r="D30" i="2"/>
  <c r="C30" i="2"/>
  <c r="E29" i="2"/>
  <c r="D29" i="2"/>
  <c r="C29" i="2"/>
  <c r="E28" i="2"/>
  <c r="D28" i="2"/>
  <c r="C28" i="2"/>
  <c r="E27" i="2"/>
  <c r="D27" i="2"/>
  <c r="C27" i="2"/>
  <c r="E26" i="2"/>
  <c r="D26" i="2"/>
  <c r="C26" i="2"/>
  <c r="E25" i="2"/>
  <c r="D25" i="2"/>
  <c r="C25" i="2"/>
  <c r="E24" i="2"/>
  <c r="D24" i="2"/>
  <c r="C24" i="2"/>
  <c r="E23" i="2"/>
  <c r="D23" i="2"/>
  <c r="C23" i="2"/>
  <c r="E22" i="2"/>
  <c r="D22" i="2"/>
  <c r="C22" i="2"/>
  <c r="E21" i="2"/>
  <c r="D21" i="2"/>
  <c r="C21" i="2"/>
  <c r="E20" i="2"/>
  <c r="D20" i="2"/>
  <c r="C20" i="2"/>
  <c r="E19" i="2"/>
  <c r="D19" i="2"/>
  <c r="C19" i="2"/>
  <c r="E18" i="2"/>
  <c r="D18" i="2"/>
  <c r="C18" i="2"/>
  <c r="E17" i="2"/>
  <c r="D17" i="2"/>
  <c r="C17" i="2"/>
  <c r="E16" i="2"/>
  <c r="D16" i="2"/>
  <c r="C16" i="2"/>
  <c r="E15" i="2"/>
  <c r="D15" i="2"/>
  <c r="C15" i="2"/>
  <c r="E14" i="2"/>
  <c r="D14" i="2"/>
  <c r="C14" i="2"/>
  <c r="E13" i="2"/>
  <c r="D13" i="2"/>
  <c r="C13" i="2"/>
  <c r="E12" i="2"/>
  <c r="D12" i="2"/>
  <c r="C12" i="2"/>
  <c r="E11" i="2"/>
  <c r="D11" i="2"/>
  <c r="C11" i="2"/>
  <c r="E10" i="2"/>
  <c r="D10" i="2"/>
  <c r="C10" i="2"/>
  <c r="E9" i="2"/>
  <c r="D9" i="2"/>
  <c r="C9" i="2"/>
  <c r="E8" i="2"/>
  <c r="D8" i="2"/>
  <c r="C8" i="2"/>
  <c r="E7" i="2"/>
  <c r="D7" i="2"/>
  <c r="C7" i="2"/>
  <c r="E6" i="2"/>
  <c r="D6" i="2"/>
  <c r="C6" i="2"/>
  <c r="E5" i="2"/>
  <c r="D5" i="2"/>
  <c r="C5" i="2"/>
  <c r="E4" i="2"/>
  <c r="D4" i="2"/>
  <c r="C4" i="2"/>
  <c r="E3" i="2"/>
  <c r="D3" i="2"/>
  <c r="C3" i="2"/>
  <c r="E2" i="2"/>
  <c r="D2" i="2"/>
  <c r="C2" i="2"/>
  <c r="D241" i="1"/>
  <c r="E240" i="1"/>
  <c r="C240" i="1"/>
  <c r="E239" i="1"/>
  <c r="D239" i="1"/>
  <c r="C239" i="1"/>
  <c r="E238" i="1"/>
  <c r="D238" i="1"/>
  <c r="C238" i="1"/>
  <c r="E237" i="1"/>
  <c r="D237" i="1"/>
  <c r="C237" i="1"/>
  <c r="E236" i="1"/>
  <c r="D236" i="1"/>
  <c r="C236" i="1"/>
  <c r="E235" i="1"/>
  <c r="D235" i="1"/>
  <c r="C235" i="1"/>
  <c r="E234" i="1"/>
  <c r="D234" i="1"/>
  <c r="C234" i="1"/>
  <c r="E233" i="1"/>
  <c r="D233" i="1"/>
  <c r="C233" i="1"/>
  <c r="E232" i="1"/>
  <c r="D232" i="1"/>
  <c r="C232" i="1"/>
  <c r="E231" i="1"/>
  <c r="D231" i="1"/>
  <c r="C231" i="1"/>
  <c r="E230" i="1"/>
  <c r="D230" i="1"/>
  <c r="C230" i="1"/>
  <c r="E229" i="1"/>
  <c r="D229" i="1"/>
  <c r="C229" i="1"/>
  <c r="E228" i="1"/>
  <c r="D228" i="1"/>
  <c r="C228" i="1"/>
  <c r="E227" i="1"/>
  <c r="D227" i="1"/>
  <c r="C227" i="1"/>
  <c r="E226" i="1"/>
  <c r="D226" i="1"/>
  <c r="C226" i="1"/>
  <c r="E225" i="1"/>
  <c r="D225" i="1"/>
  <c r="C225" i="1"/>
  <c r="E224" i="1"/>
  <c r="D224" i="1"/>
  <c r="C224" i="1"/>
  <c r="E223" i="1"/>
  <c r="D223" i="1"/>
  <c r="C223" i="1"/>
  <c r="E222" i="1"/>
  <c r="D222" i="1"/>
  <c r="C222" i="1"/>
  <c r="E221" i="1"/>
  <c r="D221" i="1"/>
  <c r="C221" i="1"/>
  <c r="E220" i="1"/>
  <c r="D220" i="1"/>
  <c r="C220" i="1"/>
  <c r="E219" i="1"/>
  <c r="D219" i="1"/>
  <c r="C219" i="1"/>
  <c r="E218" i="1"/>
  <c r="D218" i="1"/>
  <c r="C218" i="1"/>
  <c r="E217" i="1"/>
  <c r="D217" i="1"/>
  <c r="C217" i="1"/>
  <c r="E216" i="1"/>
  <c r="D216" i="1"/>
  <c r="C216" i="1"/>
  <c r="E215" i="1"/>
  <c r="D215" i="1"/>
  <c r="C215" i="1"/>
  <c r="E214" i="1"/>
  <c r="D214" i="1"/>
  <c r="C214" i="1"/>
  <c r="E213" i="1"/>
  <c r="D213" i="1"/>
  <c r="C213" i="1"/>
  <c r="E212" i="1"/>
  <c r="D212" i="1"/>
  <c r="C212" i="1"/>
  <c r="E211" i="1"/>
  <c r="D211" i="1"/>
  <c r="C211" i="1"/>
  <c r="E210" i="1"/>
  <c r="D210" i="1"/>
  <c r="C210" i="1"/>
  <c r="E209" i="1"/>
  <c r="D209" i="1"/>
  <c r="C209" i="1"/>
  <c r="E208" i="1"/>
  <c r="D208" i="1"/>
  <c r="C208" i="1"/>
  <c r="E207" i="1"/>
  <c r="D207" i="1"/>
  <c r="C207" i="1"/>
  <c r="E206" i="1"/>
  <c r="D206" i="1"/>
  <c r="C206" i="1"/>
  <c r="E205" i="1"/>
  <c r="D205" i="1"/>
  <c r="C205" i="1"/>
  <c r="E204" i="1"/>
  <c r="D204" i="1"/>
  <c r="C204" i="1"/>
  <c r="E203" i="1"/>
  <c r="D203" i="1"/>
  <c r="C203" i="1"/>
  <c r="E202" i="1"/>
  <c r="D202" i="1"/>
  <c r="C202" i="1"/>
  <c r="E201" i="1"/>
  <c r="D201" i="1"/>
  <c r="C201" i="1"/>
  <c r="E200" i="1"/>
  <c r="D200" i="1"/>
  <c r="C200" i="1"/>
  <c r="E199" i="1"/>
  <c r="D199" i="1"/>
  <c r="C199" i="1"/>
  <c r="E198" i="1"/>
  <c r="D198" i="1"/>
  <c r="C198" i="1"/>
  <c r="E197" i="1"/>
  <c r="D197" i="1"/>
  <c r="C197" i="1"/>
  <c r="E196" i="1"/>
  <c r="D196" i="1"/>
  <c r="C196" i="1"/>
  <c r="E195" i="1"/>
  <c r="D195" i="1"/>
  <c r="C195" i="1"/>
  <c r="E194" i="1"/>
  <c r="D194" i="1"/>
  <c r="C194" i="1"/>
  <c r="E193" i="1"/>
  <c r="D193" i="1"/>
  <c r="C193" i="1"/>
  <c r="E192" i="1"/>
  <c r="D192" i="1"/>
  <c r="C192" i="1"/>
  <c r="E191" i="1"/>
  <c r="D191" i="1"/>
  <c r="C191" i="1"/>
  <c r="E190" i="1"/>
  <c r="D190" i="1"/>
  <c r="C190" i="1"/>
  <c r="E189" i="1"/>
  <c r="D189" i="1"/>
  <c r="C189" i="1"/>
  <c r="E188" i="1"/>
  <c r="D188" i="1"/>
  <c r="C188" i="1"/>
  <c r="E187" i="1"/>
  <c r="D187" i="1"/>
  <c r="C187" i="1"/>
  <c r="E186" i="1"/>
  <c r="D186" i="1"/>
  <c r="C186" i="1"/>
  <c r="E185" i="1"/>
  <c r="D185" i="1"/>
  <c r="C185" i="1"/>
  <c r="E184" i="1"/>
  <c r="D184" i="1"/>
  <c r="C184" i="1"/>
  <c r="E183" i="1"/>
  <c r="D183" i="1"/>
  <c r="C183" i="1"/>
  <c r="E182" i="1"/>
  <c r="D182" i="1"/>
  <c r="C182" i="1"/>
  <c r="E181" i="1"/>
  <c r="D181" i="1"/>
  <c r="C181" i="1"/>
  <c r="E180" i="1"/>
  <c r="D180" i="1"/>
  <c r="C180" i="1"/>
  <c r="E179" i="1"/>
  <c r="D179" i="1"/>
  <c r="C179" i="1"/>
  <c r="E178" i="1"/>
  <c r="D178" i="1"/>
  <c r="C178" i="1"/>
  <c r="E177" i="1"/>
  <c r="D177" i="1"/>
  <c r="C177" i="1"/>
  <c r="E176" i="1"/>
  <c r="D176" i="1"/>
  <c r="C176" i="1"/>
  <c r="E175" i="1"/>
  <c r="D175" i="1"/>
  <c r="C175" i="1"/>
  <c r="E174" i="1"/>
  <c r="D174" i="1"/>
  <c r="C174" i="1"/>
  <c r="E173" i="1"/>
  <c r="D173" i="1"/>
  <c r="C173" i="1"/>
  <c r="E172" i="1"/>
  <c r="D172" i="1"/>
  <c r="C172" i="1"/>
  <c r="E171" i="1"/>
  <c r="D171" i="1"/>
  <c r="C171" i="1"/>
  <c r="E170" i="1"/>
  <c r="D170" i="1"/>
  <c r="C170" i="1"/>
  <c r="E169" i="1"/>
  <c r="D169" i="1"/>
  <c r="C169" i="1"/>
  <c r="E168" i="1"/>
  <c r="D168" i="1"/>
  <c r="C168" i="1"/>
  <c r="E167" i="1"/>
  <c r="D167" i="1"/>
  <c r="C167" i="1"/>
  <c r="E166" i="1"/>
  <c r="D166" i="1"/>
  <c r="C166" i="1"/>
  <c r="E165" i="1"/>
  <c r="D165" i="1"/>
  <c r="C165" i="1"/>
  <c r="E164" i="1"/>
  <c r="D164" i="1"/>
  <c r="C164" i="1"/>
  <c r="E163" i="1"/>
  <c r="D163" i="1"/>
  <c r="C163" i="1"/>
  <c r="E162" i="1"/>
  <c r="D162" i="1"/>
  <c r="C162" i="1"/>
  <c r="E161" i="1"/>
  <c r="D161" i="1"/>
  <c r="C161" i="1"/>
  <c r="E160" i="1"/>
  <c r="D160" i="1"/>
  <c r="C160" i="1"/>
  <c r="E159" i="1"/>
  <c r="D159" i="1"/>
  <c r="C159" i="1"/>
  <c r="E158" i="1"/>
  <c r="D158" i="1"/>
  <c r="C158" i="1"/>
  <c r="E157" i="1"/>
  <c r="D157" i="1"/>
  <c r="C157" i="1"/>
  <c r="E156" i="1"/>
  <c r="D156" i="1"/>
  <c r="C156" i="1"/>
  <c r="E155" i="1"/>
  <c r="D155" i="1"/>
  <c r="C155" i="1"/>
  <c r="E154" i="1"/>
  <c r="D154" i="1"/>
  <c r="C154" i="1"/>
  <c r="E153" i="1"/>
  <c r="D153" i="1"/>
  <c r="C153" i="1"/>
  <c r="E152" i="1"/>
  <c r="D152" i="1"/>
  <c r="C152" i="1"/>
  <c r="E151" i="1"/>
  <c r="D151" i="1"/>
  <c r="C151" i="1"/>
  <c r="E150" i="1"/>
  <c r="D150" i="1"/>
  <c r="C150" i="1"/>
  <c r="E149" i="1"/>
  <c r="D149" i="1"/>
  <c r="C149" i="1"/>
  <c r="E148" i="1"/>
  <c r="D148" i="1"/>
  <c r="C148" i="1"/>
  <c r="E147" i="1"/>
  <c r="D147" i="1"/>
  <c r="C147" i="1"/>
  <c r="E146" i="1"/>
  <c r="D146" i="1"/>
  <c r="C146" i="1"/>
  <c r="E145" i="1"/>
  <c r="D145" i="1"/>
  <c r="C145" i="1"/>
  <c r="E144" i="1"/>
  <c r="D144" i="1"/>
  <c r="C144" i="1"/>
  <c r="E143" i="1"/>
  <c r="D143" i="1"/>
  <c r="C143" i="1"/>
  <c r="E142" i="1"/>
  <c r="D142" i="1"/>
  <c r="C142" i="1"/>
  <c r="E141" i="1"/>
  <c r="D141" i="1"/>
  <c r="C141" i="1"/>
  <c r="E140" i="1"/>
  <c r="D140" i="1"/>
  <c r="C140" i="1"/>
  <c r="E139" i="1"/>
  <c r="D139" i="1"/>
  <c r="C139" i="1"/>
  <c r="E138" i="1"/>
  <c r="D138" i="1"/>
  <c r="C138" i="1"/>
  <c r="E137" i="1"/>
  <c r="D137" i="1"/>
  <c r="C137" i="1"/>
  <c r="E136" i="1"/>
  <c r="D136" i="1"/>
  <c r="C136" i="1"/>
  <c r="E135" i="1"/>
  <c r="D135" i="1"/>
  <c r="C135" i="1"/>
  <c r="E134" i="1"/>
  <c r="D134" i="1"/>
  <c r="C134" i="1"/>
  <c r="E133" i="1"/>
  <c r="D133" i="1"/>
  <c r="C133" i="1"/>
  <c r="E132" i="1"/>
  <c r="D132" i="1"/>
  <c r="C132" i="1"/>
  <c r="E131" i="1"/>
  <c r="D131" i="1"/>
  <c r="C131" i="1"/>
  <c r="E130" i="1"/>
  <c r="D130" i="1"/>
  <c r="C130" i="1"/>
  <c r="E129" i="1"/>
  <c r="D129" i="1"/>
  <c r="C129" i="1"/>
  <c r="E128" i="1"/>
  <c r="D128" i="1"/>
  <c r="C128" i="1"/>
  <c r="E127" i="1"/>
  <c r="D127" i="1"/>
  <c r="C127" i="1"/>
  <c r="E126" i="1"/>
  <c r="D126" i="1"/>
  <c r="C126" i="1"/>
  <c r="E125" i="1"/>
  <c r="D125" i="1"/>
  <c r="C125" i="1"/>
  <c r="E124" i="1"/>
  <c r="D124" i="1"/>
  <c r="C124" i="1"/>
  <c r="E123" i="1"/>
  <c r="D123" i="1"/>
  <c r="C123" i="1"/>
  <c r="E122" i="1"/>
  <c r="D122" i="1"/>
  <c r="C122" i="1"/>
  <c r="E121" i="1"/>
  <c r="D121" i="1"/>
  <c r="C121" i="1"/>
  <c r="E120" i="1"/>
  <c r="D120" i="1"/>
  <c r="C120" i="1"/>
  <c r="E119" i="1"/>
  <c r="D119" i="1"/>
  <c r="C119" i="1"/>
  <c r="E118" i="1"/>
  <c r="D118" i="1"/>
  <c r="C118" i="1"/>
  <c r="E117" i="1"/>
  <c r="D117" i="1"/>
  <c r="C117" i="1"/>
  <c r="E116" i="1"/>
  <c r="D116" i="1"/>
  <c r="C116" i="1"/>
  <c r="E115" i="1"/>
  <c r="D115" i="1"/>
  <c r="C115" i="1"/>
  <c r="E114" i="1"/>
  <c r="D114" i="1"/>
  <c r="C114" i="1"/>
  <c r="E113" i="1"/>
  <c r="D113" i="1"/>
  <c r="C113" i="1"/>
  <c r="E112" i="1"/>
  <c r="D112" i="1"/>
  <c r="C112" i="1"/>
  <c r="E111" i="1"/>
  <c r="D111" i="1"/>
  <c r="C111" i="1"/>
  <c r="E110" i="1"/>
  <c r="D110" i="1"/>
  <c r="C110" i="1"/>
  <c r="E109" i="1"/>
  <c r="D109" i="1"/>
  <c r="C109" i="1"/>
  <c r="E108" i="1"/>
  <c r="D108" i="1"/>
  <c r="C108" i="1"/>
  <c r="E107" i="1"/>
  <c r="D107" i="1"/>
  <c r="C107" i="1"/>
  <c r="E106" i="1"/>
  <c r="D106" i="1"/>
  <c r="C106" i="1"/>
  <c r="E105" i="1"/>
  <c r="D105" i="1"/>
  <c r="C105" i="1"/>
  <c r="E104" i="1"/>
  <c r="D104" i="1"/>
  <c r="C104" i="1"/>
  <c r="E103" i="1"/>
  <c r="D103" i="1"/>
  <c r="C103" i="1"/>
  <c r="E102" i="1"/>
  <c r="D102" i="1"/>
  <c r="C102" i="1"/>
  <c r="E101" i="1"/>
  <c r="D101" i="1"/>
  <c r="C101" i="1"/>
  <c r="E100" i="1"/>
  <c r="D100" i="1"/>
  <c r="C100" i="1"/>
  <c r="E99" i="1"/>
  <c r="D99" i="1"/>
  <c r="C99" i="1"/>
  <c r="E98" i="1"/>
  <c r="D98" i="1"/>
  <c r="C98" i="1"/>
  <c r="E97" i="1"/>
  <c r="D97" i="1"/>
  <c r="C97" i="1"/>
  <c r="E96" i="1"/>
  <c r="D96" i="1"/>
  <c r="C96" i="1"/>
  <c r="E95" i="1"/>
  <c r="D95" i="1"/>
  <c r="C95" i="1"/>
  <c r="E94" i="1"/>
  <c r="D94" i="1"/>
  <c r="C94" i="1"/>
  <c r="E93" i="1"/>
  <c r="D93" i="1"/>
  <c r="C93" i="1"/>
  <c r="E92" i="1"/>
  <c r="D92" i="1"/>
  <c r="C92" i="1"/>
  <c r="E91" i="1"/>
  <c r="D91" i="1"/>
  <c r="C91" i="1"/>
  <c r="E90" i="1"/>
  <c r="D90" i="1"/>
  <c r="C90" i="1"/>
  <c r="E89" i="1"/>
  <c r="D89" i="1"/>
  <c r="C89" i="1"/>
  <c r="E88" i="1"/>
  <c r="D88" i="1"/>
  <c r="C88" i="1"/>
  <c r="E87" i="1"/>
  <c r="D87" i="1"/>
  <c r="C87" i="1"/>
  <c r="E86" i="1"/>
  <c r="D86" i="1"/>
  <c r="C86" i="1"/>
  <c r="E85" i="1"/>
  <c r="D85" i="1"/>
  <c r="C85" i="1"/>
  <c r="E84" i="1"/>
  <c r="D84" i="1"/>
  <c r="C84" i="1"/>
  <c r="E83" i="1"/>
  <c r="D83" i="1"/>
  <c r="C83" i="1"/>
  <c r="E82" i="1"/>
  <c r="D82" i="1"/>
  <c r="C82" i="1"/>
  <c r="E81" i="1"/>
  <c r="D81" i="1"/>
  <c r="C81" i="1"/>
  <c r="E80" i="1"/>
  <c r="D80" i="1"/>
  <c r="C80" i="1"/>
  <c r="E79" i="1"/>
  <c r="D79" i="1"/>
  <c r="C79" i="1"/>
  <c r="E78" i="1"/>
  <c r="D78" i="1"/>
  <c r="C78" i="1"/>
  <c r="E77" i="1"/>
  <c r="D77" i="1"/>
  <c r="C77" i="1"/>
  <c r="E76" i="1"/>
  <c r="D76" i="1"/>
  <c r="C76" i="1"/>
  <c r="E75" i="1"/>
  <c r="D75" i="1"/>
  <c r="C75" i="1"/>
  <c r="E74" i="1"/>
  <c r="D74" i="1"/>
  <c r="C74" i="1"/>
  <c r="E73" i="1"/>
  <c r="D73" i="1"/>
  <c r="C73" i="1"/>
  <c r="E72" i="1"/>
  <c r="D72" i="1"/>
  <c r="C72" i="1"/>
  <c r="E71" i="1"/>
  <c r="D71" i="1"/>
  <c r="C71" i="1"/>
  <c r="E70" i="1"/>
  <c r="D70" i="1"/>
  <c r="C70" i="1"/>
  <c r="E69" i="1"/>
  <c r="D69" i="1"/>
  <c r="C69" i="1"/>
  <c r="E68" i="1"/>
  <c r="D68" i="1"/>
  <c r="C68" i="1"/>
  <c r="E67" i="1"/>
  <c r="D67" i="1"/>
  <c r="C67" i="1"/>
  <c r="E66" i="1"/>
  <c r="D66" i="1"/>
  <c r="C66" i="1"/>
  <c r="E65" i="1"/>
  <c r="D65" i="1"/>
  <c r="C65" i="1"/>
  <c r="E64" i="1"/>
  <c r="D64" i="1"/>
  <c r="C64" i="1"/>
  <c r="E63" i="1"/>
  <c r="D63" i="1"/>
  <c r="C63" i="1"/>
  <c r="E62" i="1"/>
  <c r="D62" i="1"/>
  <c r="C62" i="1"/>
  <c r="E61" i="1"/>
  <c r="D61" i="1"/>
  <c r="C61" i="1"/>
  <c r="E60" i="1"/>
  <c r="D60" i="1"/>
  <c r="C60" i="1"/>
  <c r="E59" i="1"/>
  <c r="D59" i="1"/>
  <c r="C59" i="1"/>
  <c r="E58" i="1"/>
  <c r="D58" i="1"/>
  <c r="C58" i="1"/>
  <c r="E57" i="1"/>
  <c r="D57" i="1"/>
  <c r="C57" i="1"/>
  <c r="E56" i="1"/>
  <c r="D56" i="1"/>
  <c r="C56" i="1"/>
  <c r="E55" i="1"/>
  <c r="D55" i="1"/>
  <c r="C55" i="1"/>
  <c r="E54" i="1"/>
  <c r="D54" i="1"/>
  <c r="C54" i="1"/>
  <c r="E53" i="1"/>
  <c r="D53" i="1"/>
  <c r="C53" i="1"/>
  <c r="E52" i="1"/>
  <c r="D52" i="1"/>
  <c r="C52" i="1"/>
  <c r="E51" i="1"/>
  <c r="D51" i="1"/>
  <c r="C51" i="1"/>
  <c r="E50" i="1"/>
  <c r="C50" i="1"/>
  <c r="E49" i="1"/>
  <c r="D49" i="1"/>
  <c r="C49" i="1"/>
  <c r="E48" i="1"/>
  <c r="D48" i="1"/>
  <c r="C48" i="1"/>
  <c r="E47" i="1"/>
  <c r="D47" i="1"/>
  <c r="C47" i="1"/>
  <c r="E46" i="1"/>
  <c r="D46" i="1"/>
  <c r="C46" i="1"/>
  <c r="E45" i="1"/>
  <c r="D45" i="1"/>
  <c r="C45" i="1"/>
  <c r="E44" i="1"/>
  <c r="D44" i="1"/>
  <c r="C44" i="1"/>
  <c r="E43" i="1"/>
  <c r="D43" i="1"/>
  <c r="C43" i="1"/>
  <c r="E42" i="1"/>
  <c r="D42" i="1"/>
  <c r="C42" i="1"/>
  <c r="E41" i="1"/>
  <c r="D41" i="1"/>
  <c r="C41" i="1"/>
  <c r="E40" i="1"/>
  <c r="D40" i="1"/>
  <c r="C40" i="1"/>
  <c r="E39" i="1"/>
  <c r="D39" i="1"/>
  <c r="C39" i="1"/>
  <c r="E38" i="1"/>
  <c r="D38" i="1"/>
  <c r="C38" i="1"/>
  <c r="E37" i="1"/>
  <c r="D37" i="1"/>
  <c r="C37" i="1"/>
  <c r="E36" i="1"/>
  <c r="D36" i="1"/>
  <c r="C36" i="1"/>
  <c r="E35" i="1"/>
  <c r="D35" i="1"/>
  <c r="C35" i="1"/>
  <c r="E34" i="1"/>
  <c r="D34" i="1"/>
  <c r="C34" i="1"/>
  <c r="E33" i="1"/>
  <c r="D33" i="1"/>
  <c r="C33" i="1"/>
  <c r="E32" i="1"/>
  <c r="D32" i="1"/>
  <c r="C32" i="1"/>
  <c r="E31" i="1"/>
  <c r="D31" i="1"/>
  <c r="C31" i="1"/>
  <c r="E30" i="1"/>
  <c r="D30" i="1"/>
  <c r="C30" i="1"/>
  <c r="E29" i="1"/>
  <c r="D29" i="1"/>
  <c r="C29" i="1"/>
  <c r="E28" i="1"/>
  <c r="D28" i="1"/>
  <c r="C28" i="1"/>
  <c r="E27" i="1"/>
  <c r="D27" i="1"/>
  <c r="C27" i="1"/>
  <c r="E26" i="1"/>
  <c r="D26" i="1"/>
  <c r="C26" i="1"/>
  <c r="E25" i="1"/>
  <c r="D25" i="1"/>
  <c r="C25" i="1"/>
  <c r="E24" i="1"/>
  <c r="D24" i="1"/>
  <c r="C24" i="1"/>
  <c r="E23" i="1"/>
  <c r="D23" i="1"/>
  <c r="C23" i="1"/>
  <c r="E22" i="1"/>
  <c r="D22" i="1"/>
  <c r="C22" i="1"/>
  <c r="E21" i="1"/>
  <c r="D21" i="1"/>
  <c r="C21" i="1"/>
  <c r="E20" i="1"/>
  <c r="D20" i="1"/>
  <c r="C20" i="1"/>
  <c r="E19" i="1"/>
  <c r="D19" i="1"/>
  <c r="C19" i="1"/>
  <c r="E18" i="1"/>
  <c r="D18" i="1"/>
  <c r="C18" i="1"/>
  <c r="E17" i="1"/>
  <c r="D17" i="1"/>
  <c r="C17" i="1"/>
  <c r="E16" i="1"/>
  <c r="D16" i="1"/>
  <c r="C16" i="1"/>
  <c r="E15" i="1"/>
  <c r="D15" i="1"/>
  <c r="C15" i="1"/>
  <c r="E14" i="1"/>
  <c r="D14" i="1"/>
  <c r="C14" i="1"/>
  <c r="E13" i="1"/>
  <c r="D13" i="1"/>
  <c r="C13" i="1"/>
  <c r="E12" i="1"/>
  <c r="D12" i="1"/>
  <c r="C12" i="1"/>
  <c r="E11" i="1"/>
  <c r="D11" i="1"/>
  <c r="C11" i="1"/>
  <c r="E10" i="1"/>
  <c r="D10" i="1"/>
  <c r="C10" i="1"/>
  <c r="E9" i="1"/>
  <c r="D9" i="1"/>
  <c r="C9" i="1"/>
  <c r="E8" i="1"/>
  <c r="D8" i="1"/>
  <c r="C8" i="1"/>
  <c r="E7" i="1"/>
  <c r="D7" i="1"/>
  <c r="C7" i="1"/>
  <c r="E6" i="1"/>
  <c r="D6" i="1"/>
  <c r="C6" i="1"/>
  <c r="E5" i="1"/>
  <c r="D5" i="1"/>
  <c r="C5" i="1"/>
  <c r="E4" i="1"/>
  <c r="D4" i="1"/>
  <c r="C4" i="1"/>
  <c r="E3" i="1"/>
  <c r="D3" i="1"/>
  <c r="C3" i="1"/>
  <c r="E2" i="1"/>
  <c r="D2" i="1"/>
  <c r="C2" i="1"/>
</calcChain>
</file>

<file path=xl/sharedStrings.xml><?xml version="1.0" encoding="utf-8"?>
<sst xmlns="http://schemas.openxmlformats.org/spreadsheetml/2006/main" count="1946" uniqueCount="257">
  <si>
    <t>Project code</t>
  </si>
  <si>
    <t>Column Name</t>
  </si>
  <si>
    <t>Tally Amount</t>
  </si>
  <si>
    <t>NS Amount (MGM)</t>
  </si>
  <si>
    <t>is Matched</t>
  </si>
  <si>
    <t>Mismatch reason</t>
  </si>
  <si>
    <t>SB21386</t>
  </si>
  <si>
    <t>JV Value (S)</t>
  </si>
  <si>
    <t>SB22376</t>
  </si>
  <si>
    <t>SB22511</t>
  </si>
  <si>
    <t>SB22526</t>
  </si>
  <si>
    <t>SB22570</t>
  </si>
  <si>
    <t>SB22600</t>
  </si>
  <si>
    <t>SB22632</t>
  </si>
  <si>
    <t>SB22581</t>
  </si>
  <si>
    <t>SB22347</t>
  </si>
  <si>
    <t>SB22384</t>
  </si>
  <si>
    <t>SB22124</t>
  </si>
  <si>
    <t>SB22428</t>
  </si>
  <si>
    <t>SB22540</t>
  </si>
  <si>
    <t>SB22443</t>
  </si>
  <si>
    <t>SB22399</t>
  </si>
  <si>
    <t>SB22317</t>
  </si>
  <si>
    <t>SB22223</t>
  </si>
  <si>
    <t>SB22268</t>
  </si>
  <si>
    <t>SB22321</t>
  </si>
  <si>
    <t>SB22517</t>
  </si>
  <si>
    <t>SB22545</t>
  </si>
  <si>
    <t>SB22580</t>
  </si>
  <si>
    <t>SB22616</t>
  </si>
  <si>
    <t>SB22485</t>
  </si>
  <si>
    <t>SB22579</t>
  </si>
  <si>
    <t>SB22620</t>
  </si>
  <si>
    <t>SB22323</t>
  </si>
  <si>
    <t>SB22326</t>
  </si>
  <si>
    <t>SB22400</t>
  </si>
  <si>
    <t>SB22439</t>
  </si>
  <si>
    <t>SB22596</t>
  </si>
  <si>
    <t>SB22628</t>
  </si>
  <si>
    <t>SB22634</t>
  </si>
  <si>
    <t>SB22638</t>
  </si>
  <si>
    <t>SB22655</t>
  </si>
  <si>
    <t>SB22658</t>
  </si>
  <si>
    <t>SB22325</t>
  </si>
  <si>
    <t>SB22541</t>
  </si>
  <si>
    <t>SB22587</t>
  </si>
  <si>
    <t>SB22607</t>
  </si>
  <si>
    <t>SB22520</t>
  </si>
  <si>
    <t>SB22518</t>
  </si>
  <si>
    <t>SB22585</t>
  </si>
  <si>
    <t>SB22606</t>
  </si>
  <si>
    <t>SB22621</t>
  </si>
  <si>
    <t>SB22513</t>
  </si>
  <si>
    <t>SB22416</t>
  </si>
  <si>
    <t>SB22492</t>
  </si>
  <si>
    <t>SB22506</t>
  </si>
  <si>
    <t>SB22567</t>
  </si>
  <si>
    <t>SB22583</t>
  </si>
  <si>
    <t>SB22584</t>
  </si>
  <si>
    <t>SB22564</t>
  </si>
  <si>
    <t>SB22575</t>
  </si>
  <si>
    <t>SB22582</t>
  </si>
  <si>
    <t>SB22536</t>
  </si>
  <si>
    <t>SB22324</t>
  </si>
  <si>
    <t>SB22354</t>
  </si>
  <si>
    <t>SB22387</t>
  </si>
  <si>
    <t>SB22395</t>
  </si>
  <si>
    <t>SB22410</t>
  </si>
  <si>
    <t>SB22465</t>
  </si>
  <si>
    <t>SB22491</t>
  </si>
  <si>
    <t>SB22495</t>
  </si>
  <si>
    <t>SB22503</t>
  </si>
  <si>
    <t>SB22552</t>
  </si>
  <si>
    <t>SB22566</t>
  </si>
  <si>
    <t>SB22586</t>
  </si>
  <si>
    <t>SB22602</t>
  </si>
  <si>
    <t>SB22645</t>
  </si>
  <si>
    <t>SB22595</t>
  </si>
  <si>
    <t>SB22609</t>
  </si>
  <si>
    <t>SB22401</t>
  </si>
  <si>
    <t>SB22571</t>
  </si>
  <si>
    <t>SB22422</t>
  </si>
  <si>
    <t>SB22392</t>
  </si>
  <si>
    <t>SB22548</t>
  </si>
  <si>
    <t>SB22538</t>
  </si>
  <si>
    <t>SB21992</t>
  </si>
  <si>
    <t>SB22550</t>
  </si>
  <si>
    <t>SB21859</t>
  </si>
  <si>
    <t>SB22512</t>
  </si>
  <si>
    <t>SB22327</t>
  </si>
  <si>
    <t>SB22375</t>
  </si>
  <si>
    <t>SB22391</t>
  </si>
  <si>
    <t>SB22394</t>
  </si>
  <si>
    <t>SB22449</t>
  </si>
  <si>
    <t>SB22494</t>
  </si>
  <si>
    <t>SB22501</t>
  </si>
  <si>
    <t>SB22502</t>
  </si>
  <si>
    <t>SB22537</t>
  </si>
  <si>
    <t>SB22549</t>
  </si>
  <si>
    <t>SB22578</t>
  </si>
  <si>
    <t>SB22594</t>
  </si>
  <si>
    <t>SB22603</t>
  </si>
  <si>
    <t>SB22608</t>
  </si>
  <si>
    <t>SB22619</t>
  </si>
  <si>
    <t>SB22641</t>
  </si>
  <si>
    <t>SB22332</t>
  </si>
  <si>
    <t>SB22472</t>
  </si>
  <si>
    <t>SB22509</t>
  </si>
  <si>
    <t>SB22282</t>
  </si>
  <si>
    <t>SB22205</t>
  </si>
  <si>
    <t>SB22411</t>
  </si>
  <si>
    <t>SB22487</t>
  </si>
  <si>
    <t>SB22504</t>
  </si>
  <si>
    <t>SB22524</t>
  </si>
  <si>
    <t>SB22547</t>
  </si>
  <si>
    <t>SB22555</t>
  </si>
  <si>
    <t>SB22556</t>
  </si>
  <si>
    <t>SB22573</t>
  </si>
  <si>
    <t>SB22589</t>
  </si>
  <si>
    <t>SB22604</t>
  </si>
  <si>
    <t>SB22610</t>
  </si>
  <si>
    <t>SB22635</t>
  </si>
  <si>
    <t>SB22642</t>
  </si>
  <si>
    <t>SB22651</t>
  </si>
  <si>
    <t>SB22652</t>
  </si>
  <si>
    <t>SB22654</t>
  </si>
  <si>
    <t>SB22659</t>
  </si>
  <si>
    <t>SB22565</t>
  </si>
  <si>
    <t>SB22190</t>
  </si>
  <si>
    <t>SB22363</t>
  </si>
  <si>
    <t>SB22471</t>
  </si>
  <si>
    <t>SB22417</t>
  </si>
  <si>
    <t>SB22461</t>
  </si>
  <si>
    <t>SB22479</t>
  </si>
  <si>
    <t>SB22543</t>
  </si>
  <si>
    <t>SB22639</t>
  </si>
  <si>
    <t>SB22611</t>
  </si>
  <si>
    <t>SB22444</t>
  </si>
  <si>
    <t>SB22647</t>
  </si>
  <si>
    <t>SB22374</t>
  </si>
  <si>
    <t>SB22397</t>
  </si>
  <si>
    <t>SB22508</t>
  </si>
  <si>
    <t>SB22605</t>
  </si>
  <si>
    <t>SB22650</t>
  </si>
  <si>
    <t>SB22470</t>
  </si>
  <si>
    <t>SB22625</t>
  </si>
  <si>
    <t>SB22601</t>
  </si>
  <si>
    <t>SB22311</t>
  </si>
  <si>
    <t>SB22451</t>
  </si>
  <si>
    <t>SB22624</t>
  </si>
  <si>
    <t>SB21947</t>
  </si>
  <si>
    <t>SB22488</t>
  </si>
  <si>
    <t>SB22083</t>
  </si>
  <si>
    <t>SB22338</t>
  </si>
  <si>
    <t>SB22599</t>
  </si>
  <si>
    <t>SB22433</t>
  </si>
  <si>
    <t>SB22629</t>
  </si>
  <si>
    <t>SB22588</t>
  </si>
  <si>
    <t>SB22614</t>
  </si>
  <si>
    <t>SB22636</t>
  </si>
  <si>
    <t>SB22643</t>
  </si>
  <si>
    <t>SB22572</t>
  </si>
  <si>
    <t>SB22280</t>
  </si>
  <si>
    <t>SB22424</t>
  </si>
  <si>
    <t>SB22446</t>
  </si>
  <si>
    <t>SB22469</t>
  </si>
  <si>
    <t>SB22529</t>
  </si>
  <si>
    <t>SB22534</t>
  </si>
  <si>
    <t>SB22546</t>
  </si>
  <si>
    <t>SB22558</t>
  </si>
  <si>
    <t>SB22593</t>
  </si>
  <si>
    <t>SB22617</t>
  </si>
  <si>
    <t>SB22633</t>
  </si>
  <si>
    <t>SB22649</t>
  </si>
  <si>
    <t>SB22366</t>
  </si>
  <si>
    <t>SB22532</t>
  </si>
  <si>
    <t>SB22627</t>
  </si>
  <si>
    <t>SB22637</t>
  </si>
  <si>
    <t>SB22356</t>
  </si>
  <si>
    <t>SB22523</t>
  </si>
  <si>
    <t>SB22576</t>
  </si>
  <si>
    <t>SB22445</t>
  </si>
  <si>
    <t>SB22597</t>
  </si>
  <si>
    <t>SB22592</t>
  </si>
  <si>
    <t>SB22381</t>
  </si>
  <si>
    <t>SB22405</t>
  </si>
  <si>
    <t>SB22539</t>
  </si>
  <si>
    <t>SB22664</t>
  </si>
  <si>
    <t>SB22437</t>
  </si>
  <si>
    <t>SB22272</t>
  </si>
  <si>
    <t>SB22305</t>
  </si>
  <si>
    <t>SB22306</t>
  </si>
  <si>
    <t>SB22318</t>
  </si>
  <si>
    <t>SB22319</t>
  </si>
  <si>
    <t>SB22320</t>
  </si>
  <si>
    <t>SB22396</t>
  </si>
  <si>
    <t>SB22561</t>
  </si>
  <si>
    <t>SB22562</t>
  </si>
  <si>
    <t>SB22563</t>
  </si>
  <si>
    <t>SB22590</t>
  </si>
  <si>
    <t>SB22591</t>
  </si>
  <si>
    <t>SB22278</t>
  </si>
  <si>
    <t>SB22344</t>
  </si>
  <si>
    <t>SB22404</t>
  </si>
  <si>
    <t>SB22527</t>
  </si>
  <si>
    <t>SB22612</t>
  </si>
  <si>
    <t>SB22254</t>
  </si>
  <si>
    <t>SB22316</t>
  </si>
  <si>
    <t>SB22448</t>
  </si>
  <si>
    <t>SB22622</t>
  </si>
  <si>
    <t>SB22158</t>
  </si>
  <si>
    <t>SB22343</t>
  </si>
  <si>
    <t>SB22498</t>
  </si>
  <si>
    <t>SB22551</t>
  </si>
  <si>
    <t>SB22557</t>
  </si>
  <si>
    <t>SB22574</t>
  </si>
  <si>
    <t>SB22656</t>
  </si>
  <si>
    <t>SB22115</t>
  </si>
  <si>
    <t>SB22329</t>
  </si>
  <si>
    <t>SB22459</t>
  </si>
  <si>
    <t>SB22204</t>
  </si>
  <si>
    <t>SB22460</t>
  </si>
  <si>
    <t>SB22615</t>
  </si>
  <si>
    <t>SB22618</t>
  </si>
  <si>
    <t>SB22414</t>
  </si>
  <si>
    <t>SB22626</t>
  </si>
  <si>
    <t>SB22559</t>
  </si>
  <si>
    <t>SB22560</t>
  </si>
  <si>
    <t>SB22623</t>
  </si>
  <si>
    <t>SB22666</t>
  </si>
  <si>
    <t>SB22263</t>
  </si>
  <si>
    <t>SB22477</t>
  </si>
  <si>
    <t>SB22640</t>
  </si>
  <si>
    <t>SB22657</t>
  </si>
  <si>
    <t>SB22475</t>
  </si>
  <si>
    <t>SB22483</t>
  </si>
  <si>
    <t>SB22577</t>
  </si>
  <si>
    <t>SB22646</t>
  </si>
  <si>
    <t>SB22598</t>
  </si>
  <si>
    <t>SB22500</t>
  </si>
  <si>
    <t>SB22662</t>
  </si>
  <si>
    <t>SB22159</t>
  </si>
  <si>
    <t>SB22613</t>
  </si>
  <si>
    <t>SB22455</t>
  </si>
  <si>
    <t>SB22569</t>
  </si>
  <si>
    <t>SB21466</t>
  </si>
  <si>
    <t>Total</t>
  </si>
  <si>
    <t>Credit Note</t>
  </si>
  <si>
    <t>No credit note has been created for this project using either the project field or the Project Code(Body Level).</t>
  </si>
  <si>
    <t>JV Value (P)</t>
  </si>
  <si>
    <t>JE created for the amount of 371859. Voucher numbers of JE: A/2025/JV/1593, A/2025/JV/1642, A/2025/JV/1743 and A/2025/JV/1878</t>
  </si>
  <si>
    <t>JE created for the amount of 191318. Voucher numbers of JE: A/2025/JV/1696, A/2025/JV/1947, A/2025/JV/1743, A/2025/JV/1642 and A/2025/JV/1593</t>
  </si>
  <si>
    <t>No JE found for this SB.</t>
  </si>
  <si>
    <t>JE created for the amount of 3090870.27. Voucher numbers of JE: D/2025/JV/0216, C/2025/JV/0071, C/2025/JV/0072, C/2025/JV/0076, C/2025/JV/0082 and A/2025/JV/1593. 
Noticed that the project is linked for both credit and debit lines in the JE with voucher number C/2025/JV/0072.</t>
  </si>
  <si>
    <t>JE created for the amount of 1728084.76. Voucher numbers of JE: D/2025/JV/0241, D/2025/JV/0249, D/2025/JV/0251, D/2025/JV/0260, A/2025/JV/1593 and A/2025/JV/1696</t>
  </si>
  <si>
    <t>JE created for the amount of 181650.00. Voucher numbers of JE: D/2025/JV/0229</t>
  </si>
  <si>
    <t>Debit 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</si>
</sst>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b/>
      <sz val="11"/>
      <color theme="1"/>
      <name val="Calibri"/>
      <charset val="134"/>
      <scheme val="minor"/>
    </font>
    <font>
      <b/>
      <sz val="10"/>
      <color rgb="FF000000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right" vertical="top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0" fillId="2" borderId="0" xfId="0" applyFill="1" applyAlignment="1">
      <alignment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ismatch%20Apri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V Value (S)"/>
      <sheetName val="Credit Note"/>
      <sheetName val="JV Value (P)"/>
      <sheetName val="Debit Note"/>
      <sheetName val="MGM Tally"/>
      <sheetName val="MGM NS"/>
    </sheetNames>
    <sheetDataSet>
      <sheetData sheetId="0"/>
      <sheetData sheetId="1"/>
      <sheetData sheetId="2"/>
      <sheetData sheetId="3"/>
      <sheetData sheetId="4">
        <row r="2">
          <cell r="G2" t="str">
            <v>ProfitCentreName</v>
          </cell>
          <cell r="H2" t="str">
            <v>JVValue (S)</v>
          </cell>
          <cell r="I2" t="str">
            <v>JVS without cr/dr</v>
          </cell>
          <cell r="J2" t="str">
            <v>ProfitCentreName</v>
          </cell>
          <cell r="K2" t="str">
            <v>Credit Note</v>
          </cell>
          <cell r="L2" t="str">
            <v>CN without cr/dr</v>
          </cell>
          <cell r="Q2" t="str">
            <v>ProfitCentreName</v>
          </cell>
          <cell r="R2" t="str">
            <v>JV Value (P)</v>
          </cell>
          <cell r="S2" t="str">
            <v>JVP without cr/dr</v>
          </cell>
          <cell r="T2" t="str">
            <v>ProfitCentreName</v>
          </cell>
          <cell r="U2" t="str">
            <v>Debit Note</v>
          </cell>
          <cell r="V2" t="str">
            <v>DN without cr/dr</v>
          </cell>
        </row>
        <row r="3">
          <cell r="H3" t="str">
            <v>16194912.94 Cr</v>
          </cell>
          <cell r="I3">
            <v>-16194912.939999999</v>
          </cell>
          <cell r="K3" t="str">
            <v>1513806.26 Dr</v>
          </cell>
          <cell r="L3" t="str">
            <v>1513806.26</v>
          </cell>
          <cell r="R3" t="str">
            <v>21167972.36 Dr</v>
          </cell>
          <cell r="S3" t="str">
            <v>21167972.36</v>
          </cell>
          <cell r="U3" t="str">
            <v>4866101.00 Cr</v>
          </cell>
          <cell r="V3">
            <v>-4866101</v>
          </cell>
        </row>
        <row r="4">
          <cell r="H4" t="str">
            <v>28412325.44 Cr</v>
          </cell>
          <cell r="I4">
            <v>-28412325.440000001</v>
          </cell>
          <cell r="K4" t="str">
            <v>394474.00 Dr</v>
          </cell>
          <cell r="L4" t="str">
            <v>394474.00</v>
          </cell>
          <cell r="R4" t="str">
            <v>20468870.39 Dr</v>
          </cell>
          <cell r="S4" t="str">
            <v>20468870.39</v>
          </cell>
          <cell r="U4" t="str">
            <v>4535000.00 Cr</v>
          </cell>
          <cell r="V4">
            <v>-4535000</v>
          </cell>
        </row>
        <row r="5">
          <cell r="H5" t="str">
            <v>693710.50 Cr</v>
          </cell>
          <cell r="I5">
            <v>-693710.5</v>
          </cell>
          <cell r="K5" t="str">
            <v>394474.00 Dr</v>
          </cell>
          <cell r="L5" t="str">
            <v>394474.00</v>
          </cell>
          <cell r="R5" t="str">
            <v>1266022.91 Dr</v>
          </cell>
          <cell r="S5" t="str">
            <v>1266022.91</v>
          </cell>
          <cell r="V5">
            <v>0</v>
          </cell>
        </row>
        <row r="6">
          <cell r="G6" t="str">
            <v>SB21386</v>
          </cell>
          <cell r="I6">
            <v>0</v>
          </cell>
          <cell r="J6" t="str">
            <v>SB21386</v>
          </cell>
          <cell r="K6" t="str">
            <v>394474.00 Dr</v>
          </cell>
          <cell r="L6" t="str">
            <v>394474.00</v>
          </cell>
          <cell r="Q6" t="str">
            <v>SB21386</v>
          </cell>
          <cell r="S6">
            <v>0</v>
          </cell>
          <cell r="T6" t="str">
            <v>SB21386</v>
          </cell>
          <cell r="V6">
            <v>0</v>
          </cell>
        </row>
        <row r="7">
          <cell r="G7" t="str">
            <v>SB22376</v>
          </cell>
          <cell r="H7" t="str">
            <v>326914.00 Dr</v>
          </cell>
          <cell r="I7" t="str">
            <v>326914.00</v>
          </cell>
          <cell r="J7" t="str">
            <v>SB22376</v>
          </cell>
          <cell r="L7">
            <v>0</v>
          </cell>
          <cell r="Q7" t="str">
            <v>SB22376</v>
          </cell>
          <cell r="S7">
            <v>0</v>
          </cell>
          <cell r="T7" t="str">
            <v>SB22376</v>
          </cell>
          <cell r="V7">
            <v>0</v>
          </cell>
        </row>
        <row r="8">
          <cell r="G8" t="str">
            <v>SB22511</v>
          </cell>
          <cell r="H8" t="str">
            <v>943616.50 Cr</v>
          </cell>
          <cell r="I8">
            <v>-943616.5</v>
          </cell>
          <cell r="J8" t="str">
            <v>SB22511</v>
          </cell>
          <cell r="L8">
            <v>0</v>
          </cell>
          <cell r="Q8" t="str">
            <v>SB22511</v>
          </cell>
          <cell r="R8" t="str">
            <v>763119.91 Dr</v>
          </cell>
          <cell r="S8" t="str">
            <v>763119.91</v>
          </cell>
          <cell r="T8" t="str">
            <v>SB22511</v>
          </cell>
          <cell r="V8">
            <v>0</v>
          </cell>
        </row>
        <row r="9">
          <cell r="G9" t="str">
            <v>SB22526</v>
          </cell>
          <cell r="H9" t="str">
            <v>115008.00 Dr</v>
          </cell>
          <cell r="I9" t="str">
            <v>115008.00</v>
          </cell>
          <cell r="J9" t="str">
            <v>SB22526</v>
          </cell>
          <cell r="L9">
            <v>0</v>
          </cell>
          <cell r="Q9" t="str">
            <v>SB22526</v>
          </cell>
          <cell r="S9">
            <v>0</v>
          </cell>
          <cell r="T9" t="str">
            <v>SB22526</v>
          </cell>
          <cell r="V9">
            <v>0</v>
          </cell>
        </row>
        <row r="10">
          <cell r="G10" t="str">
            <v>SB22570</v>
          </cell>
          <cell r="I10">
            <v>0</v>
          </cell>
          <cell r="J10" t="str">
            <v>SB22570</v>
          </cell>
          <cell r="L10">
            <v>0</v>
          </cell>
          <cell r="Q10" t="str">
            <v>SB22570</v>
          </cell>
          <cell r="R10" t="str">
            <v>48380.00 Dr</v>
          </cell>
          <cell r="S10" t="str">
            <v>48380.00</v>
          </cell>
          <cell r="T10" t="str">
            <v>SB22570</v>
          </cell>
          <cell r="V10">
            <v>0</v>
          </cell>
        </row>
        <row r="11">
          <cell r="G11" t="str">
            <v>SB22600</v>
          </cell>
          <cell r="H11" t="str">
            <v>192016.00 Cr</v>
          </cell>
          <cell r="I11">
            <v>-192016</v>
          </cell>
          <cell r="J11" t="str">
            <v>SB22600</v>
          </cell>
          <cell r="L11">
            <v>0</v>
          </cell>
          <cell r="Q11" t="str">
            <v>SB22600</v>
          </cell>
          <cell r="R11" t="str">
            <v>149100.00 Dr</v>
          </cell>
          <cell r="S11" t="str">
            <v>149100.00</v>
          </cell>
          <cell r="T11" t="str">
            <v>SB22600</v>
          </cell>
          <cell r="V11">
            <v>0</v>
          </cell>
        </row>
        <row r="12">
          <cell r="G12" t="str">
            <v>SB22632</v>
          </cell>
          <cell r="I12">
            <v>0</v>
          </cell>
          <cell r="J12" t="str">
            <v>SB22632</v>
          </cell>
          <cell r="L12">
            <v>0</v>
          </cell>
          <cell r="Q12" t="str">
            <v>SB22632</v>
          </cell>
          <cell r="R12" t="str">
            <v>305423.00 Dr</v>
          </cell>
          <cell r="S12" t="str">
            <v>305423.00</v>
          </cell>
          <cell r="T12" t="str">
            <v>SB22632</v>
          </cell>
          <cell r="V12">
            <v>0</v>
          </cell>
        </row>
        <row r="13">
          <cell r="I13">
            <v>0</v>
          </cell>
          <cell r="L13">
            <v>0</v>
          </cell>
          <cell r="R13" t="str">
            <v>38706.01 Dr</v>
          </cell>
          <cell r="S13" t="str">
            <v>38706.01</v>
          </cell>
          <cell r="V13">
            <v>0</v>
          </cell>
        </row>
        <row r="14">
          <cell r="G14" t="str">
            <v>SB22581</v>
          </cell>
          <cell r="I14">
            <v>0</v>
          </cell>
          <cell r="J14" t="str">
            <v>SB22581</v>
          </cell>
          <cell r="L14">
            <v>0</v>
          </cell>
          <cell r="Q14" t="str">
            <v>SB22581</v>
          </cell>
          <cell r="R14" t="str">
            <v>38706.01 Dr</v>
          </cell>
          <cell r="S14" t="str">
            <v>38706.01</v>
          </cell>
          <cell r="T14" t="str">
            <v>SB22581</v>
          </cell>
          <cell r="V14">
            <v>0</v>
          </cell>
        </row>
        <row r="15">
          <cell r="I15">
            <v>0</v>
          </cell>
          <cell r="L15">
            <v>0</v>
          </cell>
          <cell r="R15" t="str">
            <v>83600.00 Cr</v>
          </cell>
          <cell r="S15">
            <v>-83600</v>
          </cell>
          <cell r="V15">
            <v>0</v>
          </cell>
        </row>
        <row r="16">
          <cell r="G16" t="str">
            <v>SB22347</v>
          </cell>
          <cell r="I16">
            <v>0</v>
          </cell>
          <cell r="J16" t="str">
            <v>SB22347</v>
          </cell>
          <cell r="L16">
            <v>0</v>
          </cell>
          <cell r="Q16" t="str">
            <v>SB22347</v>
          </cell>
          <cell r="R16" t="str">
            <v>83600.00 Cr</v>
          </cell>
          <cell r="S16">
            <v>-83600</v>
          </cell>
          <cell r="T16" t="str">
            <v>SB22347</v>
          </cell>
          <cell r="V16">
            <v>0</v>
          </cell>
        </row>
        <row r="17">
          <cell r="I17">
            <v>0</v>
          </cell>
          <cell r="L17">
            <v>0</v>
          </cell>
          <cell r="R17" t="str">
            <v>300909.00 Cr</v>
          </cell>
          <cell r="S17">
            <v>-300909</v>
          </cell>
          <cell r="V17">
            <v>0</v>
          </cell>
        </row>
        <row r="18">
          <cell r="G18" t="str">
            <v>SB22384</v>
          </cell>
          <cell r="I18">
            <v>0</v>
          </cell>
          <cell r="J18" t="str">
            <v>SB22384</v>
          </cell>
          <cell r="L18">
            <v>0</v>
          </cell>
          <cell r="Q18" t="str">
            <v>SB22384</v>
          </cell>
          <cell r="R18" t="str">
            <v>300909.00 Cr</v>
          </cell>
          <cell r="S18">
            <v>-300909</v>
          </cell>
          <cell r="T18" t="str">
            <v>SB22384</v>
          </cell>
          <cell r="V18">
            <v>0</v>
          </cell>
        </row>
        <row r="19">
          <cell r="H19" t="str">
            <v>27718614.94 Cr</v>
          </cell>
          <cell r="I19">
            <v>-27718614.940000001</v>
          </cell>
          <cell r="L19">
            <v>0</v>
          </cell>
          <cell r="R19" t="str">
            <v>19563150.47 Dr</v>
          </cell>
          <cell r="S19" t="str">
            <v>19563150.47</v>
          </cell>
          <cell r="U19" t="str">
            <v>4535000.00 Cr</v>
          </cell>
          <cell r="V19">
            <v>-4535000</v>
          </cell>
        </row>
        <row r="20">
          <cell r="I20">
            <v>0</v>
          </cell>
          <cell r="L20">
            <v>0</v>
          </cell>
          <cell r="S20">
            <v>0</v>
          </cell>
          <cell r="V20">
            <v>0</v>
          </cell>
        </row>
        <row r="21">
          <cell r="G21" t="str">
            <v>SB22124</v>
          </cell>
          <cell r="I21">
            <v>0</v>
          </cell>
          <cell r="J21" t="str">
            <v>SB22124</v>
          </cell>
          <cell r="L21">
            <v>0</v>
          </cell>
          <cell r="Q21" t="str">
            <v>SB22124</v>
          </cell>
          <cell r="R21" t="str">
            <v>1545455.00 Cr</v>
          </cell>
          <cell r="S21">
            <v>-1545455</v>
          </cell>
          <cell r="T21" t="str">
            <v>SB22124</v>
          </cell>
          <cell r="V21">
            <v>0</v>
          </cell>
        </row>
        <row r="22">
          <cell r="G22" t="str">
            <v>SB22428</v>
          </cell>
          <cell r="H22" t="str">
            <v>5492385.06 Dr</v>
          </cell>
          <cell r="I22" t="str">
            <v>5492385.06</v>
          </cell>
          <cell r="J22" t="str">
            <v>SB22428</v>
          </cell>
          <cell r="L22">
            <v>0</v>
          </cell>
          <cell r="Q22" t="str">
            <v>SB22428</v>
          </cell>
          <cell r="R22" t="str">
            <v>350000.00 Cr</v>
          </cell>
          <cell r="S22">
            <v>-350000</v>
          </cell>
          <cell r="T22" t="str">
            <v>SB22428</v>
          </cell>
          <cell r="V22">
            <v>0</v>
          </cell>
        </row>
        <row r="23">
          <cell r="G23" t="str">
            <v>SB22540</v>
          </cell>
          <cell r="H23" t="str">
            <v>33211000.00 Cr</v>
          </cell>
          <cell r="I23">
            <v>-33211000</v>
          </cell>
          <cell r="J23" t="str">
            <v>SB22540</v>
          </cell>
          <cell r="L23">
            <v>0</v>
          </cell>
          <cell r="Q23" t="str">
            <v>SB22540</v>
          </cell>
          <cell r="R23" t="str">
            <v>21458605.47 Dr</v>
          </cell>
          <cell r="S23" t="str">
            <v>21458605.47</v>
          </cell>
          <cell r="T23" t="str">
            <v>SB22540</v>
          </cell>
          <cell r="U23" t="str">
            <v>4535000.00 Cr</v>
          </cell>
          <cell r="V23">
            <v>-4535000</v>
          </cell>
        </row>
        <row r="24">
          <cell r="I24">
            <v>0</v>
          </cell>
          <cell r="L24">
            <v>0</v>
          </cell>
          <cell r="R24" t="str">
            <v>14500.00 Cr</v>
          </cell>
          <cell r="S24">
            <v>-14500</v>
          </cell>
          <cell r="V24">
            <v>0</v>
          </cell>
        </row>
        <row r="25">
          <cell r="G25" t="str">
            <v>SB22443</v>
          </cell>
          <cell r="I25">
            <v>0</v>
          </cell>
          <cell r="J25" t="str">
            <v>SB22443</v>
          </cell>
          <cell r="L25">
            <v>0</v>
          </cell>
          <cell r="Q25" t="str">
            <v>SB22443</v>
          </cell>
          <cell r="R25" t="str">
            <v>14500.00 Cr</v>
          </cell>
          <cell r="S25">
            <v>-14500</v>
          </cell>
          <cell r="T25" t="str">
            <v>SB22443</v>
          </cell>
          <cell r="V25">
            <v>0</v>
          </cell>
        </row>
        <row r="26">
          <cell r="H26" t="str">
            <v>8985878.00 Cr</v>
          </cell>
          <cell r="I26">
            <v>-8985878</v>
          </cell>
          <cell r="L26">
            <v>0</v>
          </cell>
          <cell r="R26" t="str">
            <v>9448013.60 Dr</v>
          </cell>
          <cell r="S26" t="str">
            <v>9448013.60</v>
          </cell>
          <cell r="U26" t="str">
            <v>32800.00 Cr</v>
          </cell>
          <cell r="V26">
            <v>-32800</v>
          </cell>
        </row>
        <row r="27">
          <cell r="I27">
            <v>0</v>
          </cell>
          <cell r="L27">
            <v>0</v>
          </cell>
          <cell r="R27" t="str">
            <v>12350.00 Cr</v>
          </cell>
          <cell r="S27">
            <v>-12350</v>
          </cell>
          <cell r="V27">
            <v>0</v>
          </cell>
        </row>
        <row r="28">
          <cell r="G28" t="str">
            <v>SB22399</v>
          </cell>
          <cell r="I28">
            <v>0</v>
          </cell>
          <cell r="J28" t="str">
            <v>SB22399</v>
          </cell>
          <cell r="L28">
            <v>0</v>
          </cell>
          <cell r="Q28" t="str">
            <v>SB22399</v>
          </cell>
          <cell r="R28" t="str">
            <v>12350.00 Cr</v>
          </cell>
          <cell r="S28">
            <v>-12350</v>
          </cell>
          <cell r="T28" t="str">
            <v>SB22399</v>
          </cell>
          <cell r="V28">
            <v>0</v>
          </cell>
        </row>
        <row r="29">
          <cell r="I29">
            <v>0</v>
          </cell>
          <cell r="L29">
            <v>0</v>
          </cell>
          <cell r="R29" t="str">
            <v>46313.00 Cr</v>
          </cell>
          <cell r="S29">
            <v>-46313</v>
          </cell>
          <cell r="V29">
            <v>0</v>
          </cell>
        </row>
        <row r="30">
          <cell r="G30" t="str">
            <v>SB22317</v>
          </cell>
          <cell r="I30">
            <v>0</v>
          </cell>
          <cell r="J30" t="str">
            <v>SB22317</v>
          </cell>
          <cell r="L30">
            <v>0</v>
          </cell>
          <cell r="Q30" t="str">
            <v>SB22317</v>
          </cell>
          <cell r="R30" t="str">
            <v>46313.00 Cr</v>
          </cell>
          <cell r="S30">
            <v>-46313</v>
          </cell>
          <cell r="T30" t="str">
            <v>SB22317</v>
          </cell>
          <cell r="V30">
            <v>0</v>
          </cell>
        </row>
        <row r="31">
          <cell r="H31" t="str">
            <v>4087974.00 Cr</v>
          </cell>
          <cell r="I31">
            <v>-4087974</v>
          </cell>
          <cell r="L31">
            <v>0</v>
          </cell>
          <cell r="R31" t="str">
            <v>2320632.00 Dr</v>
          </cell>
          <cell r="S31" t="str">
            <v>2320632.00</v>
          </cell>
          <cell r="V31">
            <v>0</v>
          </cell>
        </row>
        <row r="32">
          <cell r="G32" t="str">
            <v>SB22223</v>
          </cell>
          <cell r="I32">
            <v>0</v>
          </cell>
          <cell r="J32" t="str">
            <v>SB22223</v>
          </cell>
          <cell r="L32">
            <v>0</v>
          </cell>
          <cell r="Q32" t="str">
            <v>SB22223</v>
          </cell>
          <cell r="R32" t="str">
            <v>142488.00 Cr</v>
          </cell>
          <cell r="S32">
            <v>-142488</v>
          </cell>
          <cell r="T32" t="str">
            <v>SB22223</v>
          </cell>
          <cell r="V32">
            <v>0</v>
          </cell>
        </row>
        <row r="33">
          <cell r="G33" t="str">
            <v>SB22268</v>
          </cell>
          <cell r="I33">
            <v>0</v>
          </cell>
          <cell r="J33" t="str">
            <v>SB22268</v>
          </cell>
          <cell r="L33">
            <v>0</v>
          </cell>
          <cell r="Q33" t="str">
            <v>SB22268</v>
          </cell>
          <cell r="R33" t="str">
            <v>128360.00 Cr</v>
          </cell>
          <cell r="S33">
            <v>-128360</v>
          </cell>
          <cell r="T33" t="str">
            <v>SB22268</v>
          </cell>
          <cell r="V33">
            <v>0</v>
          </cell>
        </row>
        <row r="34">
          <cell r="G34" t="str">
            <v>SB22321</v>
          </cell>
          <cell r="I34">
            <v>0</v>
          </cell>
          <cell r="J34" t="str">
            <v>SB22321</v>
          </cell>
          <cell r="L34">
            <v>0</v>
          </cell>
          <cell r="Q34" t="str">
            <v>SB22321</v>
          </cell>
          <cell r="R34" t="str">
            <v>500000.00 Dr</v>
          </cell>
          <cell r="S34" t="str">
            <v>500000.00</v>
          </cell>
          <cell r="T34" t="str">
            <v>SB22321</v>
          </cell>
          <cell r="V34">
            <v>0</v>
          </cell>
        </row>
        <row r="35">
          <cell r="G35" t="str">
            <v>SB22517</v>
          </cell>
          <cell r="I35">
            <v>0</v>
          </cell>
          <cell r="J35" t="str">
            <v>SB22517</v>
          </cell>
          <cell r="L35">
            <v>0</v>
          </cell>
          <cell r="Q35" t="str">
            <v>SB22517</v>
          </cell>
          <cell r="S35">
            <v>0</v>
          </cell>
          <cell r="T35" t="str">
            <v>SB22517</v>
          </cell>
          <cell r="V35">
            <v>0</v>
          </cell>
        </row>
        <row r="36">
          <cell r="G36" t="str">
            <v>SB22545</v>
          </cell>
          <cell r="H36" t="str">
            <v>2820020.00 Cr</v>
          </cell>
          <cell r="I36">
            <v>-2820020</v>
          </cell>
          <cell r="J36" t="str">
            <v>SB22545</v>
          </cell>
          <cell r="L36">
            <v>0</v>
          </cell>
          <cell r="Q36" t="str">
            <v>SB22545</v>
          </cell>
          <cell r="R36" t="str">
            <v>1612238.00 Dr</v>
          </cell>
          <cell r="S36" t="str">
            <v>1612238.00</v>
          </cell>
          <cell r="T36" t="str">
            <v>SB22545</v>
          </cell>
          <cell r="V36">
            <v>0</v>
          </cell>
        </row>
        <row r="37">
          <cell r="G37" t="str">
            <v>SB22580</v>
          </cell>
          <cell r="H37" t="str">
            <v>650000.00 Cr</v>
          </cell>
          <cell r="I37">
            <v>-650000</v>
          </cell>
          <cell r="J37" t="str">
            <v>SB22580</v>
          </cell>
          <cell r="L37">
            <v>0</v>
          </cell>
          <cell r="Q37" t="str">
            <v>SB22580</v>
          </cell>
          <cell r="S37">
            <v>0</v>
          </cell>
          <cell r="T37" t="str">
            <v>SB22580</v>
          </cell>
          <cell r="V37">
            <v>0</v>
          </cell>
        </row>
        <row r="38">
          <cell r="G38" t="str">
            <v>SB22616</v>
          </cell>
          <cell r="H38" t="str">
            <v>617954.00 Cr</v>
          </cell>
          <cell r="I38">
            <v>-617954</v>
          </cell>
          <cell r="J38" t="str">
            <v>SB22616</v>
          </cell>
          <cell r="L38">
            <v>0</v>
          </cell>
          <cell r="Q38" t="str">
            <v>SB22616</v>
          </cell>
          <cell r="R38" t="str">
            <v>479242.00 Dr</v>
          </cell>
          <cell r="S38" t="str">
            <v>479242.00</v>
          </cell>
          <cell r="T38" t="str">
            <v>SB22616</v>
          </cell>
          <cell r="V38">
            <v>0</v>
          </cell>
        </row>
        <row r="39">
          <cell r="H39" t="str">
            <v>2271571.00 Dr</v>
          </cell>
          <cell r="I39" t="str">
            <v>2271571.00</v>
          </cell>
          <cell r="L39">
            <v>0</v>
          </cell>
          <cell r="R39" t="str">
            <v>767261.78 Cr</v>
          </cell>
          <cell r="S39">
            <v>-767261.78</v>
          </cell>
          <cell r="U39" t="str">
            <v>32800.00 Cr</v>
          </cell>
          <cell r="V39">
            <v>-32800</v>
          </cell>
        </row>
        <row r="40">
          <cell r="G40" t="str">
            <v>SB22485</v>
          </cell>
          <cell r="H40" t="str">
            <v>2271571.00 Dr</v>
          </cell>
          <cell r="I40" t="str">
            <v>2271571.00</v>
          </cell>
          <cell r="J40" t="str">
            <v>SB22485</v>
          </cell>
          <cell r="L40">
            <v>0</v>
          </cell>
          <cell r="Q40" t="str">
            <v>SB22485</v>
          </cell>
          <cell r="R40" t="str">
            <v>1074050.00 Cr</v>
          </cell>
          <cell r="S40">
            <v>-1074050</v>
          </cell>
          <cell r="T40" t="str">
            <v>SB22485</v>
          </cell>
          <cell r="U40" t="str">
            <v>21000.00 Cr</v>
          </cell>
          <cell r="V40">
            <v>-21000</v>
          </cell>
        </row>
        <row r="41">
          <cell r="G41" t="str">
            <v>SB22579</v>
          </cell>
          <cell r="I41">
            <v>0</v>
          </cell>
          <cell r="J41" t="str">
            <v>SB22579</v>
          </cell>
          <cell r="L41">
            <v>0</v>
          </cell>
          <cell r="Q41" t="str">
            <v>SB22579</v>
          </cell>
          <cell r="R41" t="str">
            <v>306788.22 Dr</v>
          </cell>
          <cell r="S41" t="str">
            <v>306788.22</v>
          </cell>
          <cell r="T41" t="str">
            <v>SB22579</v>
          </cell>
          <cell r="U41" t="str">
            <v>11800.00 Cr</v>
          </cell>
          <cell r="V41">
            <v>-11800</v>
          </cell>
        </row>
        <row r="42">
          <cell r="I42">
            <v>0</v>
          </cell>
          <cell r="L42">
            <v>0</v>
          </cell>
          <cell r="S42">
            <v>0</v>
          </cell>
          <cell r="V42">
            <v>0</v>
          </cell>
        </row>
        <row r="43">
          <cell r="G43" t="str">
            <v>SB22620</v>
          </cell>
          <cell r="I43">
            <v>0</v>
          </cell>
          <cell r="J43" t="str">
            <v>SB22620</v>
          </cell>
          <cell r="L43">
            <v>0</v>
          </cell>
          <cell r="Q43" t="str">
            <v>SB22620</v>
          </cell>
          <cell r="S43">
            <v>0</v>
          </cell>
          <cell r="T43" t="str">
            <v>SB22620</v>
          </cell>
          <cell r="V43">
            <v>0</v>
          </cell>
        </row>
        <row r="44">
          <cell r="H44" t="str">
            <v>1279375.00 Cr</v>
          </cell>
          <cell r="I44">
            <v>-1279375</v>
          </cell>
          <cell r="L44">
            <v>0</v>
          </cell>
          <cell r="R44" t="str">
            <v>1074796.21 Dr</v>
          </cell>
          <cell r="S44" t="str">
            <v>1074796.21</v>
          </cell>
          <cell r="V44">
            <v>0</v>
          </cell>
        </row>
        <row r="45">
          <cell r="G45" t="str">
            <v>SB22323</v>
          </cell>
          <cell r="I45">
            <v>0</v>
          </cell>
          <cell r="J45" t="str">
            <v>SB22323</v>
          </cell>
          <cell r="L45">
            <v>0</v>
          </cell>
          <cell r="Q45" t="str">
            <v>SB22323</v>
          </cell>
          <cell r="R45" t="str">
            <v>575640.00 Dr</v>
          </cell>
          <cell r="S45" t="str">
            <v>575640.00</v>
          </cell>
          <cell r="T45" t="str">
            <v>SB22323</v>
          </cell>
          <cell r="V45">
            <v>0</v>
          </cell>
        </row>
        <row r="46">
          <cell r="G46" t="str">
            <v>SB22326</v>
          </cell>
          <cell r="I46">
            <v>0</v>
          </cell>
          <cell r="J46" t="str">
            <v>SB22326</v>
          </cell>
          <cell r="L46">
            <v>0</v>
          </cell>
          <cell r="Q46" t="str">
            <v>SB22326</v>
          </cell>
          <cell r="R46" t="str">
            <v>193885.79 Cr</v>
          </cell>
          <cell r="S46">
            <v>-193885.79</v>
          </cell>
          <cell r="T46" t="str">
            <v>SB22326</v>
          </cell>
          <cell r="V46">
            <v>0</v>
          </cell>
        </row>
        <row r="47">
          <cell r="G47" t="str">
            <v>SB22400</v>
          </cell>
          <cell r="I47">
            <v>0</v>
          </cell>
          <cell r="J47" t="str">
            <v>SB22400</v>
          </cell>
          <cell r="L47">
            <v>0</v>
          </cell>
          <cell r="Q47" t="str">
            <v>SB22400</v>
          </cell>
          <cell r="R47" t="str">
            <v>250771.00 Cr</v>
          </cell>
          <cell r="S47">
            <v>-250771</v>
          </cell>
          <cell r="T47" t="str">
            <v>SB22400</v>
          </cell>
          <cell r="V47">
            <v>0</v>
          </cell>
        </row>
        <row r="48">
          <cell r="G48" t="str">
            <v>SB22439</v>
          </cell>
          <cell r="H48" t="str">
            <v>1232800.00 Cr</v>
          </cell>
          <cell r="I48">
            <v>-1232800</v>
          </cell>
          <cell r="J48" t="str">
            <v>SB22439</v>
          </cell>
          <cell r="L48">
            <v>0</v>
          </cell>
          <cell r="Q48" t="str">
            <v>SB22439</v>
          </cell>
          <cell r="R48" t="str">
            <v>907484.00 Dr</v>
          </cell>
          <cell r="S48" t="str">
            <v>907484.00</v>
          </cell>
          <cell r="T48" t="str">
            <v>SB22439</v>
          </cell>
          <cell r="V48">
            <v>0</v>
          </cell>
        </row>
        <row r="49">
          <cell r="G49" t="str">
            <v>SB22596</v>
          </cell>
          <cell r="I49">
            <v>0</v>
          </cell>
          <cell r="J49" t="str">
            <v>SB22596</v>
          </cell>
          <cell r="L49">
            <v>0</v>
          </cell>
          <cell r="Q49" t="str">
            <v>SB22596</v>
          </cell>
          <cell r="S49">
            <v>0</v>
          </cell>
          <cell r="T49" t="str">
            <v>SB22596</v>
          </cell>
          <cell r="V49">
            <v>0</v>
          </cell>
        </row>
        <row r="50">
          <cell r="G50" t="str">
            <v>SB22628</v>
          </cell>
          <cell r="I50">
            <v>0</v>
          </cell>
          <cell r="J50" t="str">
            <v>SB22628</v>
          </cell>
          <cell r="L50">
            <v>0</v>
          </cell>
          <cell r="Q50" t="str">
            <v>SB22628</v>
          </cell>
          <cell r="S50">
            <v>0</v>
          </cell>
          <cell r="T50" t="str">
            <v>SB22628</v>
          </cell>
          <cell r="V50">
            <v>0</v>
          </cell>
        </row>
        <row r="51">
          <cell r="G51" t="str">
            <v>SB22634</v>
          </cell>
          <cell r="I51">
            <v>0</v>
          </cell>
          <cell r="J51" t="str">
            <v>SB22634</v>
          </cell>
          <cell r="L51">
            <v>0</v>
          </cell>
          <cell r="Q51" t="str">
            <v>SB22634</v>
          </cell>
          <cell r="S51">
            <v>0</v>
          </cell>
          <cell r="T51" t="str">
            <v>SB22634</v>
          </cell>
          <cell r="V51">
            <v>0</v>
          </cell>
        </row>
        <row r="52">
          <cell r="G52" t="str">
            <v>SB22638</v>
          </cell>
          <cell r="H52" t="str">
            <v>46575.00 Cr</v>
          </cell>
          <cell r="I52">
            <v>-46575</v>
          </cell>
          <cell r="J52" t="str">
            <v>SB22638</v>
          </cell>
          <cell r="L52">
            <v>0</v>
          </cell>
          <cell r="Q52" t="str">
            <v>SB22638</v>
          </cell>
          <cell r="R52" t="str">
            <v>36329.00 Dr</v>
          </cell>
          <cell r="S52" t="str">
            <v>36329.00</v>
          </cell>
          <cell r="T52" t="str">
            <v>SB22638</v>
          </cell>
          <cell r="V52">
            <v>0</v>
          </cell>
        </row>
        <row r="53">
          <cell r="G53" t="str">
            <v>SB22655</v>
          </cell>
          <cell r="I53">
            <v>0</v>
          </cell>
          <cell r="J53" t="str">
            <v>SB22655</v>
          </cell>
          <cell r="L53">
            <v>0</v>
          </cell>
          <cell r="Q53" t="str">
            <v>SB22655</v>
          </cell>
          <cell r="S53">
            <v>0</v>
          </cell>
          <cell r="T53" t="str">
            <v>SB22655</v>
          </cell>
          <cell r="V53">
            <v>0</v>
          </cell>
        </row>
        <row r="54">
          <cell r="G54" t="str">
            <v>SB22658</v>
          </cell>
          <cell r="I54">
            <v>0</v>
          </cell>
          <cell r="J54" t="str">
            <v>SB22658</v>
          </cell>
          <cell r="L54">
            <v>0</v>
          </cell>
          <cell r="Q54" t="str">
            <v>SB22658</v>
          </cell>
          <cell r="S54">
            <v>0</v>
          </cell>
          <cell r="T54" t="str">
            <v>SB22658</v>
          </cell>
          <cell r="V54">
            <v>0</v>
          </cell>
        </row>
        <row r="55">
          <cell r="I55">
            <v>0</v>
          </cell>
          <cell r="L55">
            <v>0</v>
          </cell>
          <cell r="R55" t="str">
            <v>2910607.31 Dr</v>
          </cell>
          <cell r="S55" t="str">
            <v>2910607.31</v>
          </cell>
          <cell r="V55">
            <v>0</v>
          </cell>
        </row>
        <row r="56">
          <cell r="G56" t="str">
            <v>SB22325</v>
          </cell>
          <cell r="I56">
            <v>0</v>
          </cell>
          <cell r="J56" t="str">
            <v>SB22325</v>
          </cell>
          <cell r="L56">
            <v>0</v>
          </cell>
          <cell r="Q56" t="str">
            <v>SB22325</v>
          </cell>
          <cell r="R56" t="str">
            <v>263100.00 Cr</v>
          </cell>
          <cell r="S56">
            <v>-263100</v>
          </cell>
          <cell r="T56" t="str">
            <v>SB22325</v>
          </cell>
          <cell r="V56">
            <v>0</v>
          </cell>
        </row>
        <row r="57">
          <cell r="G57" t="str">
            <v>SB22541</v>
          </cell>
          <cell r="I57">
            <v>0</v>
          </cell>
          <cell r="J57" t="str">
            <v>SB22541</v>
          </cell>
          <cell r="L57">
            <v>0</v>
          </cell>
          <cell r="Q57" t="str">
            <v>SB22541</v>
          </cell>
          <cell r="R57" t="str">
            <v>3115821.31 Dr</v>
          </cell>
          <cell r="S57" t="str">
            <v>3115821.31</v>
          </cell>
          <cell r="T57" t="str">
            <v>SB22541</v>
          </cell>
          <cell r="V57">
            <v>0</v>
          </cell>
        </row>
        <row r="58">
          <cell r="G58" t="str">
            <v>SB22587</v>
          </cell>
          <cell r="I58">
            <v>0</v>
          </cell>
          <cell r="J58" t="str">
            <v>SB22587</v>
          </cell>
          <cell r="L58">
            <v>0</v>
          </cell>
          <cell r="Q58" t="str">
            <v>SB22587</v>
          </cell>
          <cell r="R58" t="str">
            <v>23270.00 Dr</v>
          </cell>
          <cell r="S58" t="str">
            <v>23270.00</v>
          </cell>
          <cell r="T58" t="str">
            <v>SB22587</v>
          </cell>
          <cell r="V58">
            <v>0</v>
          </cell>
        </row>
        <row r="59">
          <cell r="G59" t="str">
            <v>SB22607</v>
          </cell>
          <cell r="I59">
            <v>0</v>
          </cell>
          <cell r="J59" t="str">
            <v>SB22607</v>
          </cell>
          <cell r="L59">
            <v>0</v>
          </cell>
          <cell r="Q59" t="str">
            <v>SB22607</v>
          </cell>
          <cell r="R59" t="str">
            <v>34616.00 Dr</v>
          </cell>
          <cell r="S59" t="str">
            <v>34616.00</v>
          </cell>
          <cell r="T59" t="str">
            <v>SB22607</v>
          </cell>
          <cell r="V59">
            <v>0</v>
          </cell>
        </row>
        <row r="60">
          <cell r="I60">
            <v>0</v>
          </cell>
          <cell r="L60">
            <v>0</v>
          </cell>
          <cell r="R60" t="str">
            <v>27392.32 Dr</v>
          </cell>
          <cell r="S60" t="str">
            <v>27392.32</v>
          </cell>
          <cell r="V60">
            <v>0</v>
          </cell>
        </row>
        <row r="61">
          <cell r="G61" t="str">
            <v>SB22520</v>
          </cell>
          <cell r="I61">
            <v>0</v>
          </cell>
          <cell r="J61" t="str">
            <v>SB22520</v>
          </cell>
          <cell r="L61">
            <v>0</v>
          </cell>
          <cell r="Q61" t="str">
            <v>SB22520</v>
          </cell>
          <cell r="R61" t="str">
            <v>27392.32 Dr</v>
          </cell>
          <cell r="S61" t="str">
            <v>27392.32</v>
          </cell>
          <cell r="T61" t="str">
            <v>SB22520</v>
          </cell>
          <cell r="V61">
            <v>0</v>
          </cell>
        </row>
        <row r="62">
          <cell r="H62" t="str">
            <v>5890100.00 Cr</v>
          </cell>
          <cell r="I62">
            <v>-5890100</v>
          </cell>
          <cell r="L62">
            <v>0</v>
          </cell>
          <cell r="R62" t="str">
            <v>3986755.54 Dr</v>
          </cell>
          <cell r="S62" t="str">
            <v>3986755.54</v>
          </cell>
          <cell r="V62">
            <v>0</v>
          </cell>
        </row>
        <row r="63">
          <cell r="G63" t="str">
            <v>SB22518</v>
          </cell>
          <cell r="H63" t="str">
            <v>17248.00 Dr</v>
          </cell>
          <cell r="I63" t="str">
            <v>17248.00</v>
          </cell>
          <cell r="J63" t="str">
            <v>SB22518</v>
          </cell>
          <cell r="L63">
            <v>0</v>
          </cell>
          <cell r="Q63" t="str">
            <v>SB22518</v>
          </cell>
          <cell r="S63">
            <v>0</v>
          </cell>
          <cell r="T63" t="str">
            <v>SB22518</v>
          </cell>
          <cell r="V63">
            <v>0</v>
          </cell>
        </row>
        <row r="64">
          <cell r="G64" t="str">
            <v>SB22585</v>
          </cell>
          <cell r="I64">
            <v>0</v>
          </cell>
          <cell r="J64" t="str">
            <v>SB22585</v>
          </cell>
          <cell r="L64">
            <v>0</v>
          </cell>
          <cell r="Q64" t="str">
            <v>SB22585</v>
          </cell>
          <cell r="R64" t="str">
            <v>4760.88 Dr</v>
          </cell>
          <cell r="S64" t="str">
            <v>4760.88</v>
          </cell>
          <cell r="T64" t="str">
            <v>SB22585</v>
          </cell>
          <cell r="V64">
            <v>0</v>
          </cell>
        </row>
        <row r="65">
          <cell r="G65" t="str">
            <v>SB22606</v>
          </cell>
          <cell r="H65" t="str">
            <v>5907348.00 Cr</v>
          </cell>
          <cell r="I65">
            <v>-5907348</v>
          </cell>
          <cell r="J65" t="str">
            <v>SB22606</v>
          </cell>
          <cell r="L65">
            <v>0</v>
          </cell>
          <cell r="Q65" t="str">
            <v>SB22606</v>
          </cell>
          <cell r="R65" t="str">
            <v>3981994.66 Dr</v>
          </cell>
          <cell r="S65" t="str">
            <v>3981994.66</v>
          </cell>
          <cell r="T65" t="str">
            <v>SB22606</v>
          </cell>
          <cell r="V65">
            <v>0</v>
          </cell>
        </row>
        <row r="66">
          <cell r="I66">
            <v>0</v>
          </cell>
          <cell r="L66">
            <v>0</v>
          </cell>
          <cell r="R66" t="str">
            <v>13450.00 Dr</v>
          </cell>
          <cell r="S66" t="str">
            <v>13450.00</v>
          </cell>
          <cell r="V66">
            <v>0</v>
          </cell>
        </row>
        <row r="67">
          <cell r="G67" t="str">
            <v>SB22621</v>
          </cell>
          <cell r="I67">
            <v>0</v>
          </cell>
          <cell r="J67" t="str">
            <v>SB22621</v>
          </cell>
          <cell r="L67">
            <v>0</v>
          </cell>
          <cell r="Q67" t="str">
            <v>SB22621</v>
          </cell>
          <cell r="R67" t="str">
            <v>13450.00 Dr</v>
          </cell>
          <cell r="S67" t="str">
            <v>13450.00</v>
          </cell>
          <cell r="T67" t="str">
            <v>SB22621</v>
          </cell>
          <cell r="V67">
            <v>0</v>
          </cell>
        </row>
        <row r="68">
          <cell r="I68">
            <v>0</v>
          </cell>
          <cell r="L68">
            <v>0</v>
          </cell>
          <cell r="R68" t="str">
            <v>59695.00 Cr</v>
          </cell>
          <cell r="S68">
            <v>-59695</v>
          </cell>
          <cell r="V68">
            <v>0</v>
          </cell>
        </row>
        <row r="69">
          <cell r="G69" t="str">
            <v>SB22513</v>
          </cell>
          <cell r="I69">
            <v>0</v>
          </cell>
          <cell r="J69" t="str">
            <v>SB22513</v>
          </cell>
          <cell r="L69">
            <v>0</v>
          </cell>
          <cell r="Q69" t="str">
            <v>SB22513</v>
          </cell>
          <cell r="R69" t="str">
            <v>59695.00 Cr</v>
          </cell>
          <cell r="S69">
            <v>-59695</v>
          </cell>
          <cell r="T69" t="str">
            <v>SB22513</v>
          </cell>
          <cell r="V69">
            <v>0</v>
          </cell>
        </row>
        <row r="70">
          <cell r="H70" t="str">
            <v>1871000.00 Dr</v>
          </cell>
          <cell r="I70" t="str">
            <v>1871000.00</v>
          </cell>
          <cell r="L70">
            <v>0</v>
          </cell>
          <cell r="R70" t="str">
            <v>772237.65 Cr</v>
          </cell>
          <cell r="S70">
            <v>-772237.65</v>
          </cell>
          <cell r="U70" t="str">
            <v>200000.00 Cr</v>
          </cell>
          <cell r="V70">
            <v>-200000</v>
          </cell>
        </row>
        <row r="71">
          <cell r="H71" t="str">
            <v>1871000.00 Dr</v>
          </cell>
          <cell r="I71" t="str">
            <v>1871000.00</v>
          </cell>
          <cell r="L71">
            <v>0</v>
          </cell>
          <cell r="R71" t="str">
            <v>772237.65 Cr</v>
          </cell>
          <cell r="S71">
            <v>-772237.65</v>
          </cell>
          <cell r="U71" t="str">
            <v>200000.00 Cr</v>
          </cell>
          <cell r="V71">
            <v>-200000</v>
          </cell>
        </row>
        <row r="72">
          <cell r="G72" t="str">
            <v>SB22416</v>
          </cell>
          <cell r="I72">
            <v>0</v>
          </cell>
          <cell r="J72" t="str">
            <v>SB22416</v>
          </cell>
          <cell r="L72">
            <v>0</v>
          </cell>
          <cell r="Q72" t="str">
            <v>SB22416</v>
          </cell>
          <cell r="R72" t="str">
            <v>6000.00 Cr</v>
          </cell>
          <cell r="S72">
            <v>-6000</v>
          </cell>
          <cell r="T72" t="str">
            <v>SB22416</v>
          </cell>
          <cell r="V72">
            <v>0</v>
          </cell>
        </row>
        <row r="73">
          <cell r="G73" t="str">
            <v>SB22492</v>
          </cell>
          <cell r="H73" t="str">
            <v>1871000.00 Dr</v>
          </cell>
          <cell r="I73" t="str">
            <v>1871000.00</v>
          </cell>
          <cell r="J73" t="str">
            <v>SB22492</v>
          </cell>
          <cell r="L73">
            <v>0</v>
          </cell>
          <cell r="Q73" t="str">
            <v>SB22492</v>
          </cell>
          <cell r="R73" t="str">
            <v>779853.52 Cr</v>
          </cell>
          <cell r="S73">
            <v>-779853.52</v>
          </cell>
          <cell r="T73" t="str">
            <v>SB22492</v>
          </cell>
          <cell r="U73" t="str">
            <v>200000.00 Cr</v>
          </cell>
          <cell r="V73">
            <v>-200000</v>
          </cell>
        </row>
        <row r="74">
          <cell r="G74" t="str">
            <v>SB22506</v>
          </cell>
          <cell r="I74">
            <v>0</v>
          </cell>
          <cell r="J74" t="str">
            <v>SB22506</v>
          </cell>
          <cell r="L74">
            <v>0</v>
          </cell>
          <cell r="Q74" t="str">
            <v>SB22506</v>
          </cell>
          <cell r="R74" t="str">
            <v>434.00 Cr</v>
          </cell>
          <cell r="S74">
            <v>-434</v>
          </cell>
          <cell r="T74" t="str">
            <v>SB22506</v>
          </cell>
          <cell r="V74">
            <v>0</v>
          </cell>
        </row>
        <row r="75">
          <cell r="G75" t="str">
            <v>SB22567</v>
          </cell>
          <cell r="I75">
            <v>0</v>
          </cell>
          <cell r="J75" t="str">
            <v>SB22567</v>
          </cell>
          <cell r="L75">
            <v>0</v>
          </cell>
          <cell r="Q75" t="str">
            <v>SB22567</v>
          </cell>
          <cell r="R75" t="str">
            <v>14049.87 Dr</v>
          </cell>
          <cell r="S75" t="str">
            <v>14049.87</v>
          </cell>
          <cell r="T75" t="str">
            <v>SB22567</v>
          </cell>
          <cell r="V75">
            <v>0</v>
          </cell>
        </row>
        <row r="76">
          <cell r="G76" t="str">
            <v>SB22583</v>
          </cell>
          <cell r="I76">
            <v>0</v>
          </cell>
          <cell r="J76" t="str">
            <v>SB22583</v>
          </cell>
          <cell r="L76">
            <v>0</v>
          </cell>
          <cell r="Q76" t="str">
            <v>SB22583</v>
          </cell>
          <cell r="S76">
            <v>0</v>
          </cell>
          <cell r="T76" t="str">
            <v>SB22583</v>
          </cell>
          <cell r="V76">
            <v>0</v>
          </cell>
        </row>
        <row r="77">
          <cell r="H77" t="str">
            <v>19332290.50 Dr</v>
          </cell>
          <cell r="I77" t="str">
            <v>19332290.50</v>
          </cell>
          <cell r="K77" t="str">
            <v>1119332.26 Dr</v>
          </cell>
          <cell r="L77" t="str">
            <v>1119332.26</v>
          </cell>
          <cell r="R77" t="str">
            <v>7976673.98 Cr</v>
          </cell>
          <cell r="S77">
            <v>-7976673.9800000004</v>
          </cell>
          <cell r="U77" t="str">
            <v>98301.00 Cr</v>
          </cell>
          <cell r="V77">
            <v>-98301</v>
          </cell>
        </row>
        <row r="78">
          <cell r="H78" t="str">
            <v>3167429.40 Cr</v>
          </cell>
          <cell r="I78">
            <v>-3167429.4</v>
          </cell>
          <cell r="L78">
            <v>0</v>
          </cell>
          <cell r="R78" t="str">
            <v>1509376.00 Dr</v>
          </cell>
          <cell r="S78" t="str">
            <v>1509376.00</v>
          </cell>
          <cell r="U78" t="str">
            <v>6872.00 Cr</v>
          </cell>
          <cell r="V78">
            <v>-6872</v>
          </cell>
        </row>
        <row r="79">
          <cell r="G79" t="str">
            <v>SB22584</v>
          </cell>
          <cell r="H79" t="str">
            <v>3167429.40 Cr</v>
          </cell>
          <cell r="I79">
            <v>-3167429.4</v>
          </cell>
          <cell r="J79" t="str">
            <v>SB22584</v>
          </cell>
          <cell r="L79">
            <v>0</v>
          </cell>
          <cell r="Q79" t="str">
            <v>SB22584</v>
          </cell>
          <cell r="R79" t="str">
            <v>1509376.00 Dr</v>
          </cell>
          <cell r="S79" t="str">
            <v>1509376.00</v>
          </cell>
          <cell r="T79" t="str">
            <v>SB22584</v>
          </cell>
          <cell r="U79" t="str">
            <v>6872.00 Cr</v>
          </cell>
          <cell r="V79">
            <v>-6872</v>
          </cell>
        </row>
        <row r="80">
          <cell r="H80" t="str">
            <v>1991299.00 Cr</v>
          </cell>
          <cell r="I80">
            <v>-1991299</v>
          </cell>
          <cell r="L80">
            <v>0</v>
          </cell>
          <cell r="R80" t="str">
            <v>392082.06 Dr</v>
          </cell>
          <cell r="S80" t="str">
            <v>392082.06</v>
          </cell>
          <cell r="V80">
            <v>0</v>
          </cell>
        </row>
        <row r="81">
          <cell r="G81" t="str">
            <v>SB22564</v>
          </cell>
          <cell r="H81" t="str">
            <v>1017327.00 Cr</v>
          </cell>
          <cell r="I81">
            <v>-1017327</v>
          </cell>
          <cell r="J81" t="str">
            <v>SB22564</v>
          </cell>
          <cell r="L81">
            <v>0</v>
          </cell>
          <cell r="Q81" t="str">
            <v>SB22564</v>
          </cell>
          <cell r="R81" t="str">
            <v>170000.00 Dr</v>
          </cell>
          <cell r="S81" t="str">
            <v>170000.00</v>
          </cell>
          <cell r="T81" t="str">
            <v>SB22564</v>
          </cell>
          <cell r="V81">
            <v>0</v>
          </cell>
        </row>
        <row r="82">
          <cell r="G82" t="str">
            <v>SB22575</v>
          </cell>
          <cell r="H82" t="str">
            <v>835524.00 Cr</v>
          </cell>
          <cell r="I82">
            <v>-835524</v>
          </cell>
          <cell r="J82" t="str">
            <v>SB22575</v>
          </cell>
          <cell r="L82">
            <v>0</v>
          </cell>
          <cell r="Q82" t="str">
            <v>SB22575</v>
          </cell>
          <cell r="R82" t="str">
            <v>176834.06 Dr</v>
          </cell>
          <cell r="S82" t="str">
            <v>176834.06</v>
          </cell>
          <cell r="T82" t="str">
            <v>SB22575</v>
          </cell>
          <cell r="V82">
            <v>0</v>
          </cell>
        </row>
        <row r="83">
          <cell r="G83" t="str">
            <v>SB22582</v>
          </cell>
          <cell r="H83" t="str">
            <v>138448.00 Cr</v>
          </cell>
          <cell r="I83">
            <v>-138448</v>
          </cell>
          <cell r="J83" t="str">
            <v>SB22582</v>
          </cell>
          <cell r="L83">
            <v>0</v>
          </cell>
          <cell r="Q83" t="str">
            <v>SB22582</v>
          </cell>
          <cell r="R83" t="str">
            <v>45248.00 Dr</v>
          </cell>
          <cell r="S83" t="str">
            <v>45248.00</v>
          </cell>
          <cell r="T83" t="str">
            <v>SB22582</v>
          </cell>
          <cell r="V83">
            <v>0</v>
          </cell>
        </row>
        <row r="84">
          <cell r="H84" t="str">
            <v>10000.00 Dr</v>
          </cell>
          <cell r="I84" t="str">
            <v>10000.00</v>
          </cell>
          <cell r="L84">
            <v>0</v>
          </cell>
          <cell r="S84">
            <v>0</v>
          </cell>
          <cell r="V84">
            <v>0</v>
          </cell>
        </row>
        <row r="85">
          <cell r="G85" t="str">
            <v>SB22536</v>
          </cell>
          <cell r="H85" t="str">
            <v>10000.00 Dr</v>
          </cell>
          <cell r="I85" t="str">
            <v>10000.00</v>
          </cell>
          <cell r="J85" t="str">
            <v>SB22536</v>
          </cell>
          <cell r="L85">
            <v>0</v>
          </cell>
          <cell r="Q85" t="str">
            <v>SB22536</v>
          </cell>
          <cell r="S85">
            <v>0</v>
          </cell>
          <cell r="T85" t="str">
            <v>SB22536</v>
          </cell>
          <cell r="V85">
            <v>0</v>
          </cell>
        </row>
        <row r="86">
          <cell r="H86" t="str">
            <v>21779030.96 Dr</v>
          </cell>
          <cell r="I86" t="str">
            <v>21779030.96</v>
          </cell>
          <cell r="L86">
            <v>0</v>
          </cell>
          <cell r="R86" t="str">
            <v>8543265.36 Cr</v>
          </cell>
          <cell r="S86">
            <v>-8543265.3599999994</v>
          </cell>
          <cell r="V86">
            <v>0</v>
          </cell>
        </row>
        <row r="87">
          <cell r="G87" t="str">
            <v>SB22324</v>
          </cell>
          <cell r="H87" t="str">
            <v>1301935.00 Dr</v>
          </cell>
          <cell r="I87" t="str">
            <v>1301935.00</v>
          </cell>
          <cell r="J87" t="str">
            <v>SB22324</v>
          </cell>
          <cell r="L87">
            <v>0</v>
          </cell>
          <cell r="Q87" t="str">
            <v>SB22324</v>
          </cell>
          <cell r="S87">
            <v>0</v>
          </cell>
          <cell r="T87" t="str">
            <v>SB22324</v>
          </cell>
          <cell r="V87">
            <v>0</v>
          </cell>
        </row>
        <row r="88">
          <cell r="G88" t="str">
            <v>SB22354</v>
          </cell>
          <cell r="I88">
            <v>0</v>
          </cell>
          <cell r="J88" t="str">
            <v>SB22354</v>
          </cell>
          <cell r="L88">
            <v>0</v>
          </cell>
          <cell r="Q88" t="str">
            <v>SB22354</v>
          </cell>
          <cell r="R88" t="str">
            <v>32000.00 Cr</v>
          </cell>
          <cell r="S88">
            <v>-32000</v>
          </cell>
          <cell r="T88" t="str">
            <v>SB22354</v>
          </cell>
          <cell r="V88">
            <v>0</v>
          </cell>
        </row>
        <row r="89">
          <cell r="G89" t="str">
            <v>SB22387</v>
          </cell>
          <cell r="I89">
            <v>0</v>
          </cell>
          <cell r="J89" t="str">
            <v>SB22387</v>
          </cell>
          <cell r="L89">
            <v>0</v>
          </cell>
          <cell r="Q89" t="str">
            <v>SB22387</v>
          </cell>
          <cell r="R89" t="str">
            <v>3500.00 Cr</v>
          </cell>
          <cell r="S89">
            <v>-3500</v>
          </cell>
          <cell r="T89" t="str">
            <v>SB22387</v>
          </cell>
          <cell r="V89">
            <v>0</v>
          </cell>
        </row>
        <row r="90">
          <cell r="G90" t="str">
            <v>SB22395</v>
          </cell>
          <cell r="I90">
            <v>0</v>
          </cell>
          <cell r="J90" t="str">
            <v>SB22395</v>
          </cell>
          <cell r="L90">
            <v>0</v>
          </cell>
          <cell r="Q90" t="str">
            <v>SB22395</v>
          </cell>
          <cell r="R90" t="str">
            <v>49700.00 Cr</v>
          </cell>
          <cell r="S90">
            <v>-49700</v>
          </cell>
          <cell r="T90" t="str">
            <v>SB22395</v>
          </cell>
          <cell r="V90">
            <v>0</v>
          </cell>
        </row>
        <row r="91">
          <cell r="G91" t="str">
            <v>SB22410</v>
          </cell>
          <cell r="I91">
            <v>0</v>
          </cell>
          <cell r="J91" t="str">
            <v>SB22410</v>
          </cell>
          <cell r="L91">
            <v>0</v>
          </cell>
          <cell r="Q91" t="str">
            <v>SB22410</v>
          </cell>
          <cell r="R91" t="str">
            <v>40000.00 Cr</v>
          </cell>
          <cell r="S91">
            <v>-40000</v>
          </cell>
          <cell r="T91" t="str">
            <v>SB22410</v>
          </cell>
          <cell r="V91">
            <v>0</v>
          </cell>
        </row>
        <row r="92">
          <cell r="G92" t="str">
            <v>SB22465</v>
          </cell>
          <cell r="H92" t="str">
            <v>2500000.00 Dr</v>
          </cell>
          <cell r="I92" t="str">
            <v>2500000.00</v>
          </cell>
          <cell r="J92" t="str">
            <v>SB22465</v>
          </cell>
          <cell r="L92">
            <v>0</v>
          </cell>
          <cell r="Q92" t="str">
            <v>SB22465</v>
          </cell>
          <cell r="R92" t="str">
            <v>156000.00 Cr</v>
          </cell>
          <cell r="S92">
            <v>-156000</v>
          </cell>
          <cell r="T92" t="str">
            <v>SB22465</v>
          </cell>
          <cell r="V92">
            <v>0</v>
          </cell>
        </row>
        <row r="93">
          <cell r="G93" t="str">
            <v>SB22491</v>
          </cell>
          <cell r="H93" t="str">
            <v>14900720.39 Dr</v>
          </cell>
          <cell r="I93" t="str">
            <v>14900720.39</v>
          </cell>
          <cell r="J93" t="str">
            <v>SB22491</v>
          </cell>
          <cell r="L93">
            <v>0</v>
          </cell>
          <cell r="Q93" t="str">
            <v>SB22491</v>
          </cell>
          <cell r="R93" t="str">
            <v>5959838.19 Cr</v>
          </cell>
          <cell r="S93">
            <v>-5959838.1900000004</v>
          </cell>
          <cell r="T93" t="str">
            <v>SB22491</v>
          </cell>
          <cell r="V93">
            <v>0</v>
          </cell>
        </row>
        <row r="94">
          <cell r="G94" t="str">
            <v>SB22495</v>
          </cell>
          <cell r="I94">
            <v>0</v>
          </cell>
          <cell r="J94" t="str">
            <v>SB22495</v>
          </cell>
          <cell r="L94">
            <v>0</v>
          </cell>
          <cell r="Q94" t="str">
            <v>SB22495</v>
          </cell>
          <cell r="R94" t="str">
            <v>657910.00 Cr</v>
          </cell>
          <cell r="S94">
            <v>-657910</v>
          </cell>
          <cell r="T94" t="str">
            <v>SB22495</v>
          </cell>
          <cell r="V94">
            <v>0</v>
          </cell>
        </row>
        <row r="95">
          <cell r="G95" t="str">
            <v>SB22503</v>
          </cell>
          <cell r="H95" t="str">
            <v>2500000.00 Dr</v>
          </cell>
          <cell r="I95" t="str">
            <v>2500000.00</v>
          </cell>
          <cell r="J95" t="str">
            <v>SB22503</v>
          </cell>
          <cell r="L95">
            <v>0</v>
          </cell>
          <cell r="Q95" t="str">
            <v>SB22503</v>
          </cell>
          <cell r="R95" t="str">
            <v>1100000.00 Cr</v>
          </cell>
          <cell r="S95">
            <v>-1100000</v>
          </cell>
          <cell r="T95" t="str">
            <v>SB22503</v>
          </cell>
          <cell r="V95">
            <v>0</v>
          </cell>
        </row>
        <row r="96">
          <cell r="G96" t="str">
            <v>SB22552</v>
          </cell>
          <cell r="I96">
            <v>0</v>
          </cell>
          <cell r="J96" t="str">
            <v>SB22552</v>
          </cell>
          <cell r="L96">
            <v>0</v>
          </cell>
          <cell r="Q96" t="str">
            <v>SB22552</v>
          </cell>
          <cell r="R96" t="str">
            <v>790000.00 Cr</v>
          </cell>
          <cell r="S96">
            <v>-790000</v>
          </cell>
          <cell r="T96" t="str">
            <v>SB22552</v>
          </cell>
          <cell r="V96">
            <v>0</v>
          </cell>
        </row>
        <row r="97">
          <cell r="G97" t="str">
            <v>SB22566</v>
          </cell>
          <cell r="H97" t="str">
            <v>2060170.57 Dr</v>
          </cell>
          <cell r="I97" t="str">
            <v>2060170.57</v>
          </cell>
          <cell r="J97" t="str">
            <v>SB22566</v>
          </cell>
          <cell r="L97">
            <v>0</v>
          </cell>
          <cell r="Q97" t="str">
            <v>SB22566</v>
          </cell>
          <cell r="R97" t="str">
            <v>2877500.00 Cr</v>
          </cell>
          <cell r="S97">
            <v>-2877500</v>
          </cell>
          <cell r="T97" t="str">
            <v>SB22566</v>
          </cell>
          <cell r="V97">
            <v>0</v>
          </cell>
        </row>
        <row r="98">
          <cell r="G98" t="str">
            <v>SB22586</v>
          </cell>
          <cell r="I98">
            <v>0</v>
          </cell>
          <cell r="J98" t="str">
            <v>SB22586</v>
          </cell>
          <cell r="L98">
            <v>0</v>
          </cell>
          <cell r="Q98" t="str">
            <v>SB22586</v>
          </cell>
          <cell r="R98" t="str">
            <v>377517.83 Dr</v>
          </cell>
          <cell r="S98" t="str">
            <v>377517.83</v>
          </cell>
          <cell r="T98" t="str">
            <v>SB22586</v>
          </cell>
          <cell r="V98">
            <v>0</v>
          </cell>
        </row>
        <row r="99">
          <cell r="G99" t="str">
            <v>SB22602</v>
          </cell>
          <cell r="I99">
            <v>0</v>
          </cell>
          <cell r="J99" t="str">
            <v>SB22602</v>
          </cell>
          <cell r="L99">
            <v>0</v>
          </cell>
          <cell r="Q99" t="str">
            <v>SB22602</v>
          </cell>
          <cell r="R99" t="str">
            <v>103650.00 Dr</v>
          </cell>
          <cell r="S99" t="str">
            <v>103650.00</v>
          </cell>
          <cell r="T99" t="str">
            <v>SB22602</v>
          </cell>
          <cell r="V99">
            <v>0</v>
          </cell>
        </row>
        <row r="100">
          <cell r="G100" t="str">
            <v>SB22645</v>
          </cell>
          <cell r="H100" t="str">
            <v>1483795.00 Cr</v>
          </cell>
          <cell r="I100">
            <v>-1483795</v>
          </cell>
          <cell r="J100" t="str">
            <v>SB22645</v>
          </cell>
          <cell r="L100">
            <v>0</v>
          </cell>
          <cell r="Q100" t="str">
            <v>SB22645</v>
          </cell>
          <cell r="R100" t="str">
            <v>2642015.00 Dr</v>
          </cell>
          <cell r="S100" t="str">
            <v>2642015.00</v>
          </cell>
          <cell r="T100" t="str">
            <v>SB22645</v>
          </cell>
          <cell r="V100">
            <v>0</v>
          </cell>
        </row>
        <row r="101">
          <cell r="H101" t="str">
            <v>713240.00 Cr</v>
          </cell>
          <cell r="I101">
            <v>-713240</v>
          </cell>
          <cell r="L101">
            <v>0</v>
          </cell>
          <cell r="R101" t="str">
            <v>346292.00 Cr</v>
          </cell>
          <cell r="S101">
            <v>-346292</v>
          </cell>
          <cell r="V101">
            <v>0</v>
          </cell>
        </row>
        <row r="102">
          <cell r="G102" t="str">
            <v>SB22595</v>
          </cell>
          <cell r="I102">
            <v>0</v>
          </cell>
          <cell r="J102" t="str">
            <v>SB22595</v>
          </cell>
          <cell r="L102">
            <v>0</v>
          </cell>
          <cell r="Q102" t="str">
            <v>SB22595</v>
          </cell>
          <cell r="R102" t="str">
            <v>850000.00 Cr</v>
          </cell>
          <cell r="S102">
            <v>-850000</v>
          </cell>
          <cell r="T102" t="str">
            <v>SB22595</v>
          </cell>
          <cell r="V102">
            <v>0</v>
          </cell>
        </row>
        <row r="103">
          <cell r="G103" t="str">
            <v>SB22609</v>
          </cell>
          <cell r="H103" t="str">
            <v>713240.00 Cr</v>
          </cell>
          <cell r="I103">
            <v>-713240</v>
          </cell>
          <cell r="J103" t="str">
            <v>SB22609</v>
          </cell>
          <cell r="L103">
            <v>0</v>
          </cell>
          <cell r="Q103" t="str">
            <v>SB22609</v>
          </cell>
          <cell r="R103" t="str">
            <v>503708.00 Dr</v>
          </cell>
          <cell r="S103" t="str">
            <v>503708.00</v>
          </cell>
          <cell r="T103" t="str">
            <v>SB22609</v>
          </cell>
          <cell r="V103">
            <v>0</v>
          </cell>
        </row>
        <row r="104">
          <cell r="I104">
            <v>0</v>
          </cell>
          <cell r="K104" t="str">
            <v>138800.00 Dr</v>
          </cell>
          <cell r="L104" t="str">
            <v>138800.00</v>
          </cell>
          <cell r="S104">
            <v>0</v>
          </cell>
          <cell r="V104">
            <v>0</v>
          </cell>
        </row>
        <row r="105">
          <cell r="G105" t="str">
            <v>SB22401</v>
          </cell>
          <cell r="I105">
            <v>0</v>
          </cell>
          <cell r="J105" t="str">
            <v>SB22401</v>
          </cell>
          <cell r="K105" t="str">
            <v>138800.00 Dr</v>
          </cell>
          <cell r="L105" t="str">
            <v>138800.00</v>
          </cell>
          <cell r="Q105" t="str">
            <v>SB22401</v>
          </cell>
          <cell r="S105">
            <v>0</v>
          </cell>
          <cell r="T105" t="str">
            <v>SB22401</v>
          </cell>
          <cell r="V105">
            <v>0</v>
          </cell>
        </row>
        <row r="106">
          <cell r="I106">
            <v>0</v>
          </cell>
          <cell r="L106">
            <v>0</v>
          </cell>
          <cell r="R106" t="str">
            <v>318428.00 Dr</v>
          </cell>
          <cell r="S106" t="str">
            <v>318428.00</v>
          </cell>
          <cell r="V106">
            <v>0</v>
          </cell>
        </row>
        <row r="107">
          <cell r="G107" t="str">
            <v>SB22571</v>
          </cell>
          <cell r="I107">
            <v>0</v>
          </cell>
          <cell r="J107" t="str">
            <v>SB22571</v>
          </cell>
          <cell r="L107">
            <v>0</v>
          </cell>
          <cell r="Q107" t="str">
            <v>SB22571</v>
          </cell>
          <cell r="R107" t="str">
            <v>318428.00 Dr</v>
          </cell>
          <cell r="S107" t="str">
            <v>318428.00</v>
          </cell>
          <cell r="T107" t="str">
            <v>SB22571</v>
          </cell>
          <cell r="V107">
            <v>0</v>
          </cell>
        </row>
        <row r="108">
          <cell r="I108">
            <v>0</v>
          </cell>
          <cell r="L108">
            <v>0</v>
          </cell>
          <cell r="R108" t="str">
            <v>6000.00 Cr</v>
          </cell>
          <cell r="S108">
            <v>-6000</v>
          </cell>
          <cell r="V108">
            <v>0</v>
          </cell>
        </row>
        <row r="109">
          <cell r="G109" t="str">
            <v>SB22422</v>
          </cell>
          <cell r="I109">
            <v>0</v>
          </cell>
          <cell r="J109" t="str">
            <v>SB22422</v>
          </cell>
          <cell r="L109">
            <v>0</v>
          </cell>
          <cell r="Q109" t="str">
            <v>SB22422</v>
          </cell>
          <cell r="R109" t="str">
            <v>6000.00 Cr</v>
          </cell>
          <cell r="S109">
            <v>-6000</v>
          </cell>
          <cell r="T109" t="str">
            <v>SB22422</v>
          </cell>
          <cell r="V109">
            <v>0</v>
          </cell>
        </row>
        <row r="110">
          <cell r="I110">
            <v>0</v>
          </cell>
          <cell r="K110" t="str">
            <v>581460.00 Dr</v>
          </cell>
          <cell r="L110" t="str">
            <v>581460.00</v>
          </cell>
          <cell r="R110" t="str">
            <v>269675.00 Cr</v>
          </cell>
          <cell r="S110">
            <v>-269675</v>
          </cell>
          <cell r="V110">
            <v>0</v>
          </cell>
        </row>
        <row r="111">
          <cell r="G111" t="str">
            <v>SB22392</v>
          </cell>
          <cell r="I111">
            <v>0</v>
          </cell>
          <cell r="J111" t="str">
            <v>SB22392</v>
          </cell>
          <cell r="L111">
            <v>0</v>
          </cell>
          <cell r="Q111" t="str">
            <v>SB22392</v>
          </cell>
          <cell r="R111" t="str">
            <v>26000.00 Cr</v>
          </cell>
          <cell r="S111">
            <v>-26000</v>
          </cell>
          <cell r="T111" t="str">
            <v>SB22392</v>
          </cell>
          <cell r="V111">
            <v>0</v>
          </cell>
        </row>
        <row r="112">
          <cell r="G112" t="str">
            <v>SB22548</v>
          </cell>
          <cell r="I112">
            <v>0</v>
          </cell>
          <cell r="J112" t="str">
            <v>SB22548</v>
          </cell>
          <cell r="K112" t="str">
            <v>581460.00 Dr</v>
          </cell>
          <cell r="L112" t="str">
            <v>581460.00</v>
          </cell>
          <cell r="Q112" t="str">
            <v>SB22548</v>
          </cell>
          <cell r="R112" t="str">
            <v>243675.00 Cr</v>
          </cell>
          <cell r="S112">
            <v>-243675</v>
          </cell>
          <cell r="T112" t="str">
            <v>SB22548</v>
          </cell>
          <cell r="V112">
            <v>0</v>
          </cell>
        </row>
        <row r="113">
          <cell r="H113" t="str">
            <v>64000.00 Dr</v>
          </cell>
          <cell r="I113" t="str">
            <v>64000.00</v>
          </cell>
          <cell r="L113">
            <v>0</v>
          </cell>
          <cell r="R113" t="str">
            <v>700.00 Cr</v>
          </cell>
          <cell r="S113">
            <v>-700</v>
          </cell>
          <cell r="V113">
            <v>0</v>
          </cell>
        </row>
        <row r="114">
          <cell r="G114" t="str">
            <v>SB22538</v>
          </cell>
          <cell r="H114" t="str">
            <v>64000.00 Dr</v>
          </cell>
          <cell r="I114" t="str">
            <v>64000.00</v>
          </cell>
          <cell r="J114" t="str">
            <v>SB22538</v>
          </cell>
          <cell r="L114">
            <v>0</v>
          </cell>
          <cell r="Q114" t="str">
            <v>SB22538</v>
          </cell>
          <cell r="R114" t="str">
            <v>700.00 Cr</v>
          </cell>
          <cell r="S114">
            <v>-700</v>
          </cell>
          <cell r="T114" t="str">
            <v>SB22538</v>
          </cell>
          <cell r="V114">
            <v>0</v>
          </cell>
        </row>
        <row r="115">
          <cell r="I115">
            <v>0</v>
          </cell>
          <cell r="L115">
            <v>0</v>
          </cell>
          <cell r="R115" t="str">
            <v>19848.91 Cr</v>
          </cell>
          <cell r="S115">
            <v>-19848.91</v>
          </cell>
          <cell r="V115">
            <v>0</v>
          </cell>
        </row>
        <row r="116">
          <cell r="G116" t="str">
            <v>SB21992</v>
          </cell>
          <cell r="I116">
            <v>0</v>
          </cell>
          <cell r="J116" t="str">
            <v>SB21992</v>
          </cell>
          <cell r="L116">
            <v>0</v>
          </cell>
          <cell r="Q116" t="str">
            <v>SB21992</v>
          </cell>
          <cell r="R116" t="str">
            <v>19848.91 Cr</v>
          </cell>
          <cell r="S116">
            <v>-19848.91</v>
          </cell>
          <cell r="T116" t="str">
            <v>SB21992</v>
          </cell>
          <cell r="V116">
            <v>0</v>
          </cell>
        </row>
        <row r="117">
          <cell r="H117" t="str">
            <v>2117000.00 Dr</v>
          </cell>
          <cell r="I117" t="str">
            <v>2117000.00</v>
          </cell>
          <cell r="L117">
            <v>0</v>
          </cell>
          <cell r="R117" t="str">
            <v>1258076.02 Cr</v>
          </cell>
          <cell r="S117">
            <v>-1258076.02</v>
          </cell>
          <cell r="U117" t="str">
            <v>2429.00 Cr</v>
          </cell>
          <cell r="V117">
            <v>-2429</v>
          </cell>
        </row>
        <row r="118">
          <cell r="G118" t="str">
            <v>SB22550</v>
          </cell>
          <cell r="H118" t="str">
            <v>2117000.00 Dr</v>
          </cell>
          <cell r="I118" t="str">
            <v>2117000.00</v>
          </cell>
          <cell r="J118" t="str">
            <v>SB22550</v>
          </cell>
          <cell r="L118">
            <v>0</v>
          </cell>
          <cell r="Q118" t="str">
            <v>SB22550</v>
          </cell>
          <cell r="R118" t="str">
            <v>1258076.02 Cr</v>
          </cell>
          <cell r="S118">
            <v>-1258076.02</v>
          </cell>
          <cell r="T118" t="str">
            <v>SB22550</v>
          </cell>
          <cell r="U118" t="str">
            <v>2429.00 Cr</v>
          </cell>
          <cell r="V118">
            <v>-2429</v>
          </cell>
        </row>
        <row r="119">
          <cell r="I119">
            <v>0</v>
          </cell>
          <cell r="L119">
            <v>0</v>
          </cell>
          <cell r="R119" t="str">
            <v>574927.53 Cr</v>
          </cell>
          <cell r="S119">
            <v>-574927.53</v>
          </cell>
          <cell r="V119">
            <v>0</v>
          </cell>
        </row>
        <row r="120">
          <cell r="G120" t="str">
            <v>SB21859</v>
          </cell>
          <cell r="I120">
            <v>0</v>
          </cell>
          <cell r="J120" t="str">
            <v>SB21859</v>
          </cell>
          <cell r="L120">
            <v>0</v>
          </cell>
          <cell r="Q120" t="str">
            <v>SB21859</v>
          </cell>
          <cell r="R120" t="str">
            <v>15793.06 Cr</v>
          </cell>
          <cell r="S120">
            <v>-15793.06</v>
          </cell>
          <cell r="T120" t="str">
            <v>SB21859</v>
          </cell>
          <cell r="V120">
            <v>0</v>
          </cell>
        </row>
        <row r="121">
          <cell r="G121" t="str">
            <v>SB22512</v>
          </cell>
          <cell r="I121">
            <v>0</v>
          </cell>
          <cell r="J121" t="str">
            <v>SB22512</v>
          </cell>
          <cell r="L121">
            <v>0</v>
          </cell>
          <cell r="Q121" t="str">
            <v>SB22512</v>
          </cell>
          <cell r="R121" t="str">
            <v>559134.47 Cr</v>
          </cell>
          <cell r="S121">
            <v>-559134.47</v>
          </cell>
          <cell r="T121" t="str">
            <v>SB22512</v>
          </cell>
          <cell r="V121">
            <v>0</v>
          </cell>
        </row>
        <row r="122">
          <cell r="H122" t="str">
            <v>1621017.46 Cr</v>
          </cell>
          <cell r="I122">
            <v>-1621017.46</v>
          </cell>
          <cell r="K122" t="str">
            <v>399072.26 Dr</v>
          </cell>
          <cell r="L122" t="str">
            <v>399072.26</v>
          </cell>
          <cell r="R122" t="str">
            <v>1487735.78 Dr</v>
          </cell>
          <cell r="S122" t="str">
            <v>1487735.78</v>
          </cell>
          <cell r="V122">
            <v>0</v>
          </cell>
        </row>
        <row r="123">
          <cell r="G123" t="str">
            <v>SB22327</v>
          </cell>
          <cell r="I123">
            <v>0</v>
          </cell>
          <cell r="J123" t="str">
            <v>SB22327</v>
          </cell>
          <cell r="L123">
            <v>0</v>
          </cell>
          <cell r="Q123" t="str">
            <v>SB22327</v>
          </cell>
          <cell r="R123" t="str">
            <v>461394.00 Cr</v>
          </cell>
          <cell r="S123">
            <v>-461394</v>
          </cell>
          <cell r="T123" t="str">
            <v>SB22327</v>
          </cell>
          <cell r="V123">
            <v>0</v>
          </cell>
        </row>
        <row r="124">
          <cell r="G124" t="str">
            <v>SB22375</v>
          </cell>
          <cell r="H124" t="str">
            <v>292462.00 Dr</v>
          </cell>
          <cell r="I124" t="str">
            <v>292462.00</v>
          </cell>
          <cell r="J124" t="str">
            <v>SB22375</v>
          </cell>
          <cell r="L124">
            <v>0</v>
          </cell>
          <cell r="Q124" t="str">
            <v>SB22375</v>
          </cell>
          <cell r="S124">
            <v>0</v>
          </cell>
          <cell r="T124" t="str">
            <v>SB22375</v>
          </cell>
          <cell r="V124">
            <v>0</v>
          </cell>
        </row>
        <row r="125">
          <cell r="G125" t="str">
            <v>SB22391</v>
          </cell>
          <cell r="I125">
            <v>0</v>
          </cell>
          <cell r="J125" t="str">
            <v>SB22391</v>
          </cell>
          <cell r="L125">
            <v>0</v>
          </cell>
          <cell r="Q125" t="str">
            <v>SB22391</v>
          </cell>
          <cell r="R125" t="str">
            <v>3500.00 Cr</v>
          </cell>
          <cell r="S125">
            <v>-3500</v>
          </cell>
          <cell r="T125" t="str">
            <v>SB22391</v>
          </cell>
          <cell r="V125">
            <v>0</v>
          </cell>
        </row>
        <row r="126">
          <cell r="G126" t="str">
            <v>SB22394</v>
          </cell>
          <cell r="I126">
            <v>0</v>
          </cell>
          <cell r="J126" t="str">
            <v>SB22394</v>
          </cell>
          <cell r="L126">
            <v>0</v>
          </cell>
          <cell r="Q126" t="str">
            <v>SB22394</v>
          </cell>
          <cell r="R126" t="str">
            <v>39500.00 Cr</v>
          </cell>
          <cell r="S126">
            <v>-39500</v>
          </cell>
          <cell r="T126" t="str">
            <v>SB22394</v>
          </cell>
          <cell r="V126">
            <v>0</v>
          </cell>
        </row>
        <row r="127">
          <cell r="G127" t="str">
            <v>SB22449</v>
          </cell>
          <cell r="I127">
            <v>0</v>
          </cell>
          <cell r="J127" t="str">
            <v>SB22449</v>
          </cell>
          <cell r="K127" t="str">
            <v>399072.26 Dr</v>
          </cell>
          <cell r="L127" t="str">
            <v>399072.26</v>
          </cell>
          <cell r="Q127" t="str">
            <v>SB22449</v>
          </cell>
          <cell r="S127">
            <v>0</v>
          </cell>
          <cell r="T127" t="str">
            <v>SB22449</v>
          </cell>
          <cell r="V127">
            <v>0</v>
          </cell>
        </row>
        <row r="128">
          <cell r="G128" t="str">
            <v>SB22494</v>
          </cell>
          <cell r="I128">
            <v>0</v>
          </cell>
          <cell r="J128" t="str">
            <v>SB22494</v>
          </cell>
          <cell r="L128">
            <v>0</v>
          </cell>
          <cell r="Q128" t="str">
            <v>SB22494</v>
          </cell>
          <cell r="R128" t="str">
            <v>26000.00 Cr</v>
          </cell>
          <cell r="S128">
            <v>-26000</v>
          </cell>
          <cell r="T128" t="str">
            <v>SB22494</v>
          </cell>
          <cell r="V128">
            <v>0</v>
          </cell>
        </row>
        <row r="129">
          <cell r="G129" t="str">
            <v>SB22501</v>
          </cell>
          <cell r="I129">
            <v>0</v>
          </cell>
          <cell r="J129" t="str">
            <v>SB22501</v>
          </cell>
          <cell r="L129">
            <v>0</v>
          </cell>
          <cell r="Q129" t="str">
            <v>SB22501</v>
          </cell>
          <cell r="R129" t="str">
            <v>180000.00 Cr</v>
          </cell>
          <cell r="S129">
            <v>-180000</v>
          </cell>
          <cell r="T129" t="str">
            <v>SB22501</v>
          </cell>
          <cell r="V129">
            <v>0</v>
          </cell>
        </row>
        <row r="130">
          <cell r="G130" t="str">
            <v>SB22502</v>
          </cell>
          <cell r="I130">
            <v>0</v>
          </cell>
          <cell r="J130" t="str">
            <v>SB22502</v>
          </cell>
          <cell r="L130">
            <v>0</v>
          </cell>
          <cell r="Q130" t="str">
            <v>SB22502</v>
          </cell>
          <cell r="R130" t="str">
            <v>486500.00 Cr</v>
          </cell>
          <cell r="S130">
            <v>-486500</v>
          </cell>
          <cell r="T130" t="str">
            <v>SB22502</v>
          </cell>
          <cell r="V130">
            <v>0</v>
          </cell>
        </row>
        <row r="131">
          <cell r="G131" t="str">
            <v>SB22537</v>
          </cell>
          <cell r="I131">
            <v>0</v>
          </cell>
          <cell r="J131" t="str">
            <v>SB22537</v>
          </cell>
          <cell r="L131">
            <v>0</v>
          </cell>
          <cell r="Q131" t="str">
            <v>SB22537</v>
          </cell>
          <cell r="R131" t="str">
            <v>330000.00 Cr</v>
          </cell>
          <cell r="S131">
            <v>-330000</v>
          </cell>
          <cell r="T131" t="str">
            <v>SB22537</v>
          </cell>
          <cell r="V131">
            <v>0</v>
          </cell>
        </row>
        <row r="132">
          <cell r="G132" t="str">
            <v>SB22549</v>
          </cell>
          <cell r="H132" t="str">
            <v>301859.98 Dr</v>
          </cell>
          <cell r="I132" t="str">
            <v>301859.98</v>
          </cell>
          <cell r="J132" t="str">
            <v>SB22549</v>
          </cell>
          <cell r="L132">
            <v>0</v>
          </cell>
          <cell r="Q132" t="str">
            <v>SB22549</v>
          </cell>
          <cell r="R132" t="str">
            <v>94000.00 Cr</v>
          </cell>
          <cell r="S132">
            <v>-94000</v>
          </cell>
          <cell r="T132" t="str">
            <v>SB22549</v>
          </cell>
          <cell r="V132">
            <v>0</v>
          </cell>
        </row>
        <row r="133">
          <cell r="G133" t="str">
            <v>SB22578</v>
          </cell>
          <cell r="I133">
            <v>0</v>
          </cell>
          <cell r="J133" t="str">
            <v>SB22578</v>
          </cell>
          <cell r="L133">
            <v>0</v>
          </cell>
          <cell r="Q133" t="str">
            <v>SB22578</v>
          </cell>
          <cell r="R133" t="str">
            <v>1705846.95 Dr</v>
          </cell>
          <cell r="S133" t="str">
            <v>1705846.95</v>
          </cell>
          <cell r="T133" t="str">
            <v>SB22578</v>
          </cell>
          <cell r="V133">
            <v>0</v>
          </cell>
        </row>
        <row r="134">
          <cell r="G134" t="str">
            <v>SB22594</v>
          </cell>
          <cell r="H134" t="str">
            <v>1022599.00 Cr</v>
          </cell>
          <cell r="I134">
            <v>-1022599</v>
          </cell>
          <cell r="J134" t="str">
            <v>SB22594</v>
          </cell>
          <cell r="L134">
            <v>0</v>
          </cell>
          <cell r="Q134" t="str">
            <v>SB22594</v>
          </cell>
          <cell r="R134" t="str">
            <v>185197.00 Dr</v>
          </cell>
          <cell r="S134" t="str">
            <v>185197.00</v>
          </cell>
          <cell r="T134" t="str">
            <v>SB22594</v>
          </cell>
          <cell r="V134">
            <v>0</v>
          </cell>
        </row>
        <row r="135">
          <cell r="G135" t="str">
            <v>SB22603</v>
          </cell>
          <cell r="I135">
            <v>0</v>
          </cell>
          <cell r="J135" t="str">
            <v>SB22603</v>
          </cell>
          <cell r="L135">
            <v>0</v>
          </cell>
          <cell r="Q135" t="str">
            <v>SB22603</v>
          </cell>
          <cell r="S135">
            <v>0</v>
          </cell>
          <cell r="T135" t="str">
            <v>SB22603</v>
          </cell>
          <cell r="V135">
            <v>0</v>
          </cell>
        </row>
        <row r="136">
          <cell r="G136" t="str">
            <v>SB22608</v>
          </cell>
          <cell r="I136">
            <v>0</v>
          </cell>
          <cell r="J136" t="str">
            <v>SB22608</v>
          </cell>
          <cell r="L136">
            <v>0</v>
          </cell>
          <cell r="Q136" t="str">
            <v>SB22608</v>
          </cell>
          <cell r="R136" t="str">
            <v>275266.83 Dr</v>
          </cell>
          <cell r="S136" t="str">
            <v>275266.83</v>
          </cell>
          <cell r="T136" t="str">
            <v>SB22608</v>
          </cell>
          <cell r="V136">
            <v>0</v>
          </cell>
        </row>
        <row r="137">
          <cell r="G137" t="str">
            <v>SB22619</v>
          </cell>
          <cell r="H137" t="str">
            <v>1077740.44 Cr</v>
          </cell>
          <cell r="I137">
            <v>-1077740.44</v>
          </cell>
          <cell r="J137" t="str">
            <v>SB22619</v>
          </cell>
          <cell r="L137">
            <v>0</v>
          </cell>
          <cell r="Q137" t="str">
            <v>SB22619</v>
          </cell>
          <cell r="R137" t="str">
            <v>852619.00 Dr</v>
          </cell>
          <cell r="S137" t="str">
            <v>852619.00</v>
          </cell>
          <cell r="T137" t="str">
            <v>SB22619</v>
          </cell>
          <cell r="V137">
            <v>0</v>
          </cell>
        </row>
        <row r="138">
          <cell r="G138" t="str">
            <v>SB22641</v>
          </cell>
          <cell r="H138" t="str">
            <v>115000.00 Cr</v>
          </cell>
          <cell r="I138">
            <v>-115000</v>
          </cell>
          <cell r="J138" t="str">
            <v>SB22641</v>
          </cell>
          <cell r="L138">
            <v>0</v>
          </cell>
          <cell r="Q138" t="str">
            <v>SB22641</v>
          </cell>
          <cell r="R138" t="str">
            <v>89700.00 Dr</v>
          </cell>
          <cell r="S138" t="str">
            <v>89700.00</v>
          </cell>
          <cell r="T138" t="str">
            <v>SB22641</v>
          </cell>
          <cell r="V138">
            <v>0</v>
          </cell>
        </row>
        <row r="139">
          <cell r="I139">
            <v>0</v>
          </cell>
          <cell r="L139">
            <v>0</v>
          </cell>
          <cell r="S139">
            <v>0</v>
          </cell>
          <cell r="U139" t="str">
            <v>89000.00 Cr</v>
          </cell>
          <cell r="V139">
            <v>-89000</v>
          </cell>
        </row>
        <row r="140">
          <cell r="G140" t="str">
            <v>SB22332</v>
          </cell>
          <cell r="I140">
            <v>0</v>
          </cell>
          <cell r="J140" t="str">
            <v>SB22332</v>
          </cell>
          <cell r="L140">
            <v>0</v>
          </cell>
          <cell r="Q140" t="str">
            <v>SB22332</v>
          </cell>
          <cell r="S140">
            <v>0</v>
          </cell>
          <cell r="T140" t="str">
            <v>SB22332</v>
          </cell>
          <cell r="U140" t="str">
            <v>89000.00 Cr</v>
          </cell>
          <cell r="V140">
            <v>-89000</v>
          </cell>
        </row>
        <row r="141">
          <cell r="H141" t="str">
            <v>2855245.40 Dr</v>
          </cell>
          <cell r="I141" t="str">
            <v>2855245.40</v>
          </cell>
          <cell r="L141">
            <v>0</v>
          </cell>
          <cell r="R141" t="str">
            <v>665511.00 Cr</v>
          </cell>
          <cell r="S141">
            <v>-665511</v>
          </cell>
          <cell r="V141">
            <v>0</v>
          </cell>
        </row>
        <row r="142">
          <cell r="G142" t="str">
            <v>SB22472</v>
          </cell>
          <cell r="H142" t="str">
            <v>2855245.40 Dr</v>
          </cell>
          <cell r="I142" t="str">
            <v>2855245.40</v>
          </cell>
          <cell r="J142" t="str">
            <v>SB22472</v>
          </cell>
          <cell r="L142">
            <v>0</v>
          </cell>
          <cell r="Q142" t="str">
            <v>SB22472</v>
          </cell>
          <cell r="R142" t="str">
            <v>665511.00 Cr</v>
          </cell>
          <cell r="S142">
            <v>-665511</v>
          </cell>
          <cell r="T142" t="str">
            <v>SB22472</v>
          </cell>
          <cell r="V142">
            <v>0</v>
          </cell>
        </row>
        <row r="143">
          <cell r="H143" t="str">
            <v>6405888.58 Cr</v>
          </cell>
          <cell r="I143">
            <v>-6405888.5800000001</v>
          </cell>
          <cell r="K143" t="str">
            <v>1372057.50 Dr</v>
          </cell>
          <cell r="L143" t="str">
            <v>1372057.50</v>
          </cell>
          <cell r="R143" t="str">
            <v>427406.91 Cr</v>
          </cell>
          <cell r="S143">
            <v>-427406.91</v>
          </cell>
          <cell r="U143" t="str">
            <v>17815.00 Cr</v>
          </cell>
          <cell r="V143">
            <v>-17815</v>
          </cell>
        </row>
        <row r="144">
          <cell r="H144" t="str">
            <v>6405888.58 Cr</v>
          </cell>
          <cell r="I144">
            <v>-6405888.5800000001</v>
          </cell>
          <cell r="K144" t="str">
            <v>1372057.50 Dr</v>
          </cell>
          <cell r="L144" t="str">
            <v>1372057.50</v>
          </cell>
          <cell r="R144" t="str">
            <v>427406.91 Cr</v>
          </cell>
          <cell r="S144">
            <v>-427406.91</v>
          </cell>
          <cell r="U144" t="str">
            <v>17815.00 Cr</v>
          </cell>
          <cell r="V144">
            <v>-17815</v>
          </cell>
        </row>
        <row r="145">
          <cell r="I145">
            <v>0</v>
          </cell>
          <cell r="L145">
            <v>0</v>
          </cell>
          <cell r="R145" t="str">
            <v>1691.00 Cr</v>
          </cell>
          <cell r="S145">
            <v>-1691</v>
          </cell>
          <cell r="V145">
            <v>0</v>
          </cell>
        </row>
        <row r="146">
          <cell r="G146" t="str">
            <v>SB22509</v>
          </cell>
          <cell r="I146">
            <v>0</v>
          </cell>
          <cell r="J146" t="str">
            <v>SB22509</v>
          </cell>
          <cell r="L146">
            <v>0</v>
          </cell>
          <cell r="Q146" t="str">
            <v>SB22509</v>
          </cell>
          <cell r="R146" t="str">
            <v>1691.00 Cr</v>
          </cell>
          <cell r="S146">
            <v>-1691</v>
          </cell>
          <cell r="T146" t="str">
            <v>SB22509</v>
          </cell>
          <cell r="V146">
            <v>0</v>
          </cell>
        </row>
        <row r="147">
          <cell r="I147">
            <v>0</v>
          </cell>
          <cell r="L147">
            <v>0</v>
          </cell>
          <cell r="R147" t="str">
            <v>133500.00 Cr</v>
          </cell>
          <cell r="S147">
            <v>-133500</v>
          </cell>
          <cell r="V147">
            <v>0</v>
          </cell>
        </row>
        <row r="148">
          <cell r="G148" t="str">
            <v>SB22282</v>
          </cell>
          <cell r="I148">
            <v>0</v>
          </cell>
          <cell r="J148" t="str">
            <v>SB22282</v>
          </cell>
          <cell r="L148">
            <v>0</v>
          </cell>
          <cell r="Q148" t="str">
            <v>SB22282</v>
          </cell>
          <cell r="R148" t="str">
            <v>133500.00 Cr</v>
          </cell>
          <cell r="S148">
            <v>-133500</v>
          </cell>
          <cell r="T148" t="str">
            <v>SB22282</v>
          </cell>
          <cell r="V148">
            <v>0</v>
          </cell>
        </row>
        <row r="149">
          <cell r="H149" t="str">
            <v>2213203.00 Cr</v>
          </cell>
          <cell r="I149">
            <v>-2213203</v>
          </cell>
          <cell r="L149">
            <v>0</v>
          </cell>
          <cell r="R149" t="str">
            <v>643822.00 Dr</v>
          </cell>
          <cell r="S149" t="str">
            <v>643822.00</v>
          </cell>
          <cell r="V149">
            <v>0</v>
          </cell>
        </row>
        <row r="150">
          <cell r="G150" t="str">
            <v>SB22205</v>
          </cell>
          <cell r="I150">
            <v>0</v>
          </cell>
          <cell r="J150" t="str">
            <v>SB22205</v>
          </cell>
          <cell r="L150">
            <v>0</v>
          </cell>
          <cell r="Q150" t="str">
            <v>SB22205</v>
          </cell>
          <cell r="R150" t="str">
            <v>37050.00 Cr</v>
          </cell>
          <cell r="S150">
            <v>-37050</v>
          </cell>
          <cell r="T150" t="str">
            <v>SB22205</v>
          </cell>
          <cell r="V150">
            <v>0</v>
          </cell>
        </row>
        <row r="151">
          <cell r="G151" t="str">
            <v>SB22411</v>
          </cell>
          <cell r="I151">
            <v>0</v>
          </cell>
          <cell r="J151" t="str">
            <v>SB22411</v>
          </cell>
          <cell r="L151">
            <v>0</v>
          </cell>
          <cell r="Q151" t="str">
            <v>SB22411</v>
          </cell>
          <cell r="R151" t="str">
            <v>7552.00 Cr</v>
          </cell>
          <cell r="S151">
            <v>-7552</v>
          </cell>
          <cell r="T151" t="str">
            <v>SB22411</v>
          </cell>
          <cell r="V151">
            <v>0</v>
          </cell>
        </row>
        <row r="152">
          <cell r="G152" t="str">
            <v>SB22487</v>
          </cell>
          <cell r="I152">
            <v>0</v>
          </cell>
          <cell r="J152" t="str">
            <v>SB22487</v>
          </cell>
          <cell r="L152">
            <v>0</v>
          </cell>
          <cell r="Q152" t="str">
            <v>SB22487</v>
          </cell>
          <cell r="R152" t="str">
            <v>36830.00 Cr</v>
          </cell>
          <cell r="S152">
            <v>-36830</v>
          </cell>
          <cell r="T152" t="str">
            <v>SB22487</v>
          </cell>
          <cell r="V152">
            <v>0</v>
          </cell>
        </row>
        <row r="153">
          <cell r="G153" t="str">
            <v>SB22504</v>
          </cell>
          <cell r="I153">
            <v>0</v>
          </cell>
          <cell r="J153" t="str">
            <v>SB22504</v>
          </cell>
          <cell r="L153">
            <v>0</v>
          </cell>
          <cell r="Q153" t="str">
            <v>SB22504</v>
          </cell>
          <cell r="R153" t="str">
            <v>8391.00 Cr</v>
          </cell>
          <cell r="S153">
            <v>-8391</v>
          </cell>
          <cell r="T153" t="str">
            <v>SB22504</v>
          </cell>
          <cell r="V153">
            <v>0</v>
          </cell>
        </row>
        <row r="154">
          <cell r="G154" t="str">
            <v>SB22524</v>
          </cell>
          <cell r="I154">
            <v>0</v>
          </cell>
          <cell r="J154" t="str">
            <v>SB22524</v>
          </cell>
          <cell r="L154">
            <v>0</v>
          </cell>
          <cell r="Q154" t="str">
            <v>SB22524</v>
          </cell>
          <cell r="R154" t="str">
            <v>22800.00 Cr</v>
          </cell>
          <cell r="S154">
            <v>-22800</v>
          </cell>
          <cell r="T154" t="str">
            <v>SB22524</v>
          </cell>
          <cell r="V154">
            <v>0</v>
          </cell>
        </row>
        <row r="155">
          <cell r="G155" t="str">
            <v>SB22547</v>
          </cell>
          <cell r="I155">
            <v>0</v>
          </cell>
          <cell r="J155" t="str">
            <v>SB22547</v>
          </cell>
          <cell r="L155">
            <v>0</v>
          </cell>
          <cell r="Q155" t="str">
            <v>SB22547</v>
          </cell>
          <cell r="R155" t="str">
            <v>42110.00 Cr</v>
          </cell>
          <cell r="S155">
            <v>-42110</v>
          </cell>
          <cell r="T155" t="str">
            <v>SB22547</v>
          </cell>
          <cell r="V155">
            <v>0</v>
          </cell>
        </row>
        <row r="156">
          <cell r="G156" t="str">
            <v>SB22555</v>
          </cell>
          <cell r="I156">
            <v>0</v>
          </cell>
          <cell r="J156" t="str">
            <v>SB22555</v>
          </cell>
          <cell r="L156">
            <v>0</v>
          </cell>
          <cell r="Q156" t="str">
            <v>SB22555</v>
          </cell>
          <cell r="R156" t="str">
            <v>15000.00 Cr</v>
          </cell>
          <cell r="S156">
            <v>-15000</v>
          </cell>
          <cell r="T156" t="str">
            <v>SB22555</v>
          </cell>
          <cell r="V156">
            <v>0</v>
          </cell>
        </row>
        <row r="157">
          <cell r="G157" t="str">
            <v>SB22556</v>
          </cell>
          <cell r="I157">
            <v>0</v>
          </cell>
          <cell r="J157" t="str">
            <v>SB22556</v>
          </cell>
          <cell r="L157">
            <v>0</v>
          </cell>
          <cell r="Q157" t="str">
            <v>SB22556</v>
          </cell>
          <cell r="R157" t="str">
            <v>52056.00 Cr</v>
          </cell>
          <cell r="S157">
            <v>-52056</v>
          </cell>
          <cell r="T157" t="str">
            <v>SB22556</v>
          </cell>
          <cell r="V157">
            <v>0</v>
          </cell>
        </row>
        <row r="158">
          <cell r="G158" t="str">
            <v>SB22573</v>
          </cell>
          <cell r="H158" t="str">
            <v>33583.00 Cr</v>
          </cell>
          <cell r="I158">
            <v>-33583</v>
          </cell>
          <cell r="J158" t="str">
            <v>SB22573</v>
          </cell>
          <cell r="L158">
            <v>0</v>
          </cell>
          <cell r="Q158" t="str">
            <v>SB22573</v>
          </cell>
          <cell r="R158" t="str">
            <v>20097.00 Dr</v>
          </cell>
          <cell r="S158" t="str">
            <v>20097.00</v>
          </cell>
          <cell r="T158" t="str">
            <v>SB22573</v>
          </cell>
          <cell r="V158">
            <v>0</v>
          </cell>
        </row>
        <row r="159">
          <cell r="G159" t="str">
            <v>SB22589</v>
          </cell>
          <cell r="I159">
            <v>0</v>
          </cell>
          <cell r="J159" t="str">
            <v>SB22589</v>
          </cell>
          <cell r="L159">
            <v>0</v>
          </cell>
          <cell r="Q159" t="str">
            <v>SB22589</v>
          </cell>
          <cell r="R159" t="str">
            <v>23000.00 Dr</v>
          </cell>
          <cell r="S159" t="str">
            <v>23000.00</v>
          </cell>
          <cell r="T159" t="str">
            <v>SB22589</v>
          </cell>
          <cell r="V159">
            <v>0</v>
          </cell>
        </row>
        <row r="160">
          <cell r="G160" t="str">
            <v>SB22604</v>
          </cell>
          <cell r="H160" t="str">
            <v>1014046.00 Cr</v>
          </cell>
          <cell r="I160">
            <v>-1014046</v>
          </cell>
          <cell r="J160" t="str">
            <v>SB22604</v>
          </cell>
          <cell r="L160">
            <v>0</v>
          </cell>
          <cell r="Q160" t="str">
            <v>SB22604</v>
          </cell>
          <cell r="S160">
            <v>0</v>
          </cell>
          <cell r="T160" t="str">
            <v>SB22604</v>
          </cell>
          <cell r="V160">
            <v>0</v>
          </cell>
        </row>
        <row r="161">
          <cell r="G161" t="str">
            <v>SB22610</v>
          </cell>
          <cell r="H161" t="str">
            <v>71500.00 Cr</v>
          </cell>
          <cell r="I161">
            <v>-71500</v>
          </cell>
          <cell r="J161" t="str">
            <v>SB22610</v>
          </cell>
          <cell r="L161">
            <v>0</v>
          </cell>
          <cell r="Q161" t="str">
            <v>SB22610</v>
          </cell>
          <cell r="R161" t="str">
            <v>40000.00 Dr</v>
          </cell>
          <cell r="S161" t="str">
            <v>40000.00</v>
          </cell>
          <cell r="T161" t="str">
            <v>SB22610</v>
          </cell>
          <cell r="V161">
            <v>0</v>
          </cell>
        </row>
        <row r="162">
          <cell r="G162" t="str">
            <v>SB22635</v>
          </cell>
          <cell r="H162" t="str">
            <v>179520.00 Cr</v>
          </cell>
          <cell r="I162">
            <v>-179520</v>
          </cell>
          <cell r="J162" t="str">
            <v>SB22635</v>
          </cell>
          <cell r="L162">
            <v>0</v>
          </cell>
          <cell r="Q162" t="str">
            <v>SB22635</v>
          </cell>
          <cell r="R162" t="str">
            <v>120000.00 Dr</v>
          </cell>
          <cell r="S162" t="str">
            <v>120000.00</v>
          </cell>
          <cell r="T162" t="str">
            <v>SB22635</v>
          </cell>
          <cell r="V162">
            <v>0</v>
          </cell>
        </row>
        <row r="163">
          <cell r="G163" t="str">
            <v>SB22642</v>
          </cell>
          <cell r="H163" t="str">
            <v>80014.00 Cr</v>
          </cell>
          <cell r="I163">
            <v>-80014</v>
          </cell>
          <cell r="J163" t="str">
            <v>SB22642</v>
          </cell>
          <cell r="L163">
            <v>0</v>
          </cell>
          <cell r="Q163" t="str">
            <v>SB22642</v>
          </cell>
          <cell r="R163" t="str">
            <v>55014.00 Dr</v>
          </cell>
          <cell r="S163" t="str">
            <v>55014.00</v>
          </cell>
          <cell r="T163" t="str">
            <v>SB22642</v>
          </cell>
          <cell r="V163">
            <v>0</v>
          </cell>
        </row>
        <row r="164">
          <cell r="G164" t="str">
            <v>SB22651</v>
          </cell>
          <cell r="H164" t="str">
            <v>437059.00 Cr</v>
          </cell>
          <cell r="I164">
            <v>-437059</v>
          </cell>
          <cell r="J164" t="str">
            <v>SB22651</v>
          </cell>
          <cell r="L164">
            <v>0</v>
          </cell>
          <cell r="Q164" t="str">
            <v>SB22651</v>
          </cell>
          <cell r="R164" t="str">
            <v>310000.00 Dr</v>
          </cell>
          <cell r="S164" t="str">
            <v>310000.00</v>
          </cell>
          <cell r="T164" t="str">
            <v>SB22651</v>
          </cell>
          <cell r="V164">
            <v>0</v>
          </cell>
        </row>
        <row r="165">
          <cell r="G165" t="str">
            <v>SB22652</v>
          </cell>
          <cell r="H165" t="str">
            <v>10010.00 Cr</v>
          </cell>
          <cell r="I165">
            <v>-10010</v>
          </cell>
          <cell r="J165" t="str">
            <v>SB22652</v>
          </cell>
          <cell r="L165">
            <v>0</v>
          </cell>
          <cell r="Q165" t="str">
            <v>SB22652</v>
          </cell>
          <cell r="R165" t="str">
            <v>7500.00 Dr</v>
          </cell>
          <cell r="S165" t="str">
            <v>7500.00</v>
          </cell>
          <cell r="T165" t="str">
            <v>SB22652</v>
          </cell>
          <cell r="V165">
            <v>0</v>
          </cell>
        </row>
        <row r="166">
          <cell r="G166" t="str">
            <v>SB22654</v>
          </cell>
          <cell r="H166" t="str">
            <v>209293.00 Cr</v>
          </cell>
          <cell r="I166">
            <v>-209293</v>
          </cell>
          <cell r="J166" t="str">
            <v>SB22654</v>
          </cell>
          <cell r="L166">
            <v>0</v>
          </cell>
          <cell r="Q166" t="str">
            <v>SB22654</v>
          </cell>
          <cell r="R166" t="str">
            <v>150000.00 Dr</v>
          </cell>
          <cell r="S166" t="str">
            <v>150000.00</v>
          </cell>
          <cell r="T166" t="str">
            <v>SB22654</v>
          </cell>
          <cell r="V166">
            <v>0</v>
          </cell>
        </row>
        <row r="167">
          <cell r="G167" t="str">
            <v>SB22659</v>
          </cell>
          <cell r="H167" t="str">
            <v>178178.00 Cr</v>
          </cell>
          <cell r="I167">
            <v>-178178</v>
          </cell>
          <cell r="J167" t="str">
            <v>SB22659</v>
          </cell>
          <cell r="L167">
            <v>0</v>
          </cell>
          <cell r="Q167" t="str">
            <v>SB22659</v>
          </cell>
          <cell r="R167" t="str">
            <v>140000.00 Dr</v>
          </cell>
          <cell r="S167" t="str">
            <v>140000.00</v>
          </cell>
          <cell r="T167" t="str">
            <v>SB22659</v>
          </cell>
          <cell r="V167">
            <v>0</v>
          </cell>
        </row>
        <row r="168">
          <cell r="H168" t="str">
            <v>1804616.00 Cr</v>
          </cell>
          <cell r="I168">
            <v>-1804616</v>
          </cell>
          <cell r="L168">
            <v>0</v>
          </cell>
          <cell r="R168" t="str">
            <v>1515043.00 Dr</v>
          </cell>
          <cell r="S168" t="str">
            <v>1515043.00</v>
          </cell>
          <cell r="U168" t="str">
            <v>11315.00 Cr</v>
          </cell>
          <cell r="V168">
            <v>-11315</v>
          </cell>
        </row>
        <row r="169">
          <cell r="G169" t="str">
            <v>SB22565</v>
          </cell>
          <cell r="H169" t="str">
            <v>1804616.00 Cr</v>
          </cell>
          <cell r="I169">
            <v>-1804616</v>
          </cell>
          <cell r="J169" t="str">
            <v>SB22565</v>
          </cell>
          <cell r="L169">
            <v>0</v>
          </cell>
          <cell r="Q169" t="str">
            <v>SB22565</v>
          </cell>
          <cell r="R169" t="str">
            <v>1515043.00 Dr</v>
          </cell>
          <cell r="S169" t="str">
            <v>1515043.00</v>
          </cell>
          <cell r="T169" t="str">
            <v>SB22565</v>
          </cell>
          <cell r="U169" t="str">
            <v>11315.00 Cr</v>
          </cell>
          <cell r="V169">
            <v>-11315</v>
          </cell>
        </row>
        <row r="170">
          <cell r="H170" t="str">
            <v>2469610.00 Dr</v>
          </cell>
          <cell r="I170" t="str">
            <v>2469610.00</v>
          </cell>
          <cell r="L170">
            <v>0</v>
          </cell>
          <cell r="R170" t="str">
            <v>131485.00 Cr</v>
          </cell>
          <cell r="S170">
            <v>-131485</v>
          </cell>
          <cell r="V170">
            <v>0</v>
          </cell>
        </row>
        <row r="171">
          <cell r="G171" t="str">
            <v>SB22190</v>
          </cell>
          <cell r="H171" t="str">
            <v>660000.00 Dr</v>
          </cell>
          <cell r="I171" t="str">
            <v>660000.00</v>
          </cell>
          <cell r="J171" t="str">
            <v>SB22190</v>
          </cell>
          <cell r="L171">
            <v>0</v>
          </cell>
          <cell r="Q171" t="str">
            <v>SB22190</v>
          </cell>
          <cell r="S171">
            <v>0</v>
          </cell>
          <cell r="T171" t="str">
            <v>SB22190</v>
          </cell>
          <cell r="V171">
            <v>0</v>
          </cell>
        </row>
        <row r="172">
          <cell r="G172" t="str">
            <v>SB22363</v>
          </cell>
          <cell r="H172" t="str">
            <v>1809610.00 Dr</v>
          </cell>
          <cell r="I172" t="str">
            <v>1809610.00</v>
          </cell>
          <cell r="J172" t="str">
            <v>SB22363</v>
          </cell>
          <cell r="L172">
            <v>0</v>
          </cell>
          <cell r="Q172" t="str">
            <v>SB22363</v>
          </cell>
          <cell r="R172" t="str">
            <v>28800.00 Cr</v>
          </cell>
          <cell r="S172">
            <v>-28800</v>
          </cell>
          <cell r="T172" t="str">
            <v>SB22363</v>
          </cell>
          <cell r="V172">
            <v>0</v>
          </cell>
        </row>
        <row r="173">
          <cell r="G173" t="str">
            <v>SB22471</v>
          </cell>
          <cell r="I173">
            <v>0</v>
          </cell>
          <cell r="J173" t="str">
            <v>SB22471</v>
          </cell>
          <cell r="L173">
            <v>0</v>
          </cell>
          <cell r="Q173" t="str">
            <v>SB22471</v>
          </cell>
          <cell r="R173" t="str">
            <v>102685.00 Cr</v>
          </cell>
          <cell r="S173">
            <v>-102685</v>
          </cell>
          <cell r="T173" t="str">
            <v>SB22471</v>
          </cell>
          <cell r="V173">
            <v>0</v>
          </cell>
        </row>
        <row r="174">
          <cell r="H174" t="str">
            <v>6125992.70 Dr</v>
          </cell>
          <cell r="I174" t="str">
            <v>6125992.70</v>
          </cell>
          <cell r="K174" t="str">
            <v>1372057.50 Dr</v>
          </cell>
          <cell r="L174" t="str">
            <v>1372057.50</v>
          </cell>
          <cell r="R174" t="str">
            <v>8734304.00 Cr</v>
          </cell>
          <cell r="S174">
            <v>-8734304</v>
          </cell>
          <cell r="U174" t="str">
            <v>6500.00 Cr</v>
          </cell>
          <cell r="V174">
            <v>-6500</v>
          </cell>
        </row>
        <row r="175">
          <cell r="G175" t="str">
            <v>SB22417</v>
          </cell>
          <cell r="I175">
            <v>0</v>
          </cell>
          <cell r="J175" t="str">
            <v>SB22417</v>
          </cell>
          <cell r="L175">
            <v>0</v>
          </cell>
          <cell r="Q175" t="str">
            <v>SB22417</v>
          </cell>
          <cell r="R175" t="str">
            <v>110000.00 Cr</v>
          </cell>
          <cell r="S175">
            <v>-110000</v>
          </cell>
          <cell r="T175" t="str">
            <v>SB22417</v>
          </cell>
          <cell r="V175">
            <v>0</v>
          </cell>
        </row>
        <row r="176">
          <cell r="G176" t="str">
            <v>SB22461</v>
          </cell>
          <cell r="H176" t="str">
            <v>3011623.20 Dr</v>
          </cell>
          <cell r="I176" t="str">
            <v>3011623.20</v>
          </cell>
          <cell r="J176" t="str">
            <v>SB22461</v>
          </cell>
          <cell r="L176">
            <v>0</v>
          </cell>
          <cell r="Q176" t="str">
            <v>SB22461</v>
          </cell>
          <cell r="R176" t="str">
            <v>5660425.00 Cr</v>
          </cell>
          <cell r="S176">
            <v>-5660425</v>
          </cell>
          <cell r="T176" t="str">
            <v>SB22461</v>
          </cell>
          <cell r="U176" t="str">
            <v>6500.00 Cr</v>
          </cell>
          <cell r="V176">
            <v>-6500</v>
          </cell>
        </row>
        <row r="177">
          <cell r="G177" t="str">
            <v>SB22479</v>
          </cell>
          <cell r="H177" t="str">
            <v>3554369.50 Dr</v>
          </cell>
          <cell r="I177" t="str">
            <v>3554369.50</v>
          </cell>
          <cell r="J177" t="str">
            <v>SB22479</v>
          </cell>
          <cell r="L177">
            <v>0</v>
          </cell>
          <cell r="Q177" t="str">
            <v>SB22479</v>
          </cell>
          <cell r="R177" t="str">
            <v>1942440.00 Cr</v>
          </cell>
          <cell r="S177">
            <v>-1942440</v>
          </cell>
          <cell r="T177" t="str">
            <v>SB22479</v>
          </cell>
          <cell r="V177">
            <v>0</v>
          </cell>
        </row>
        <row r="178">
          <cell r="G178" t="str">
            <v>SB22543</v>
          </cell>
          <cell r="I178">
            <v>0</v>
          </cell>
          <cell r="J178" t="str">
            <v>SB22543</v>
          </cell>
          <cell r="K178" t="str">
            <v>1372057.50 Dr</v>
          </cell>
          <cell r="L178" t="str">
            <v>1372057.50</v>
          </cell>
          <cell r="Q178" t="str">
            <v>SB22543</v>
          </cell>
          <cell r="R178" t="str">
            <v>1021439.00 Cr</v>
          </cell>
          <cell r="S178">
            <v>-1021439</v>
          </cell>
          <cell r="T178" t="str">
            <v>SB22543</v>
          </cell>
          <cell r="V178">
            <v>0</v>
          </cell>
        </row>
        <row r="179">
          <cell r="G179" t="str">
            <v>SB22639</v>
          </cell>
          <cell r="H179" t="str">
            <v>440000.00 Cr</v>
          </cell>
          <cell r="I179">
            <v>-440000</v>
          </cell>
          <cell r="J179" t="str">
            <v>SB22639</v>
          </cell>
          <cell r="L179">
            <v>0</v>
          </cell>
          <cell r="Q179" t="str">
            <v>SB22639</v>
          </cell>
          <cell r="S179">
            <v>0</v>
          </cell>
          <cell r="T179" t="str">
            <v>SB22639</v>
          </cell>
          <cell r="V179">
            <v>0</v>
          </cell>
        </row>
        <row r="180">
          <cell r="I180">
            <v>0</v>
          </cell>
          <cell r="L180">
            <v>0</v>
          </cell>
          <cell r="R180" t="str">
            <v>16000.00 Dr</v>
          </cell>
          <cell r="S180" t="str">
            <v>16000.00</v>
          </cell>
          <cell r="V180">
            <v>0</v>
          </cell>
        </row>
        <row r="181">
          <cell r="G181" t="str">
            <v>SB22611</v>
          </cell>
          <cell r="I181">
            <v>0</v>
          </cell>
          <cell r="J181" t="str">
            <v>SB22611</v>
          </cell>
          <cell r="L181">
            <v>0</v>
          </cell>
          <cell r="Q181" t="str">
            <v>SB22611</v>
          </cell>
          <cell r="R181" t="str">
            <v>16000.00 Dr</v>
          </cell>
          <cell r="S181" t="str">
            <v>16000.00</v>
          </cell>
          <cell r="T181" t="str">
            <v>SB22611</v>
          </cell>
          <cell r="V181">
            <v>0</v>
          </cell>
        </row>
        <row r="182">
          <cell r="H182" t="str">
            <v>175142.00 Dr</v>
          </cell>
          <cell r="I182" t="str">
            <v>175142.00</v>
          </cell>
          <cell r="L182">
            <v>0</v>
          </cell>
          <cell r="R182" t="str">
            <v>192445.00 Cr</v>
          </cell>
          <cell r="S182">
            <v>-192445</v>
          </cell>
          <cell r="V182">
            <v>0</v>
          </cell>
        </row>
        <row r="183">
          <cell r="G183" t="str">
            <v>SB22444</v>
          </cell>
          <cell r="H183" t="str">
            <v>175142.00 Dr</v>
          </cell>
          <cell r="I183" t="str">
            <v>175142.00</v>
          </cell>
          <cell r="J183" t="str">
            <v>SB22444</v>
          </cell>
          <cell r="L183">
            <v>0</v>
          </cell>
          <cell r="Q183" t="str">
            <v>SB22444</v>
          </cell>
          <cell r="R183" t="str">
            <v>192445.00 Cr</v>
          </cell>
          <cell r="S183">
            <v>-192445</v>
          </cell>
          <cell r="T183" t="str">
            <v>SB22444</v>
          </cell>
          <cell r="V183">
            <v>0</v>
          </cell>
        </row>
        <row r="184">
          <cell r="H184" t="str">
            <v>97440.00 Cr</v>
          </cell>
          <cell r="I184">
            <v>-97440</v>
          </cell>
          <cell r="L184">
            <v>0</v>
          </cell>
          <cell r="R184" t="str">
            <v>65000.00 Dr</v>
          </cell>
          <cell r="S184" t="str">
            <v>65000.00</v>
          </cell>
          <cell r="V184">
            <v>0</v>
          </cell>
        </row>
        <row r="185">
          <cell r="G185" t="str">
            <v>SB22647</v>
          </cell>
          <cell r="H185" t="str">
            <v>97440.00 Cr</v>
          </cell>
          <cell r="I185">
            <v>-97440</v>
          </cell>
          <cell r="J185" t="str">
            <v>SB22647</v>
          </cell>
          <cell r="L185">
            <v>0</v>
          </cell>
          <cell r="Q185" t="str">
            <v>SB22647</v>
          </cell>
          <cell r="R185" t="str">
            <v>65000.00 Dr</v>
          </cell>
          <cell r="S185" t="str">
            <v>65000.00</v>
          </cell>
          <cell r="T185" t="str">
            <v>SB22647</v>
          </cell>
          <cell r="V185">
            <v>0</v>
          </cell>
        </row>
        <row r="186">
          <cell r="H186" t="str">
            <v>1263051.28 Cr</v>
          </cell>
          <cell r="I186">
            <v>-1263051.28</v>
          </cell>
          <cell r="L186">
            <v>0</v>
          </cell>
          <cell r="R186" t="str">
            <v>1069108.28 Dr</v>
          </cell>
          <cell r="S186" t="str">
            <v>1069108.28</v>
          </cell>
          <cell r="V186">
            <v>0</v>
          </cell>
        </row>
        <row r="187">
          <cell r="G187" t="str">
            <v>SB22374</v>
          </cell>
          <cell r="I187">
            <v>0</v>
          </cell>
          <cell r="J187" t="str">
            <v>SB22374</v>
          </cell>
          <cell r="L187">
            <v>0</v>
          </cell>
          <cell r="Q187" t="str">
            <v>SB22374</v>
          </cell>
          <cell r="R187" t="str">
            <v>131441.00 Dr</v>
          </cell>
          <cell r="S187" t="str">
            <v>131441.00</v>
          </cell>
          <cell r="T187" t="str">
            <v>SB22374</v>
          </cell>
          <cell r="V187">
            <v>0</v>
          </cell>
        </row>
        <row r="188">
          <cell r="G188" t="str">
            <v>SB22397</v>
          </cell>
          <cell r="H188" t="str">
            <v>1263051.28 Cr</v>
          </cell>
          <cell r="I188">
            <v>-1263051.28</v>
          </cell>
          <cell r="J188" t="str">
            <v>SB22397</v>
          </cell>
          <cell r="L188">
            <v>0</v>
          </cell>
          <cell r="Q188" t="str">
            <v>SB22397</v>
          </cell>
          <cell r="R188" t="str">
            <v>961551.28 Dr</v>
          </cell>
          <cell r="S188" t="str">
            <v>961551.28</v>
          </cell>
          <cell r="T188" t="str">
            <v>SB22397</v>
          </cell>
          <cell r="V188">
            <v>0</v>
          </cell>
        </row>
        <row r="189">
          <cell r="G189" t="str">
            <v>SB22508</v>
          </cell>
          <cell r="I189">
            <v>0</v>
          </cell>
          <cell r="J189" t="str">
            <v>SB22508</v>
          </cell>
          <cell r="L189">
            <v>0</v>
          </cell>
          <cell r="Q189" t="str">
            <v>SB22508</v>
          </cell>
          <cell r="R189" t="str">
            <v>23884.00 Cr</v>
          </cell>
          <cell r="S189">
            <v>-23884</v>
          </cell>
          <cell r="T189" t="str">
            <v>SB22508</v>
          </cell>
          <cell r="V189">
            <v>0</v>
          </cell>
        </row>
        <row r="190">
          <cell r="G190" t="str">
            <v>SB22605</v>
          </cell>
          <cell r="I190">
            <v>0</v>
          </cell>
          <cell r="J190" t="str">
            <v>SB22605</v>
          </cell>
          <cell r="L190">
            <v>0</v>
          </cell>
          <cell r="Q190" t="str">
            <v>SB22605</v>
          </cell>
          <cell r="S190">
            <v>0</v>
          </cell>
          <cell r="T190" t="str">
            <v>SB22605</v>
          </cell>
          <cell r="V190">
            <v>0</v>
          </cell>
        </row>
        <row r="191">
          <cell r="I191">
            <v>0</v>
          </cell>
          <cell r="L191">
            <v>0</v>
          </cell>
          <cell r="S191">
            <v>0</v>
          </cell>
          <cell r="V191">
            <v>0</v>
          </cell>
        </row>
        <row r="192">
          <cell r="G192" t="str">
            <v>SB22650</v>
          </cell>
          <cell r="I192">
            <v>0</v>
          </cell>
          <cell r="J192" t="str">
            <v>SB22650</v>
          </cell>
          <cell r="L192">
            <v>0</v>
          </cell>
          <cell r="Q192" t="str">
            <v>SB22650</v>
          </cell>
          <cell r="S192">
            <v>0</v>
          </cell>
          <cell r="T192" t="str">
            <v>SB22650</v>
          </cell>
          <cell r="V192">
            <v>0</v>
          </cell>
        </row>
        <row r="193">
          <cell r="H193" t="str">
            <v>30800.00 Cr</v>
          </cell>
          <cell r="I193">
            <v>-30800</v>
          </cell>
          <cell r="L193">
            <v>0</v>
          </cell>
          <cell r="R193" t="str">
            <v>9353.00 Cr</v>
          </cell>
          <cell r="S193">
            <v>-9353</v>
          </cell>
          <cell r="V193">
            <v>0</v>
          </cell>
        </row>
        <row r="194">
          <cell r="G194" t="str">
            <v>SB22470</v>
          </cell>
          <cell r="I194">
            <v>0</v>
          </cell>
          <cell r="J194" t="str">
            <v>SB22470</v>
          </cell>
          <cell r="L194">
            <v>0</v>
          </cell>
          <cell r="Q194" t="str">
            <v>SB22470</v>
          </cell>
          <cell r="R194" t="str">
            <v>33353.00 Cr</v>
          </cell>
          <cell r="S194">
            <v>-33353</v>
          </cell>
          <cell r="T194" t="str">
            <v>SB22470</v>
          </cell>
          <cell r="V194">
            <v>0</v>
          </cell>
        </row>
        <row r="195">
          <cell r="G195" t="str">
            <v>SB22625</v>
          </cell>
          <cell r="H195" t="str">
            <v>30800.00 Cr</v>
          </cell>
          <cell r="I195">
            <v>-30800</v>
          </cell>
          <cell r="J195" t="str">
            <v>SB22625</v>
          </cell>
          <cell r="L195">
            <v>0</v>
          </cell>
          <cell r="Q195" t="str">
            <v>SB22625</v>
          </cell>
          <cell r="R195" t="str">
            <v>24000.00 Dr</v>
          </cell>
          <cell r="S195" t="str">
            <v>24000.00</v>
          </cell>
          <cell r="T195" t="str">
            <v>SB22625</v>
          </cell>
          <cell r="V195">
            <v>0</v>
          </cell>
        </row>
        <row r="196">
          <cell r="I196">
            <v>0</v>
          </cell>
          <cell r="L196">
            <v>0</v>
          </cell>
          <cell r="R196" t="str">
            <v>25000.00 Dr</v>
          </cell>
          <cell r="S196" t="str">
            <v>25000.00</v>
          </cell>
          <cell r="V196">
            <v>0</v>
          </cell>
        </row>
        <row r="197">
          <cell r="G197" t="str">
            <v>SB22601</v>
          </cell>
          <cell r="I197">
            <v>0</v>
          </cell>
          <cell r="J197" t="str">
            <v>SB22601</v>
          </cell>
          <cell r="L197">
            <v>0</v>
          </cell>
          <cell r="Q197" t="str">
            <v>SB22601</v>
          </cell>
          <cell r="R197" t="str">
            <v>25000.00 Dr</v>
          </cell>
          <cell r="S197" t="str">
            <v>25000.00</v>
          </cell>
          <cell r="T197" t="str">
            <v>SB22601</v>
          </cell>
          <cell r="V197">
            <v>0</v>
          </cell>
        </row>
        <row r="198">
          <cell r="I198">
            <v>0</v>
          </cell>
          <cell r="L198">
            <v>0</v>
          </cell>
          <cell r="R198" t="str">
            <v>4000.00 Cr</v>
          </cell>
          <cell r="S198">
            <v>-4000</v>
          </cell>
          <cell r="V198">
            <v>0</v>
          </cell>
        </row>
        <row r="199">
          <cell r="G199" t="str">
            <v>SB22311</v>
          </cell>
          <cell r="I199">
            <v>0</v>
          </cell>
          <cell r="J199" t="str">
            <v>SB22311</v>
          </cell>
          <cell r="L199">
            <v>0</v>
          </cell>
          <cell r="Q199" t="str">
            <v>SB22311</v>
          </cell>
          <cell r="R199" t="str">
            <v>4000.00 Cr</v>
          </cell>
          <cell r="S199">
            <v>-4000</v>
          </cell>
          <cell r="T199" t="str">
            <v>SB22311</v>
          </cell>
          <cell r="V199">
            <v>0</v>
          </cell>
        </row>
        <row r="200">
          <cell r="H200" t="str">
            <v>703084.00 Cr</v>
          </cell>
          <cell r="I200">
            <v>-703084</v>
          </cell>
          <cell r="L200">
            <v>0</v>
          </cell>
          <cell r="R200" t="str">
            <v>405956.79 Cr</v>
          </cell>
          <cell r="S200">
            <v>-405956.79</v>
          </cell>
          <cell r="V200">
            <v>0</v>
          </cell>
        </row>
        <row r="201">
          <cell r="G201" t="str">
            <v>SB22451</v>
          </cell>
          <cell r="I201">
            <v>0</v>
          </cell>
          <cell r="J201" t="str">
            <v>SB22451</v>
          </cell>
          <cell r="L201">
            <v>0</v>
          </cell>
          <cell r="Q201" t="str">
            <v>SB22451</v>
          </cell>
          <cell r="R201" t="str">
            <v>585000.79 Cr</v>
          </cell>
          <cell r="S201">
            <v>-585000.79</v>
          </cell>
          <cell r="T201" t="str">
            <v>SB22451</v>
          </cell>
          <cell r="V201">
            <v>0</v>
          </cell>
        </row>
        <row r="202">
          <cell r="G202" t="str">
            <v>SB22624</v>
          </cell>
          <cell r="H202" t="str">
            <v>703084.00 Cr</v>
          </cell>
          <cell r="I202">
            <v>-703084</v>
          </cell>
          <cell r="J202" t="str">
            <v>SB22624</v>
          </cell>
          <cell r="L202">
            <v>0</v>
          </cell>
          <cell r="Q202" t="str">
            <v>SB22624</v>
          </cell>
          <cell r="R202" t="str">
            <v>179044.00 Dr</v>
          </cell>
          <cell r="S202" t="str">
            <v>179044.00</v>
          </cell>
          <cell r="T202" t="str">
            <v>SB22624</v>
          </cell>
          <cell r="V202">
            <v>0</v>
          </cell>
        </row>
        <row r="203">
          <cell r="H203" t="str">
            <v>339093.00 Dr</v>
          </cell>
          <cell r="I203" t="str">
            <v>339093.00</v>
          </cell>
          <cell r="L203">
            <v>0</v>
          </cell>
          <cell r="R203" t="str">
            <v>63170.00 Cr</v>
          </cell>
          <cell r="S203">
            <v>-63170</v>
          </cell>
          <cell r="V203">
            <v>0</v>
          </cell>
        </row>
        <row r="204">
          <cell r="G204" t="str">
            <v>SB21947</v>
          </cell>
          <cell r="I204">
            <v>0</v>
          </cell>
          <cell r="J204" t="str">
            <v>SB21947</v>
          </cell>
          <cell r="L204">
            <v>0</v>
          </cell>
          <cell r="Q204" t="str">
            <v>SB21947</v>
          </cell>
          <cell r="R204" t="str">
            <v>4350.00 Cr</v>
          </cell>
          <cell r="S204">
            <v>-4350</v>
          </cell>
          <cell r="T204" t="str">
            <v>SB21947</v>
          </cell>
          <cell r="V204">
            <v>0</v>
          </cell>
        </row>
        <row r="205">
          <cell r="G205" t="str">
            <v>SB22488</v>
          </cell>
          <cell r="H205" t="str">
            <v>339093.00 Dr</v>
          </cell>
          <cell r="I205" t="str">
            <v>339093.00</v>
          </cell>
          <cell r="J205" t="str">
            <v>SB22488</v>
          </cell>
          <cell r="L205">
            <v>0</v>
          </cell>
          <cell r="Q205" t="str">
            <v>SB22488</v>
          </cell>
          <cell r="R205" t="str">
            <v>58820.00 Cr</v>
          </cell>
          <cell r="S205">
            <v>-58820</v>
          </cell>
          <cell r="T205" t="str">
            <v>SB22488</v>
          </cell>
          <cell r="V205">
            <v>0</v>
          </cell>
        </row>
        <row r="206">
          <cell r="H206" t="str">
            <v>2000000.00 Cr</v>
          </cell>
          <cell r="I206">
            <v>-2000000</v>
          </cell>
          <cell r="L206">
            <v>0</v>
          </cell>
          <cell r="R206" t="str">
            <v>1483906.00 Dr</v>
          </cell>
          <cell r="S206" t="str">
            <v>1483906.00</v>
          </cell>
          <cell r="V206">
            <v>0</v>
          </cell>
        </row>
        <row r="207">
          <cell r="G207" t="str">
            <v>SB22083</v>
          </cell>
          <cell r="I207">
            <v>0</v>
          </cell>
          <cell r="J207" t="str">
            <v>SB22083</v>
          </cell>
          <cell r="L207">
            <v>0</v>
          </cell>
          <cell r="Q207" t="str">
            <v>SB22083</v>
          </cell>
          <cell r="R207" t="str">
            <v>70000.00 Cr</v>
          </cell>
          <cell r="S207">
            <v>-70000</v>
          </cell>
          <cell r="T207" t="str">
            <v>SB22083</v>
          </cell>
          <cell r="V207">
            <v>0</v>
          </cell>
        </row>
        <row r="208">
          <cell r="G208" t="str">
            <v>SB22338</v>
          </cell>
          <cell r="H208" t="str">
            <v>2000000.00 Cr</v>
          </cell>
          <cell r="I208">
            <v>-2000000</v>
          </cell>
          <cell r="J208" t="str">
            <v>SB22338</v>
          </cell>
          <cell r="L208">
            <v>0</v>
          </cell>
          <cell r="Q208" t="str">
            <v>SB22338</v>
          </cell>
          <cell r="R208" t="str">
            <v>1068006.00 Dr</v>
          </cell>
          <cell r="S208" t="str">
            <v>1068006.00</v>
          </cell>
          <cell r="T208" t="str">
            <v>SB22338</v>
          </cell>
          <cell r="V208">
            <v>0</v>
          </cell>
        </row>
        <row r="209">
          <cell r="G209" t="str">
            <v>SB22599</v>
          </cell>
          <cell r="I209">
            <v>0</v>
          </cell>
          <cell r="J209" t="str">
            <v>SB22599</v>
          </cell>
          <cell r="L209">
            <v>0</v>
          </cell>
          <cell r="Q209" t="str">
            <v>SB22599</v>
          </cell>
          <cell r="R209" t="str">
            <v>485900.00 Dr</v>
          </cell>
          <cell r="S209" t="str">
            <v>485900.00</v>
          </cell>
          <cell r="T209" t="str">
            <v>SB22599</v>
          </cell>
          <cell r="V209">
            <v>0</v>
          </cell>
        </row>
        <row r="210">
          <cell r="H210" t="str">
            <v>317178.00 Dr</v>
          </cell>
          <cell r="I210" t="str">
            <v>317178.00</v>
          </cell>
          <cell r="L210">
            <v>0</v>
          </cell>
          <cell r="R210" t="str">
            <v>58437.50 Cr</v>
          </cell>
          <cell r="S210">
            <v>-58437.5</v>
          </cell>
          <cell r="V210">
            <v>0</v>
          </cell>
        </row>
        <row r="211">
          <cell r="G211" t="str">
            <v>SB22433</v>
          </cell>
          <cell r="H211" t="str">
            <v>317178.00 Dr</v>
          </cell>
          <cell r="I211" t="str">
            <v>317178.00</v>
          </cell>
          <cell r="J211" t="str">
            <v>SB22433</v>
          </cell>
          <cell r="L211">
            <v>0</v>
          </cell>
          <cell r="Q211" t="str">
            <v>SB22433</v>
          </cell>
          <cell r="R211" t="str">
            <v>58437.50 Cr</v>
          </cell>
          <cell r="S211">
            <v>-58437.5</v>
          </cell>
          <cell r="T211" t="str">
            <v>SB22433</v>
          </cell>
          <cell r="V211">
            <v>0</v>
          </cell>
        </row>
        <row r="212">
          <cell r="I212">
            <v>0</v>
          </cell>
          <cell r="L212">
            <v>0</v>
          </cell>
          <cell r="R212" t="str">
            <v>4000.00 Cr</v>
          </cell>
          <cell r="S212">
            <v>-4000</v>
          </cell>
          <cell r="V212">
            <v>0</v>
          </cell>
        </row>
        <row r="213">
          <cell r="G213" t="str">
            <v>SB22629</v>
          </cell>
          <cell r="I213">
            <v>0</v>
          </cell>
          <cell r="J213" t="str">
            <v>SB22629</v>
          </cell>
          <cell r="L213">
            <v>0</v>
          </cell>
          <cell r="Q213" t="str">
            <v>SB22629</v>
          </cell>
          <cell r="R213" t="str">
            <v>4000.00 Cr</v>
          </cell>
          <cell r="S213">
            <v>-4000</v>
          </cell>
          <cell r="T213" t="str">
            <v>SB22629</v>
          </cell>
          <cell r="V213">
            <v>0</v>
          </cell>
        </row>
        <row r="214">
          <cell r="H214" t="str">
            <v>451386.00 Cr</v>
          </cell>
          <cell r="I214">
            <v>-451386</v>
          </cell>
          <cell r="L214">
            <v>0</v>
          </cell>
          <cell r="R214" t="str">
            <v>349312.10 Dr</v>
          </cell>
          <cell r="S214" t="str">
            <v>349312.10</v>
          </cell>
          <cell r="V214">
            <v>0</v>
          </cell>
        </row>
        <row r="215">
          <cell r="G215" t="str">
            <v>SB22588</v>
          </cell>
          <cell r="H215" t="str">
            <v>451386.00 Cr</v>
          </cell>
          <cell r="I215">
            <v>-451386</v>
          </cell>
          <cell r="J215" t="str">
            <v>SB22588</v>
          </cell>
          <cell r="L215">
            <v>0</v>
          </cell>
          <cell r="Q215" t="str">
            <v>SB22588</v>
          </cell>
          <cell r="R215" t="str">
            <v>349312.10 Dr</v>
          </cell>
          <cell r="S215" t="str">
            <v>349312.10</v>
          </cell>
          <cell r="T215" t="str">
            <v>SB22588</v>
          </cell>
          <cell r="V215">
            <v>0</v>
          </cell>
        </row>
        <row r="216">
          <cell r="H216" t="str">
            <v>4949340.00 Cr</v>
          </cell>
          <cell r="I216">
            <v>-4949340</v>
          </cell>
          <cell r="L216">
            <v>0</v>
          </cell>
          <cell r="R216" t="str">
            <v>2299340.00 Dr</v>
          </cell>
          <cell r="S216" t="str">
            <v>2299340.00</v>
          </cell>
          <cell r="V216">
            <v>0</v>
          </cell>
        </row>
        <row r="217">
          <cell r="G217" t="str">
            <v>SB22614</v>
          </cell>
          <cell r="H217" t="str">
            <v>4949340.00 Cr</v>
          </cell>
          <cell r="I217">
            <v>-4949340</v>
          </cell>
          <cell r="J217" t="str">
            <v>SB22614</v>
          </cell>
          <cell r="L217">
            <v>0</v>
          </cell>
          <cell r="Q217" t="str">
            <v>SB22614</v>
          </cell>
          <cell r="R217" t="str">
            <v>2299340.00 Dr</v>
          </cell>
          <cell r="S217" t="str">
            <v>2299340.00</v>
          </cell>
          <cell r="T217" t="str">
            <v>SB22614</v>
          </cell>
          <cell r="V217">
            <v>0</v>
          </cell>
        </row>
        <row r="218">
          <cell r="H218" t="str">
            <v>2319984.00 Cr</v>
          </cell>
          <cell r="I218">
            <v>-2319984</v>
          </cell>
          <cell r="L218">
            <v>0</v>
          </cell>
          <cell r="R218" t="str">
            <v>1844404.00 Dr</v>
          </cell>
          <cell r="S218" t="str">
            <v>1844404.00</v>
          </cell>
          <cell r="V218">
            <v>0</v>
          </cell>
        </row>
        <row r="219">
          <cell r="G219" t="str">
            <v>SB22636</v>
          </cell>
          <cell r="H219" t="str">
            <v>535700.00 Cr</v>
          </cell>
          <cell r="I219">
            <v>-535700</v>
          </cell>
          <cell r="J219" t="str">
            <v>SB22636</v>
          </cell>
          <cell r="L219">
            <v>0</v>
          </cell>
          <cell r="Q219" t="str">
            <v>SB22636</v>
          </cell>
          <cell r="R219" t="str">
            <v>425700.00 Dr</v>
          </cell>
          <cell r="S219" t="str">
            <v>425700.00</v>
          </cell>
          <cell r="T219" t="str">
            <v>SB22636</v>
          </cell>
          <cell r="V219">
            <v>0</v>
          </cell>
        </row>
        <row r="220">
          <cell r="G220" t="str">
            <v>SB22643</v>
          </cell>
          <cell r="H220" t="str">
            <v>1784284.00 Cr</v>
          </cell>
          <cell r="I220">
            <v>-1784284</v>
          </cell>
          <cell r="J220" t="str">
            <v>SB22643</v>
          </cell>
          <cell r="L220">
            <v>0</v>
          </cell>
          <cell r="Q220" t="str">
            <v>SB22643</v>
          </cell>
          <cell r="R220" t="str">
            <v>1418704.00 Dr</v>
          </cell>
          <cell r="S220" t="str">
            <v>1418704.00</v>
          </cell>
          <cell r="T220" t="str">
            <v>SB22643</v>
          </cell>
          <cell r="V220">
            <v>0</v>
          </cell>
        </row>
        <row r="221">
          <cell r="H221" t="str">
            <v>4786100.60 Dr</v>
          </cell>
          <cell r="I221" t="str">
            <v>4786100.60</v>
          </cell>
          <cell r="L221">
            <v>0</v>
          </cell>
          <cell r="R221" t="str">
            <v>2670151.03 Cr</v>
          </cell>
          <cell r="S221">
            <v>-2670151.0299999998</v>
          </cell>
          <cell r="U221" t="str">
            <v>126649.00 Cr</v>
          </cell>
          <cell r="V221">
            <v>-126649</v>
          </cell>
        </row>
        <row r="222">
          <cell r="H222" t="str">
            <v>4786100.60 Dr</v>
          </cell>
          <cell r="I222" t="str">
            <v>4786100.60</v>
          </cell>
          <cell r="L222">
            <v>0</v>
          </cell>
          <cell r="R222" t="str">
            <v>2670151.03 Cr</v>
          </cell>
          <cell r="S222">
            <v>-2670151.0299999998</v>
          </cell>
          <cell r="U222" t="str">
            <v>126649.00 Cr</v>
          </cell>
          <cell r="V222">
            <v>-126649</v>
          </cell>
        </row>
        <row r="223">
          <cell r="I223">
            <v>0</v>
          </cell>
          <cell r="L223">
            <v>0</v>
          </cell>
          <cell r="R223" t="str">
            <v>33072.00 Dr</v>
          </cell>
          <cell r="S223" t="str">
            <v>33072.00</v>
          </cell>
          <cell r="V223">
            <v>0</v>
          </cell>
        </row>
        <row r="224">
          <cell r="G224" t="str">
            <v>SB22572</v>
          </cell>
          <cell r="I224">
            <v>0</v>
          </cell>
          <cell r="J224" t="str">
            <v>SB22572</v>
          </cell>
          <cell r="L224">
            <v>0</v>
          </cell>
          <cell r="Q224" t="str">
            <v>SB22572</v>
          </cell>
          <cell r="R224" t="str">
            <v>33072.00 Dr</v>
          </cell>
          <cell r="S224" t="str">
            <v>33072.00</v>
          </cell>
          <cell r="T224" t="str">
            <v>SB22572</v>
          </cell>
          <cell r="V224">
            <v>0</v>
          </cell>
        </row>
        <row r="225">
          <cell r="H225" t="str">
            <v>5556546.60 Dr</v>
          </cell>
          <cell r="I225" t="str">
            <v>5556546.60</v>
          </cell>
          <cell r="L225">
            <v>0</v>
          </cell>
          <cell r="R225" t="str">
            <v>2863178.00 Cr</v>
          </cell>
          <cell r="S225">
            <v>-2863178</v>
          </cell>
          <cell r="U225" t="str">
            <v>126649.00 Cr</v>
          </cell>
          <cell r="V225">
            <v>-126649</v>
          </cell>
        </row>
        <row r="226">
          <cell r="G226" t="str">
            <v>SB22280</v>
          </cell>
          <cell r="I226">
            <v>0</v>
          </cell>
          <cell r="J226" t="str">
            <v>SB22280</v>
          </cell>
          <cell r="L226">
            <v>0</v>
          </cell>
          <cell r="Q226" t="str">
            <v>SB22280</v>
          </cell>
          <cell r="R226" t="str">
            <v>11500.00 Cr</v>
          </cell>
          <cell r="S226">
            <v>-11500</v>
          </cell>
          <cell r="T226" t="str">
            <v>SB22280</v>
          </cell>
          <cell r="V226">
            <v>0</v>
          </cell>
        </row>
        <row r="227">
          <cell r="G227" t="str">
            <v>SB22424</v>
          </cell>
          <cell r="I227">
            <v>0</v>
          </cell>
          <cell r="J227" t="str">
            <v>SB22424</v>
          </cell>
          <cell r="L227">
            <v>0</v>
          </cell>
          <cell r="Q227" t="str">
            <v>SB22424</v>
          </cell>
          <cell r="R227" t="str">
            <v>34233.00 Dr</v>
          </cell>
          <cell r="S227" t="str">
            <v>34233.00</v>
          </cell>
          <cell r="T227" t="str">
            <v>SB22424</v>
          </cell>
          <cell r="U227" t="str">
            <v>126649.00 Cr</v>
          </cell>
          <cell r="V227">
            <v>-126649</v>
          </cell>
        </row>
        <row r="228">
          <cell r="G228" t="str">
            <v>SB22446</v>
          </cell>
          <cell r="H228" t="str">
            <v>1668425.00 Dr</v>
          </cell>
          <cell r="I228" t="str">
            <v>1668425.00</v>
          </cell>
          <cell r="J228" t="str">
            <v>SB22446</v>
          </cell>
          <cell r="L228">
            <v>0</v>
          </cell>
          <cell r="Q228" t="str">
            <v>SB22446</v>
          </cell>
          <cell r="S228">
            <v>0</v>
          </cell>
          <cell r="T228" t="str">
            <v>SB22446</v>
          </cell>
          <cell r="V228">
            <v>0</v>
          </cell>
        </row>
        <row r="229">
          <cell r="G229" t="str">
            <v>SB22469</v>
          </cell>
          <cell r="H229" t="str">
            <v>3600229.60 Dr</v>
          </cell>
          <cell r="I229" t="str">
            <v>3600229.60</v>
          </cell>
          <cell r="J229" t="str">
            <v>SB22469</v>
          </cell>
          <cell r="L229">
            <v>0</v>
          </cell>
          <cell r="Q229" t="str">
            <v>SB22469</v>
          </cell>
          <cell r="R229" t="str">
            <v>2261631.00 Cr</v>
          </cell>
          <cell r="S229">
            <v>-2261631</v>
          </cell>
          <cell r="T229" t="str">
            <v>SB22469</v>
          </cell>
          <cell r="V229">
            <v>0</v>
          </cell>
        </row>
        <row r="230">
          <cell r="G230" t="str">
            <v>SB22529</v>
          </cell>
          <cell r="H230" t="str">
            <v>656271.00 Dr</v>
          </cell>
          <cell r="I230" t="str">
            <v>656271.00</v>
          </cell>
          <cell r="J230" t="str">
            <v>SB22529</v>
          </cell>
          <cell r="L230">
            <v>0</v>
          </cell>
          <cell r="Q230" t="str">
            <v>SB22529</v>
          </cell>
          <cell r="R230" t="str">
            <v>490814.00 Cr</v>
          </cell>
          <cell r="S230">
            <v>-490814</v>
          </cell>
          <cell r="T230" t="str">
            <v>SB22529</v>
          </cell>
          <cell r="V230">
            <v>0</v>
          </cell>
        </row>
        <row r="231">
          <cell r="G231" t="str">
            <v>SB22534</v>
          </cell>
          <cell r="I231">
            <v>0</v>
          </cell>
          <cell r="J231" t="str">
            <v>SB22534</v>
          </cell>
          <cell r="L231">
            <v>0</v>
          </cell>
          <cell r="Q231" t="str">
            <v>SB22534</v>
          </cell>
          <cell r="R231" t="str">
            <v>110540.00 Dr</v>
          </cell>
          <cell r="S231" t="str">
            <v>110540.00</v>
          </cell>
          <cell r="T231" t="str">
            <v>SB22534</v>
          </cell>
          <cell r="V231">
            <v>0</v>
          </cell>
        </row>
        <row r="232">
          <cell r="G232" t="str">
            <v>SB22546</v>
          </cell>
          <cell r="I232">
            <v>0</v>
          </cell>
          <cell r="J232" t="str">
            <v>SB22546</v>
          </cell>
          <cell r="L232">
            <v>0</v>
          </cell>
          <cell r="Q232" t="str">
            <v>SB22546</v>
          </cell>
          <cell r="R232" t="str">
            <v>330740.00 Cr</v>
          </cell>
          <cell r="S232">
            <v>-330740</v>
          </cell>
          <cell r="T232" t="str">
            <v>SB22546</v>
          </cell>
          <cell r="V232">
            <v>0</v>
          </cell>
        </row>
        <row r="233">
          <cell r="G233" t="str">
            <v>SB22558</v>
          </cell>
          <cell r="I233">
            <v>0</v>
          </cell>
          <cell r="J233" t="str">
            <v>SB22558</v>
          </cell>
          <cell r="L233">
            <v>0</v>
          </cell>
          <cell r="Q233" t="str">
            <v>SB22558</v>
          </cell>
          <cell r="S233">
            <v>0</v>
          </cell>
          <cell r="T233" t="str">
            <v>SB22558</v>
          </cell>
          <cell r="V233">
            <v>0</v>
          </cell>
        </row>
        <row r="234">
          <cell r="G234" t="str">
            <v>SB22593</v>
          </cell>
          <cell r="H234" t="str">
            <v>268279.00 Cr</v>
          </cell>
          <cell r="I234">
            <v>-268279</v>
          </cell>
          <cell r="J234" t="str">
            <v>SB22593</v>
          </cell>
          <cell r="L234">
            <v>0</v>
          </cell>
          <cell r="Q234" t="str">
            <v>SB22593</v>
          </cell>
          <cell r="S234">
            <v>0</v>
          </cell>
          <cell r="T234" t="str">
            <v>SB22593</v>
          </cell>
          <cell r="V234">
            <v>0</v>
          </cell>
        </row>
        <row r="235">
          <cell r="G235" t="str">
            <v>SB22617</v>
          </cell>
          <cell r="I235">
            <v>0</v>
          </cell>
          <cell r="J235" t="str">
            <v>SB22617</v>
          </cell>
          <cell r="L235">
            <v>0</v>
          </cell>
          <cell r="Q235" t="str">
            <v>SB22617</v>
          </cell>
          <cell r="S235">
            <v>0</v>
          </cell>
          <cell r="T235" t="str">
            <v>SB22617</v>
          </cell>
          <cell r="V235">
            <v>0</v>
          </cell>
        </row>
        <row r="236">
          <cell r="G236" t="str">
            <v>SB22633</v>
          </cell>
          <cell r="I236">
            <v>0</v>
          </cell>
          <cell r="J236" t="str">
            <v>SB22633</v>
          </cell>
          <cell r="L236">
            <v>0</v>
          </cell>
          <cell r="Q236" t="str">
            <v>SB22633</v>
          </cell>
          <cell r="R236" t="str">
            <v>1734.00 Dr</v>
          </cell>
          <cell r="S236" t="str">
            <v>1734.00</v>
          </cell>
          <cell r="T236" t="str">
            <v>SB22633</v>
          </cell>
          <cell r="V236">
            <v>0</v>
          </cell>
        </row>
        <row r="237">
          <cell r="G237" t="str">
            <v>SB22649</v>
          </cell>
          <cell r="H237" t="str">
            <v>100100.00 Cr</v>
          </cell>
          <cell r="I237">
            <v>-100100</v>
          </cell>
          <cell r="J237" t="str">
            <v>SB22649</v>
          </cell>
          <cell r="L237">
            <v>0</v>
          </cell>
          <cell r="Q237" t="str">
            <v>SB22649</v>
          </cell>
          <cell r="R237" t="str">
            <v>85000.00 Dr</v>
          </cell>
          <cell r="S237" t="str">
            <v>85000.00</v>
          </cell>
          <cell r="T237" t="str">
            <v>SB22649</v>
          </cell>
          <cell r="V237">
            <v>0</v>
          </cell>
        </row>
        <row r="238">
          <cell r="H238" t="str">
            <v>65280.00 Cr</v>
          </cell>
          <cell r="I238">
            <v>-65280</v>
          </cell>
          <cell r="L238">
            <v>0</v>
          </cell>
          <cell r="R238" t="str">
            <v>212516.00 Dr</v>
          </cell>
          <cell r="S238" t="str">
            <v>212516.00</v>
          </cell>
          <cell r="V238">
            <v>0</v>
          </cell>
        </row>
        <row r="239">
          <cell r="G239" t="str">
            <v>SB22366</v>
          </cell>
          <cell r="H239" t="str">
            <v>308665.00 Dr</v>
          </cell>
          <cell r="I239" t="str">
            <v>308665.00</v>
          </cell>
          <cell r="J239" t="str">
            <v>SB22366</v>
          </cell>
          <cell r="L239">
            <v>0</v>
          </cell>
          <cell r="Q239" t="str">
            <v>SB22366</v>
          </cell>
          <cell r="S239">
            <v>0</v>
          </cell>
          <cell r="T239" t="str">
            <v>SB22366</v>
          </cell>
          <cell r="V239">
            <v>0</v>
          </cell>
        </row>
        <row r="240">
          <cell r="G240" t="str">
            <v>SB22532</v>
          </cell>
          <cell r="H240" t="str">
            <v>337700.00 Dr</v>
          </cell>
          <cell r="I240" t="str">
            <v>337700.00</v>
          </cell>
          <cell r="J240" t="str">
            <v>SB22532</v>
          </cell>
          <cell r="L240">
            <v>0</v>
          </cell>
          <cell r="Q240" t="str">
            <v>SB22532</v>
          </cell>
          <cell r="R240" t="str">
            <v>255000.00 Cr</v>
          </cell>
          <cell r="S240">
            <v>-255000</v>
          </cell>
          <cell r="T240" t="str">
            <v>SB22532</v>
          </cell>
          <cell r="V240">
            <v>0</v>
          </cell>
        </row>
        <row r="241">
          <cell r="G241" t="str">
            <v>SB22627</v>
          </cell>
          <cell r="H241" t="str">
            <v>361880.00 Cr</v>
          </cell>
          <cell r="I241">
            <v>-361880</v>
          </cell>
          <cell r="J241" t="str">
            <v>SB22627</v>
          </cell>
          <cell r="L241">
            <v>0</v>
          </cell>
          <cell r="Q241" t="str">
            <v>SB22627</v>
          </cell>
          <cell r="R241" t="str">
            <v>275886.00 Dr</v>
          </cell>
          <cell r="S241" t="str">
            <v>275886.00</v>
          </cell>
          <cell r="T241" t="str">
            <v>SB22627</v>
          </cell>
          <cell r="V241">
            <v>0</v>
          </cell>
        </row>
        <row r="242">
          <cell r="G242" t="str">
            <v>SB22637</v>
          </cell>
          <cell r="H242" t="str">
            <v>349765.00 Cr</v>
          </cell>
          <cell r="I242">
            <v>-349765</v>
          </cell>
          <cell r="J242" t="str">
            <v>SB22637</v>
          </cell>
          <cell r="L242">
            <v>0</v>
          </cell>
          <cell r="Q242" t="str">
            <v>SB22637</v>
          </cell>
          <cell r="R242" t="str">
            <v>191630.00 Dr</v>
          </cell>
          <cell r="S242" t="str">
            <v>191630.00</v>
          </cell>
          <cell r="T242" t="str">
            <v>SB22637</v>
          </cell>
          <cell r="V242">
            <v>0</v>
          </cell>
        </row>
        <row r="243">
          <cell r="H243" t="str">
            <v>705166.00 Cr</v>
          </cell>
          <cell r="I243">
            <v>-705166</v>
          </cell>
          <cell r="L243">
            <v>0</v>
          </cell>
          <cell r="R243" t="str">
            <v>37154.03 Cr</v>
          </cell>
          <cell r="S243">
            <v>-37154.03</v>
          </cell>
          <cell r="V243">
            <v>0</v>
          </cell>
        </row>
        <row r="244">
          <cell r="G244" t="str">
            <v>SB22356</v>
          </cell>
          <cell r="I244">
            <v>0</v>
          </cell>
          <cell r="J244" t="str">
            <v>SB22356</v>
          </cell>
          <cell r="L244">
            <v>0</v>
          </cell>
          <cell r="Q244" t="str">
            <v>SB22356</v>
          </cell>
          <cell r="R244" t="str">
            <v>81200.00 Cr</v>
          </cell>
          <cell r="S244">
            <v>-81200</v>
          </cell>
          <cell r="T244" t="str">
            <v>SB22356</v>
          </cell>
          <cell r="V244">
            <v>0</v>
          </cell>
        </row>
        <row r="245">
          <cell r="G245" t="str">
            <v>SB22523</v>
          </cell>
          <cell r="H245" t="str">
            <v>186450.00 Dr</v>
          </cell>
          <cell r="I245" t="str">
            <v>186450.00</v>
          </cell>
          <cell r="J245" t="str">
            <v>SB22523</v>
          </cell>
          <cell r="L245">
            <v>0</v>
          </cell>
          <cell r="Q245" t="str">
            <v>SB22523</v>
          </cell>
          <cell r="R245" t="str">
            <v>15000.00 Cr</v>
          </cell>
          <cell r="S245">
            <v>-15000</v>
          </cell>
          <cell r="T245" t="str">
            <v>SB22523</v>
          </cell>
          <cell r="V245">
            <v>0</v>
          </cell>
        </row>
        <row r="246">
          <cell r="G246" t="str">
            <v>SB22576</v>
          </cell>
          <cell r="H246" t="str">
            <v>891616.00 Cr</v>
          </cell>
          <cell r="I246">
            <v>-891616</v>
          </cell>
          <cell r="J246" t="str">
            <v>SB22576</v>
          </cell>
          <cell r="L246">
            <v>0</v>
          </cell>
          <cell r="Q246" t="str">
            <v>SB22576</v>
          </cell>
          <cell r="R246" t="str">
            <v>59045.97 Dr</v>
          </cell>
          <cell r="S246" t="str">
            <v>59045.97</v>
          </cell>
          <cell r="T246" t="str">
            <v>SB22576</v>
          </cell>
          <cell r="V246">
            <v>0</v>
          </cell>
        </row>
        <row r="247">
          <cell r="I247">
            <v>0</v>
          </cell>
          <cell r="L247">
            <v>0</v>
          </cell>
          <cell r="R247" t="str">
            <v>15407.00 Cr</v>
          </cell>
          <cell r="S247">
            <v>-15407</v>
          </cell>
          <cell r="V247">
            <v>0</v>
          </cell>
        </row>
        <row r="248">
          <cell r="G248" t="str">
            <v>SB22445</v>
          </cell>
          <cell r="I248">
            <v>0</v>
          </cell>
          <cell r="J248" t="str">
            <v>SB22445</v>
          </cell>
          <cell r="L248">
            <v>0</v>
          </cell>
          <cell r="Q248" t="str">
            <v>SB22445</v>
          </cell>
          <cell r="R248" t="str">
            <v>15407.00 Cr</v>
          </cell>
          <cell r="S248">
            <v>-15407</v>
          </cell>
          <cell r="T248" t="str">
            <v>SB22445</v>
          </cell>
          <cell r="V248">
            <v>0</v>
          </cell>
        </row>
        <row r="249">
          <cell r="G249" t="str">
            <v>SB22597</v>
          </cell>
          <cell r="I249">
            <v>0</v>
          </cell>
          <cell r="J249" t="str">
            <v>SB22597</v>
          </cell>
          <cell r="L249">
            <v>0</v>
          </cell>
          <cell r="Q249" t="str">
            <v>SB22597</v>
          </cell>
          <cell r="S249">
            <v>0</v>
          </cell>
          <cell r="T249" t="str">
            <v>SB22597</v>
          </cell>
          <cell r="V249">
            <v>0</v>
          </cell>
        </row>
        <row r="250">
          <cell r="H250" t="str">
            <v>23344793.00 Dr</v>
          </cell>
          <cell r="I250" t="str">
            <v>23344793.00</v>
          </cell>
          <cell r="K250" t="str">
            <v>569904.00 Dr</v>
          </cell>
          <cell r="L250" t="str">
            <v>569904.00</v>
          </cell>
          <cell r="R250" t="str">
            <v>6698816.23 Dr</v>
          </cell>
          <cell r="S250" t="str">
            <v>6698816.23</v>
          </cell>
          <cell r="U250" t="str">
            <v>112621.00 Cr</v>
          </cell>
          <cell r="V250">
            <v>-112621</v>
          </cell>
        </row>
        <row r="251">
          <cell r="H251" t="str">
            <v>10616995.00 Dr</v>
          </cell>
          <cell r="I251" t="str">
            <v>10616995.00</v>
          </cell>
          <cell r="L251">
            <v>0</v>
          </cell>
          <cell r="R251" t="str">
            <v>341700.17 Dr</v>
          </cell>
          <cell r="S251" t="str">
            <v>341700.17</v>
          </cell>
          <cell r="U251" t="str">
            <v>62621.00 Cr</v>
          </cell>
          <cell r="V251">
            <v>-62621</v>
          </cell>
        </row>
        <row r="252">
          <cell r="I252">
            <v>0</v>
          </cell>
          <cell r="L252">
            <v>0</v>
          </cell>
          <cell r="R252" t="str">
            <v>129173.94 Dr</v>
          </cell>
          <cell r="S252" t="str">
            <v>129173.94</v>
          </cell>
          <cell r="V252">
            <v>0</v>
          </cell>
        </row>
        <row r="253">
          <cell r="G253" t="str">
            <v>SB22592</v>
          </cell>
          <cell r="I253">
            <v>0</v>
          </cell>
          <cell r="J253" t="str">
            <v>SB22592</v>
          </cell>
          <cell r="L253">
            <v>0</v>
          </cell>
          <cell r="Q253" t="str">
            <v>SB22592</v>
          </cell>
          <cell r="R253" t="str">
            <v>129173.94 Dr</v>
          </cell>
          <cell r="S253" t="str">
            <v>129173.94</v>
          </cell>
          <cell r="T253" t="str">
            <v>SB22592</v>
          </cell>
          <cell r="V253">
            <v>0</v>
          </cell>
        </row>
        <row r="254">
          <cell r="H254" t="str">
            <v>10218498.00 Dr</v>
          </cell>
          <cell r="I254" t="str">
            <v>10218498.00</v>
          </cell>
          <cell r="L254">
            <v>0</v>
          </cell>
          <cell r="R254" t="str">
            <v>3374760.19 Cr</v>
          </cell>
          <cell r="S254">
            <v>-3374760.19</v>
          </cell>
          <cell r="U254" t="str">
            <v>6450.00 Cr</v>
          </cell>
          <cell r="V254">
            <v>-6450</v>
          </cell>
        </row>
        <row r="255">
          <cell r="G255" t="str">
            <v>SB22381</v>
          </cell>
          <cell r="I255">
            <v>0</v>
          </cell>
          <cell r="J255" t="str">
            <v>SB22381</v>
          </cell>
          <cell r="L255">
            <v>0</v>
          </cell>
          <cell r="Q255" t="str">
            <v>SB22381</v>
          </cell>
          <cell r="R255" t="str">
            <v>3154806.00 Cr</v>
          </cell>
          <cell r="S255">
            <v>-3154806</v>
          </cell>
          <cell r="T255" t="str">
            <v>SB22381</v>
          </cell>
          <cell r="V255">
            <v>0</v>
          </cell>
        </row>
        <row r="256">
          <cell r="G256" t="str">
            <v>SB22405</v>
          </cell>
          <cell r="H256" t="str">
            <v>5313598.00 Dr</v>
          </cell>
          <cell r="I256" t="str">
            <v>5313598.00</v>
          </cell>
          <cell r="J256" t="str">
            <v>SB22405</v>
          </cell>
          <cell r="L256">
            <v>0</v>
          </cell>
          <cell r="Q256" t="str">
            <v>SB22405</v>
          </cell>
          <cell r="S256">
            <v>0</v>
          </cell>
          <cell r="T256" t="str">
            <v>SB22405</v>
          </cell>
          <cell r="V256">
            <v>0</v>
          </cell>
        </row>
        <row r="257">
          <cell r="G257" t="str">
            <v>SB22539</v>
          </cell>
          <cell r="H257" t="str">
            <v>4904900.00 Dr</v>
          </cell>
          <cell r="I257" t="str">
            <v>4904900.00</v>
          </cell>
          <cell r="J257" t="str">
            <v>SB22539</v>
          </cell>
          <cell r="L257">
            <v>0</v>
          </cell>
          <cell r="Q257" t="str">
            <v>SB22539</v>
          </cell>
          <cell r="R257" t="str">
            <v>219954.19 Cr</v>
          </cell>
          <cell r="S257">
            <v>-219954.19</v>
          </cell>
          <cell r="T257" t="str">
            <v>SB22539</v>
          </cell>
          <cell r="U257" t="str">
            <v>6450.00 Cr</v>
          </cell>
          <cell r="V257">
            <v>-6450</v>
          </cell>
        </row>
        <row r="258">
          <cell r="G258" t="str">
            <v>SB22664</v>
          </cell>
          <cell r="I258">
            <v>0</v>
          </cell>
          <cell r="J258" t="str">
            <v>SB22664</v>
          </cell>
          <cell r="L258">
            <v>0</v>
          </cell>
          <cell r="Q258" t="str">
            <v>SB22664</v>
          </cell>
          <cell r="S258">
            <v>0</v>
          </cell>
          <cell r="T258" t="str">
            <v>SB22664</v>
          </cell>
          <cell r="V258">
            <v>0</v>
          </cell>
        </row>
        <row r="259">
          <cell r="I259">
            <v>0</v>
          </cell>
          <cell r="L259">
            <v>0</v>
          </cell>
          <cell r="R259" t="str">
            <v>2932529.94 Dr</v>
          </cell>
          <cell r="S259" t="str">
            <v>2932529.94</v>
          </cell>
          <cell r="U259" t="str">
            <v>6150.00 Cr</v>
          </cell>
          <cell r="V259">
            <v>-6150</v>
          </cell>
        </row>
        <row r="260">
          <cell r="G260" t="str">
            <v>SB22437</v>
          </cell>
          <cell r="I260">
            <v>0</v>
          </cell>
          <cell r="J260" t="str">
            <v>SB22437</v>
          </cell>
          <cell r="L260">
            <v>0</v>
          </cell>
          <cell r="Q260" t="str">
            <v>SB22437</v>
          </cell>
          <cell r="R260" t="str">
            <v>2932529.94 Dr</v>
          </cell>
          <cell r="S260" t="str">
            <v>2932529.94</v>
          </cell>
          <cell r="T260" t="str">
            <v>SB22437</v>
          </cell>
          <cell r="U260" t="str">
            <v>6150.00 Cr</v>
          </cell>
          <cell r="V260">
            <v>-6150</v>
          </cell>
        </row>
        <row r="261">
          <cell r="H261" t="str">
            <v>480693.00 Dr</v>
          </cell>
          <cell r="I261" t="str">
            <v>480693.00</v>
          </cell>
          <cell r="L261">
            <v>0</v>
          </cell>
          <cell r="S261">
            <v>0</v>
          </cell>
          <cell r="V261">
            <v>0</v>
          </cell>
        </row>
        <row r="262">
          <cell r="G262" t="str">
            <v>SB22272</v>
          </cell>
          <cell r="H262" t="str">
            <v>480693.00 Dr</v>
          </cell>
          <cell r="I262" t="str">
            <v>480693.00</v>
          </cell>
          <cell r="J262" t="str">
            <v>SB22272</v>
          </cell>
          <cell r="L262">
            <v>0</v>
          </cell>
          <cell r="Q262" t="str">
            <v>SB22272</v>
          </cell>
          <cell r="S262">
            <v>0</v>
          </cell>
          <cell r="T262" t="str">
            <v>SB22272</v>
          </cell>
          <cell r="V262">
            <v>0</v>
          </cell>
        </row>
        <row r="263">
          <cell r="H263" t="str">
            <v>1650000.00 Cr</v>
          </cell>
          <cell r="I263">
            <v>-1650000</v>
          </cell>
          <cell r="L263">
            <v>0</v>
          </cell>
          <cell r="R263" t="str">
            <v>827217.23 Dr</v>
          </cell>
          <cell r="S263" t="str">
            <v>827217.23</v>
          </cell>
          <cell r="U263" t="str">
            <v>12618.00 Cr</v>
          </cell>
          <cell r="V263">
            <v>-12618</v>
          </cell>
        </row>
        <row r="264">
          <cell r="G264" t="str">
            <v>SB22305</v>
          </cell>
          <cell r="H264" t="str">
            <v>1650000.00 Cr</v>
          </cell>
          <cell r="I264">
            <v>-1650000</v>
          </cell>
          <cell r="J264" t="str">
            <v>SB22305</v>
          </cell>
          <cell r="L264">
            <v>0</v>
          </cell>
          <cell r="Q264" t="str">
            <v>SB22305</v>
          </cell>
          <cell r="R264" t="str">
            <v>3761666.49 Dr</v>
          </cell>
          <cell r="S264" t="str">
            <v>3761666.49</v>
          </cell>
          <cell r="T264" t="str">
            <v>SB22305</v>
          </cell>
          <cell r="U264" t="str">
            <v>12618.00 Cr</v>
          </cell>
          <cell r="V264">
            <v>-12618</v>
          </cell>
        </row>
        <row r="265">
          <cell r="G265" t="str">
            <v>SB22306</v>
          </cell>
          <cell r="I265">
            <v>0</v>
          </cell>
          <cell r="J265" t="str">
            <v>SB22306</v>
          </cell>
          <cell r="L265">
            <v>0</v>
          </cell>
          <cell r="Q265" t="str">
            <v>SB22306</v>
          </cell>
          <cell r="R265" t="str">
            <v>1799034.76 Cr</v>
          </cell>
          <cell r="S265">
            <v>-1799034.76</v>
          </cell>
          <cell r="T265" t="str">
            <v>SB22306</v>
          </cell>
          <cell r="V265">
            <v>0</v>
          </cell>
        </row>
        <row r="266">
          <cell r="G266" t="str">
            <v>SB22318</v>
          </cell>
          <cell r="I266">
            <v>0</v>
          </cell>
          <cell r="J266" t="str">
            <v>SB22318</v>
          </cell>
          <cell r="L266">
            <v>0</v>
          </cell>
          <cell r="Q266" t="str">
            <v>SB22318</v>
          </cell>
          <cell r="R266" t="str">
            <v>329500.00 Cr</v>
          </cell>
          <cell r="S266">
            <v>-329500</v>
          </cell>
          <cell r="T266" t="str">
            <v>SB22318</v>
          </cell>
          <cell r="V266">
            <v>0</v>
          </cell>
        </row>
        <row r="267">
          <cell r="G267" t="str">
            <v>SB22319</v>
          </cell>
          <cell r="I267">
            <v>0</v>
          </cell>
          <cell r="J267" t="str">
            <v>SB22319</v>
          </cell>
          <cell r="L267">
            <v>0</v>
          </cell>
          <cell r="Q267" t="str">
            <v>SB22319</v>
          </cell>
          <cell r="R267" t="str">
            <v>1930784.50 Cr</v>
          </cell>
          <cell r="S267">
            <v>-1930784.5</v>
          </cell>
          <cell r="T267" t="str">
            <v>SB22319</v>
          </cell>
          <cell r="V267">
            <v>0</v>
          </cell>
        </row>
        <row r="268">
          <cell r="G268" t="str">
            <v>SB22320</v>
          </cell>
          <cell r="I268">
            <v>0</v>
          </cell>
          <cell r="J268" t="str">
            <v>SB22320</v>
          </cell>
          <cell r="L268">
            <v>0</v>
          </cell>
          <cell r="Q268" t="str">
            <v>SB22320</v>
          </cell>
          <cell r="R268" t="str">
            <v>3846672.00 Dr</v>
          </cell>
          <cell r="S268" t="str">
            <v>3846672.00</v>
          </cell>
          <cell r="T268" t="str">
            <v>SB22320</v>
          </cell>
          <cell r="V268">
            <v>0</v>
          </cell>
        </row>
        <row r="269">
          <cell r="G269" t="str">
            <v>SB22396</v>
          </cell>
          <cell r="I269">
            <v>0</v>
          </cell>
          <cell r="J269" t="str">
            <v>SB22396</v>
          </cell>
          <cell r="L269">
            <v>0</v>
          </cell>
          <cell r="Q269" t="str">
            <v>SB22396</v>
          </cell>
          <cell r="R269" t="str">
            <v>2721802.00 Cr</v>
          </cell>
          <cell r="S269">
            <v>-2721802</v>
          </cell>
          <cell r="T269" t="str">
            <v>SB22396</v>
          </cell>
          <cell r="V269">
            <v>0</v>
          </cell>
        </row>
        <row r="270">
          <cell r="G270" t="str">
            <v>SB22561</v>
          </cell>
          <cell r="I270">
            <v>0</v>
          </cell>
          <cell r="J270" t="str">
            <v>SB22561</v>
          </cell>
          <cell r="L270">
            <v>0</v>
          </cell>
          <cell r="Q270" t="str">
            <v>SB22561</v>
          </cell>
          <cell r="S270">
            <v>0</v>
          </cell>
          <cell r="T270" t="str">
            <v>SB22561</v>
          </cell>
          <cell r="V270">
            <v>0</v>
          </cell>
        </row>
        <row r="271">
          <cell r="G271" t="str">
            <v>SB22562</v>
          </cell>
          <cell r="I271">
            <v>0</v>
          </cell>
          <cell r="J271" t="str">
            <v>SB22562</v>
          </cell>
          <cell r="L271">
            <v>0</v>
          </cell>
          <cell r="Q271" t="str">
            <v>SB22562</v>
          </cell>
          <cell r="S271">
            <v>0</v>
          </cell>
          <cell r="T271" t="str">
            <v>SB22562</v>
          </cell>
          <cell r="V271">
            <v>0</v>
          </cell>
        </row>
        <row r="272">
          <cell r="G272" t="str">
            <v>SB22563</v>
          </cell>
          <cell r="I272">
            <v>0</v>
          </cell>
          <cell r="J272" t="str">
            <v>SB22563</v>
          </cell>
          <cell r="L272">
            <v>0</v>
          </cell>
          <cell r="Q272" t="str">
            <v>SB22563</v>
          </cell>
          <cell r="S272">
            <v>0</v>
          </cell>
          <cell r="T272" t="str">
            <v>SB22563</v>
          </cell>
          <cell r="V272">
            <v>0</v>
          </cell>
        </row>
        <row r="273">
          <cell r="G273" t="str">
            <v>SB22590</v>
          </cell>
          <cell r="I273">
            <v>0</v>
          </cell>
          <cell r="J273" t="str">
            <v>SB22590</v>
          </cell>
          <cell r="L273">
            <v>0</v>
          </cell>
          <cell r="Q273" t="str">
            <v>SB22590</v>
          </cell>
          <cell r="S273">
            <v>0</v>
          </cell>
          <cell r="T273" t="str">
            <v>SB22590</v>
          </cell>
          <cell r="V273">
            <v>0</v>
          </cell>
        </row>
        <row r="274">
          <cell r="G274" t="str">
            <v>SB22591</v>
          </cell>
          <cell r="I274">
            <v>0</v>
          </cell>
          <cell r="J274" t="str">
            <v>SB22591</v>
          </cell>
          <cell r="L274">
            <v>0</v>
          </cell>
          <cell r="Q274" t="str">
            <v>SB22591</v>
          </cell>
          <cell r="S274">
            <v>0</v>
          </cell>
          <cell r="T274" t="str">
            <v>SB22591</v>
          </cell>
          <cell r="V274">
            <v>0</v>
          </cell>
        </row>
        <row r="275">
          <cell r="H275" t="str">
            <v>2917310.00 Dr</v>
          </cell>
          <cell r="I275" t="str">
            <v>2917310.00</v>
          </cell>
          <cell r="L275">
            <v>0</v>
          </cell>
          <cell r="R275" t="str">
            <v>191040.00 Cr</v>
          </cell>
          <cell r="S275">
            <v>-191040</v>
          </cell>
          <cell r="V275">
            <v>0</v>
          </cell>
        </row>
        <row r="276">
          <cell r="G276" t="str">
            <v>SB22278</v>
          </cell>
          <cell r="H276" t="str">
            <v>2917310.00 Dr</v>
          </cell>
          <cell r="I276" t="str">
            <v>2917310.00</v>
          </cell>
          <cell r="J276" t="str">
            <v>SB22278</v>
          </cell>
          <cell r="L276">
            <v>0</v>
          </cell>
          <cell r="Q276" t="str">
            <v>SB22278</v>
          </cell>
          <cell r="R276" t="str">
            <v>191040.00 Cr</v>
          </cell>
          <cell r="S276">
            <v>-191040</v>
          </cell>
          <cell r="T276" t="str">
            <v>SB22278</v>
          </cell>
          <cell r="V276">
            <v>0</v>
          </cell>
        </row>
        <row r="277">
          <cell r="H277" t="str">
            <v>284211.00 Dr</v>
          </cell>
          <cell r="I277" t="str">
            <v>284211.00</v>
          </cell>
          <cell r="L277">
            <v>0</v>
          </cell>
          <cell r="R277" t="str">
            <v>4977138.00 Dr</v>
          </cell>
          <cell r="S277" t="str">
            <v>4977138.00</v>
          </cell>
          <cell r="U277" t="str">
            <v>37403.00 Cr</v>
          </cell>
          <cell r="V277">
            <v>-37403</v>
          </cell>
        </row>
        <row r="278">
          <cell r="G278" t="str">
            <v>SB22344</v>
          </cell>
          <cell r="I278">
            <v>0</v>
          </cell>
          <cell r="J278" t="str">
            <v>SB22344</v>
          </cell>
          <cell r="L278">
            <v>0</v>
          </cell>
          <cell r="Q278" t="str">
            <v>SB22344</v>
          </cell>
          <cell r="R278" t="str">
            <v>4987863.00 Dr</v>
          </cell>
          <cell r="S278" t="str">
            <v>4987863.00</v>
          </cell>
          <cell r="T278" t="str">
            <v>SB22344</v>
          </cell>
          <cell r="U278" t="str">
            <v>37403.00 Cr</v>
          </cell>
          <cell r="V278">
            <v>-37403</v>
          </cell>
        </row>
        <row r="279">
          <cell r="G279" t="str">
            <v>SB22404</v>
          </cell>
          <cell r="I279">
            <v>0</v>
          </cell>
          <cell r="J279" t="str">
            <v>SB22404</v>
          </cell>
          <cell r="L279">
            <v>0</v>
          </cell>
          <cell r="Q279" t="str">
            <v>SB22404</v>
          </cell>
          <cell r="R279" t="str">
            <v>10725.00 Cr</v>
          </cell>
          <cell r="S279">
            <v>-10725</v>
          </cell>
          <cell r="T279" t="str">
            <v>SB22404</v>
          </cell>
          <cell r="V279">
            <v>0</v>
          </cell>
        </row>
        <row r="280">
          <cell r="G280" t="str">
            <v>SB22527</v>
          </cell>
          <cell r="H280" t="str">
            <v>284211.00 Dr</v>
          </cell>
          <cell r="I280" t="str">
            <v>284211.00</v>
          </cell>
          <cell r="J280" t="str">
            <v>SB22527</v>
          </cell>
          <cell r="L280">
            <v>0</v>
          </cell>
          <cell r="Q280" t="str">
            <v>SB22527</v>
          </cell>
          <cell r="S280">
            <v>0</v>
          </cell>
          <cell r="T280" t="str">
            <v>SB22527</v>
          </cell>
          <cell r="V280">
            <v>0</v>
          </cell>
        </row>
        <row r="281">
          <cell r="H281" t="str">
            <v>2099625.00 Cr</v>
          </cell>
          <cell r="I281">
            <v>-2099625</v>
          </cell>
          <cell r="L281">
            <v>0</v>
          </cell>
          <cell r="R281" t="str">
            <v>52459.00 Dr</v>
          </cell>
          <cell r="S281" t="str">
            <v>52459.00</v>
          </cell>
          <cell r="V281">
            <v>0</v>
          </cell>
        </row>
        <row r="282">
          <cell r="G282" t="str">
            <v>SB22612</v>
          </cell>
          <cell r="H282" t="str">
            <v>2099625.00 Cr</v>
          </cell>
          <cell r="I282">
            <v>-2099625</v>
          </cell>
          <cell r="J282" t="str">
            <v>SB22612</v>
          </cell>
          <cell r="L282">
            <v>0</v>
          </cell>
          <cell r="Q282" t="str">
            <v>SB22612</v>
          </cell>
          <cell r="R282" t="str">
            <v>52459.00 Dr</v>
          </cell>
          <cell r="S282" t="str">
            <v>52459.00</v>
          </cell>
          <cell r="T282" t="str">
            <v>SB22612</v>
          </cell>
          <cell r="V282">
            <v>0</v>
          </cell>
        </row>
        <row r="283">
          <cell r="I283">
            <v>0</v>
          </cell>
          <cell r="L283">
            <v>0</v>
          </cell>
          <cell r="R283" t="str">
            <v>30000.00 Cr</v>
          </cell>
          <cell r="S283">
            <v>-30000</v>
          </cell>
          <cell r="V283">
            <v>0</v>
          </cell>
        </row>
        <row r="284">
          <cell r="G284" t="str">
            <v>SB22254</v>
          </cell>
          <cell r="I284">
            <v>0</v>
          </cell>
          <cell r="J284" t="str">
            <v>SB22254</v>
          </cell>
          <cell r="L284">
            <v>0</v>
          </cell>
          <cell r="Q284" t="str">
            <v>SB22254</v>
          </cell>
          <cell r="R284" t="str">
            <v>30000.00 Cr</v>
          </cell>
          <cell r="S284">
            <v>-30000</v>
          </cell>
          <cell r="T284" t="str">
            <v>SB22254</v>
          </cell>
          <cell r="V284">
            <v>0</v>
          </cell>
        </row>
        <row r="285">
          <cell r="I285">
            <v>0</v>
          </cell>
          <cell r="L285">
            <v>0</v>
          </cell>
          <cell r="R285" t="str">
            <v>1553200.00 Cr</v>
          </cell>
          <cell r="S285">
            <v>-1553200</v>
          </cell>
          <cell r="V285">
            <v>0</v>
          </cell>
        </row>
        <row r="286">
          <cell r="G286" t="str">
            <v>SB22316</v>
          </cell>
          <cell r="I286">
            <v>0</v>
          </cell>
          <cell r="J286" t="str">
            <v>SB22316</v>
          </cell>
          <cell r="L286">
            <v>0</v>
          </cell>
          <cell r="Q286" t="str">
            <v>SB22316</v>
          </cell>
          <cell r="R286" t="str">
            <v>1553200.00 Cr</v>
          </cell>
          <cell r="S286">
            <v>-1553200</v>
          </cell>
          <cell r="T286" t="str">
            <v>SB22316</v>
          </cell>
          <cell r="V286">
            <v>0</v>
          </cell>
        </row>
        <row r="287">
          <cell r="H287" t="str">
            <v>928816.00 Dr</v>
          </cell>
          <cell r="I287" t="str">
            <v>928816.00</v>
          </cell>
          <cell r="L287">
            <v>0</v>
          </cell>
          <cell r="S287">
            <v>0</v>
          </cell>
          <cell r="V287">
            <v>0</v>
          </cell>
        </row>
        <row r="288">
          <cell r="G288" t="str">
            <v>SB22448</v>
          </cell>
          <cell r="H288" t="str">
            <v>928816.00 Dr</v>
          </cell>
          <cell r="I288" t="str">
            <v>928816.00</v>
          </cell>
          <cell r="J288" t="str">
            <v>SB22448</v>
          </cell>
          <cell r="L288">
            <v>0</v>
          </cell>
          <cell r="Q288" t="str">
            <v>SB22448</v>
          </cell>
          <cell r="S288">
            <v>0</v>
          </cell>
          <cell r="T288" t="str">
            <v>SB22448</v>
          </cell>
          <cell r="V288">
            <v>0</v>
          </cell>
        </row>
        <row r="289">
          <cell r="H289" t="str">
            <v>437265.00 Cr</v>
          </cell>
          <cell r="I289">
            <v>-437265</v>
          </cell>
          <cell r="L289">
            <v>0</v>
          </cell>
          <cell r="R289" t="str">
            <v>337265.00 Dr</v>
          </cell>
          <cell r="S289" t="str">
            <v>337265.00</v>
          </cell>
          <cell r="V289">
            <v>0</v>
          </cell>
        </row>
        <row r="290">
          <cell r="G290" t="str">
            <v>SB22622</v>
          </cell>
          <cell r="H290" t="str">
            <v>437265.00 Cr</v>
          </cell>
          <cell r="I290">
            <v>-437265</v>
          </cell>
          <cell r="J290" t="str">
            <v>SB22622</v>
          </cell>
          <cell r="L290">
            <v>0</v>
          </cell>
          <cell r="Q290" t="str">
            <v>SB22622</v>
          </cell>
          <cell r="R290" t="str">
            <v>337265.00 Dr</v>
          </cell>
          <cell r="S290" t="str">
            <v>337265.00</v>
          </cell>
          <cell r="T290" t="str">
            <v>SB22622</v>
          </cell>
          <cell r="V290">
            <v>0</v>
          </cell>
        </row>
        <row r="291">
          <cell r="I291">
            <v>0</v>
          </cell>
          <cell r="L291">
            <v>0</v>
          </cell>
          <cell r="R291" t="str">
            <v>692150.00 Cr</v>
          </cell>
          <cell r="S291">
            <v>-692150</v>
          </cell>
          <cell r="V291">
            <v>0</v>
          </cell>
        </row>
        <row r="292">
          <cell r="G292" t="str">
            <v>SB22158</v>
          </cell>
          <cell r="I292">
            <v>0</v>
          </cell>
          <cell r="J292" t="str">
            <v>SB22158</v>
          </cell>
          <cell r="L292">
            <v>0</v>
          </cell>
          <cell r="Q292" t="str">
            <v>SB22158</v>
          </cell>
          <cell r="R292" t="str">
            <v>692150.00 Cr</v>
          </cell>
          <cell r="S292">
            <v>-692150</v>
          </cell>
          <cell r="T292" t="str">
            <v>SB22158</v>
          </cell>
          <cell r="V292">
            <v>0</v>
          </cell>
        </row>
        <row r="293">
          <cell r="H293" t="str">
            <v>25643.00 Cr</v>
          </cell>
          <cell r="I293">
            <v>-25643</v>
          </cell>
          <cell r="L293">
            <v>0</v>
          </cell>
          <cell r="R293" t="str">
            <v>2478034.75 Cr</v>
          </cell>
          <cell r="S293">
            <v>-2478034.75</v>
          </cell>
          <cell r="V293">
            <v>0</v>
          </cell>
        </row>
        <row r="294">
          <cell r="G294" t="str">
            <v>SB22343</v>
          </cell>
          <cell r="I294">
            <v>0</v>
          </cell>
          <cell r="J294" t="str">
            <v>SB22343</v>
          </cell>
          <cell r="L294">
            <v>0</v>
          </cell>
          <cell r="Q294" t="str">
            <v>SB22343</v>
          </cell>
          <cell r="R294" t="str">
            <v>3075000.00 Cr</v>
          </cell>
          <cell r="S294">
            <v>-3075000</v>
          </cell>
          <cell r="T294" t="str">
            <v>SB22343</v>
          </cell>
          <cell r="V294">
            <v>0</v>
          </cell>
        </row>
        <row r="295">
          <cell r="G295" t="str">
            <v>SB22498</v>
          </cell>
          <cell r="I295">
            <v>0</v>
          </cell>
          <cell r="J295" t="str">
            <v>SB22498</v>
          </cell>
          <cell r="L295">
            <v>0</v>
          </cell>
          <cell r="Q295" t="str">
            <v>SB22498</v>
          </cell>
          <cell r="R295" t="str">
            <v>119741.00 Cr</v>
          </cell>
          <cell r="S295">
            <v>-119741</v>
          </cell>
          <cell r="T295" t="str">
            <v>SB22498</v>
          </cell>
          <cell r="V295">
            <v>0</v>
          </cell>
        </row>
        <row r="296">
          <cell r="G296" t="str">
            <v>SB22551</v>
          </cell>
          <cell r="H296" t="str">
            <v>699894.00 Dr</v>
          </cell>
          <cell r="I296" t="str">
            <v>699894.00</v>
          </cell>
          <cell r="J296" t="str">
            <v>SB22551</v>
          </cell>
          <cell r="L296">
            <v>0</v>
          </cell>
          <cell r="Q296" t="str">
            <v>SB22551</v>
          </cell>
          <cell r="R296" t="str">
            <v>303120.00 Cr</v>
          </cell>
          <cell r="S296">
            <v>-303120</v>
          </cell>
          <cell r="T296" t="str">
            <v>SB22551</v>
          </cell>
          <cell r="V296">
            <v>0</v>
          </cell>
        </row>
        <row r="297">
          <cell r="G297" t="str">
            <v>SB22557</v>
          </cell>
          <cell r="I297">
            <v>0</v>
          </cell>
          <cell r="J297" t="str">
            <v>SB22557</v>
          </cell>
          <cell r="L297">
            <v>0</v>
          </cell>
          <cell r="Q297" t="str">
            <v>SB22557</v>
          </cell>
          <cell r="R297" t="str">
            <v>138700.00 Cr</v>
          </cell>
          <cell r="S297">
            <v>-138700</v>
          </cell>
          <cell r="T297" t="str">
            <v>SB22557</v>
          </cell>
          <cell r="V297">
            <v>0</v>
          </cell>
        </row>
        <row r="298">
          <cell r="G298" t="str">
            <v>SB22574</v>
          </cell>
          <cell r="I298">
            <v>0</v>
          </cell>
          <cell r="J298" t="str">
            <v>SB22574</v>
          </cell>
          <cell r="L298">
            <v>0</v>
          </cell>
          <cell r="Q298" t="str">
            <v>SB22574</v>
          </cell>
          <cell r="R298" t="str">
            <v>582989.25 Dr</v>
          </cell>
          <cell r="S298" t="str">
            <v>582989.25</v>
          </cell>
          <cell r="T298" t="str">
            <v>SB22574</v>
          </cell>
          <cell r="V298">
            <v>0</v>
          </cell>
        </row>
        <row r="299">
          <cell r="G299" t="str">
            <v>SB22656</v>
          </cell>
          <cell r="H299" t="str">
            <v>725537.00 Cr</v>
          </cell>
          <cell r="I299">
            <v>-725537</v>
          </cell>
          <cell r="J299" t="str">
            <v>SB22656</v>
          </cell>
          <cell r="L299">
            <v>0</v>
          </cell>
          <cell r="Q299" t="str">
            <v>SB22656</v>
          </cell>
          <cell r="R299" t="str">
            <v>575537.00 Dr</v>
          </cell>
          <cell r="S299" t="str">
            <v>575537.00</v>
          </cell>
          <cell r="T299" t="str">
            <v>SB22656</v>
          </cell>
          <cell r="V299">
            <v>0</v>
          </cell>
        </row>
        <row r="300">
          <cell r="I300">
            <v>0</v>
          </cell>
          <cell r="L300">
            <v>0</v>
          </cell>
          <cell r="R300" t="str">
            <v>45000.00 Cr</v>
          </cell>
          <cell r="S300">
            <v>-45000</v>
          </cell>
          <cell r="V300">
            <v>0</v>
          </cell>
        </row>
        <row r="301">
          <cell r="G301" t="str">
            <v>SB22115</v>
          </cell>
          <cell r="I301">
            <v>0</v>
          </cell>
          <cell r="J301" t="str">
            <v>SB22115</v>
          </cell>
          <cell r="L301">
            <v>0</v>
          </cell>
          <cell r="Q301" t="str">
            <v>SB22115</v>
          </cell>
          <cell r="R301" t="str">
            <v>45000.00 Cr</v>
          </cell>
          <cell r="S301">
            <v>-45000</v>
          </cell>
          <cell r="T301" t="str">
            <v>SB22115</v>
          </cell>
          <cell r="V301">
            <v>0</v>
          </cell>
        </row>
        <row r="302">
          <cell r="I302">
            <v>0</v>
          </cell>
          <cell r="L302">
            <v>0</v>
          </cell>
          <cell r="R302" t="str">
            <v>541000.00 Cr</v>
          </cell>
          <cell r="S302">
            <v>-541000</v>
          </cell>
          <cell r="V302">
            <v>0</v>
          </cell>
        </row>
        <row r="303">
          <cell r="G303" t="str">
            <v>SB22329</v>
          </cell>
          <cell r="I303">
            <v>0</v>
          </cell>
          <cell r="J303" t="str">
            <v>SB22329</v>
          </cell>
          <cell r="L303">
            <v>0</v>
          </cell>
          <cell r="Q303" t="str">
            <v>SB22329</v>
          </cell>
          <cell r="R303" t="str">
            <v>541000.00 Cr</v>
          </cell>
          <cell r="S303">
            <v>-541000</v>
          </cell>
          <cell r="T303" t="str">
            <v>SB22329</v>
          </cell>
          <cell r="V303">
            <v>0</v>
          </cell>
        </row>
        <row r="304">
          <cell r="I304">
            <v>0</v>
          </cell>
          <cell r="L304">
            <v>0</v>
          </cell>
          <cell r="R304" t="str">
            <v>8898.00 Cr</v>
          </cell>
          <cell r="S304">
            <v>-8898</v>
          </cell>
          <cell r="V304">
            <v>0</v>
          </cell>
        </row>
        <row r="305">
          <cell r="G305" t="str">
            <v>SB22459</v>
          </cell>
          <cell r="I305">
            <v>0</v>
          </cell>
          <cell r="J305" t="str">
            <v>SB22459</v>
          </cell>
          <cell r="L305">
            <v>0</v>
          </cell>
          <cell r="Q305" t="str">
            <v>SB22459</v>
          </cell>
          <cell r="R305" t="str">
            <v>8898.00 Cr</v>
          </cell>
          <cell r="S305">
            <v>-8898</v>
          </cell>
          <cell r="T305" t="str">
            <v>SB22459</v>
          </cell>
          <cell r="V305">
            <v>0</v>
          </cell>
        </row>
        <row r="306">
          <cell r="H306" t="str">
            <v>3518535.00 Cr</v>
          </cell>
          <cell r="I306">
            <v>-3518535</v>
          </cell>
          <cell r="K306" t="str">
            <v>54004.00 Dr</v>
          </cell>
          <cell r="L306" t="str">
            <v>54004.00</v>
          </cell>
          <cell r="R306" t="str">
            <v>6111280.75 Cr</v>
          </cell>
          <cell r="S306">
            <v>-6111280.75</v>
          </cell>
          <cell r="V306">
            <v>0</v>
          </cell>
        </row>
        <row r="307">
          <cell r="H307" t="str">
            <v>3518535.00 Cr</v>
          </cell>
          <cell r="I307">
            <v>-3518535</v>
          </cell>
          <cell r="K307" t="str">
            <v>54004.00 Dr</v>
          </cell>
          <cell r="L307" t="str">
            <v>54004.00</v>
          </cell>
          <cell r="R307" t="str">
            <v>6111280.75 Cr</v>
          </cell>
          <cell r="S307">
            <v>-6111280.75</v>
          </cell>
          <cell r="V307">
            <v>0</v>
          </cell>
        </row>
        <row r="308">
          <cell r="G308" t="str">
            <v>SB22204</v>
          </cell>
          <cell r="I308">
            <v>0</v>
          </cell>
          <cell r="J308" t="str">
            <v>SB22204</v>
          </cell>
          <cell r="K308" t="str">
            <v>54004.00 Dr</v>
          </cell>
          <cell r="L308" t="str">
            <v>54004.00</v>
          </cell>
          <cell r="Q308" t="str">
            <v>SB22204</v>
          </cell>
          <cell r="S308">
            <v>0</v>
          </cell>
          <cell r="T308" t="str">
            <v>SB22204</v>
          </cell>
          <cell r="V308">
            <v>0</v>
          </cell>
        </row>
        <row r="309">
          <cell r="G309" t="str">
            <v>SB22460</v>
          </cell>
          <cell r="I309">
            <v>0</v>
          </cell>
          <cell r="J309" t="str">
            <v>SB22460</v>
          </cell>
          <cell r="L309">
            <v>0</v>
          </cell>
          <cell r="Q309" t="str">
            <v>SB22460</v>
          </cell>
          <cell r="R309" t="str">
            <v>55000.00 Cr</v>
          </cell>
          <cell r="S309">
            <v>-55000</v>
          </cell>
          <cell r="T309" t="str">
            <v>SB22460</v>
          </cell>
          <cell r="V309">
            <v>0</v>
          </cell>
        </row>
        <row r="310">
          <cell r="G310" t="str">
            <v>SB22615</v>
          </cell>
          <cell r="I310">
            <v>0</v>
          </cell>
          <cell r="J310" t="str">
            <v>SB22615</v>
          </cell>
          <cell r="L310">
            <v>0</v>
          </cell>
          <cell r="Q310" t="str">
            <v>SB22615</v>
          </cell>
          <cell r="R310" t="str">
            <v>8867050.75 Cr</v>
          </cell>
          <cell r="S310">
            <v>-8867050.75</v>
          </cell>
          <cell r="T310" t="str">
            <v>SB22615</v>
          </cell>
          <cell r="V310">
            <v>0</v>
          </cell>
        </row>
        <row r="311">
          <cell r="G311" t="str">
            <v>SB22618</v>
          </cell>
          <cell r="H311" t="str">
            <v>3518535.00 Cr</v>
          </cell>
          <cell r="I311">
            <v>-3518535</v>
          </cell>
          <cell r="J311" t="str">
            <v>SB22618</v>
          </cell>
          <cell r="L311">
            <v>0</v>
          </cell>
          <cell r="Q311" t="str">
            <v>SB22618</v>
          </cell>
          <cell r="R311" t="str">
            <v>2810770.00 Dr</v>
          </cell>
          <cell r="S311" t="str">
            <v>2810770.00</v>
          </cell>
          <cell r="T311" t="str">
            <v>SB22618</v>
          </cell>
          <cell r="V311">
            <v>0</v>
          </cell>
        </row>
        <row r="312">
          <cell r="H312" t="str">
            <v>3620460.00 Cr</v>
          </cell>
          <cell r="I312">
            <v>-3620460</v>
          </cell>
          <cell r="K312" t="str">
            <v>515900.00 Dr</v>
          </cell>
          <cell r="L312" t="str">
            <v>515900.00</v>
          </cell>
          <cell r="R312" t="str">
            <v>2304916.01 Dr</v>
          </cell>
          <cell r="S312" t="str">
            <v>2304916.01</v>
          </cell>
          <cell r="V312">
            <v>0</v>
          </cell>
        </row>
        <row r="313">
          <cell r="H313" t="str">
            <v>250000.00 Dr</v>
          </cell>
          <cell r="I313" t="str">
            <v>250000.00</v>
          </cell>
          <cell r="L313">
            <v>0</v>
          </cell>
          <cell r="R313" t="str">
            <v>1139500.00 Cr</v>
          </cell>
          <cell r="S313">
            <v>-1139500</v>
          </cell>
          <cell r="V313">
            <v>0</v>
          </cell>
        </row>
        <row r="314">
          <cell r="G314" t="str">
            <v>SB22414</v>
          </cell>
          <cell r="H314" t="str">
            <v>250000.00 Dr</v>
          </cell>
          <cell r="I314" t="str">
            <v>250000.00</v>
          </cell>
          <cell r="J314" t="str">
            <v>SB22414</v>
          </cell>
          <cell r="L314">
            <v>0</v>
          </cell>
          <cell r="Q314" t="str">
            <v>SB22414</v>
          </cell>
          <cell r="R314" t="str">
            <v>1139500.00 Cr</v>
          </cell>
          <cell r="S314">
            <v>-1139500</v>
          </cell>
          <cell r="T314" t="str">
            <v>SB22414</v>
          </cell>
          <cell r="V314">
            <v>0</v>
          </cell>
        </row>
        <row r="315">
          <cell r="G315" t="str">
            <v>SB22626</v>
          </cell>
          <cell r="I315">
            <v>0</v>
          </cell>
          <cell r="J315" t="str">
            <v>SB22626</v>
          </cell>
          <cell r="L315">
            <v>0</v>
          </cell>
          <cell r="Q315" t="str">
            <v>SB22626</v>
          </cell>
          <cell r="S315">
            <v>0</v>
          </cell>
          <cell r="T315" t="str">
            <v>SB22626</v>
          </cell>
          <cell r="V315">
            <v>0</v>
          </cell>
        </row>
        <row r="316">
          <cell r="H316" t="str">
            <v>3870460.00 Cr</v>
          </cell>
          <cell r="I316">
            <v>-3870460</v>
          </cell>
          <cell r="K316" t="str">
            <v>515900.00 Dr</v>
          </cell>
          <cell r="L316" t="str">
            <v>515900.00</v>
          </cell>
          <cell r="R316" t="str">
            <v>3444416.01 Dr</v>
          </cell>
          <cell r="S316" t="str">
            <v>3444416.01</v>
          </cell>
          <cell r="V316">
            <v>0</v>
          </cell>
        </row>
        <row r="317">
          <cell r="G317" t="str">
            <v>SB22559</v>
          </cell>
          <cell r="H317" t="str">
            <v>2150500.00 Cr</v>
          </cell>
          <cell r="I317">
            <v>-2150500</v>
          </cell>
          <cell r="J317" t="str">
            <v>SB22559</v>
          </cell>
          <cell r="L317">
            <v>0</v>
          </cell>
          <cell r="Q317" t="str">
            <v>SB22559</v>
          </cell>
          <cell r="R317" t="str">
            <v>1550770.00 Dr</v>
          </cell>
          <cell r="S317" t="str">
            <v>1550770.00</v>
          </cell>
          <cell r="T317" t="str">
            <v>SB22559</v>
          </cell>
          <cell r="V317">
            <v>0</v>
          </cell>
        </row>
        <row r="318">
          <cell r="G318" t="str">
            <v>SB22560</v>
          </cell>
          <cell r="I318">
            <v>0</v>
          </cell>
          <cell r="J318" t="str">
            <v>SB22560</v>
          </cell>
          <cell r="K318" t="str">
            <v>515900.00 Dr</v>
          </cell>
          <cell r="L318" t="str">
            <v>515900.00</v>
          </cell>
          <cell r="Q318" t="str">
            <v>SB22560</v>
          </cell>
          <cell r="R318" t="str">
            <v>481036.01 Dr</v>
          </cell>
          <cell r="S318" t="str">
            <v>481036.01</v>
          </cell>
          <cell r="T318" t="str">
            <v>SB22560</v>
          </cell>
          <cell r="V318">
            <v>0</v>
          </cell>
        </row>
        <row r="319">
          <cell r="G319" t="str">
            <v>SB22623</v>
          </cell>
          <cell r="H319" t="str">
            <v>1719960.00 Cr</v>
          </cell>
          <cell r="I319">
            <v>-1719960</v>
          </cell>
          <cell r="J319" t="str">
            <v>SB22623</v>
          </cell>
          <cell r="L319">
            <v>0</v>
          </cell>
          <cell r="Q319" t="str">
            <v>SB22623</v>
          </cell>
          <cell r="R319" t="str">
            <v>1412610.00 Dr</v>
          </cell>
          <cell r="S319" t="str">
            <v>1412610.00</v>
          </cell>
          <cell r="T319" t="str">
            <v>SB22623</v>
          </cell>
          <cell r="V319">
            <v>0</v>
          </cell>
        </row>
        <row r="320">
          <cell r="G320" t="str">
            <v>SB22666</v>
          </cell>
          <cell r="I320">
            <v>0</v>
          </cell>
          <cell r="J320" t="str">
            <v>SB22666</v>
          </cell>
          <cell r="L320">
            <v>0</v>
          </cell>
          <cell r="Q320" t="str">
            <v>SB22666</v>
          </cell>
          <cell r="S320">
            <v>0</v>
          </cell>
          <cell r="T320" t="str">
            <v>SB22666</v>
          </cell>
          <cell r="V320">
            <v>0</v>
          </cell>
        </row>
        <row r="321">
          <cell r="H321" t="str">
            <v>19866793.00 Dr</v>
          </cell>
          <cell r="I321" t="str">
            <v>19866793.00</v>
          </cell>
          <cell r="L321">
            <v>0</v>
          </cell>
          <cell r="R321" t="str">
            <v>10163480.80 Dr</v>
          </cell>
          <cell r="S321" t="str">
            <v>10163480.80</v>
          </cell>
          <cell r="U321" t="str">
            <v>50000.00 Cr</v>
          </cell>
          <cell r="V321">
            <v>-50000</v>
          </cell>
        </row>
        <row r="322">
          <cell r="H322" t="str">
            <v>5322150.00 Cr</v>
          </cell>
          <cell r="I322">
            <v>-5322150</v>
          </cell>
          <cell r="L322">
            <v>0</v>
          </cell>
          <cell r="R322" t="str">
            <v>865505.40 Dr</v>
          </cell>
          <cell r="S322" t="str">
            <v>865505.40</v>
          </cell>
          <cell r="V322">
            <v>0</v>
          </cell>
        </row>
        <row r="323">
          <cell r="G323" t="str">
            <v>SB22263</v>
          </cell>
          <cell r="H323" t="str">
            <v>6890903.00 Cr</v>
          </cell>
          <cell r="I323">
            <v>-6890903</v>
          </cell>
          <cell r="J323" t="str">
            <v>SB22263</v>
          </cell>
          <cell r="L323">
            <v>0</v>
          </cell>
          <cell r="Q323" t="str">
            <v>SB22263</v>
          </cell>
          <cell r="R323" t="str">
            <v>2077155.40 Dr</v>
          </cell>
          <cell r="S323" t="str">
            <v>2077155.40</v>
          </cell>
          <cell r="T323" t="str">
            <v>SB22263</v>
          </cell>
          <cell r="V323">
            <v>0</v>
          </cell>
        </row>
        <row r="324">
          <cell r="G324" t="str">
            <v>SB22477</v>
          </cell>
          <cell r="H324" t="str">
            <v>1568753.00 Dr</v>
          </cell>
          <cell r="I324" t="str">
            <v>1568753.00</v>
          </cell>
          <cell r="J324" t="str">
            <v>SB22477</v>
          </cell>
          <cell r="L324">
            <v>0</v>
          </cell>
          <cell r="Q324" t="str">
            <v>SB22477</v>
          </cell>
          <cell r="R324" t="str">
            <v>1211650.00 Cr</v>
          </cell>
          <cell r="S324">
            <v>-1211650</v>
          </cell>
          <cell r="T324" t="str">
            <v>SB22477</v>
          </cell>
          <cell r="V324">
            <v>0</v>
          </cell>
        </row>
        <row r="325">
          <cell r="G325" t="str">
            <v>SB22640</v>
          </cell>
          <cell r="I325">
            <v>0</v>
          </cell>
          <cell r="J325" t="str">
            <v>SB22640</v>
          </cell>
          <cell r="L325">
            <v>0</v>
          </cell>
          <cell r="Q325" t="str">
            <v>SB22640</v>
          </cell>
          <cell r="S325">
            <v>0</v>
          </cell>
          <cell r="T325" t="str">
            <v>SB22640</v>
          </cell>
          <cell r="V325">
            <v>0</v>
          </cell>
        </row>
        <row r="326">
          <cell r="G326" t="str">
            <v>SB22657</v>
          </cell>
          <cell r="I326">
            <v>0</v>
          </cell>
          <cell r="J326" t="str">
            <v>SB22657</v>
          </cell>
          <cell r="L326">
            <v>0</v>
          </cell>
          <cell r="Q326" t="str">
            <v>SB22657</v>
          </cell>
          <cell r="S326">
            <v>0</v>
          </cell>
          <cell r="T326" t="str">
            <v>SB22657</v>
          </cell>
          <cell r="V326">
            <v>0</v>
          </cell>
        </row>
        <row r="327">
          <cell r="H327" t="str">
            <v>779970.00 Dr</v>
          </cell>
          <cell r="I327" t="str">
            <v>779970.00</v>
          </cell>
          <cell r="L327">
            <v>0</v>
          </cell>
          <cell r="R327" t="str">
            <v>375938.50 Cr</v>
          </cell>
          <cell r="S327">
            <v>-375938.5</v>
          </cell>
          <cell r="V327">
            <v>0</v>
          </cell>
        </row>
        <row r="328">
          <cell r="G328" t="str">
            <v>SB22475</v>
          </cell>
          <cell r="I328">
            <v>0</v>
          </cell>
          <cell r="J328" t="str">
            <v>SB22475</v>
          </cell>
          <cell r="L328">
            <v>0</v>
          </cell>
          <cell r="Q328" t="str">
            <v>SB22475</v>
          </cell>
          <cell r="R328" t="str">
            <v>1312055.00 Cr</v>
          </cell>
          <cell r="S328">
            <v>-1312055</v>
          </cell>
          <cell r="T328" t="str">
            <v>SB22475</v>
          </cell>
          <cell r="V328">
            <v>0</v>
          </cell>
        </row>
        <row r="329">
          <cell r="G329" t="str">
            <v>SB22483</v>
          </cell>
          <cell r="H329" t="str">
            <v>2475150.00 Dr</v>
          </cell>
          <cell r="I329" t="str">
            <v>2475150.00</v>
          </cell>
          <cell r="J329" t="str">
            <v>SB22483</v>
          </cell>
          <cell r="L329">
            <v>0</v>
          </cell>
          <cell r="Q329" t="str">
            <v>SB22483</v>
          </cell>
          <cell r="R329" t="str">
            <v>187950.00 Cr</v>
          </cell>
          <cell r="S329">
            <v>-187950</v>
          </cell>
          <cell r="T329" t="str">
            <v>SB22483</v>
          </cell>
          <cell r="V329">
            <v>0</v>
          </cell>
        </row>
        <row r="330">
          <cell r="G330" t="str">
            <v>SB22577</v>
          </cell>
          <cell r="H330" t="str">
            <v>832754.00 Cr</v>
          </cell>
          <cell r="I330">
            <v>-832754</v>
          </cell>
          <cell r="J330" t="str">
            <v>SB22577</v>
          </cell>
          <cell r="L330">
            <v>0</v>
          </cell>
          <cell r="Q330" t="str">
            <v>SB22577</v>
          </cell>
          <cell r="R330" t="str">
            <v>569066.50 Dr</v>
          </cell>
          <cell r="S330" t="str">
            <v>569066.50</v>
          </cell>
          <cell r="T330" t="str">
            <v>SB22577</v>
          </cell>
          <cell r="V330">
            <v>0</v>
          </cell>
        </row>
        <row r="331">
          <cell r="G331" t="str">
            <v>SB22646</v>
          </cell>
          <cell r="H331" t="str">
            <v>862426.00 Cr</v>
          </cell>
          <cell r="I331">
            <v>-862426</v>
          </cell>
          <cell r="J331" t="str">
            <v>SB22646</v>
          </cell>
          <cell r="L331">
            <v>0</v>
          </cell>
          <cell r="Q331" t="str">
            <v>SB22646</v>
          </cell>
          <cell r="R331" t="str">
            <v>555000.00 Dr</v>
          </cell>
          <cell r="S331" t="str">
            <v>555000.00</v>
          </cell>
          <cell r="T331" t="str">
            <v>SB22646</v>
          </cell>
          <cell r="V331">
            <v>0</v>
          </cell>
        </row>
        <row r="332">
          <cell r="H332" t="str">
            <v>1610670.00 Cr</v>
          </cell>
          <cell r="I332">
            <v>-1610670</v>
          </cell>
          <cell r="L332">
            <v>0</v>
          </cell>
          <cell r="R332" t="str">
            <v>994812.00 Dr</v>
          </cell>
          <cell r="S332" t="str">
            <v>994812.00</v>
          </cell>
          <cell r="V332">
            <v>0</v>
          </cell>
        </row>
        <row r="333">
          <cell r="G333" t="str">
            <v>SB22598</v>
          </cell>
          <cell r="H333" t="str">
            <v>1610670.00 Cr</v>
          </cell>
          <cell r="I333">
            <v>-1610670</v>
          </cell>
          <cell r="J333" t="str">
            <v>SB22598</v>
          </cell>
          <cell r="L333">
            <v>0</v>
          </cell>
          <cell r="Q333" t="str">
            <v>SB22598</v>
          </cell>
          <cell r="R333" t="str">
            <v>994812.00 Dr</v>
          </cell>
          <cell r="S333" t="str">
            <v>994812.00</v>
          </cell>
          <cell r="T333" t="str">
            <v>SB22598</v>
          </cell>
          <cell r="V333">
            <v>0</v>
          </cell>
        </row>
        <row r="334">
          <cell r="H334" t="str">
            <v>7894260.00 Dr</v>
          </cell>
          <cell r="I334" t="str">
            <v>7894260.00</v>
          </cell>
          <cell r="L334">
            <v>0</v>
          </cell>
          <cell r="R334" t="str">
            <v>4735048.76 Cr</v>
          </cell>
          <cell r="S334">
            <v>-4735048.76</v>
          </cell>
          <cell r="U334" t="str">
            <v>50000.00 Cr</v>
          </cell>
          <cell r="V334">
            <v>-50000</v>
          </cell>
        </row>
        <row r="335">
          <cell r="G335" t="str">
            <v>SB22500</v>
          </cell>
          <cell r="H335" t="str">
            <v>7894260.00 Dr</v>
          </cell>
          <cell r="I335" t="str">
            <v>7894260.00</v>
          </cell>
          <cell r="J335" t="str">
            <v>SB22500</v>
          </cell>
          <cell r="L335">
            <v>0</v>
          </cell>
          <cell r="Q335" t="str">
            <v>SB22500</v>
          </cell>
          <cell r="R335" t="str">
            <v>4735048.76 Cr</v>
          </cell>
          <cell r="S335">
            <v>-4735048.76</v>
          </cell>
          <cell r="T335" t="str">
            <v>SB22500</v>
          </cell>
          <cell r="U335" t="str">
            <v>50000.00 Cr</v>
          </cell>
          <cell r="V335">
            <v>-50000</v>
          </cell>
        </row>
        <row r="336">
          <cell r="G336" t="str">
            <v>SB22662</v>
          </cell>
          <cell r="I336">
            <v>0</v>
          </cell>
          <cell r="J336" t="str">
            <v>SB22662</v>
          </cell>
          <cell r="L336">
            <v>0</v>
          </cell>
          <cell r="Q336" t="str">
            <v>SB22662</v>
          </cell>
          <cell r="S336">
            <v>0</v>
          </cell>
          <cell r="T336" t="str">
            <v>SB22662</v>
          </cell>
          <cell r="V336">
            <v>0</v>
          </cell>
        </row>
        <row r="337">
          <cell r="H337" t="str">
            <v>11025023.00 Dr</v>
          </cell>
          <cell r="I337" t="str">
            <v>11025023.00</v>
          </cell>
          <cell r="L337">
            <v>0</v>
          </cell>
          <cell r="R337" t="str">
            <v>6873500.00 Dr</v>
          </cell>
          <cell r="S337" t="str">
            <v>6873500.00</v>
          </cell>
          <cell r="V337">
            <v>0</v>
          </cell>
        </row>
        <row r="338">
          <cell r="G338" t="str">
            <v>SB22159</v>
          </cell>
          <cell r="H338" t="str">
            <v>11025023.00 Dr</v>
          </cell>
          <cell r="I338" t="str">
            <v>11025023.00</v>
          </cell>
          <cell r="J338" t="str">
            <v>SB22159</v>
          </cell>
          <cell r="L338">
            <v>0</v>
          </cell>
          <cell r="Q338" t="str">
            <v>SB22159</v>
          </cell>
          <cell r="S338">
            <v>0</v>
          </cell>
          <cell r="T338" t="str">
            <v>SB22159</v>
          </cell>
          <cell r="V338">
            <v>0</v>
          </cell>
        </row>
        <row r="339">
          <cell r="G339" t="str">
            <v>SB22613</v>
          </cell>
          <cell r="I339">
            <v>0</v>
          </cell>
          <cell r="J339" t="str">
            <v>SB22613</v>
          </cell>
          <cell r="L339">
            <v>0</v>
          </cell>
          <cell r="Q339" t="str">
            <v>SB22613</v>
          </cell>
          <cell r="R339" t="str">
            <v>6873500.00 Dr</v>
          </cell>
          <cell r="S339" t="str">
            <v>6873500.00</v>
          </cell>
          <cell r="T339" t="str">
            <v>SB22613</v>
          </cell>
          <cell r="V339">
            <v>0</v>
          </cell>
        </row>
        <row r="340">
          <cell r="H340" t="str">
            <v>7100360.00 Dr</v>
          </cell>
          <cell r="I340" t="str">
            <v>7100360.00</v>
          </cell>
          <cell r="L340">
            <v>0</v>
          </cell>
          <cell r="R340" t="str">
            <v>6540650.66 Dr</v>
          </cell>
          <cell r="S340" t="str">
            <v>6540650.66</v>
          </cell>
          <cell r="V340">
            <v>0</v>
          </cell>
        </row>
        <row r="341">
          <cell r="G341" t="str">
            <v>SB22455</v>
          </cell>
          <cell r="H341" t="str">
            <v>14000000.00 Dr</v>
          </cell>
          <cell r="I341" t="str">
            <v>14000000.00</v>
          </cell>
          <cell r="J341" t="str">
            <v>SB22455</v>
          </cell>
          <cell r="L341">
            <v>0</v>
          </cell>
          <cell r="Q341" t="str">
            <v>SB22455</v>
          </cell>
          <cell r="R341" t="str">
            <v>3294032.00 Cr</v>
          </cell>
          <cell r="S341">
            <v>-3294032</v>
          </cell>
          <cell r="T341" t="str">
            <v>SB22455</v>
          </cell>
          <cell r="V341">
            <v>0</v>
          </cell>
        </row>
        <row r="342">
          <cell r="G342" t="str">
            <v>SB22569</v>
          </cell>
          <cell r="H342" t="str">
            <v>6899640.00 Cr</v>
          </cell>
          <cell r="I342">
            <v>-6899640</v>
          </cell>
          <cell r="J342" t="str">
            <v>SB22569</v>
          </cell>
          <cell r="L342">
            <v>0</v>
          </cell>
          <cell r="Q342" t="str">
            <v>SB22569</v>
          </cell>
          <cell r="R342" t="str">
            <v>9834682.66 Dr</v>
          </cell>
          <cell r="S342" t="str">
            <v>9834682.66</v>
          </cell>
          <cell r="T342" t="str">
            <v>SB22569</v>
          </cell>
          <cell r="V342">
            <v>0</v>
          </cell>
        </row>
        <row r="343">
          <cell r="I343">
            <v>0</v>
          </cell>
          <cell r="L343">
            <v>0</v>
          </cell>
          <cell r="S343">
            <v>0</v>
          </cell>
          <cell r="V343">
            <v>0</v>
          </cell>
        </row>
        <row r="344">
          <cell r="I344">
            <v>0</v>
          </cell>
          <cell r="L344">
            <v>0</v>
          </cell>
          <cell r="S344">
            <v>0</v>
          </cell>
          <cell r="V344">
            <v>0</v>
          </cell>
        </row>
        <row r="345">
          <cell r="G345" t="str">
            <v>SB21466</v>
          </cell>
          <cell r="I345">
            <v>0</v>
          </cell>
          <cell r="J345" t="str">
            <v>SB21466</v>
          </cell>
          <cell r="L345">
            <v>0</v>
          </cell>
          <cell r="Q345" t="str">
            <v>SB21466</v>
          </cell>
          <cell r="S345">
            <v>0</v>
          </cell>
          <cell r="T345" t="str">
            <v>SB21466</v>
          </cell>
          <cell r="V345">
            <v>0</v>
          </cell>
        </row>
        <row r="346">
          <cell r="H346" t="str">
            <v>(-)55,30,092.08</v>
          </cell>
          <cell r="K346" t="str">
            <v>34,55,767.76</v>
          </cell>
          <cell r="R346" t="str">
            <v>2,47,69,230.65</v>
          </cell>
          <cell r="U346" t="str">
            <v>51,23,186.00</v>
          </cell>
        </row>
      </sheetData>
      <sheetData sheetId="5">
        <row r="1">
          <cell r="H1" t="str">
            <v>Project Code</v>
          </cell>
          <cell r="I1" t="str">
            <v>JVValue(S)</v>
          </cell>
          <cell r="J1" t="str">
            <v>Project Code</v>
          </cell>
          <cell r="K1" t="str">
            <v>Credit Note</v>
          </cell>
          <cell r="P1" t="str">
            <v>Project Code</v>
          </cell>
          <cell r="Q1" t="str">
            <v>JVValue(P)</v>
          </cell>
          <cell r="R1" t="str">
            <v>Project Code</v>
          </cell>
          <cell r="S1" t="str">
            <v>Debit Note</v>
          </cell>
        </row>
        <row r="2">
          <cell r="H2" t="str">
            <v>SB22621</v>
          </cell>
          <cell r="I2">
            <v>0</v>
          </cell>
          <cell r="J2" t="str">
            <v>SB22621</v>
          </cell>
          <cell r="K2">
            <v>0</v>
          </cell>
          <cell r="P2" t="str">
            <v>SB22621</v>
          </cell>
          <cell r="Q2">
            <v>13450</v>
          </cell>
          <cell r="R2" t="str">
            <v>SB22621</v>
          </cell>
          <cell r="S2">
            <v>0</v>
          </cell>
        </row>
        <row r="3">
          <cell r="H3" t="str">
            <v>SB22611</v>
          </cell>
          <cell r="I3">
            <v>0</v>
          </cell>
          <cell r="J3" t="str">
            <v>SB22611</v>
          </cell>
          <cell r="K3">
            <v>0</v>
          </cell>
          <cell r="P3" t="str">
            <v>SB22611</v>
          </cell>
          <cell r="Q3">
            <v>16000</v>
          </cell>
          <cell r="R3" t="str">
            <v>SB22611</v>
          </cell>
          <cell r="S3">
            <v>0</v>
          </cell>
        </row>
        <row r="4">
          <cell r="H4" t="str">
            <v>SB22647</v>
          </cell>
          <cell r="I4">
            <v>97440</v>
          </cell>
          <cell r="J4" t="str">
            <v>SB22647</v>
          </cell>
          <cell r="K4">
            <v>0</v>
          </cell>
          <cell r="P4" t="str">
            <v>SB22647</v>
          </cell>
          <cell r="Q4">
            <v>65000</v>
          </cell>
          <cell r="R4" t="str">
            <v>SB22647</v>
          </cell>
          <cell r="S4">
            <v>0</v>
          </cell>
        </row>
        <row r="5">
          <cell r="H5" t="str">
            <v>SB21992</v>
          </cell>
          <cell r="I5">
            <v>0</v>
          </cell>
          <cell r="J5" t="str">
            <v>SB21992</v>
          </cell>
          <cell r="K5">
            <v>0</v>
          </cell>
          <cell r="P5" t="str">
            <v>SB21992</v>
          </cell>
          <cell r="Q5">
            <v>-19848.91</v>
          </cell>
          <cell r="R5" t="str">
            <v>SB21992</v>
          </cell>
          <cell r="S5">
            <v>0</v>
          </cell>
        </row>
        <row r="6">
          <cell r="H6" t="str">
            <v>SB22666</v>
          </cell>
          <cell r="I6">
            <v>0</v>
          </cell>
          <cell r="J6" t="str">
            <v>SB22666</v>
          </cell>
          <cell r="K6">
            <v>0</v>
          </cell>
          <cell r="P6" t="str">
            <v>SB22666</v>
          </cell>
          <cell r="Q6">
            <v>0</v>
          </cell>
          <cell r="R6" t="str">
            <v>SB22666</v>
          </cell>
          <cell r="S6">
            <v>0</v>
          </cell>
        </row>
        <row r="7">
          <cell r="H7" t="str">
            <v>SB22662</v>
          </cell>
          <cell r="I7">
            <v>0</v>
          </cell>
          <cell r="J7" t="str">
            <v>SB22662</v>
          </cell>
          <cell r="K7">
            <v>0</v>
          </cell>
          <cell r="P7" t="str">
            <v>SB22662</v>
          </cell>
          <cell r="Q7">
            <v>0</v>
          </cell>
          <cell r="R7" t="str">
            <v>SB22662</v>
          </cell>
          <cell r="S7">
            <v>0</v>
          </cell>
        </row>
        <row r="8">
          <cell r="H8" t="str">
            <v>SB22664</v>
          </cell>
          <cell r="I8">
            <v>0</v>
          </cell>
          <cell r="J8" t="str">
            <v>SB22664</v>
          </cell>
          <cell r="K8">
            <v>0</v>
          </cell>
          <cell r="P8" t="str">
            <v>SB22664</v>
          </cell>
          <cell r="Q8">
            <v>0</v>
          </cell>
          <cell r="R8" t="str">
            <v>SB22664</v>
          </cell>
          <cell r="S8">
            <v>0</v>
          </cell>
        </row>
        <row r="9">
          <cell r="H9" t="str">
            <v>SB22659</v>
          </cell>
          <cell r="I9">
            <v>178178</v>
          </cell>
          <cell r="J9" t="str">
            <v>SB22659</v>
          </cell>
          <cell r="K9">
            <v>0</v>
          </cell>
          <cell r="P9" t="str">
            <v>SB22659</v>
          </cell>
          <cell r="Q9">
            <v>140000</v>
          </cell>
          <cell r="R9" t="str">
            <v>SB22659</v>
          </cell>
          <cell r="S9">
            <v>0</v>
          </cell>
        </row>
        <row r="10">
          <cell r="H10" t="str">
            <v>SB22657</v>
          </cell>
          <cell r="I10">
            <v>0</v>
          </cell>
          <cell r="J10" t="str">
            <v>SB22657</v>
          </cell>
          <cell r="K10">
            <v>0</v>
          </cell>
          <cell r="P10" t="str">
            <v>SB22657</v>
          </cell>
          <cell r="Q10">
            <v>0</v>
          </cell>
          <cell r="R10" t="str">
            <v>SB22657</v>
          </cell>
          <cell r="S10">
            <v>0</v>
          </cell>
        </row>
        <row r="11">
          <cell r="H11" t="str">
            <v>SB22658</v>
          </cell>
          <cell r="I11">
            <v>0</v>
          </cell>
          <cell r="J11" t="str">
            <v>SB22658</v>
          </cell>
          <cell r="K11">
            <v>0</v>
          </cell>
          <cell r="P11" t="str">
            <v>SB22658</v>
          </cell>
          <cell r="Q11">
            <v>0</v>
          </cell>
          <cell r="R11" t="str">
            <v>SB22658</v>
          </cell>
          <cell r="S11">
            <v>0</v>
          </cell>
        </row>
        <row r="12">
          <cell r="H12" t="str">
            <v>SB22656</v>
          </cell>
          <cell r="I12">
            <v>725537</v>
          </cell>
          <cell r="J12" t="str">
            <v>SB22656</v>
          </cell>
          <cell r="K12">
            <v>0</v>
          </cell>
          <cell r="P12" t="str">
            <v>SB22656</v>
          </cell>
          <cell r="Q12">
            <v>575537</v>
          </cell>
          <cell r="R12" t="str">
            <v>SB22656</v>
          </cell>
          <cell r="S12">
            <v>0</v>
          </cell>
        </row>
        <row r="13">
          <cell r="H13" t="str">
            <v>SB22654</v>
          </cell>
          <cell r="I13">
            <v>209293</v>
          </cell>
          <cell r="J13" t="str">
            <v>SB22654</v>
          </cell>
          <cell r="K13">
            <v>0</v>
          </cell>
          <cell r="P13" t="str">
            <v>SB22654</v>
          </cell>
          <cell r="Q13">
            <v>150000</v>
          </cell>
          <cell r="R13" t="str">
            <v>SB22654</v>
          </cell>
          <cell r="S13">
            <v>0</v>
          </cell>
        </row>
        <row r="14">
          <cell r="H14" t="str">
            <v>SB22655</v>
          </cell>
          <cell r="I14">
            <v>0</v>
          </cell>
          <cell r="J14" t="str">
            <v>SB22655</v>
          </cell>
          <cell r="K14">
            <v>0</v>
          </cell>
          <cell r="P14" t="str">
            <v>SB22655</v>
          </cell>
          <cell r="Q14">
            <v>0</v>
          </cell>
          <cell r="R14" t="str">
            <v>SB22655</v>
          </cell>
          <cell r="S14">
            <v>0</v>
          </cell>
        </row>
        <row r="15">
          <cell r="H15" t="str">
            <v>SB22652</v>
          </cell>
          <cell r="I15">
            <v>10010</v>
          </cell>
          <cell r="J15" t="str">
            <v>SB22652</v>
          </cell>
          <cell r="K15">
            <v>0</v>
          </cell>
          <cell r="P15" t="str">
            <v>SB22652</v>
          </cell>
          <cell r="Q15">
            <v>7500</v>
          </cell>
          <cell r="R15" t="str">
            <v>SB22652</v>
          </cell>
          <cell r="S15">
            <v>0</v>
          </cell>
        </row>
        <row r="16">
          <cell r="H16" t="str">
            <v>SB22651</v>
          </cell>
          <cell r="I16">
            <v>437059</v>
          </cell>
          <cell r="J16" t="str">
            <v>SB22651</v>
          </cell>
          <cell r="K16">
            <v>0</v>
          </cell>
          <cell r="P16" t="str">
            <v>SB22651</v>
          </cell>
          <cell r="Q16">
            <v>310000</v>
          </cell>
          <cell r="R16" t="str">
            <v>SB22651</v>
          </cell>
          <cell r="S16">
            <v>0</v>
          </cell>
        </row>
        <row r="17">
          <cell r="H17" t="str">
            <v>SB22650</v>
          </cell>
          <cell r="I17">
            <v>0</v>
          </cell>
          <cell r="J17" t="str">
            <v>SB22650</v>
          </cell>
          <cell r="K17">
            <v>0</v>
          </cell>
          <cell r="P17" t="str">
            <v>SB22650</v>
          </cell>
          <cell r="Q17">
            <v>0</v>
          </cell>
          <cell r="R17" t="str">
            <v>SB22650</v>
          </cell>
          <cell r="S17">
            <v>0</v>
          </cell>
        </row>
        <row r="18">
          <cell r="H18" t="str">
            <v>SB22649</v>
          </cell>
          <cell r="I18">
            <v>100100</v>
          </cell>
          <cell r="J18" t="str">
            <v>SB22649</v>
          </cell>
          <cell r="K18">
            <v>0</v>
          </cell>
          <cell r="P18" t="str">
            <v>SB22649</v>
          </cell>
          <cell r="Q18">
            <v>85000</v>
          </cell>
          <cell r="R18" t="str">
            <v>SB22649</v>
          </cell>
          <cell r="S18">
            <v>0</v>
          </cell>
        </row>
        <row r="19">
          <cell r="H19" t="str">
            <v>SB22646</v>
          </cell>
          <cell r="I19">
            <v>862426</v>
          </cell>
          <cell r="J19" t="str">
            <v>SB22646</v>
          </cell>
          <cell r="K19">
            <v>0</v>
          </cell>
          <cell r="P19" t="str">
            <v>SB22646</v>
          </cell>
          <cell r="Q19">
            <v>555000</v>
          </cell>
          <cell r="R19" t="str">
            <v>SB22646</v>
          </cell>
          <cell r="S19">
            <v>0</v>
          </cell>
        </row>
        <row r="20">
          <cell r="H20" t="str">
            <v>SB22645</v>
          </cell>
          <cell r="I20">
            <v>1483795</v>
          </cell>
          <cell r="J20" t="str">
            <v>SB22645</v>
          </cell>
          <cell r="K20">
            <v>0</v>
          </cell>
          <cell r="P20" t="str">
            <v>SB22645</v>
          </cell>
          <cell r="Q20">
            <v>2642015</v>
          </cell>
          <cell r="R20" t="str">
            <v>SB22645</v>
          </cell>
          <cell r="S20">
            <v>0</v>
          </cell>
        </row>
        <row r="21">
          <cell r="H21" t="str">
            <v>SB22643</v>
          </cell>
          <cell r="I21">
            <v>1784284</v>
          </cell>
          <cell r="J21" t="str">
            <v>SB22643</v>
          </cell>
          <cell r="K21">
            <v>0</v>
          </cell>
          <cell r="P21" t="str">
            <v>SB22643</v>
          </cell>
          <cell r="Q21">
            <v>1418704</v>
          </cell>
          <cell r="R21" t="str">
            <v>SB22643</v>
          </cell>
          <cell r="S21">
            <v>0</v>
          </cell>
        </row>
        <row r="22">
          <cell r="H22" t="str">
            <v>SB22642</v>
          </cell>
          <cell r="I22">
            <v>80014</v>
          </cell>
          <cell r="J22" t="str">
            <v>SB22642</v>
          </cell>
          <cell r="K22">
            <v>0</v>
          </cell>
          <cell r="P22" t="str">
            <v>SB22642</v>
          </cell>
          <cell r="Q22">
            <v>55014</v>
          </cell>
          <cell r="R22" t="str">
            <v>SB22642</v>
          </cell>
          <cell r="S22">
            <v>0</v>
          </cell>
        </row>
        <row r="23">
          <cell r="H23" t="str">
            <v>SB22640</v>
          </cell>
          <cell r="I23">
            <v>0</v>
          </cell>
          <cell r="J23" t="str">
            <v>SB22640</v>
          </cell>
          <cell r="K23">
            <v>0</v>
          </cell>
          <cell r="P23" t="str">
            <v>SB22640</v>
          </cell>
          <cell r="Q23">
            <v>0</v>
          </cell>
          <cell r="R23" t="str">
            <v>SB22640</v>
          </cell>
          <cell r="S23">
            <v>0</v>
          </cell>
        </row>
        <row r="24">
          <cell r="H24" t="str">
            <v>SB22641</v>
          </cell>
          <cell r="I24">
            <v>115000</v>
          </cell>
          <cell r="J24" t="str">
            <v>SB22641</v>
          </cell>
          <cell r="K24">
            <v>0</v>
          </cell>
          <cell r="P24" t="str">
            <v>SB22641</v>
          </cell>
          <cell r="Q24">
            <v>89700</v>
          </cell>
          <cell r="R24" t="str">
            <v>SB22641</v>
          </cell>
          <cell r="S24">
            <v>0</v>
          </cell>
        </row>
        <row r="25">
          <cell r="H25" t="str">
            <v>SB22639</v>
          </cell>
          <cell r="I25">
            <v>440000</v>
          </cell>
          <cell r="J25" t="str">
            <v>SB22639</v>
          </cell>
          <cell r="K25">
            <v>0</v>
          </cell>
          <cell r="P25" t="str">
            <v>SB22639</v>
          </cell>
          <cell r="Q25">
            <v>0</v>
          </cell>
          <cell r="R25" t="str">
            <v>SB22639</v>
          </cell>
          <cell r="S25">
            <v>0</v>
          </cell>
        </row>
        <row r="26">
          <cell r="H26" t="str">
            <v>SB22636</v>
          </cell>
          <cell r="I26">
            <v>535700</v>
          </cell>
          <cell r="J26" t="str">
            <v>SB22636</v>
          </cell>
          <cell r="K26">
            <v>0</v>
          </cell>
          <cell r="P26" t="str">
            <v>SB22636</v>
          </cell>
          <cell r="Q26">
            <v>425700</v>
          </cell>
          <cell r="R26" t="str">
            <v>SB22636</v>
          </cell>
          <cell r="S26">
            <v>0</v>
          </cell>
        </row>
        <row r="27">
          <cell r="H27" t="str">
            <v>SB22637</v>
          </cell>
          <cell r="I27">
            <v>349765</v>
          </cell>
          <cell r="J27" t="str">
            <v>SB22637</v>
          </cell>
          <cell r="K27">
            <v>0</v>
          </cell>
          <cell r="P27" t="str">
            <v>SB22637</v>
          </cell>
          <cell r="Q27">
            <v>191630</v>
          </cell>
          <cell r="R27" t="str">
            <v>SB22637</v>
          </cell>
          <cell r="S27">
            <v>0</v>
          </cell>
        </row>
        <row r="28">
          <cell r="H28" t="str">
            <v>SB22638</v>
          </cell>
          <cell r="I28">
            <v>46575</v>
          </cell>
          <cell r="J28" t="str">
            <v>SB22638</v>
          </cell>
          <cell r="K28">
            <v>0</v>
          </cell>
          <cell r="P28" t="str">
            <v>SB22638</v>
          </cell>
          <cell r="Q28">
            <v>36329</v>
          </cell>
          <cell r="R28" t="str">
            <v>SB22638</v>
          </cell>
          <cell r="S28">
            <v>0</v>
          </cell>
        </row>
        <row r="29">
          <cell r="H29" t="str">
            <v>SB22633</v>
          </cell>
          <cell r="I29">
            <v>0</v>
          </cell>
          <cell r="J29" t="str">
            <v>SB22633</v>
          </cell>
          <cell r="K29">
            <v>0</v>
          </cell>
          <cell r="P29" t="str">
            <v>SB22633</v>
          </cell>
          <cell r="Q29">
            <v>1734</v>
          </cell>
          <cell r="R29" t="str">
            <v>SB22633</v>
          </cell>
          <cell r="S29">
            <v>0</v>
          </cell>
        </row>
        <row r="30">
          <cell r="H30" t="str">
            <v>SB22634</v>
          </cell>
          <cell r="I30">
            <v>0</v>
          </cell>
          <cell r="J30" t="str">
            <v>SB22634</v>
          </cell>
          <cell r="K30">
            <v>0</v>
          </cell>
          <cell r="P30" t="str">
            <v>SB22634</v>
          </cell>
          <cell r="Q30">
            <v>0</v>
          </cell>
          <cell r="R30" t="str">
            <v>SB22634</v>
          </cell>
          <cell r="S30">
            <v>0</v>
          </cell>
        </row>
        <row r="31">
          <cell r="H31" t="str">
            <v>SB22635</v>
          </cell>
          <cell r="I31">
            <v>179520</v>
          </cell>
          <cell r="J31" t="str">
            <v>SB22635</v>
          </cell>
          <cell r="K31">
            <v>0</v>
          </cell>
          <cell r="P31" t="str">
            <v>SB22635</v>
          </cell>
          <cell r="Q31">
            <v>120000</v>
          </cell>
          <cell r="R31" t="str">
            <v>SB22635</v>
          </cell>
          <cell r="S31">
            <v>0</v>
          </cell>
        </row>
        <row r="32">
          <cell r="H32" t="str">
            <v>SB22632</v>
          </cell>
          <cell r="I32">
            <v>0</v>
          </cell>
          <cell r="J32" t="str">
            <v>SB22632</v>
          </cell>
          <cell r="K32">
            <v>0</v>
          </cell>
          <cell r="P32" t="str">
            <v>SB22632</v>
          </cell>
          <cell r="Q32">
            <v>305423</v>
          </cell>
          <cell r="R32" t="str">
            <v>SB22632</v>
          </cell>
          <cell r="S32">
            <v>0</v>
          </cell>
        </row>
        <row r="33">
          <cell r="H33" t="str">
            <v>SB22628</v>
          </cell>
          <cell r="I33">
            <v>0</v>
          </cell>
          <cell r="J33" t="str">
            <v>SB22628</v>
          </cell>
          <cell r="K33">
            <v>0</v>
          </cell>
          <cell r="P33" t="str">
            <v>SB22628</v>
          </cell>
          <cell r="Q33">
            <v>0</v>
          </cell>
          <cell r="R33" t="str">
            <v>SB22628</v>
          </cell>
          <cell r="S33">
            <v>0</v>
          </cell>
        </row>
        <row r="34">
          <cell r="H34" t="str">
            <v>SB22629</v>
          </cell>
          <cell r="I34">
            <v>0</v>
          </cell>
          <cell r="J34" t="str">
            <v>SB22629</v>
          </cell>
          <cell r="K34">
            <v>0</v>
          </cell>
          <cell r="P34" t="str">
            <v>SB22629</v>
          </cell>
          <cell r="Q34">
            <v>-4000</v>
          </cell>
          <cell r="R34" t="str">
            <v>SB22629</v>
          </cell>
          <cell r="S34">
            <v>0</v>
          </cell>
        </row>
        <row r="35">
          <cell r="H35" t="str">
            <v>SB22627</v>
          </cell>
          <cell r="I35">
            <v>361880</v>
          </cell>
          <cell r="J35" t="str">
            <v>SB22627</v>
          </cell>
          <cell r="K35">
            <v>0</v>
          </cell>
          <cell r="P35" t="str">
            <v>SB22627</v>
          </cell>
          <cell r="Q35">
            <v>275886</v>
          </cell>
          <cell r="R35" t="str">
            <v>SB22627</v>
          </cell>
          <cell r="S35">
            <v>0</v>
          </cell>
        </row>
        <row r="36">
          <cell r="H36" t="str">
            <v>SB22625</v>
          </cell>
          <cell r="I36">
            <v>30800</v>
          </cell>
          <cell r="J36" t="str">
            <v>SB22625</v>
          </cell>
          <cell r="K36">
            <v>0</v>
          </cell>
          <cell r="P36" t="str">
            <v>SB22625</v>
          </cell>
          <cell r="Q36">
            <v>24000</v>
          </cell>
          <cell r="R36" t="str">
            <v>SB22625</v>
          </cell>
          <cell r="S36">
            <v>0</v>
          </cell>
        </row>
        <row r="37">
          <cell r="H37" t="str">
            <v>SB22626</v>
          </cell>
          <cell r="I37">
            <v>0</v>
          </cell>
          <cell r="J37" t="str">
            <v>SB22626</v>
          </cell>
          <cell r="K37">
            <v>0</v>
          </cell>
          <cell r="P37" t="str">
            <v>SB22626</v>
          </cell>
          <cell r="Q37">
            <v>0</v>
          </cell>
          <cell r="R37" t="str">
            <v>SB22626</v>
          </cell>
          <cell r="S37">
            <v>0</v>
          </cell>
        </row>
        <row r="38">
          <cell r="H38" t="str">
            <v>SB22624</v>
          </cell>
          <cell r="I38">
            <v>703084</v>
          </cell>
          <cell r="J38" t="str">
            <v>SB22624</v>
          </cell>
          <cell r="K38">
            <v>0</v>
          </cell>
          <cell r="P38" t="str">
            <v>SB22624</v>
          </cell>
          <cell r="Q38">
            <v>179044</v>
          </cell>
          <cell r="R38" t="str">
            <v>SB22624</v>
          </cell>
          <cell r="S38">
            <v>0</v>
          </cell>
        </row>
        <row r="39">
          <cell r="H39" t="str">
            <v>SB22622</v>
          </cell>
          <cell r="I39">
            <v>437265</v>
          </cell>
          <cell r="J39" t="str">
            <v>SB22622</v>
          </cell>
          <cell r="K39">
            <v>0</v>
          </cell>
          <cell r="P39" t="str">
            <v>SB22622</v>
          </cell>
          <cell r="Q39">
            <v>337265</v>
          </cell>
          <cell r="R39" t="str">
            <v>SB22622</v>
          </cell>
          <cell r="S39">
            <v>0</v>
          </cell>
        </row>
        <row r="40">
          <cell r="H40" t="str">
            <v>SB22620</v>
          </cell>
          <cell r="I40">
            <v>0</v>
          </cell>
          <cell r="J40" t="str">
            <v>SB22620</v>
          </cell>
          <cell r="K40">
            <v>0</v>
          </cell>
          <cell r="P40" t="str">
            <v>SB22620</v>
          </cell>
          <cell r="Q40">
            <v>0</v>
          </cell>
          <cell r="R40" t="str">
            <v>SB22620</v>
          </cell>
          <cell r="S40">
            <v>0</v>
          </cell>
        </row>
        <row r="41">
          <cell r="H41" t="str">
            <v>SB22623</v>
          </cell>
          <cell r="I41">
            <v>1719960</v>
          </cell>
          <cell r="J41" t="str">
            <v>SB22623</v>
          </cell>
          <cell r="K41">
            <v>0</v>
          </cell>
          <cell r="P41" t="str">
            <v>SB22623</v>
          </cell>
          <cell r="Q41">
            <v>1412610</v>
          </cell>
          <cell r="R41" t="str">
            <v>SB22623</v>
          </cell>
          <cell r="S41">
            <v>0</v>
          </cell>
        </row>
        <row r="42">
          <cell r="H42" t="str">
            <v>SB22619</v>
          </cell>
          <cell r="I42">
            <v>1077740.44</v>
          </cell>
          <cell r="J42" t="str">
            <v>SB22619</v>
          </cell>
          <cell r="K42">
            <v>0</v>
          </cell>
          <cell r="P42" t="str">
            <v>SB22619</v>
          </cell>
          <cell r="Q42">
            <v>852619</v>
          </cell>
          <cell r="R42" t="str">
            <v>SB22619</v>
          </cell>
          <cell r="S42">
            <v>0</v>
          </cell>
        </row>
        <row r="43">
          <cell r="H43" t="str">
            <v>SB22617</v>
          </cell>
          <cell r="I43">
            <v>0</v>
          </cell>
          <cell r="J43" t="str">
            <v>SB22617</v>
          </cell>
          <cell r="K43">
            <v>0</v>
          </cell>
          <cell r="P43" t="str">
            <v>SB22617</v>
          </cell>
          <cell r="Q43">
            <v>0</v>
          </cell>
          <cell r="R43" t="str">
            <v>SB22617</v>
          </cell>
          <cell r="S43">
            <v>0</v>
          </cell>
        </row>
        <row r="44">
          <cell r="H44" t="str">
            <v>SB22618</v>
          </cell>
          <cell r="I44">
            <v>3518535</v>
          </cell>
          <cell r="J44" t="str">
            <v>SB22618</v>
          </cell>
          <cell r="K44">
            <v>0</v>
          </cell>
          <cell r="P44" t="str">
            <v>SB22618</v>
          </cell>
          <cell r="Q44">
            <v>2810770</v>
          </cell>
          <cell r="R44" t="str">
            <v>SB22618</v>
          </cell>
          <cell r="S44">
            <v>0</v>
          </cell>
        </row>
        <row r="45">
          <cell r="H45" t="str">
            <v>SB22616</v>
          </cell>
          <cell r="I45">
            <v>617954</v>
          </cell>
          <cell r="J45" t="str">
            <v>SB22616</v>
          </cell>
          <cell r="K45">
            <v>0</v>
          </cell>
          <cell r="P45" t="str">
            <v>SB22616</v>
          </cell>
          <cell r="Q45">
            <v>479242</v>
          </cell>
          <cell r="R45" t="str">
            <v>SB22616</v>
          </cell>
          <cell r="S45">
            <v>0</v>
          </cell>
        </row>
        <row r="46">
          <cell r="H46" t="str">
            <v>SB22615</v>
          </cell>
          <cell r="I46">
            <v>0</v>
          </cell>
          <cell r="J46" t="str">
            <v>SB22615</v>
          </cell>
          <cell r="K46">
            <v>0</v>
          </cell>
          <cell r="P46" t="str">
            <v>SB22615</v>
          </cell>
          <cell r="Q46">
            <v>-8867050.75</v>
          </cell>
          <cell r="R46" t="str">
            <v>SB22615</v>
          </cell>
          <cell r="S46">
            <v>0</v>
          </cell>
        </row>
        <row r="47">
          <cell r="H47" t="str">
            <v>SB22614</v>
          </cell>
          <cell r="I47">
            <v>4949340</v>
          </cell>
          <cell r="J47" t="str">
            <v>SB22614</v>
          </cell>
          <cell r="K47">
            <v>0</v>
          </cell>
          <cell r="P47" t="str">
            <v>SB22614</v>
          </cell>
          <cell r="Q47">
            <v>2299340</v>
          </cell>
          <cell r="R47" t="str">
            <v>SB22614</v>
          </cell>
          <cell r="S47">
            <v>0</v>
          </cell>
        </row>
        <row r="48">
          <cell r="H48" t="str">
            <v>SB22612</v>
          </cell>
          <cell r="I48">
            <v>2099625</v>
          </cell>
          <cell r="J48" t="str">
            <v>SB22612</v>
          </cell>
          <cell r="K48">
            <v>0</v>
          </cell>
          <cell r="P48" t="str">
            <v>SB22612</v>
          </cell>
          <cell r="Q48">
            <v>52459</v>
          </cell>
          <cell r="R48" t="str">
            <v>SB22612</v>
          </cell>
          <cell r="S48">
            <v>0</v>
          </cell>
        </row>
        <row r="49">
          <cell r="H49" t="str">
            <v>SB22613</v>
          </cell>
          <cell r="I49">
            <v>0</v>
          </cell>
          <cell r="J49" t="str">
            <v>SB22613</v>
          </cell>
          <cell r="K49">
            <v>0</v>
          </cell>
          <cell r="P49" t="str">
            <v>SB22613</v>
          </cell>
          <cell r="Q49">
            <v>6873500</v>
          </cell>
          <cell r="R49" t="str">
            <v>SB22613</v>
          </cell>
          <cell r="S49">
            <v>0</v>
          </cell>
        </row>
        <row r="50">
          <cell r="H50" t="str">
            <v>SB22610</v>
          </cell>
          <cell r="I50">
            <v>71500</v>
          </cell>
          <cell r="J50" t="str">
            <v>SB22610</v>
          </cell>
          <cell r="K50">
            <v>0</v>
          </cell>
          <cell r="P50" t="str">
            <v>SB22610</v>
          </cell>
          <cell r="Q50">
            <v>40000</v>
          </cell>
          <cell r="R50" t="str">
            <v>SB22610</v>
          </cell>
          <cell r="S50">
            <v>0</v>
          </cell>
        </row>
        <row r="51">
          <cell r="H51" t="str">
            <v>SB22598</v>
          </cell>
          <cell r="I51">
            <v>1610670</v>
          </cell>
          <cell r="J51" t="str">
            <v>SB22598</v>
          </cell>
          <cell r="K51">
            <v>0</v>
          </cell>
          <cell r="P51" t="str">
            <v>SB22598</v>
          </cell>
          <cell r="Q51">
            <v>994812</v>
          </cell>
          <cell r="R51" t="str">
            <v>SB22598</v>
          </cell>
          <cell r="S51">
            <v>0</v>
          </cell>
        </row>
        <row r="52">
          <cell r="H52" t="str">
            <v>SB21386</v>
          </cell>
          <cell r="I52">
            <v>0</v>
          </cell>
          <cell r="J52" t="str">
            <v>SB21386</v>
          </cell>
          <cell r="K52">
            <v>-394474</v>
          </cell>
          <cell r="P52" t="str">
            <v>SB21386</v>
          </cell>
          <cell r="Q52">
            <v>0</v>
          </cell>
          <cell r="R52" t="str">
            <v>SB21386</v>
          </cell>
          <cell r="S52">
            <v>0</v>
          </cell>
        </row>
        <row r="53">
          <cell r="H53" t="str">
            <v>SB22579</v>
          </cell>
          <cell r="I53">
            <v>0</v>
          </cell>
          <cell r="J53" t="str">
            <v>SB22579</v>
          </cell>
          <cell r="K53">
            <v>0</v>
          </cell>
          <cell r="P53" t="str">
            <v>SB22579</v>
          </cell>
          <cell r="Q53">
            <v>306788.21999999997</v>
          </cell>
          <cell r="R53" t="str">
            <v>SB22579</v>
          </cell>
          <cell r="S53">
            <v>-11800</v>
          </cell>
        </row>
        <row r="54">
          <cell r="H54" t="str">
            <v>SB22601</v>
          </cell>
          <cell r="I54">
            <v>0</v>
          </cell>
          <cell r="J54" t="str">
            <v>SB22601</v>
          </cell>
          <cell r="K54">
            <v>0</v>
          </cell>
          <cell r="P54" t="str">
            <v>SB22601</v>
          </cell>
          <cell r="Q54">
            <v>25000</v>
          </cell>
          <cell r="R54" t="str">
            <v>SB22601</v>
          </cell>
          <cell r="S54">
            <v>0</v>
          </cell>
        </row>
        <row r="55">
          <cell r="H55" t="str">
            <v>SB22588</v>
          </cell>
          <cell r="I55">
            <v>451386</v>
          </cell>
          <cell r="J55" t="str">
            <v>SB22588</v>
          </cell>
          <cell r="K55">
            <v>0</v>
          </cell>
          <cell r="P55" t="str">
            <v>SB22588</v>
          </cell>
          <cell r="Q55">
            <v>349312.1</v>
          </cell>
          <cell r="R55" t="str">
            <v>SB22588</v>
          </cell>
          <cell r="S55">
            <v>0</v>
          </cell>
        </row>
        <row r="56">
          <cell r="H56" t="str">
            <v>SB22485</v>
          </cell>
          <cell r="I56">
            <v>-2271571</v>
          </cell>
          <cell r="J56" t="str">
            <v>SB22485</v>
          </cell>
          <cell r="K56">
            <v>0</v>
          </cell>
          <cell r="P56" t="str">
            <v>SB22485</v>
          </cell>
          <cell r="Q56">
            <v>-1074050</v>
          </cell>
          <cell r="R56" t="str">
            <v>SB22485</v>
          </cell>
          <cell r="S56">
            <v>-21000</v>
          </cell>
        </row>
        <row r="57">
          <cell r="H57" t="str">
            <v>SB22509</v>
          </cell>
          <cell r="I57">
            <v>0</v>
          </cell>
          <cell r="J57" t="str">
            <v>SB22509</v>
          </cell>
          <cell r="K57">
            <v>0</v>
          </cell>
          <cell r="P57" t="str">
            <v>SB22509</v>
          </cell>
          <cell r="Q57">
            <v>-1691</v>
          </cell>
          <cell r="R57" t="str">
            <v>SB22509</v>
          </cell>
          <cell r="S57">
            <v>0</v>
          </cell>
        </row>
        <row r="58">
          <cell r="H58" t="str">
            <v>SB22459</v>
          </cell>
          <cell r="I58">
            <v>0</v>
          </cell>
          <cell r="J58" t="str">
            <v>SB22459</v>
          </cell>
          <cell r="K58">
            <v>0</v>
          </cell>
          <cell r="P58" t="str">
            <v>SB22459</v>
          </cell>
          <cell r="Q58">
            <v>-8898</v>
          </cell>
          <cell r="R58" t="str">
            <v>SB22459</v>
          </cell>
          <cell r="S58">
            <v>0</v>
          </cell>
        </row>
        <row r="59">
          <cell r="H59" t="str">
            <v>SB22472</v>
          </cell>
          <cell r="I59">
            <v>-2855245.4</v>
          </cell>
          <cell r="J59" t="str">
            <v>SB22472</v>
          </cell>
          <cell r="K59">
            <v>0</v>
          </cell>
          <cell r="P59" t="str">
            <v>SB22472</v>
          </cell>
          <cell r="Q59">
            <v>-665511</v>
          </cell>
          <cell r="R59" t="str">
            <v>SB22472</v>
          </cell>
          <cell r="S59">
            <v>0</v>
          </cell>
        </row>
        <row r="60">
          <cell r="H60" t="str">
            <v>SB22422</v>
          </cell>
          <cell r="I60">
            <v>0</v>
          </cell>
          <cell r="J60" t="str">
            <v>SB22422</v>
          </cell>
          <cell r="K60">
            <v>0</v>
          </cell>
          <cell r="P60" t="str">
            <v>SB22422</v>
          </cell>
          <cell r="Q60">
            <v>-6000</v>
          </cell>
          <cell r="R60" t="str">
            <v>SB22422</v>
          </cell>
          <cell r="S60">
            <v>0</v>
          </cell>
        </row>
        <row r="61">
          <cell r="H61" t="str">
            <v>SB22384</v>
          </cell>
          <cell r="I61">
            <v>0</v>
          </cell>
          <cell r="J61" t="str">
            <v>SB22384</v>
          </cell>
          <cell r="K61">
            <v>0</v>
          </cell>
          <cell r="P61" t="str">
            <v>SB22384</v>
          </cell>
          <cell r="Q61">
            <v>-371859</v>
          </cell>
          <cell r="R61" t="str">
            <v>SB22384</v>
          </cell>
          <cell r="S61">
            <v>0</v>
          </cell>
        </row>
        <row r="62">
          <cell r="H62" t="str">
            <v>SB22609</v>
          </cell>
          <cell r="I62">
            <v>713240</v>
          </cell>
          <cell r="J62" t="str">
            <v>SB22609</v>
          </cell>
          <cell r="K62">
            <v>0</v>
          </cell>
          <cell r="P62" t="str">
            <v>SB22609</v>
          </cell>
          <cell r="Q62">
            <v>503708</v>
          </cell>
          <cell r="R62" t="str">
            <v>SB22609</v>
          </cell>
          <cell r="S62">
            <v>0</v>
          </cell>
        </row>
        <row r="63">
          <cell r="H63" t="str">
            <v>SB22608</v>
          </cell>
          <cell r="I63">
            <v>0</v>
          </cell>
          <cell r="J63" t="str">
            <v>SB22608</v>
          </cell>
          <cell r="K63">
            <v>0</v>
          </cell>
          <cell r="P63" t="str">
            <v>SB22608</v>
          </cell>
          <cell r="Q63">
            <v>275266.83</v>
          </cell>
          <cell r="R63" t="str">
            <v>SB22608</v>
          </cell>
          <cell r="S63">
            <v>0</v>
          </cell>
        </row>
        <row r="64">
          <cell r="H64" t="str">
            <v>SB22606</v>
          </cell>
          <cell r="I64">
            <v>5907348</v>
          </cell>
          <cell r="J64" t="str">
            <v>SB22606</v>
          </cell>
          <cell r="K64">
            <v>0</v>
          </cell>
          <cell r="P64" t="str">
            <v>SB22606</v>
          </cell>
          <cell r="Q64">
            <v>3981994.66</v>
          </cell>
          <cell r="R64" t="str">
            <v>SB22606</v>
          </cell>
          <cell r="S64">
            <v>0</v>
          </cell>
        </row>
        <row r="65">
          <cell r="H65" t="str">
            <v>SB22607</v>
          </cell>
          <cell r="I65">
            <v>0</v>
          </cell>
          <cell r="J65" t="str">
            <v>SB22607</v>
          </cell>
          <cell r="K65">
            <v>0</v>
          </cell>
          <cell r="P65" t="str">
            <v>SB22607</v>
          </cell>
          <cell r="Q65">
            <v>34616</v>
          </cell>
          <cell r="R65" t="str">
            <v>SB22607</v>
          </cell>
          <cell r="S65">
            <v>0</v>
          </cell>
        </row>
        <row r="66">
          <cell r="H66" t="str">
            <v>SB22603</v>
          </cell>
          <cell r="I66">
            <v>0</v>
          </cell>
          <cell r="J66" t="str">
            <v>SB22603</v>
          </cell>
          <cell r="K66">
            <v>0</v>
          </cell>
          <cell r="P66" t="str">
            <v>SB22603</v>
          </cell>
          <cell r="Q66">
            <v>0</v>
          </cell>
          <cell r="R66" t="str">
            <v>SB22603</v>
          </cell>
          <cell r="S66">
            <v>0</v>
          </cell>
        </row>
        <row r="67">
          <cell r="H67" t="str">
            <v>SB22605</v>
          </cell>
          <cell r="I67">
            <v>0</v>
          </cell>
          <cell r="J67" t="str">
            <v>SB22605</v>
          </cell>
          <cell r="K67">
            <v>0</v>
          </cell>
          <cell r="P67" t="str">
            <v>SB22605</v>
          </cell>
          <cell r="Q67">
            <v>0</v>
          </cell>
          <cell r="R67" t="str">
            <v>SB22605</v>
          </cell>
          <cell r="S67">
            <v>0</v>
          </cell>
        </row>
        <row r="68">
          <cell r="H68" t="str">
            <v>SB22604</v>
          </cell>
          <cell r="I68">
            <v>1014046</v>
          </cell>
          <cell r="J68" t="str">
            <v>SB22604</v>
          </cell>
          <cell r="K68">
            <v>0</v>
          </cell>
          <cell r="P68" t="str">
            <v>SB22604</v>
          </cell>
          <cell r="Q68">
            <v>0</v>
          </cell>
          <cell r="R68" t="str">
            <v>SB22604</v>
          </cell>
          <cell r="S68">
            <v>0</v>
          </cell>
        </row>
        <row r="69">
          <cell r="H69" t="str">
            <v>SB22600</v>
          </cell>
          <cell r="I69">
            <v>192016</v>
          </cell>
          <cell r="J69" t="str">
            <v>SB22600</v>
          </cell>
          <cell r="K69">
            <v>0</v>
          </cell>
          <cell r="P69" t="str">
            <v>SB22600</v>
          </cell>
          <cell r="Q69">
            <v>149100</v>
          </cell>
          <cell r="R69" t="str">
            <v>SB22600</v>
          </cell>
          <cell r="S69">
            <v>0</v>
          </cell>
        </row>
        <row r="70">
          <cell r="H70" t="str">
            <v>SB22602</v>
          </cell>
          <cell r="I70">
            <v>0</v>
          </cell>
          <cell r="J70" t="str">
            <v>SB22602</v>
          </cell>
          <cell r="K70">
            <v>0</v>
          </cell>
          <cell r="P70" t="str">
            <v>SB22602</v>
          </cell>
          <cell r="Q70">
            <v>103650</v>
          </cell>
          <cell r="R70" t="str">
            <v>SB22602</v>
          </cell>
          <cell r="S70">
            <v>0</v>
          </cell>
        </row>
        <row r="71">
          <cell r="H71" t="str">
            <v>SB22597</v>
          </cell>
          <cell r="I71">
            <v>0</v>
          </cell>
          <cell r="J71" t="str">
            <v>SB22597</v>
          </cell>
          <cell r="K71">
            <v>0</v>
          </cell>
          <cell r="P71" t="str">
            <v>SB22597</v>
          </cell>
          <cell r="Q71">
            <v>0</v>
          </cell>
          <cell r="R71" t="str">
            <v>SB22597</v>
          </cell>
          <cell r="S71">
            <v>0</v>
          </cell>
        </row>
        <row r="72">
          <cell r="H72" t="str">
            <v>SB22596</v>
          </cell>
          <cell r="I72">
            <v>0</v>
          </cell>
          <cell r="J72" t="str">
            <v>SB22596</v>
          </cell>
          <cell r="K72">
            <v>0</v>
          </cell>
          <cell r="P72" t="str">
            <v>SB22596</v>
          </cell>
          <cell r="Q72">
            <v>0</v>
          </cell>
          <cell r="R72" t="str">
            <v>SB22596</v>
          </cell>
          <cell r="S72">
            <v>0</v>
          </cell>
        </row>
        <row r="73">
          <cell r="H73" t="str">
            <v>SB22599</v>
          </cell>
          <cell r="I73">
            <v>0</v>
          </cell>
          <cell r="J73" t="str">
            <v>SB22599</v>
          </cell>
          <cell r="K73">
            <v>0</v>
          </cell>
          <cell r="P73" t="str">
            <v>SB22599</v>
          </cell>
          <cell r="Q73">
            <v>485900</v>
          </cell>
          <cell r="R73" t="str">
            <v>SB22599</v>
          </cell>
          <cell r="S73">
            <v>0</v>
          </cell>
        </row>
        <row r="74">
          <cell r="H74" t="str">
            <v>SB22593</v>
          </cell>
          <cell r="I74">
            <v>268279</v>
          </cell>
          <cell r="J74" t="str">
            <v>SB22593</v>
          </cell>
          <cell r="K74">
            <v>0</v>
          </cell>
          <cell r="P74" t="str">
            <v>SB22593</v>
          </cell>
          <cell r="Q74">
            <v>0</v>
          </cell>
          <cell r="R74" t="str">
            <v>SB22593</v>
          </cell>
          <cell r="S74">
            <v>0</v>
          </cell>
        </row>
        <row r="75">
          <cell r="H75" t="str">
            <v>SB22595</v>
          </cell>
          <cell r="I75">
            <v>0</v>
          </cell>
          <cell r="J75" t="str">
            <v>SB22595</v>
          </cell>
          <cell r="K75">
            <v>0</v>
          </cell>
          <cell r="P75" t="str">
            <v>SB22595</v>
          </cell>
          <cell r="Q75">
            <v>-850000</v>
          </cell>
          <cell r="R75" t="str">
            <v>SB22595</v>
          </cell>
          <cell r="S75">
            <v>0</v>
          </cell>
        </row>
        <row r="76">
          <cell r="H76" t="str">
            <v>SB22594</v>
          </cell>
          <cell r="I76">
            <v>1022599</v>
          </cell>
          <cell r="J76" t="str">
            <v>SB22594</v>
          </cell>
          <cell r="K76">
            <v>0</v>
          </cell>
          <cell r="P76" t="str">
            <v>SB22594</v>
          </cell>
          <cell r="Q76">
            <v>185197</v>
          </cell>
          <cell r="R76" t="str">
            <v>SB22594</v>
          </cell>
          <cell r="S76">
            <v>0</v>
          </cell>
        </row>
        <row r="77">
          <cell r="H77" t="str">
            <v>SB22591</v>
          </cell>
          <cell r="I77">
            <v>0</v>
          </cell>
          <cell r="J77" t="str">
            <v>SB22591</v>
          </cell>
          <cell r="K77">
            <v>0</v>
          </cell>
          <cell r="P77" t="str">
            <v>SB22591</v>
          </cell>
          <cell r="Q77">
            <v>0</v>
          </cell>
          <cell r="R77" t="str">
            <v>SB22591</v>
          </cell>
          <cell r="S77">
            <v>0</v>
          </cell>
        </row>
        <row r="78">
          <cell r="H78" t="str">
            <v>SB22592</v>
          </cell>
          <cell r="I78">
            <v>0</v>
          </cell>
          <cell r="J78" t="str">
            <v>SB22592</v>
          </cell>
          <cell r="K78">
            <v>0</v>
          </cell>
          <cell r="P78" t="str">
            <v>SB22592</v>
          </cell>
          <cell r="Q78">
            <v>129173.94</v>
          </cell>
          <cell r="R78" t="str">
            <v>SB22592</v>
          </cell>
          <cell r="S78">
            <v>0</v>
          </cell>
        </row>
        <row r="79">
          <cell r="H79" t="str">
            <v>SB22590</v>
          </cell>
          <cell r="I79">
            <v>0</v>
          </cell>
          <cell r="J79" t="str">
            <v>SB22590</v>
          </cell>
          <cell r="K79">
            <v>0</v>
          </cell>
          <cell r="P79" t="str">
            <v>SB22590</v>
          </cell>
          <cell r="Q79">
            <v>0</v>
          </cell>
          <cell r="R79" t="str">
            <v>SB22590</v>
          </cell>
          <cell r="S79">
            <v>0</v>
          </cell>
        </row>
        <row r="80">
          <cell r="H80" t="str">
            <v>SB22587</v>
          </cell>
          <cell r="I80">
            <v>0</v>
          </cell>
          <cell r="J80" t="str">
            <v>SB22587</v>
          </cell>
          <cell r="K80">
            <v>0</v>
          </cell>
          <cell r="P80" t="str">
            <v>SB22587</v>
          </cell>
          <cell r="Q80">
            <v>23270</v>
          </cell>
          <cell r="R80" t="str">
            <v>SB22587</v>
          </cell>
          <cell r="S80">
            <v>0</v>
          </cell>
        </row>
        <row r="81">
          <cell r="H81" t="str">
            <v>SB22589</v>
          </cell>
          <cell r="I81">
            <v>0</v>
          </cell>
          <cell r="J81" t="str">
            <v>SB22589</v>
          </cell>
          <cell r="K81">
            <v>0</v>
          </cell>
          <cell r="P81" t="str">
            <v>SB22589</v>
          </cell>
          <cell r="Q81">
            <v>23000</v>
          </cell>
          <cell r="R81" t="str">
            <v>SB22589</v>
          </cell>
          <cell r="S81">
            <v>0</v>
          </cell>
        </row>
        <row r="82">
          <cell r="H82" t="str">
            <v>SB22584</v>
          </cell>
          <cell r="I82">
            <v>3167429.4</v>
          </cell>
          <cell r="J82" t="str">
            <v>SB22584</v>
          </cell>
          <cell r="K82">
            <v>0</v>
          </cell>
          <cell r="P82" t="str">
            <v>SB22584</v>
          </cell>
          <cell r="Q82">
            <v>1509376</v>
          </cell>
          <cell r="R82" t="str">
            <v>SB22584</v>
          </cell>
          <cell r="S82">
            <v>-6872</v>
          </cell>
        </row>
        <row r="83">
          <cell r="H83" t="str">
            <v>SB22586</v>
          </cell>
          <cell r="I83">
            <v>0</v>
          </cell>
          <cell r="J83" t="str">
            <v>SB22586</v>
          </cell>
          <cell r="K83">
            <v>0</v>
          </cell>
          <cell r="P83" t="str">
            <v>SB22586</v>
          </cell>
          <cell r="Q83">
            <v>377517.83</v>
          </cell>
          <cell r="R83" t="str">
            <v>SB22586</v>
          </cell>
          <cell r="S83">
            <v>0</v>
          </cell>
        </row>
        <row r="84">
          <cell r="H84" t="str">
            <v>SB22585</v>
          </cell>
          <cell r="I84">
            <v>0</v>
          </cell>
          <cell r="J84" t="str">
            <v>SB22585</v>
          </cell>
          <cell r="K84">
            <v>0</v>
          </cell>
          <cell r="P84" t="str">
            <v>SB22585</v>
          </cell>
          <cell r="Q84">
            <v>4760.88</v>
          </cell>
          <cell r="R84" t="str">
            <v>SB22585</v>
          </cell>
          <cell r="S84">
            <v>0</v>
          </cell>
        </row>
        <row r="85">
          <cell r="H85" t="str">
            <v>SB22582</v>
          </cell>
          <cell r="I85">
            <v>138448</v>
          </cell>
          <cell r="J85" t="str">
            <v>SB22582</v>
          </cell>
          <cell r="K85">
            <v>0</v>
          </cell>
          <cell r="P85" t="str">
            <v>SB22582</v>
          </cell>
          <cell r="Q85">
            <v>45248</v>
          </cell>
          <cell r="R85" t="str">
            <v>SB22582</v>
          </cell>
          <cell r="S85">
            <v>0</v>
          </cell>
        </row>
        <row r="86">
          <cell r="H86" t="str">
            <v>SB22583</v>
          </cell>
          <cell r="I86">
            <v>0</v>
          </cell>
          <cell r="J86" t="str">
            <v>SB22583</v>
          </cell>
          <cell r="K86">
            <v>0</v>
          </cell>
          <cell r="P86" t="str">
            <v>SB22583</v>
          </cell>
          <cell r="Q86">
            <v>0</v>
          </cell>
          <cell r="R86" t="str">
            <v>SB22583</v>
          </cell>
          <cell r="S86">
            <v>0</v>
          </cell>
        </row>
        <row r="87">
          <cell r="H87" t="str">
            <v>SB22580</v>
          </cell>
          <cell r="I87">
            <v>650000</v>
          </cell>
          <cell r="J87" t="str">
            <v>SB22580</v>
          </cell>
          <cell r="K87">
            <v>0</v>
          </cell>
          <cell r="P87" t="str">
            <v>SB22580</v>
          </cell>
          <cell r="Q87">
            <v>0</v>
          </cell>
          <cell r="R87" t="str">
            <v>SB22580</v>
          </cell>
          <cell r="S87">
            <v>0</v>
          </cell>
        </row>
        <row r="88">
          <cell r="H88" t="str">
            <v>SB22581</v>
          </cell>
          <cell r="I88">
            <v>0</v>
          </cell>
          <cell r="J88" t="str">
            <v>SB22581</v>
          </cell>
          <cell r="K88">
            <v>0</v>
          </cell>
          <cell r="P88" t="str">
            <v>SB22581</v>
          </cell>
          <cell r="Q88">
            <v>38706.01</v>
          </cell>
          <cell r="R88" t="str">
            <v>SB22581</v>
          </cell>
          <cell r="S88">
            <v>0</v>
          </cell>
        </row>
        <row r="89">
          <cell r="H89" t="str">
            <v>SB22578</v>
          </cell>
          <cell r="I89">
            <v>0</v>
          </cell>
          <cell r="J89" t="str">
            <v>SB22578</v>
          </cell>
          <cell r="K89">
            <v>0</v>
          </cell>
          <cell r="P89" t="str">
            <v>SB22578</v>
          </cell>
          <cell r="Q89">
            <v>1705846.95</v>
          </cell>
          <cell r="R89" t="str">
            <v>SB22578</v>
          </cell>
          <cell r="S89">
            <v>0</v>
          </cell>
        </row>
        <row r="90">
          <cell r="H90" t="str">
            <v>SB22575</v>
          </cell>
          <cell r="I90">
            <v>835524</v>
          </cell>
          <cell r="J90" t="str">
            <v>SB22575</v>
          </cell>
          <cell r="K90">
            <v>0</v>
          </cell>
          <cell r="P90" t="str">
            <v>SB22575</v>
          </cell>
          <cell r="Q90">
            <v>176834.06</v>
          </cell>
          <cell r="R90" t="str">
            <v>SB22575</v>
          </cell>
          <cell r="S90">
            <v>0</v>
          </cell>
        </row>
        <row r="91">
          <cell r="H91" t="str">
            <v>SB22577</v>
          </cell>
          <cell r="I91">
            <v>832754</v>
          </cell>
          <cell r="J91" t="str">
            <v>SB22577</v>
          </cell>
          <cell r="K91">
            <v>0</v>
          </cell>
          <cell r="P91" t="str">
            <v>SB22577</v>
          </cell>
          <cell r="Q91">
            <v>569066.5</v>
          </cell>
          <cell r="R91" t="str">
            <v>SB22577</v>
          </cell>
          <cell r="S91">
            <v>0</v>
          </cell>
        </row>
        <row r="92">
          <cell r="H92" t="str">
            <v>SB22576</v>
          </cell>
          <cell r="I92">
            <v>891616</v>
          </cell>
          <cell r="J92" t="str">
            <v>SB22576</v>
          </cell>
          <cell r="K92">
            <v>0</v>
          </cell>
          <cell r="P92" t="str">
            <v>SB22576</v>
          </cell>
          <cell r="Q92">
            <v>59045.97</v>
          </cell>
          <cell r="R92" t="str">
            <v>SB22576</v>
          </cell>
          <cell r="S92">
            <v>0</v>
          </cell>
        </row>
        <row r="93">
          <cell r="H93" t="str">
            <v>SB22573</v>
          </cell>
          <cell r="I93">
            <v>33583</v>
          </cell>
          <cell r="J93" t="str">
            <v>SB22573</v>
          </cell>
          <cell r="K93">
            <v>0</v>
          </cell>
          <cell r="P93" t="str">
            <v>SB22573</v>
          </cell>
          <cell r="Q93">
            <v>20097</v>
          </cell>
          <cell r="R93" t="str">
            <v>SB22573</v>
          </cell>
          <cell r="S93">
            <v>0</v>
          </cell>
        </row>
        <row r="94">
          <cell r="H94" t="str">
            <v>SB22574</v>
          </cell>
          <cell r="I94">
            <v>0</v>
          </cell>
          <cell r="J94" t="str">
            <v>SB22574</v>
          </cell>
          <cell r="K94">
            <v>0</v>
          </cell>
          <cell r="P94" t="str">
            <v>SB22574</v>
          </cell>
          <cell r="Q94">
            <v>582989.25</v>
          </cell>
          <cell r="R94" t="str">
            <v>SB22574</v>
          </cell>
          <cell r="S94">
            <v>0</v>
          </cell>
        </row>
        <row r="95">
          <cell r="H95" t="str">
            <v>SB22572</v>
          </cell>
          <cell r="I95">
            <v>0</v>
          </cell>
          <cell r="J95" t="str">
            <v>SB22572</v>
          </cell>
          <cell r="K95">
            <v>0</v>
          </cell>
          <cell r="P95" t="str">
            <v>SB22572</v>
          </cell>
          <cell r="Q95">
            <v>33072</v>
          </cell>
          <cell r="R95" t="str">
            <v>SB22572</v>
          </cell>
          <cell r="S95">
            <v>0</v>
          </cell>
        </row>
        <row r="96">
          <cell r="H96" t="str">
            <v>SB22570</v>
          </cell>
          <cell r="I96">
            <v>0</v>
          </cell>
          <cell r="J96" t="str">
            <v>SB22570</v>
          </cell>
          <cell r="K96">
            <v>0</v>
          </cell>
          <cell r="P96" t="str">
            <v>SB22570</v>
          </cell>
          <cell r="Q96">
            <v>48380</v>
          </cell>
          <cell r="R96" t="str">
            <v>SB22570</v>
          </cell>
          <cell r="S96">
            <v>0</v>
          </cell>
        </row>
        <row r="97">
          <cell r="H97" t="str">
            <v>SB22571</v>
          </cell>
          <cell r="I97">
            <v>0</v>
          </cell>
          <cell r="J97" t="str">
            <v>SB22571</v>
          </cell>
          <cell r="K97">
            <v>0</v>
          </cell>
          <cell r="P97" t="str">
            <v>SB22571</v>
          </cell>
          <cell r="Q97">
            <v>318428</v>
          </cell>
          <cell r="R97" t="str">
            <v>SB22571</v>
          </cell>
          <cell r="S97">
            <v>0</v>
          </cell>
        </row>
        <row r="98">
          <cell r="H98" t="str">
            <v>SB22569</v>
          </cell>
          <cell r="I98">
            <v>6899640</v>
          </cell>
          <cell r="J98" t="str">
            <v>SB22569</v>
          </cell>
          <cell r="K98">
            <v>0</v>
          </cell>
          <cell r="P98" t="str">
            <v>SB22569</v>
          </cell>
          <cell r="Q98">
            <v>9834682.6600000001</v>
          </cell>
          <cell r="R98" t="str">
            <v>SB22569</v>
          </cell>
          <cell r="S98">
            <v>0</v>
          </cell>
        </row>
        <row r="99">
          <cell r="H99" t="str">
            <v>SB22567</v>
          </cell>
          <cell r="I99">
            <v>0</v>
          </cell>
          <cell r="J99" t="str">
            <v>SB22567</v>
          </cell>
          <cell r="K99">
            <v>0</v>
          </cell>
          <cell r="P99" t="str">
            <v>SB22567</v>
          </cell>
          <cell r="Q99">
            <v>14049.87</v>
          </cell>
          <cell r="R99" t="str">
            <v>SB22567</v>
          </cell>
          <cell r="S99">
            <v>0</v>
          </cell>
        </row>
        <row r="100">
          <cell r="H100" t="str">
            <v>SB22566</v>
          </cell>
          <cell r="I100">
            <v>-2060170.57</v>
          </cell>
          <cell r="J100" t="str">
            <v>SB22566</v>
          </cell>
          <cell r="K100">
            <v>0</v>
          </cell>
          <cell r="P100" t="str">
            <v>SB22566</v>
          </cell>
          <cell r="Q100">
            <v>-2877500</v>
          </cell>
          <cell r="R100" t="str">
            <v>SB22566</v>
          </cell>
          <cell r="S100">
            <v>0</v>
          </cell>
        </row>
        <row r="101">
          <cell r="H101" t="str">
            <v>SB22565</v>
          </cell>
          <cell r="I101">
            <v>1804616</v>
          </cell>
          <cell r="J101" t="str">
            <v>SB22565</v>
          </cell>
          <cell r="K101">
            <v>0</v>
          </cell>
          <cell r="P101" t="str">
            <v>SB22565</v>
          </cell>
          <cell r="Q101">
            <v>1515043</v>
          </cell>
          <cell r="R101" t="str">
            <v>SB22565</v>
          </cell>
          <cell r="S101">
            <v>-11315</v>
          </cell>
        </row>
        <row r="102">
          <cell r="H102" t="str">
            <v>SB22562</v>
          </cell>
          <cell r="I102">
            <v>0</v>
          </cell>
          <cell r="J102" t="str">
            <v>SB22562</v>
          </cell>
          <cell r="K102">
            <v>0</v>
          </cell>
          <cell r="P102" t="str">
            <v>SB22562</v>
          </cell>
          <cell r="Q102">
            <v>0</v>
          </cell>
          <cell r="R102" t="str">
            <v>SB22562</v>
          </cell>
          <cell r="S102">
            <v>0</v>
          </cell>
        </row>
        <row r="103">
          <cell r="H103" t="str">
            <v>SB22563</v>
          </cell>
          <cell r="I103">
            <v>0</v>
          </cell>
          <cell r="J103" t="str">
            <v>SB22563</v>
          </cell>
          <cell r="K103">
            <v>0</v>
          </cell>
          <cell r="P103" t="str">
            <v>SB22563</v>
          </cell>
          <cell r="Q103">
            <v>0</v>
          </cell>
          <cell r="R103" t="str">
            <v>SB22563</v>
          </cell>
          <cell r="S103">
            <v>0</v>
          </cell>
        </row>
        <row r="104">
          <cell r="H104" t="str">
            <v>SB22564</v>
          </cell>
          <cell r="I104">
            <v>1017327</v>
          </cell>
          <cell r="J104" t="str">
            <v>SB22564</v>
          </cell>
          <cell r="K104">
            <v>0</v>
          </cell>
          <cell r="P104" t="str">
            <v>SB22564</v>
          </cell>
          <cell r="Q104">
            <v>170000</v>
          </cell>
          <cell r="R104" t="str">
            <v>SB22564</v>
          </cell>
          <cell r="S104">
            <v>0</v>
          </cell>
        </row>
        <row r="105">
          <cell r="H105" t="str">
            <v>SB22560</v>
          </cell>
          <cell r="I105">
            <v>0</v>
          </cell>
          <cell r="J105" t="str">
            <v>SB22560</v>
          </cell>
          <cell r="K105">
            <v>-515900</v>
          </cell>
          <cell r="P105" t="str">
            <v>SB22560</v>
          </cell>
          <cell r="Q105">
            <v>481036.01</v>
          </cell>
          <cell r="R105" t="str">
            <v>SB22560</v>
          </cell>
          <cell r="S105">
            <v>0</v>
          </cell>
        </row>
        <row r="106">
          <cell r="H106" t="str">
            <v>SB22561</v>
          </cell>
          <cell r="I106">
            <v>0</v>
          </cell>
          <cell r="J106" t="str">
            <v>SB22561</v>
          </cell>
          <cell r="K106">
            <v>0</v>
          </cell>
          <cell r="P106" t="str">
            <v>SB22561</v>
          </cell>
          <cell r="Q106">
            <v>0</v>
          </cell>
          <cell r="R106" t="str">
            <v>SB22561</v>
          </cell>
          <cell r="S106">
            <v>0</v>
          </cell>
        </row>
        <row r="107">
          <cell r="H107" t="str">
            <v>SB22558</v>
          </cell>
          <cell r="I107">
            <v>0</v>
          </cell>
          <cell r="J107" t="str">
            <v>SB22558</v>
          </cell>
          <cell r="K107">
            <v>0</v>
          </cell>
          <cell r="P107" t="str">
            <v>SB22558</v>
          </cell>
          <cell r="Q107">
            <v>0</v>
          </cell>
          <cell r="R107" t="str">
            <v>SB22558</v>
          </cell>
          <cell r="S107">
            <v>0</v>
          </cell>
        </row>
        <row r="108">
          <cell r="H108" t="str">
            <v>SB22557</v>
          </cell>
          <cell r="I108">
            <v>0</v>
          </cell>
          <cell r="J108" t="str">
            <v>SB22557</v>
          </cell>
          <cell r="K108">
            <v>0</v>
          </cell>
          <cell r="P108" t="str">
            <v>SB22557</v>
          </cell>
          <cell r="Q108">
            <v>-138700</v>
          </cell>
          <cell r="R108" t="str">
            <v>SB22557</v>
          </cell>
          <cell r="S108">
            <v>0</v>
          </cell>
        </row>
        <row r="109">
          <cell r="H109" t="str">
            <v>SB22559</v>
          </cell>
          <cell r="I109">
            <v>2150500</v>
          </cell>
          <cell r="J109" t="str">
            <v>SB22559</v>
          </cell>
          <cell r="K109">
            <v>0</v>
          </cell>
          <cell r="P109" t="str">
            <v>SB22559</v>
          </cell>
          <cell r="Q109">
            <v>1550770</v>
          </cell>
          <cell r="R109" t="str">
            <v>SB22559</v>
          </cell>
          <cell r="S109">
            <v>0</v>
          </cell>
        </row>
        <row r="110">
          <cell r="H110" t="str">
            <v>SB22555</v>
          </cell>
          <cell r="I110">
            <v>0</v>
          </cell>
          <cell r="J110" t="str">
            <v>SB22555</v>
          </cell>
          <cell r="K110">
            <v>0</v>
          </cell>
          <cell r="P110" t="str">
            <v>SB22555</v>
          </cell>
          <cell r="Q110">
            <v>-15000</v>
          </cell>
          <cell r="R110" t="str">
            <v>SB22555</v>
          </cell>
          <cell r="S110">
            <v>0</v>
          </cell>
        </row>
        <row r="111">
          <cell r="H111" t="str">
            <v>SB22556</v>
          </cell>
          <cell r="I111">
            <v>0</v>
          </cell>
          <cell r="J111" t="str">
            <v>SB22556</v>
          </cell>
          <cell r="K111">
            <v>0</v>
          </cell>
          <cell r="P111" t="str">
            <v>SB22556</v>
          </cell>
          <cell r="Q111">
            <v>-52056</v>
          </cell>
          <cell r="R111" t="str">
            <v>SB22556</v>
          </cell>
          <cell r="S111">
            <v>0</v>
          </cell>
        </row>
        <row r="112">
          <cell r="H112" t="str">
            <v>SB22552</v>
          </cell>
          <cell r="I112">
            <v>0</v>
          </cell>
          <cell r="J112" t="str">
            <v>SB22552</v>
          </cell>
          <cell r="K112">
            <v>0</v>
          </cell>
          <cell r="P112" t="str">
            <v>SB22552</v>
          </cell>
          <cell r="Q112">
            <v>-790000</v>
          </cell>
          <cell r="R112" t="str">
            <v>SB22552</v>
          </cell>
          <cell r="S112">
            <v>0</v>
          </cell>
        </row>
        <row r="113">
          <cell r="H113" t="str">
            <v>SB22551</v>
          </cell>
          <cell r="I113">
            <v>-699894</v>
          </cell>
          <cell r="J113" t="str">
            <v>SB22551</v>
          </cell>
          <cell r="K113">
            <v>0</v>
          </cell>
          <cell r="P113" t="str">
            <v>SB22551</v>
          </cell>
          <cell r="Q113">
            <v>-303120</v>
          </cell>
          <cell r="R113" t="str">
            <v>SB22551</v>
          </cell>
          <cell r="S113">
            <v>0</v>
          </cell>
        </row>
        <row r="114">
          <cell r="H114" t="str">
            <v>SB22550</v>
          </cell>
          <cell r="I114">
            <v>-2117000</v>
          </cell>
          <cell r="J114" t="str">
            <v>SB22550</v>
          </cell>
          <cell r="K114">
            <v>0</v>
          </cell>
          <cell r="P114" t="str">
            <v>SB22550</v>
          </cell>
          <cell r="Q114">
            <v>-1258076.02</v>
          </cell>
          <cell r="R114" t="str">
            <v>SB22550</v>
          </cell>
          <cell r="S114">
            <v>-2429</v>
          </cell>
        </row>
        <row r="115">
          <cell r="H115" t="str">
            <v>SB22549</v>
          </cell>
          <cell r="I115">
            <v>-301859.98</v>
          </cell>
          <cell r="J115" t="str">
            <v>SB22549</v>
          </cell>
          <cell r="K115">
            <v>0</v>
          </cell>
          <cell r="P115" t="str">
            <v>SB22549</v>
          </cell>
          <cell r="Q115">
            <v>-94000</v>
          </cell>
          <cell r="R115" t="str">
            <v>SB22549</v>
          </cell>
          <cell r="S115">
            <v>0</v>
          </cell>
        </row>
        <row r="116">
          <cell r="H116" t="str">
            <v>SB22548</v>
          </cell>
          <cell r="I116">
            <v>0</v>
          </cell>
          <cell r="J116" t="str">
            <v>SB22548</v>
          </cell>
          <cell r="K116">
            <v>-581460</v>
          </cell>
          <cell r="P116" t="str">
            <v>SB22548</v>
          </cell>
          <cell r="Q116">
            <v>-243675</v>
          </cell>
          <cell r="R116" t="str">
            <v>SB22548</v>
          </cell>
          <cell r="S116">
            <v>0</v>
          </cell>
        </row>
        <row r="117">
          <cell r="H117" t="str">
            <v>SB22547</v>
          </cell>
          <cell r="I117">
            <v>0</v>
          </cell>
          <cell r="J117" t="str">
            <v>SB22547</v>
          </cell>
          <cell r="K117">
            <v>0</v>
          </cell>
          <cell r="P117" t="str">
            <v>SB22547</v>
          </cell>
          <cell r="Q117">
            <v>-42110</v>
          </cell>
          <cell r="R117" t="str">
            <v>SB22547</v>
          </cell>
          <cell r="S117">
            <v>0</v>
          </cell>
        </row>
        <row r="118">
          <cell r="H118" t="str">
            <v>SB22545</v>
          </cell>
          <cell r="I118">
            <v>2820020</v>
          </cell>
          <cell r="J118" t="str">
            <v>SB22545</v>
          </cell>
          <cell r="K118">
            <v>0</v>
          </cell>
          <cell r="P118" t="str">
            <v>SB22545</v>
          </cell>
          <cell r="Q118">
            <v>1612238</v>
          </cell>
          <cell r="R118" t="str">
            <v>SB22545</v>
          </cell>
          <cell r="S118">
            <v>0</v>
          </cell>
        </row>
        <row r="119">
          <cell r="H119" t="str">
            <v>SB22546</v>
          </cell>
          <cell r="I119">
            <v>0</v>
          </cell>
          <cell r="J119" t="str">
            <v>SB22546</v>
          </cell>
          <cell r="K119">
            <v>0</v>
          </cell>
          <cell r="P119" t="str">
            <v>SB22546</v>
          </cell>
          <cell r="Q119">
            <v>-330740</v>
          </cell>
          <cell r="R119" t="str">
            <v>SB22546</v>
          </cell>
          <cell r="S119">
            <v>0</v>
          </cell>
        </row>
        <row r="120">
          <cell r="H120" t="str">
            <v>SB22543</v>
          </cell>
          <cell r="I120">
            <v>0</v>
          </cell>
          <cell r="J120" t="str">
            <v>SB22543</v>
          </cell>
          <cell r="K120">
            <v>0</v>
          </cell>
          <cell r="P120" t="str">
            <v>SB22543</v>
          </cell>
          <cell r="Q120">
            <v>-1021439</v>
          </cell>
          <cell r="R120" t="str">
            <v>SB22543</v>
          </cell>
          <cell r="S120">
            <v>0</v>
          </cell>
        </row>
        <row r="121">
          <cell r="H121" t="str">
            <v>SB22541</v>
          </cell>
          <cell r="I121">
            <v>0</v>
          </cell>
          <cell r="J121" t="str">
            <v>SB22541</v>
          </cell>
          <cell r="K121">
            <v>0</v>
          </cell>
          <cell r="P121" t="str">
            <v>SB22541</v>
          </cell>
          <cell r="Q121">
            <v>3115821.31</v>
          </cell>
          <cell r="R121" t="str">
            <v>SB22541</v>
          </cell>
          <cell r="S121">
            <v>0</v>
          </cell>
        </row>
        <row r="122">
          <cell r="H122" t="str">
            <v>SB22540</v>
          </cell>
          <cell r="I122">
            <v>33211000</v>
          </cell>
          <cell r="J122" t="str">
            <v>SB22540</v>
          </cell>
          <cell r="K122">
            <v>0</v>
          </cell>
          <cell r="P122" t="str">
            <v>SB22540</v>
          </cell>
          <cell r="Q122">
            <v>21458605.469999999</v>
          </cell>
          <cell r="R122" t="str">
            <v>SB22540</v>
          </cell>
          <cell r="S122">
            <v>-4535000</v>
          </cell>
        </row>
        <row r="123">
          <cell r="H123" t="str">
            <v>SB22538</v>
          </cell>
          <cell r="I123">
            <v>-64000</v>
          </cell>
          <cell r="J123" t="str">
            <v>SB22538</v>
          </cell>
          <cell r="K123">
            <v>0</v>
          </cell>
          <cell r="P123" t="str">
            <v>SB22538</v>
          </cell>
          <cell r="Q123">
            <v>-700</v>
          </cell>
          <cell r="R123" t="str">
            <v>SB22538</v>
          </cell>
          <cell r="S123">
            <v>0</v>
          </cell>
        </row>
        <row r="124">
          <cell r="H124" t="str">
            <v>SB22539</v>
          </cell>
          <cell r="I124">
            <v>-4904900</v>
          </cell>
          <cell r="J124" t="str">
            <v>SB22539</v>
          </cell>
          <cell r="K124">
            <v>0</v>
          </cell>
          <cell r="P124" t="str">
            <v>SB22539</v>
          </cell>
          <cell r="Q124">
            <v>-219954.19</v>
          </cell>
          <cell r="R124" t="str">
            <v>SB22539</v>
          </cell>
          <cell r="S124">
            <v>-6450</v>
          </cell>
        </row>
        <row r="125">
          <cell r="H125" t="str">
            <v>SB22536</v>
          </cell>
          <cell r="I125">
            <v>-10000</v>
          </cell>
          <cell r="J125" t="str">
            <v>SB22536</v>
          </cell>
          <cell r="K125">
            <v>0</v>
          </cell>
          <cell r="P125" t="str">
            <v>SB22536</v>
          </cell>
          <cell r="Q125">
            <v>0</v>
          </cell>
          <cell r="R125" t="str">
            <v>SB22536</v>
          </cell>
          <cell r="S125">
            <v>0</v>
          </cell>
        </row>
        <row r="126">
          <cell r="H126" t="str">
            <v>SB22537</v>
          </cell>
          <cell r="I126">
            <v>0</v>
          </cell>
          <cell r="J126" t="str">
            <v>SB22537</v>
          </cell>
          <cell r="K126">
            <v>0</v>
          </cell>
          <cell r="P126" t="str">
            <v>SB22537</v>
          </cell>
          <cell r="Q126">
            <v>-330000</v>
          </cell>
          <cell r="R126" t="str">
            <v>SB22537</v>
          </cell>
          <cell r="S126">
            <v>0</v>
          </cell>
        </row>
        <row r="127">
          <cell r="H127" t="str">
            <v>SB22534</v>
          </cell>
          <cell r="I127">
            <v>0</v>
          </cell>
          <cell r="J127" t="str">
            <v>SB22534</v>
          </cell>
          <cell r="K127">
            <v>0</v>
          </cell>
          <cell r="P127" t="str">
            <v>SB22534</v>
          </cell>
          <cell r="Q127">
            <v>110540</v>
          </cell>
          <cell r="R127" t="str">
            <v>SB22534</v>
          </cell>
          <cell r="S127">
            <v>0</v>
          </cell>
        </row>
        <row r="128">
          <cell r="H128" t="str">
            <v>SB22532</v>
          </cell>
          <cell r="I128">
            <v>-337700</v>
          </cell>
          <cell r="J128" t="str">
            <v>SB22532</v>
          </cell>
          <cell r="K128">
            <v>0</v>
          </cell>
          <cell r="P128" t="str">
            <v>SB22532</v>
          </cell>
          <cell r="Q128">
            <v>-255000</v>
          </cell>
          <cell r="R128" t="str">
            <v>SB22532</v>
          </cell>
          <cell r="S128">
            <v>0</v>
          </cell>
        </row>
        <row r="129">
          <cell r="H129" t="str">
            <v>SB22529</v>
          </cell>
          <cell r="I129">
            <v>-656271</v>
          </cell>
          <cell r="J129" t="str">
            <v>SB22529</v>
          </cell>
          <cell r="K129">
            <v>0</v>
          </cell>
          <cell r="P129" t="str">
            <v>SB22529</v>
          </cell>
          <cell r="Q129">
            <v>-490814</v>
          </cell>
          <cell r="R129" t="str">
            <v>SB22529</v>
          </cell>
          <cell r="S129">
            <v>0</v>
          </cell>
        </row>
        <row r="130">
          <cell r="H130" t="str">
            <v>SB22526</v>
          </cell>
          <cell r="I130">
            <v>-115008</v>
          </cell>
          <cell r="J130" t="str">
            <v>SB22526</v>
          </cell>
          <cell r="K130">
            <v>0</v>
          </cell>
          <cell r="P130" t="str">
            <v>SB22526</v>
          </cell>
          <cell r="Q130">
            <v>0</v>
          </cell>
          <cell r="R130" t="str">
            <v>SB22526</v>
          </cell>
          <cell r="S130">
            <v>0</v>
          </cell>
        </row>
        <row r="131">
          <cell r="H131" t="str">
            <v>SB22527</v>
          </cell>
          <cell r="I131">
            <v>-284211</v>
          </cell>
          <cell r="J131" t="str">
            <v>SB22527</v>
          </cell>
          <cell r="K131">
            <v>0</v>
          </cell>
          <cell r="P131" t="str">
            <v>SB22527</v>
          </cell>
          <cell r="Q131">
            <v>0</v>
          </cell>
          <cell r="R131" t="str">
            <v>SB22527</v>
          </cell>
          <cell r="S131">
            <v>0</v>
          </cell>
        </row>
        <row r="132">
          <cell r="H132" t="str">
            <v>SB22524</v>
          </cell>
          <cell r="I132">
            <v>0</v>
          </cell>
          <cell r="J132" t="str">
            <v>SB22524</v>
          </cell>
          <cell r="K132">
            <v>0</v>
          </cell>
          <cell r="P132" t="str">
            <v>SB22524</v>
          </cell>
          <cell r="Q132">
            <v>-22800</v>
          </cell>
          <cell r="R132" t="str">
            <v>SB22524</v>
          </cell>
          <cell r="S132">
            <v>0</v>
          </cell>
        </row>
        <row r="133">
          <cell r="H133" t="str">
            <v>SB22523</v>
          </cell>
          <cell r="I133">
            <v>-186450</v>
          </cell>
          <cell r="J133" t="str">
            <v>SB22523</v>
          </cell>
          <cell r="K133">
            <v>0</v>
          </cell>
          <cell r="P133" t="str">
            <v>SB22523</v>
          </cell>
          <cell r="Q133">
            <v>-15000</v>
          </cell>
          <cell r="R133" t="str">
            <v>SB22523</v>
          </cell>
          <cell r="S133">
            <v>0</v>
          </cell>
        </row>
        <row r="134">
          <cell r="H134" t="str">
            <v>SB22520</v>
          </cell>
          <cell r="I134">
            <v>0</v>
          </cell>
          <cell r="J134" t="str">
            <v>SB22520</v>
          </cell>
          <cell r="K134">
            <v>0</v>
          </cell>
          <cell r="P134" t="str">
            <v>SB22520</v>
          </cell>
          <cell r="Q134">
            <v>27392.32</v>
          </cell>
          <cell r="R134" t="str">
            <v>SB22520</v>
          </cell>
          <cell r="S134">
            <v>0</v>
          </cell>
        </row>
        <row r="135">
          <cell r="H135" t="str">
            <v>SB22517</v>
          </cell>
          <cell r="I135">
            <v>0</v>
          </cell>
          <cell r="J135" t="str">
            <v>SB22517</v>
          </cell>
          <cell r="K135">
            <v>0</v>
          </cell>
          <cell r="P135" t="str">
            <v>SB22517</v>
          </cell>
          <cell r="Q135">
            <v>0</v>
          </cell>
          <cell r="R135" t="str">
            <v>SB22517</v>
          </cell>
          <cell r="S135">
            <v>0</v>
          </cell>
        </row>
        <row r="136">
          <cell r="H136" t="str">
            <v>SB22518</v>
          </cell>
          <cell r="I136">
            <v>-17248</v>
          </cell>
          <cell r="J136" t="str">
            <v>SB22518</v>
          </cell>
          <cell r="K136">
            <v>0</v>
          </cell>
          <cell r="P136" t="str">
            <v>SB22518</v>
          </cell>
          <cell r="Q136">
            <v>0</v>
          </cell>
          <cell r="R136" t="str">
            <v>SB22518</v>
          </cell>
          <cell r="S136">
            <v>0</v>
          </cell>
        </row>
        <row r="137">
          <cell r="H137" t="str">
            <v>SB22516</v>
          </cell>
          <cell r="I137">
            <v>0</v>
          </cell>
          <cell r="J137" t="str">
            <v>SB22516</v>
          </cell>
          <cell r="K137">
            <v>0</v>
          </cell>
          <cell r="P137" t="str">
            <v>SB22516</v>
          </cell>
          <cell r="Q137">
            <v>-126201.2</v>
          </cell>
          <cell r="R137" t="str">
            <v>SB22516</v>
          </cell>
          <cell r="S137">
            <v>0</v>
          </cell>
        </row>
        <row r="138">
          <cell r="H138" t="str">
            <v>SB22512</v>
          </cell>
          <cell r="I138">
            <v>0</v>
          </cell>
          <cell r="J138" t="str">
            <v>SB22512</v>
          </cell>
          <cell r="K138">
            <v>0</v>
          </cell>
          <cell r="P138" t="str">
            <v>SB22512</v>
          </cell>
          <cell r="Q138">
            <v>-559134.47</v>
          </cell>
          <cell r="R138" t="str">
            <v>SB22512</v>
          </cell>
          <cell r="S138">
            <v>0</v>
          </cell>
        </row>
        <row r="139">
          <cell r="H139" t="str">
            <v>SB22513</v>
          </cell>
          <cell r="I139">
            <v>0</v>
          </cell>
          <cell r="J139" t="str">
            <v>SB22513</v>
          </cell>
          <cell r="K139">
            <v>0</v>
          </cell>
          <cell r="P139" t="str">
            <v>SB22513</v>
          </cell>
          <cell r="Q139">
            <v>-59695</v>
          </cell>
          <cell r="R139" t="str">
            <v>SB22513</v>
          </cell>
          <cell r="S139">
            <v>0</v>
          </cell>
        </row>
        <row r="140">
          <cell r="H140" t="str">
            <v>SB22508</v>
          </cell>
          <cell r="I140">
            <v>0</v>
          </cell>
          <cell r="J140" t="str">
            <v>SB22508</v>
          </cell>
          <cell r="K140">
            <v>0</v>
          </cell>
          <cell r="P140" t="str">
            <v>SB22508</v>
          </cell>
          <cell r="Q140">
            <v>-23884</v>
          </cell>
          <cell r="R140" t="str">
            <v>SB22508</v>
          </cell>
          <cell r="S140">
            <v>0</v>
          </cell>
        </row>
        <row r="141">
          <cell r="H141" t="str">
            <v>SB22511</v>
          </cell>
          <cell r="I141">
            <v>943616.5</v>
          </cell>
          <cell r="J141" t="str">
            <v>SB22511</v>
          </cell>
          <cell r="K141">
            <v>0</v>
          </cell>
          <cell r="P141" t="str">
            <v>SB22511</v>
          </cell>
          <cell r="Q141">
            <v>763119.91</v>
          </cell>
          <cell r="R141" t="str">
            <v>SB22511</v>
          </cell>
          <cell r="S141">
            <v>0</v>
          </cell>
        </row>
        <row r="142">
          <cell r="H142" t="str">
            <v>SB22503</v>
          </cell>
          <cell r="I142">
            <v>-2500000</v>
          </cell>
          <cell r="J142" t="str">
            <v>SB22503</v>
          </cell>
          <cell r="K142">
            <v>0</v>
          </cell>
          <cell r="P142" t="str">
            <v>SB22503</v>
          </cell>
          <cell r="Q142">
            <v>-1100000</v>
          </cell>
          <cell r="R142" t="str">
            <v>SB22503</v>
          </cell>
          <cell r="S142">
            <v>0</v>
          </cell>
        </row>
        <row r="143">
          <cell r="H143" t="str">
            <v>SB22504</v>
          </cell>
          <cell r="I143">
            <v>0</v>
          </cell>
          <cell r="J143" t="str">
            <v>SB22504</v>
          </cell>
          <cell r="K143">
            <v>0</v>
          </cell>
          <cell r="P143" t="str">
            <v>SB22504</v>
          </cell>
          <cell r="Q143">
            <v>-8391</v>
          </cell>
          <cell r="R143" t="str">
            <v>SB22504</v>
          </cell>
          <cell r="S143">
            <v>0</v>
          </cell>
        </row>
        <row r="144">
          <cell r="H144" t="str">
            <v>SB22502</v>
          </cell>
          <cell r="I144">
            <v>0</v>
          </cell>
          <cell r="J144" t="str">
            <v>SB22502</v>
          </cell>
          <cell r="K144">
            <v>0</v>
          </cell>
          <cell r="P144" t="str">
            <v>SB22502</v>
          </cell>
          <cell r="Q144">
            <v>-486500</v>
          </cell>
          <cell r="R144" t="str">
            <v>SB22502</v>
          </cell>
          <cell r="S144">
            <v>0</v>
          </cell>
        </row>
        <row r="145">
          <cell r="H145" t="str">
            <v>SB22501</v>
          </cell>
          <cell r="I145">
            <v>0</v>
          </cell>
          <cell r="J145" t="str">
            <v>SB22501</v>
          </cell>
          <cell r="K145">
            <v>0</v>
          </cell>
          <cell r="P145" t="str">
            <v>SB22501</v>
          </cell>
          <cell r="Q145">
            <v>-180000</v>
          </cell>
          <cell r="R145" t="str">
            <v>SB22501</v>
          </cell>
          <cell r="S145">
            <v>0</v>
          </cell>
        </row>
        <row r="146">
          <cell r="H146" t="str">
            <v>SB22500</v>
          </cell>
          <cell r="I146">
            <v>-7894260</v>
          </cell>
          <cell r="J146" t="str">
            <v>SB22500</v>
          </cell>
          <cell r="K146">
            <v>0</v>
          </cell>
          <cell r="P146" t="str">
            <v>SB22500</v>
          </cell>
          <cell r="Q146">
            <v>-4735048.76</v>
          </cell>
          <cell r="R146" t="str">
            <v>SB22500</v>
          </cell>
          <cell r="S146">
            <v>-50000</v>
          </cell>
        </row>
        <row r="147">
          <cell r="H147" t="str">
            <v>SB22498</v>
          </cell>
          <cell r="I147">
            <v>0</v>
          </cell>
          <cell r="J147" t="str">
            <v>SB22498</v>
          </cell>
          <cell r="K147">
            <v>0</v>
          </cell>
          <cell r="P147" t="str">
            <v>SB22498</v>
          </cell>
          <cell r="Q147">
            <v>-119741</v>
          </cell>
          <cell r="R147" t="str">
            <v>SB22498</v>
          </cell>
          <cell r="S147">
            <v>0</v>
          </cell>
        </row>
        <row r="148">
          <cell r="H148" t="str">
            <v>SB22495</v>
          </cell>
          <cell r="I148">
            <v>0</v>
          </cell>
          <cell r="J148" t="str">
            <v>SB22495</v>
          </cell>
          <cell r="K148">
            <v>0</v>
          </cell>
          <cell r="P148" t="str">
            <v>SB22495</v>
          </cell>
          <cell r="Q148">
            <v>-657910</v>
          </cell>
          <cell r="R148" t="str">
            <v>SB22495</v>
          </cell>
          <cell r="S148">
            <v>0</v>
          </cell>
        </row>
        <row r="149">
          <cell r="H149" t="str">
            <v>SB22492</v>
          </cell>
          <cell r="I149">
            <v>-1871000</v>
          </cell>
          <cell r="J149" t="str">
            <v>SB22492</v>
          </cell>
          <cell r="K149">
            <v>0</v>
          </cell>
          <cell r="P149" t="str">
            <v>SB22492</v>
          </cell>
          <cell r="Q149">
            <v>-779853.52</v>
          </cell>
          <cell r="R149" t="str">
            <v>SB22492</v>
          </cell>
          <cell r="S149">
            <v>-200000</v>
          </cell>
        </row>
        <row r="150">
          <cell r="H150" t="str">
            <v>SB22494</v>
          </cell>
          <cell r="I150">
            <v>0</v>
          </cell>
          <cell r="J150" t="str">
            <v>SB22494</v>
          </cell>
          <cell r="K150">
            <v>0</v>
          </cell>
          <cell r="P150" t="str">
            <v>SB22494</v>
          </cell>
          <cell r="Q150">
            <v>-26000</v>
          </cell>
          <cell r="R150" t="str">
            <v>SB22494</v>
          </cell>
          <cell r="S150">
            <v>0</v>
          </cell>
        </row>
        <row r="151">
          <cell r="H151" t="str">
            <v>SB22491</v>
          </cell>
          <cell r="I151">
            <v>-14900720.390000001</v>
          </cell>
          <cell r="J151" t="str">
            <v>SB22491</v>
          </cell>
          <cell r="K151">
            <v>0</v>
          </cell>
          <cell r="P151" t="str">
            <v>SB22491</v>
          </cell>
          <cell r="Q151">
            <v>-5959838.1900000004</v>
          </cell>
          <cell r="R151" t="str">
            <v>SB22491</v>
          </cell>
          <cell r="S151">
            <v>0</v>
          </cell>
        </row>
        <row r="152">
          <cell r="H152" t="str">
            <v>SB22488</v>
          </cell>
          <cell r="I152">
            <v>-339093</v>
          </cell>
          <cell r="J152" t="str">
            <v>SB22488</v>
          </cell>
          <cell r="K152">
            <v>0</v>
          </cell>
          <cell r="P152" t="str">
            <v>SB22488</v>
          </cell>
          <cell r="Q152">
            <v>-58820</v>
          </cell>
          <cell r="R152" t="str">
            <v>SB22488</v>
          </cell>
          <cell r="S152">
            <v>0</v>
          </cell>
        </row>
        <row r="153">
          <cell r="H153" t="str">
            <v>SB22487</v>
          </cell>
          <cell r="I153">
            <v>0</v>
          </cell>
          <cell r="J153" t="str">
            <v>SB22487</v>
          </cell>
          <cell r="K153">
            <v>0</v>
          </cell>
          <cell r="P153" t="str">
            <v>SB22487</v>
          </cell>
          <cell r="Q153">
            <v>-36830</v>
          </cell>
          <cell r="R153" t="str">
            <v>SB22487</v>
          </cell>
          <cell r="S153">
            <v>0</v>
          </cell>
        </row>
        <row r="154">
          <cell r="H154" t="str">
            <v>SB22483</v>
          </cell>
          <cell r="I154">
            <v>-2475150</v>
          </cell>
          <cell r="J154" t="str">
            <v>SB22483</v>
          </cell>
          <cell r="K154">
            <v>0</v>
          </cell>
          <cell r="P154" t="str">
            <v>SB22483</v>
          </cell>
          <cell r="Q154">
            <v>-187950</v>
          </cell>
          <cell r="R154" t="str">
            <v>SB22483</v>
          </cell>
          <cell r="S154">
            <v>0</v>
          </cell>
        </row>
        <row r="155">
          <cell r="H155" t="str">
            <v>SB22325</v>
          </cell>
          <cell r="I155">
            <v>0</v>
          </cell>
          <cell r="J155" t="str">
            <v>SB22325</v>
          </cell>
          <cell r="K155">
            <v>0</v>
          </cell>
          <cell r="P155" t="str">
            <v>SB22325</v>
          </cell>
          <cell r="Q155">
            <v>-263100</v>
          </cell>
          <cell r="R155" t="str">
            <v>SB22325</v>
          </cell>
          <cell r="S155">
            <v>0</v>
          </cell>
        </row>
        <row r="156">
          <cell r="H156" t="str">
            <v>SB22479</v>
          </cell>
          <cell r="I156">
            <v>-3554369.5</v>
          </cell>
          <cell r="J156" t="str">
            <v>SB22479</v>
          </cell>
          <cell r="K156">
            <v>0</v>
          </cell>
          <cell r="P156" t="str">
            <v>SB22479</v>
          </cell>
          <cell r="Q156">
            <v>-1942440</v>
          </cell>
          <cell r="R156" t="str">
            <v>SB22479</v>
          </cell>
          <cell r="S156">
            <v>0</v>
          </cell>
        </row>
        <row r="157">
          <cell r="H157" t="str">
            <v>SB22475</v>
          </cell>
          <cell r="I157">
            <v>0</v>
          </cell>
          <cell r="J157" t="str">
            <v>SB22475</v>
          </cell>
          <cell r="K157">
            <v>0</v>
          </cell>
          <cell r="P157" t="str">
            <v>SB22475</v>
          </cell>
          <cell r="Q157">
            <v>-1312055</v>
          </cell>
          <cell r="R157" t="str">
            <v>SB22475</v>
          </cell>
          <cell r="S157">
            <v>0</v>
          </cell>
        </row>
        <row r="158">
          <cell r="H158" t="str">
            <v>SB22471</v>
          </cell>
          <cell r="I158">
            <v>0</v>
          </cell>
          <cell r="J158" t="str">
            <v>SB22471</v>
          </cell>
          <cell r="K158">
            <v>0</v>
          </cell>
          <cell r="P158" t="str">
            <v>SB22471</v>
          </cell>
          <cell r="Q158">
            <v>-102685</v>
          </cell>
          <cell r="R158" t="str">
            <v>SB22471</v>
          </cell>
          <cell r="S158">
            <v>0</v>
          </cell>
        </row>
        <row r="159">
          <cell r="H159" t="str">
            <v>SB22477</v>
          </cell>
          <cell r="I159">
            <v>-1568753</v>
          </cell>
          <cell r="J159" t="str">
            <v>SB22477</v>
          </cell>
          <cell r="K159">
            <v>0</v>
          </cell>
          <cell r="P159" t="str">
            <v>SB22477</v>
          </cell>
          <cell r="Q159">
            <v>-1211650</v>
          </cell>
          <cell r="R159" t="str">
            <v>SB22477</v>
          </cell>
          <cell r="S159">
            <v>0</v>
          </cell>
        </row>
        <row r="160">
          <cell r="H160" t="str">
            <v>SB22469</v>
          </cell>
          <cell r="I160">
            <v>-3600229.6</v>
          </cell>
          <cell r="J160" t="str">
            <v>SB22469</v>
          </cell>
          <cell r="K160">
            <v>0</v>
          </cell>
          <cell r="P160" t="str">
            <v>SB22469</v>
          </cell>
          <cell r="Q160">
            <v>-3090870.27</v>
          </cell>
          <cell r="R160" t="str">
            <v>SB22469</v>
          </cell>
          <cell r="S160">
            <v>0</v>
          </cell>
        </row>
        <row r="161">
          <cell r="H161" t="str">
            <v>SB22470</v>
          </cell>
          <cell r="I161">
            <v>0</v>
          </cell>
          <cell r="J161" t="str">
            <v>SB22470</v>
          </cell>
          <cell r="K161">
            <v>0</v>
          </cell>
          <cell r="P161" t="str">
            <v>SB22470</v>
          </cell>
          <cell r="Q161">
            <v>-33353</v>
          </cell>
          <cell r="R161" t="str">
            <v>SB22470</v>
          </cell>
          <cell r="S161">
            <v>0</v>
          </cell>
        </row>
        <row r="162">
          <cell r="H162" t="str">
            <v>SB22465</v>
          </cell>
          <cell r="I162">
            <v>-2500000</v>
          </cell>
          <cell r="J162" t="str">
            <v>SB22465</v>
          </cell>
          <cell r="K162">
            <v>0</v>
          </cell>
          <cell r="P162" t="str">
            <v>SB22465</v>
          </cell>
          <cell r="Q162">
            <v>-156000</v>
          </cell>
          <cell r="R162" t="str">
            <v>SB22465</v>
          </cell>
          <cell r="S162">
            <v>0</v>
          </cell>
        </row>
        <row r="163">
          <cell r="H163" t="str">
            <v>SB22460</v>
          </cell>
          <cell r="I163">
            <v>0</v>
          </cell>
          <cell r="J163" t="str">
            <v>SB22460</v>
          </cell>
          <cell r="K163">
            <v>0</v>
          </cell>
          <cell r="P163" t="str">
            <v>SB22460</v>
          </cell>
          <cell r="Q163">
            <v>-55000</v>
          </cell>
          <cell r="R163" t="str">
            <v>SB22460</v>
          </cell>
          <cell r="S163">
            <v>0</v>
          </cell>
        </row>
        <row r="164">
          <cell r="H164" t="str">
            <v>SB22461</v>
          </cell>
          <cell r="I164">
            <v>-3011623.2</v>
          </cell>
          <cell r="J164" t="str">
            <v>SB22461</v>
          </cell>
          <cell r="K164">
            <v>0</v>
          </cell>
          <cell r="P164" t="str">
            <v>SB22461</v>
          </cell>
          <cell r="Q164">
            <v>-5660425</v>
          </cell>
          <cell r="R164" t="str">
            <v>SB22461</v>
          </cell>
          <cell r="S164">
            <v>-6500</v>
          </cell>
        </row>
        <row r="165">
          <cell r="H165" t="str">
            <v>SB22456</v>
          </cell>
          <cell r="I165">
            <v>0</v>
          </cell>
          <cell r="J165" t="str">
            <v>SB22456</v>
          </cell>
          <cell r="K165">
            <v>0</v>
          </cell>
          <cell r="P165" t="str">
            <v>SB22456</v>
          </cell>
          <cell r="Q165">
            <v>0</v>
          </cell>
          <cell r="R165" t="str">
            <v>SB22456</v>
          </cell>
          <cell r="S165">
            <v>0</v>
          </cell>
        </row>
        <row r="166">
          <cell r="H166" t="str">
            <v>SB22453</v>
          </cell>
          <cell r="I166">
            <v>0</v>
          </cell>
          <cell r="J166" t="str">
            <v>SB22453</v>
          </cell>
          <cell r="K166">
            <v>0</v>
          </cell>
          <cell r="P166" t="str">
            <v>SB22453</v>
          </cell>
          <cell r="Q166">
            <v>0</v>
          </cell>
          <cell r="R166" t="str">
            <v>SB22453</v>
          </cell>
          <cell r="S166">
            <v>0</v>
          </cell>
        </row>
        <row r="167">
          <cell r="H167" t="str">
            <v>SB22455</v>
          </cell>
          <cell r="I167">
            <v>-14000000</v>
          </cell>
          <cell r="J167" t="str">
            <v>SB22455</v>
          </cell>
          <cell r="K167">
            <v>0</v>
          </cell>
          <cell r="P167" t="str">
            <v>SB22455</v>
          </cell>
          <cell r="Q167">
            <v>-3294032</v>
          </cell>
          <cell r="R167" t="str">
            <v>SB22455</v>
          </cell>
          <cell r="S167">
            <v>0</v>
          </cell>
        </row>
        <row r="168">
          <cell r="H168" t="str">
            <v>SB22451</v>
          </cell>
          <cell r="I168">
            <v>0</v>
          </cell>
          <cell r="J168" t="str">
            <v>SB22451</v>
          </cell>
          <cell r="K168">
            <v>0</v>
          </cell>
          <cell r="P168" t="str">
            <v>SB22451</v>
          </cell>
          <cell r="Q168">
            <v>-585000.79</v>
          </cell>
          <cell r="R168" t="str">
            <v>SB22451</v>
          </cell>
          <cell r="S168">
            <v>0</v>
          </cell>
        </row>
        <row r="169">
          <cell r="H169" t="str">
            <v>SB22449</v>
          </cell>
          <cell r="I169">
            <v>0</v>
          </cell>
          <cell r="J169" t="str">
            <v>SB22449</v>
          </cell>
          <cell r="K169">
            <v>-399072.26</v>
          </cell>
          <cell r="P169" t="str">
            <v>SB22449</v>
          </cell>
          <cell r="Q169">
            <v>0</v>
          </cell>
          <cell r="R169" t="str">
            <v>SB22449</v>
          </cell>
          <cell r="S169">
            <v>0</v>
          </cell>
        </row>
        <row r="170">
          <cell r="H170" t="str">
            <v>SB22448</v>
          </cell>
          <cell r="I170">
            <v>-928816</v>
          </cell>
          <cell r="J170" t="str">
            <v>SB22448</v>
          </cell>
          <cell r="K170">
            <v>0</v>
          </cell>
          <cell r="P170" t="str">
            <v>SB22448</v>
          </cell>
          <cell r="Q170">
            <v>0</v>
          </cell>
          <cell r="R170" t="str">
            <v>SB22448</v>
          </cell>
          <cell r="S170">
            <v>0</v>
          </cell>
        </row>
        <row r="171">
          <cell r="H171" t="str">
            <v>SB22445</v>
          </cell>
          <cell r="I171">
            <v>0</v>
          </cell>
          <cell r="J171" t="str">
            <v>SB22445</v>
          </cell>
          <cell r="K171">
            <v>0</v>
          </cell>
          <cell r="P171" t="str">
            <v>SB22445</v>
          </cell>
          <cell r="Q171">
            <v>-15407</v>
          </cell>
          <cell r="R171" t="str">
            <v>SB22445</v>
          </cell>
          <cell r="S171">
            <v>0</v>
          </cell>
        </row>
        <row r="172">
          <cell r="H172" t="str">
            <v>SB22446</v>
          </cell>
          <cell r="I172">
            <v>-1668425</v>
          </cell>
          <cell r="J172" t="str">
            <v>SB22446</v>
          </cell>
          <cell r="K172">
            <v>0</v>
          </cell>
          <cell r="P172" t="str">
            <v>SB22446</v>
          </cell>
          <cell r="Q172">
            <v>0</v>
          </cell>
          <cell r="R172" t="str">
            <v>SB22446</v>
          </cell>
          <cell r="S172">
            <v>0</v>
          </cell>
        </row>
        <row r="173">
          <cell r="H173" t="str">
            <v>SB22443</v>
          </cell>
          <cell r="I173">
            <v>0</v>
          </cell>
          <cell r="J173" t="str">
            <v>SB22443</v>
          </cell>
          <cell r="K173">
            <v>0</v>
          </cell>
          <cell r="P173" t="str">
            <v>SB22443</v>
          </cell>
          <cell r="Q173">
            <v>-14500</v>
          </cell>
          <cell r="R173" t="str">
            <v>SB22443</v>
          </cell>
          <cell r="S173">
            <v>0</v>
          </cell>
        </row>
        <row r="174">
          <cell r="H174" t="str">
            <v>SB22444</v>
          </cell>
          <cell r="I174">
            <v>-175142</v>
          </cell>
          <cell r="J174" t="str">
            <v>SB22444</v>
          </cell>
          <cell r="K174">
            <v>0</v>
          </cell>
          <cell r="P174" t="str">
            <v>SB22444</v>
          </cell>
          <cell r="Q174">
            <v>-192445</v>
          </cell>
          <cell r="R174" t="str">
            <v>SB22444</v>
          </cell>
          <cell r="S174">
            <v>0</v>
          </cell>
        </row>
        <row r="175">
          <cell r="H175" t="str">
            <v>SB22439</v>
          </cell>
          <cell r="I175">
            <v>1232800</v>
          </cell>
          <cell r="J175" t="str">
            <v>SB22439</v>
          </cell>
          <cell r="K175">
            <v>0</v>
          </cell>
          <cell r="P175" t="str">
            <v>SB22439</v>
          </cell>
          <cell r="Q175">
            <v>907484</v>
          </cell>
          <cell r="R175" t="str">
            <v>SB22439</v>
          </cell>
          <cell r="S175">
            <v>0</v>
          </cell>
        </row>
        <row r="176">
          <cell r="H176" t="str">
            <v>SB22437</v>
          </cell>
          <cell r="I176">
            <v>0</v>
          </cell>
          <cell r="J176" t="str">
            <v>SB22437</v>
          </cell>
          <cell r="K176">
            <v>0</v>
          </cell>
          <cell r="P176" t="str">
            <v>SB22437</v>
          </cell>
          <cell r="Q176">
            <v>2932529.94</v>
          </cell>
          <cell r="R176" t="str">
            <v>SB22437</v>
          </cell>
          <cell r="S176">
            <v>-6150</v>
          </cell>
        </row>
        <row r="177">
          <cell r="H177" t="str">
            <v>SB22433</v>
          </cell>
          <cell r="I177">
            <v>-317178</v>
          </cell>
          <cell r="J177" t="str">
            <v>SB22433</v>
          </cell>
          <cell r="K177">
            <v>0</v>
          </cell>
          <cell r="P177" t="str">
            <v>SB22433</v>
          </cell>
          <cell r="Q177">
            <v>-58437.5</v>
          </cell>
          <cell r="R177" t="str">
            <v>SB22433</v>
          </cell>
          <cell r="S177">
            <v>0</v>
          </cell>
        </row>
        <row r="178">
          <cell r="H178" t="str">
            <v>SB22428</v>
          </cell>
          <cell r="I178">
            <v>-5492385.0599999996</v>
          </cell>
          <cell r="J178" t="str">
            <v>SB22428</v>
          </cell>
          <cell r="K178">
            <v>0</v>
          </cell>
          <cell r="P178" t="str">
            <v>SB22428</v>
          </cell>
          <cell r="Q178">
            <v>-350000</v>
          </cell>
          <cell r="R178" t="str">
            <v>SB22428</v>
          </cell>
          <cell r="S178">
            <v>0</v>
          </cell>
        </row>
        <row r="179">
          <cell r="H179" t="str">
            <v>SB22424</v>
          </cell>
          <cell r="I179">
            <v>0</v>
          </cell>
          <cell r="J179" t="str">
            <v>SB22424</v>
          </cell>
          <cell r="K179">
            <v>0</v>
          </cell>
          <cell r="P179" t="str">
            <v>SB22424</v>
          </cell>
          <cell r="Q179">
            <v>34233</v>
          </cell>
          <cell r="R179" t="str">
            <v>SB22424</v>
          </cell>
          <cell r="S179">
            <v>-126649</v>
          </cell>
        </row>
        <row r="180">
          <cell r="H180" t="str">
            <v>SB22417</v>
          </cell>
          <cell r="I180">
            <v>0</v>
          </cell>
          <cell r="J180" t="str">
            <v>SB22417</v>
          </cell>
          <cell r="K180">
            <v>0</v>
          </cell>
          <cell r="P180" t="str">
            <v>SB22417</v>
          </cell>
          <cell r="Q180">
            <v>-110000</v>
          </cell>
          <cell r="R180" t="str">
            <v>SB22417</v>
          </cell>
          <cell r="S180">
            <v>0</v>
          </cell>
        </row>
        <row r="181">
          <cell r="H181" t="str">
            <v>SB22414</v>
          </cell>
          <cell r="I181">
            <v>-250000</v>
          </cell>
          <cell r="J181" t="str">
            <v>SB22414</v>
          </cell>
          <cell r="K181">
            <v>0</v>
          </cell>
          <cell r="P181" t="str">
            <v>SB22414</v>
          </cell>
          <cell r="Q181">
            <v>-1139500</v>
          </cell>
          <cell r="R181" t="str">
            <v>SB22414</v>
          </cell>
          <cell r="S181">
            <v>0</v>
          </cell>
        </row>
        <row r="182">
          <cell r="H182" t="str">
            <v>SB22416</v>
          </cell>
          <cell r="I182">
            <v>0</v>
          </cell>
          <cell r="J182" t="str">
            <v>SB22416</v>
          </cell>
          <cell r="K182">
            <v>0</v>
          </cell>
          <cell r="P182" t="str">
            <v>SB22416</v>
          </cell>
          <cell r="Q182">
            <v>-6000</v>
          </cell>
          <cell r="R182" t="str">
            <v>SB22416</v>
          </cell>
          <cell r="S182">
            <v>0</v>
          </cell>
        </row>
        <row r="183">
          <cell r="H183" t="str">
            <v>SB22411</v>
          </cell>
          <cell r="I183">
            <v>0</v>
          </cell>
          <cell r="J183" t="str">
            <v>SB22411</v>
          </cell>
          <cell r="K183">
            <v>0</v>
          </cell>
          <cell r="P183" t="str">
            <v>SB22411</v>
          </cell>
          <cell r="Q183">
            <v>-7552</v>
          </cell>
          <cell r="R183" t="str">
            <v>SB22411</v>
          </cell>
          <cell r="S183">
            <v>0</v>
          </cell>
        </row>
        <row r="184">
          <cell r="H184" t="str">
            <v>SB22410</v>
          </cell>
          <cell r="I184">
            <v>0</v>
          </cell>
          <cell r="J184" t="str">
            <v>SB22410</v>
          </cell>
          <cell r="K184">
            <v>0</v>
          </cell>
          <cell r="P184" t="str">
            <v>SB22410</v>
          </cell>
          <cell r="Q184">
            <v>-40000</v>
          </cell>
          <cell r="R184" t="str">
            <v>SB22410</v>
          </cell>
          <cell r="S184">
            <v>0</v>
          </cell>
        </row>
        <row r="185">
          <cell r="H185" t="str">
            <v>SB22405</v>
          </cell>
          <cell r="I185">
            <v>-5313598</v>
          </cell>
          <cell r="J185" t="str">
            <v>SB22405</v>
          </cell>
          <cell r="K185">
            <v>0</v>
          </cell>
          <cell r="P185" t="str">
            <v>SB22405</v>
          </cell>
          <cell r="Q185">
            <v>0</v>
          </cell>
          <cell r="R185" t="str">
            <v>SB22405</v>
          </cell>
          <cell r="S185">
            <v>0</v>
          </cell>
        </row>
        <row r="186">
          <cell r="H186" t="str">
            <v>SB22404</v>
          </cell>
          <cell r="I186">
            <v>0</v>
          </cell>
          <cell r="J186" t="str">
            <v>SB22404</v>
          </cell>
          <cell r="K186">
            <v>0</v>
          </cell>
          <cell r="P186" t="str">
            <v>SB22404</v>
          </cell>
          <cell r="Q186">
            <v>-10725</v>
          </cell>
          <cell r="R186" t="str">
            <v>SB22404</v>
          </cell>
          <cell r="S186">
            <v>0</v>
          </cell>
        </row>
        <row r="187">
          <cell r="H187" t="str">
            <v>SB22401</v>
          </cell>
          <cell r="I187">
            <v>0</v>
          </cell>
          <cell r="J187" t="str">
            <v>SB22401</v>
          </cell>
          <cell r="K187">
            <v>-138800</v>
          </cell>
          <cell r="P187" t="str">
            <v>SB22401</v>
          </cell>
          <cell r="Q187">
            <v>0</v>
          </cell>
          <cell r="R187" t="str">
            <v>SB22401</v>
          </cell>
          <cell r="S187">
            <v>0</v>
          </cell>
        </row>
        <row r="188">
          <cell r="H188" t="str">
            <v>SB22400</v>
          </cell>
          <cell r="I188">
            <v>0</v>
          </cell>
          <cell r="J188" t="str">
            <v>SB22400</v>
          </cell>
          <cell r="K188">
            <v>0</v>
          </cell>
          <cell r="P188" t="str">
            <v>SB22400</v>
          </cell>
          <cell r="Q188">
            <v>-250771</v>
          </cell>
          <cell r="R188" t="str">
            <v>SB22400</v>
          </cell>
          <cell r="S188">
            <v>0</v>
          </cell>
        </row>
        <row r="189">
          <cell r="H189" t="str">
            <v>SB22397</v>
          </cell>
          <cell r="I189">
            <v>1263051.28</v>
          </cell>
          <cell r="J189" t="str">
            <v>SB22397</v>
          </cell>
          <cell r="K189">
            <v>0</v>
          </cell>
          <cell r="P189" t="str">
            <v>SB22397</v>
          </cell>
          <cell r="Q189">
            <v>961551.28</v>
          </cell>
          <cell r="R189" t="str">
            <v>SB22397</v>
          </cell>
          <cell r="S189">
            <v>0</v>
          </cell>
        </row>
        <row r="190">
          <cell r="H190" t="str">
            <v>SB22399</v>
          </cell>
          <cell r="I190">
            <v>0</v>
          </cell>
          <cell r="J190" t="str">
            <v>SB22399</v>
          </cell>
          <cell r="K190">
            <v>0</v>
          </cell>
          <cell r="P190" t="str">
            <v>SB22399</v>
          </cell>
          <cell r="Q190">
            <v>-12350</v>
          </cell>
          <cell r="R190" t="str">
            <v>SB22399</v>
          </cell>
          <cell r="S190">
            <v>0</v>
          </cell>
        </row>
        <row r="191">
          <cell r="H191" t="str">
            <v>SB22396</v>
          </cell>
          <cell r="I191">
            <v>0</v>
          </cell>
          <cell r="J191" t="str">
            <v>SB22396</v>
          </cell>
          <cell r="K191">
            <v>0</v>
          </cell>
          <cell r="P191" t="str">
            <v>SB22396</v>
          </cell>
          <cell r="Q191">
            <v>-2721802</v>
          </cell>
          <cell r="R191" t="str">
            <v>SB22396</v>
          </cell>
          <cell r="S191">
            <v>0</v>
          </cell>
        </row>
        <row r="192">
          <cell r="H192" t="str">
            <v>SB22395</v>
          </cell>
          <cell r="I192">
            <v>0</v>
          </cell>
          <cell r="J192" t="str">
            <v>SB22395</v>
          </cell>
          <cell r="K192">
            <v>0</v>
          </cell>
          <cell r="P192" t="str">
            <v>SB22395</v>
          </cell>
          <cell r="Q192">
            <v>-49700</v>
          </cell>
          <cell r="R192" t="str">
            <v>SB22395</v>
          </cell>
          <cell r="S192">
            <v>0</v>
          </cell>
        </row>
        <row r="193">
          <cell r="H193" t="str">
            <v>SB22392</v>
          </cell>
          <cell r="I193">
            <v>0</v>
          </cell>
          <cell r="J193" t="str">
            <v>SB22392</v>
          </cell>
          <cell r="K193">
            <v>0</v>
          </cell>
          <cell r="P193" t="str">
            <v>SB22392</v>
          </cell>
          <cell r="Q193">
            <v>-26000</v>
          </cell>
          <cell r="R193" t="str">
            <v>SB22392</v>
          </cell>
          <cell r="S193">
            <v>0</v>
          </cell>
        </row>
        <row r="194">
          <cell r="H194" t="str">
            <v>SB22394</v>
          </cell>
          <cell r="I194">
            <v>0</v>
          </cell>
          <cell r="J194" t="str">
            <v>SB22394</v>
          </cell>
          <cell r="K194">
            <v>0</v>
          </cell>
          <cell r="P194" t="str">
            <v>SB22394</v>
          </cell>
          <cell r="Q194">
            <v>-39500</v>
          </cell>
          <cell r="R194" t="str">
            <v>SB22394</v>
          </cell>
          <cell r="S194">
            <v>0</v>
          </cell>
        </row>
        <row r="195">
          <cell r="H195" t="str">
            <v>SB22391</v>
          </cell>
          <cell r="I195">
            <v>0</v>
          </cell>
          <cell r="J195" t="str">
            <v>SB22391</v>
          </cell>
          <cell r="K195">
            <v>0</v>
          </cell>
          <cell r="P195" t="str">
            <v>SB22391</v>
          </cell>
          <cell r="Q195">
            <v>-3500</v>
          </cell>
          <cell r="R195" t="str">
            <v>SB22391</v>
          </cell>
          <cell r="S195">
            <v>0</v>
          </cell>
        </row>
        <row r="196">
          <cell r="H196" t="str">
            <v>SB22387</v>
          </cell>
          <cell r="I196">
            <v>0</v>
          </cell>
          <cell r="J196" t="str">
            <v>SB22387</v>
          </cell>
          <cell r="K196">
            <v>0</v>
          </cell>
          <cell r="P196" t="str">
            <v>SB22387</v>
          </cell>
          <cell r="Q196">
            <v>-3500</v>
          </cell>
          <cell r="R196" t="str">
            <v>SB22387</v>
          </cell>
          <cell r="S196">
            <v>0</v>
          </cell>
        </row>
        <row r="197">
          <cell r="H197" t="str">
            <v>SB22381</v>
          </cell>
          <cell r="I197">
            <v>0</v>
          </cell>
          <cell r="J197" t="str">
            <v>SB22381</v>
          </cell>
          <cell r="K197">
            <v>0</v>
          </cell>
          <cell r="P197" t="str">
            <v>SB22381</v>
          </cell>
          <cell r="Q197">
            <v>-3154806</v>
          </cell>
          <cell r="R197" t="str">
            <v>SB22381</v>
          </cell>
          <cell r="S197">
            <v>0</v>
          </cell>
        </row>
        <row r="198">
          <cell r="H198" t="str">
            <v>SB22374</v>
          </cell>
          <cell r="I198">
            <v>0</v>
          </cell>
          <cell r="J198" t="str">
            <v>SB22374</v>
          </cell>
          <cell r="K198">
            <v>0</v>
          </cell>
          <cell r="P198" t="str">
            <v>SB22374</v>
          </cell>
          <cell r="Q198">
            <v>131441</v>
          </cell>
          <cell r="R198" t="str">
            <v>SB22374</v>
          </cell>
          <cell r="S198">
            <v>0</v>
          </cell>
        </row>
        <row r="199">
          <cell r="H199" t="str">
            <v>SB22376</v>
          </cell>
          <cell r="I199">
            <v>-326914</v>
          </cell>
          <cell r="J199" t="str">
            <v>SB22376</v>
          </cell>
          <cell r="K199">
            <v>0</v>
          </cell>
          <cell r="P199" t="str">
            <v>SB22376</v>
          </cell>
          <cell r="Q199">
            <v>0</v>
          </cell>
          <cell r="R199" t="str">
            <v>SB22376</v>
          </cell>
          <cell r="S199">
            <v>0</v>
          </cell>
        </row>
        <row r="200">
          <cell r="H200" t="str">
            <v>SB22375</v>
          </cell>
          <cell r="I200">
            <v>-292462</v>
          </cell>
          <cell r="J200" t="str">
            <v>SB22375</v>
          </cell>
          <cell r="K200">
            <v>0</v>
          </cell>
          <cell r="P200" t="str">
            <v>SB22375</v>
          </cell>
          <cell r="Q200">
            <v>0</v>
          </cell>
          <cell r="R200" t="str">
            <v>SB22375</v>
          </cell>
          <cell r="S200">
            <v>0</v>
          </cell>
        </row>
        <row r="201">
          <cell r="H201" t="str">
            <v>SB22369</v>
          </cell>
          <cell r="I201">
            <v>0</v>
          </cell>
          <cell r="J201" t="str">
            <v>SB22369</v>
          </cell>
          <cell r="K201">
            <v>0</v>
          </cell>
          <cell r="P201" t="str">
            <v>SB22369</v>
          </cell>
          <cell r="Q201">
            <v>0</v>
          </cell>
          <cell r="R201" t="str">
            <v>SB22369</v>
          </cell>
          <cell r="S201">
            <v>0</v>
          </cell>
        </row>
        <row r="202">
          <cell r="H202" t="str">
            <v>SB22366</v>
          </cell>
          <cell r="I202">
            <v>-308665</v>
          </cell>
          <cell r="J202" t="str">
            <v>SB22366</v>
          </cell>
          <cell r="K202">
            <v>0</v>
          </cell>
          <cell r="P202" t="str">
            <v>SB22366</v>
          </cell>
          <cell r="Q202">
            <v>0</v>
          </cell>
          <cell r="R202" t="str">
            <v>SB22366</v>
          </cell>
          <cell r="S202">
            <v>0</v>
          </cell>
        </row>
        <row r="203">
          <cell r="H203" t="str">
            <v>SB22363</v>
          </cell>
          <cell r="I203">
            <v>-1809610</v>
          </cell>
          <cell r="J203" t="str">
            <v>SB22363</v>
          </cell>
          <cell r="K203">
            <v>0</v>
          </cell>
          <cell r="P203" t="str">
            <v>SB22363</v>
          </cell>
          <cell r="Q203">
            <v>-28800</v>
          </cell>
          <cell r="R203" t="str">
            <v>SB22363</v>
          </cell>
          <cell r="S203">
            <v>0</v>
          </cell>
        </row>
        <row r="204">
          <cell r="H204" t="str">
            <v>SB22356</v>
          </cell>
          <cell r="I204">
            <v>0</v>
          </cell>
          <cell r="J204" t="str">
            <v>SB22356</v>
          </cell>
          <cell r="K204">
            <v>0</v>
          </cell>
          <cell r="P204" t="str">
            <v>SB22356</v>
          </cell>
          <cell r="Q204">
            <v>-81200</v>
          </cell>
          <cell r="R204" t="str">
            <v>SB22356</v>
          </cell>
          <cell r="S204">
            <v>0</v>
          </cell>
        </row>
        <row r="205">
          <cell r="H205" t="str">
            <v>SB22354</v>
          </cell>
          <cell r="I205">
            <v>0</v>
          </cell>
          <cell r="J205" t="str">
            <v>SB22354</v>
          </cell>
          <cell r="K205">
            <v>0</v>
          </cell>
          <cell r="P205" t="str">
            <v>SB22354</v>
          </cell>
          <cell r="Q205">
            <v>-32000</v>
          </cell>
          <cell r="R205" t="str">
            <v>SB22354</v>
          </cell>
          <cell r="S205">
            <v>0</v>
          </cell>
        </row>
        <row r="206">
          <cell r="H206" t="str">
            <v>SB22347</v>
          </cell>
          <cell r="I206">
            <v>0</v>
          </cell>
          <cell r="J206" t="str">
            <v>SB22347</v>
          </cell>
          <cell r="K206">
            <v>0</v>
          </cell>
          <cell r="P206" t="str">
            <v>SB22347</v>
          </cell>
          <cell r="Q206">
            <v>-83600</v>
          </cell>
          <cell r="R206" t="str">
            <v>SB22347</v>
          </cell>
          <cell r="S206">
            <v>0</v>
          </cell>
        </row>
        <row r="207">
          <cell r="H207" t="str">
            <v>SB22344</v>
          </cell>
          <cell r="I207">
            <v>0</v>
          </cell>
          <cell r="J207" t="str">
            <v>SB22344</v>
          </cell>
          <cell r="K207">
            <v>0</v>
          </cell>
          <cell r="P207" t="str">
            <v>SB22344</v>
          </cell>
          <cell r="Q207">
            <v>4987863</v>
          </cell>
          <cell r="R207" t="str">
            <v>SB22344</v>
          </cell>
          <cell r="S207">
            <v>-37403</v>
          </cell>
        </row>
        <row r="208">
          <cell r="H208" t="str">
            <v>SB22343</v>
          </cell>
          <cell r="I208">
            <v>0</v>
          </cell>
          <cell r="J208" t="str">
            <v>SB22343</v>
          </cell>
          <cell r="K208">
            <v>0</v>
          </cell>
          <cell r="P208" t="str">
            <v>SB22343</v>
          </cell>
          <cell r="Q208">
            <v>-3075000</v>
          </cell>
          <cell r="R208" t="str">
            <v>SB22343</v>
          </cell>
          <cell r="S208">
            <v>0</v>
          </cell>
        </row>
        <row r="209">
          <cell r="H209" t="str">
            <v>SB22338</v>
          </cell>
          <cell r="I209">
            <v>2000000</v>
          </cell>
          <cell r="J209" t="str">
            <v>SB22338</v>
          </cell>
          <cell r="K209">
            <v>0</v>
          </cell>
          <cell r="P209" t="str">
            <v>SB22338</v>
          </cell>
          <cell r="Q209">
            <v>1068006</v>
          </cell>
          <cell r="R209" t="str">
            <v>SB22338</v>
          </cell>
          <cell r="S209">
            <v>0</v>
          </cell>
        </row>
        <row r="210">
          <cell r="H210" t="str">
            <v>SB22332</v>
          </cell>
          <cell r="I210">
            <v>0</v>
          </cell>
          <cell r="J210" t="str">
            <v>SB22332</v>
          </cell>
          <cell r="K210">
            <v>0</v>
          </cell>
          <cell r="P210" t="str">
            <v>SB22332</v>
          </cell>
          <cell r="Q210">
            <v>0</v>
          </cell>
          <cell r="R210" t="str">
            <v>SB22332</v>
          </cell>
          <cell r="S210">
            <v>-89000</v>
          </cell>
        </row>
        <row r="211">
          <cell r="H211" t="str">
            <v>SB22329</v>
          </cell>
          <cell r="I211">
            <v>0</v>
          </cell>
          <cell r="J211" t="str">
            <v>SB22329</v>
          </cell>
          <cell r="K211">
            <v>0</v>
          </cell>
          <cell r="P211" t="str">
            <v>SB22329</v>
          </cell>
          <cell r="Q211">
            <v>-541000</v>
          </cell>
          <cell r="R211" t="str">
            <v>SB22329</v>
          </cell>
          <cell r="S211">
            <v>0</v>
          </cell>
        </row>
        <row r="212">
          <cell r="H212" t="str">
            <v>SB22327</v>
          </cell>
          <cell r="I212">
            <v>0</v>
          </cell>
          <cell r="J212" t="str">
            <v>SB22327</v>
          </cell>
          <cell r="K212">
            <v>0</v>
          </cell>
          <cell r="P212" t="str">
            <v>SB22327</v>
          </cell>
          <cell r="Q212">
            <v>-461394</v>
          </cell>
          <cell r="R212" t="str">
            <v>SB22327</v>
          </cell>
          <cell r="S212">
            <v>0</v>
          </cell>
        </row>
        <row r="213">
          <cell r="H213" t="str">
            <v>SB22323</v>
          </cell>
          <cell r="I213">
            <v>0</v>
          </cell>
          <cell r="J213" t="str">
            <v>SB22323</v>
          </cell>
          <cell r="K213">
            <v>0</v>
          </cell>
          <cell r="P213" t="str">
            <v>SB22323</v>
          </cell>
          <cell r="Q213">
            <v>575640</v>
          </cell>
          <cell r="R213" t="str">
            <v>SB22323</v>
          </cell>
          <cell r="S213">
            <v>0</v>
          </cell>
        </row>
        <row r="214">
          <cell r="H214" t="str">
            <v>SB22326</v>
          </cell>
          <cell r="I214">
            <v>0</v>
          </cell>
          <cell r="J214" t="str">
            <v>SB22326</v>
          </cell>
          <cell r="K214">
            <v>0</v>
          </cell>
          <cell r="P214" t="str">
            <v>SB22326</v>
          </cell>
          <cell r="Q214">
            <v>-191318</v>
          </cell>
          <cell r="R214" t="str">
            <v>SB22326</v>
          </cell>
          <cell r="S214">
            <v>0</v>
          </cell>
        </row>
        <row r="215">
          <cell r="H215" t="str">
            <v>SB22324</v>
          </cell>
          <cell r="I215">
            <v>-1301935</v>
          </cell>
          <cell r="J215" t="str">
            <v>SB22324</v>
          </cell>
          <cell r="K215">
            <v>0</v>
          </cell>
          <cell r="P215" t="str">
            <v>SB22324</v>
          </cell>
          <cell r="Q215">
            <v>0</v>
          </cell>
          <cell r="R215" t="str">
            <v>SB22324</v>
          </cell>
          <cell r="S215">
            <v>0</v>
          </cell>
        </row>
        <row r="216">
          <cell r="H216" t="str">
            <v>SB22320</v>
          </cell>
          <cell r="I216">
            <v>0</v>
          </cell>
          <cell r="J216" t="str">
            <v>SB22320</v>
          </cell>
          <cell r="K216">
            <v>0</v>
          </cell>
          <cell r="P216" t="str">
            <v>SB22320</v>
          </cell>
          <cell r="Q216">
            <v>3846672</v>
          </cell>
          <cell r="R216" t="str">
            <v>SB22320</v>
          </cell>
          <cell r="S216">
            <v>0</v>
          </cell>
        </row>
        <row r="217">
          <cell r="H217" t="str">
            <v>SB22321</v>
          </cell>
          <cell r="I217">
            <v>0</v>
          </cell>
          <cell r="J217" t="str">
            <v>SB22321</v>
          </cell>
          <cell r="K217">
            <v>0</v>
          </cell>
          <cell r="P217" t="str">
            <v>SB22321</v>
          </cell>
          <cell r="Q217">
            <v>500000</v>
          </cell>
          <cell r="R217" t="str">
            <v>SB22321</v>
          </cell>
          <cell r="S217">
            <v>0</v>
          </cell>
        </row>
        <row r="218">
          <cell r="H218" t="str">
            <v>SB22318</v>
          </cell>
          <cell r="I218">
            <v>0</v>
          </cell>
          <cell r="J218" t="str">
            <v>SB22318</v>
          </cell>
          <cell r="K218">
            <v>0</v>
          </cell>
          <cell r="P218" t="str">
            <v>SB22318</v>
          </cell>
          <cell r="Q218">
            <v>-329500</v>
          </cell>
          <cell r="R218" t="str">
            <v>SB22318</v>
          </cell>
          <cell r="S218">
            <v>0</v>
          </cell>
        </row>
        <row r="219">
          <cell r="H219" t="str">
            <v>SB22319</v>
          </cell>
          <cell r="I219">
            <v>0</v>
          </cell>
          <cell r="J219" t="str">
            <v>SB22319</v>
          </cell>
          <cell r="K219">
            <v>0</v>
          </cell>
          <cell r="P219" t="str">
            <v>SB22319</v>
          </cell>
          <cell r="Q219">
            <v>-1930784.5</v>
          </cell>
          <cell r="R219" t="str">
            <v>SB22319</v>
          </cell>
          <cell r="S219">
            <v>0</v>
          </cell>
        </row>
        <row r="220">
          <cell r="H220" t="str">
            <v>SB22317</v>
          </cell>
          <cell r="I220">
            <v>0</v>
          </cell>
          <cell r="J220" t="str">
            <v>SB22317</v>
          </cell>
          <cell r="K220">
            <v>0</v>
          </cell>
          <cell r="P220" t="str">
            <v>SB22317</v>
          </cell>
          <cell r="Q220">
            <v>-46313</v>
          </cell>
          <cell r="R220" t="str">
            <v>SB22317</v>
          </cell>
          <cell r="S220">
            <v>0</v>
          </cell>
        </row>
        <row r="221">
          <cell r="H221" t="str">
            <v>SB22316</v>
          </cell>
          <cell r="I221">
            <v>0</v>
          </cell>
          <cell r="J221" t="str">
            <v>SB22316</v>
          </cell>
          <cell r="K221">
            <v>0</v>
          </cell>
          <cell r="P221" t="str">
            <v>SB22316</v>
          </cell>
          <cell r="Q221">
            <v>-1553200</v>
          </cell>
          <cell r="R221" t="str">
            <v>SB22316</v>
          </cell>
          <cell r="S221">
            <v>0</v>
          </cell>
        </row>
        <row r="222">
          <cell r="H222" t="str">
            <v>SB22311</v>
          </cell>
          <cell r="I222">
            <v>0</v>
          </cell>
          <cell r="J222" t="str">
            <v>SB22311</v>
          </cell>
          <cell r="K222">
            <v>0</v>
          </cell>
          <cell r="P222" t="str">
            <v>SB22311</v>
          </cell>
          <cell r="Q222">
            <v>-4000</v>
          </cell>
          <cell r="R222" t="str">
            <v>SB22311</v>
          </cell>
          <cell r="S222">
            <v>0</v>
          </cell>
        </row>
        <row r="223">
          <cell r="H223" t="str">
            <v>SB22306</v>
          </cell>
          <cell r="I223">
            <v>0</v>
          </cell>
          <cell r="J223" t="str">
            <v>SB22306</v>
          </cell>
          <cell r="K223">
            <v>0</v>
          </cell>
          <cell r="P223" t="str">
            <v>SB22306</v>
          </cell>
          <cell r="Q223">
            <v>-1728084.76</v>
          </cell>
          <cell r="R223" t="str">
            <v>SB22306</v>
          </cell>
          <cell r="S223">
            <v>0</v>
          </cell>
        </row>
        <row r="224">
          <cell r="H224" t="str">
            <v>SB22305</v>
          </cell>
          <cell r="I224">
            <v>1650000</v>
          </cell>
          <cell r="J224" t="str">
            <v>SB22305</v>
          </cell>
          <cell r="K224">
            <v>0</v>
          </cell>
          <cell r="P224" t="str">
            <v>SB22305</v>
          </cell>
          <cell r="Q224">
            <v>3761666.49</v>
          </cell>
          <cell r="R224" t="str">
            <v>SB22305</v>
          </cell>
          <cell r="S224">
            <v>-12618</v>
          </cell>
        </row>
        <row r="225">
          <cell r="H225" t="str">
            <v>SB22289</v>
          </cell>
          <cell r="I225">
            <v>0</v>
          </cell>
          <cell r="J225" t="str">
            <v>SB22289</v>
          </cell>
          <cell r="K225">
            <v>0</v>
          </cell>
          <cell r="P225" t="str">
            <v>SB22289</v>
          </cell>
          <cell r="Q225">
            <v>0</v>
          </cell>
          <cell r="R225" t="str">
            <v>SB22289</v>
          </cell>
          <cell r="S225">
            <v>0</v>
          </cell>
        </row>
        <row r="226">
          <cell r="H226" t="str">
            <v>SB22282</v>
          </cell>
          <cell r="I226">
            <v>0</v>
          </cell>
          <cell r="J226" t="str">
            <v>SB22282</v>
          </cell>
          <cell r="K226">
            <v>0</v>
          </cell>
          <cell r="P226" t="str">
            <v>SB22282</v>
          </cell>
          <cell r="Q226">
            <v>-133500</v>
          </cell>
          <cell r="R226" t="str">
            <v>SB22282</v>
          </cell>
          <cell r="S226">
            <v>0</v>
          </cell>
        </row>
        <row r="227">
          <cell r="H227" t="str">
            <v>SB22280</v>
          </cell>
          <cell r="I227">
            <v>0</v>
          </cell>
          <cell r="J227" t="str">
            <v>SB22280</v>
          </cell>
          <cell r="K227">
            <v>0</v>
          </cell>
          <cell r="P227" t="str">
            <v>SB22280</v>
          </cell>
          <cell r="Q227">
            <v>-11500</v>
          </cell>
          <cell r="R227" t="str">
            <v>SB22280</v>
          </cell>
          <cell r="S227">
            <v>0</v>
          </cell>
        </row>
        <row r="228">
          <cell r="H228" t="str">
            <v>SB22278</v>
          </cell>
          <cell r="I228">
            <v>-2917310</v>
          </cell>
          <cell r="J228" t="str">
            <v>SB22278</v>
          </cell>
          <cell r="K228">
            <v>0</v>
          </cell>
          <cell r="P228" t="str">
            <v>SB22278</v>
          </cell>
          <cell r="Q228">
            <v>-191040</v>
          </cell>
          <cell r="R228" t="str">
            <v>SB22278</v>
          </cell>
          <cell r="S228">
            <v>0</v>
          </cell>
        </row>
        <row r="229">
          <cell r="H229" t="str">
            <v>SB22272</v>
          </cell>
          <cell r="I229">
            <v>-480693</v>
          </cell>
          <cell r="J229" t="str">
            <v>SB22272</v>
          </cell>
          <cell r="K229">
            <v>0</v>
          </cell>
          <cell r="P229" t="str">
            <v>SB22272</v>
          </cell>
          <cell r="Q229">
            <v>0</v>
          </cell>
          <cell r="R229" t="str">
            <v>SB22272</v>
          </cell>
          <cell r="S229">
            <v>0</v>
          </cell>
        </row>
        <row r="230">
          <cell r="H230" t="str">
            <v>SB22268</v>
          </cell>
          <cell r="I230">
            <v>0</v>
          </cell>
          <cell r="J230" t="str">
            <v>SB22268</v>
          </cell>
          <cell r="K230">
            <v>0</v>
          </cell>
          <cell r="P230" t="str">
            <v>SB22268</v>
          </cell>
          <cell r="Q230">
            <v>-128360</v>
          </cell>
          <cell r="R230" t="str">
            <v>SB22268</v>
          </cell>
          <cell r="S230">
            <v>0</v>
          </cell>
        </row>
        <row r="231">
          <cell r="H231" t="str">
            <v>SB22263</v>
          </cell>
          <cell r="I231">
            <v>6890903</v>
          </cell>
          <cell r="J231" t="str">
            <v>SB22263</v>
          </cell>
          <cell r="K231">
            <v>0</v>
          </cell>
          <cell r="P231" t="str">
            <v>SB22263</v>
          </cell>
          <cell r="Q231">
            <v>2077155.4</v>
          </cell>
          <cell r="R231" t="str">
            <v>SB22263</v>
          </cell>
          <cell r="S231">
            <v>0</v>
          </cell>
        </row>
        <row r="232">
          <cell r="H232" t="str">
            <v>SB22254</v>
          </cell>
          <cell r="I232">
            <v>0</v>
          </cell>
          <cell r="J232" t="str">
            <v>SB22254</v>
          </cell>
          <cell r="K232">
            <v>0</v>
          </cell>
          <cell r="P232" t="str">
            <v>SB22254</v>
          </cell>
          <cell r="Q232">
            <v>-30000</v>
          </cell>
          <cell r="R232" t="str">
            <v>SB22254</v>
          </cell>
          <cell r="S232">
            <v>0</v>
          </cell>
        </row>
        <row r="233">
          <cell r="H233" t="str">
            <v>SB22251</v>
          </cell>
          <cell r="I233">
            <v>0</v>
          </cell>
          <cell r="J233" t="str">
            <v>SB22251</v>
          </cell>
          <cell r="K233">
            <v>0</v>
          </cell>
          <cell r="P233" t="str">
            <v>SB22251</v>
          </cell>
          <cell r="Q233">
            <v>0</v>
          </cell>
          <cell r="R233" t="str">
            <v>SB22251</v>
          </cell>
          <cell r="S233">
            <v>0</v>
          </cell>
        </row>
        <row r="234">
          <cell r="H234" t="str">
            <v>SB22223</v>
          </cell>
          <cell r="I234">
            <v>0</v>
          </cell>
          <cell r="J234" t="str">
            <v>SB22223</v>
          </cell>
          <cell r="K234">
            <v>0</v>
          </cell>
          <cell r="P234" t="str">
            <v>SB22223</v>
          </cell>
          <cell r="Q234">
            <v>-142488</v>
          </cell>
          <cell r="R234" t="str">
            <v>SB22223</v>
          </cell>
          <cell r="S234">
            <v>0</v>
          </cell>
        </row>
        <row r="235">
          <cell r="H235" t="str">
            <v>SB22204</v>
          </cell>
          <cell r="I235">
            <v>0</v>
          </cell>
          <cell r="J235" t="str">
            <v>SB22204</v>
          </cell>
          <cell r="K235">
            <v>-54004</v>
          </cell>
          <cell r="P235" t="str">
            <v>SB22204</v>
          </cell>
          <cell r="Q235">
            <v>0</v>
          </cell>
          <cell r="R235" t="str">
            <v>SB22204</v>
          </cell>
          <cell r="S235">
            <v>0</v>
          </cell>
        </row>
        <row r="236">
          <cell r="H236" t="str">
            <v>SB22205</v>
          </cell>
          <cell r="I236">
            <v>0</v>
          </cell>
          <cell r="J236" t="str">
            <v>SB22205</v>
          </cell>
          <cell r="K236">
            <v>0</v>
          </cell>
          <cell r="P236" t="str">
            <v>SB22205</v>
          </cell>
          <cell r="Q236">
            <v>-37050</v>
          </cell>
          <cell r="R236" t="str">
            <v>SB22205</v>
          </cell>
          <cell r="S236">
            <v>0</v>
          </cell>
        </row>
        <row r="237">
          <cell r="H237" t="str">
            <v>SB22190</v>
          </cell>
          <cell r="I237">
            <v>-660000</v>
          </cell>
          <cell r="J237" t="str">
            <v>SB22190</v>
          </cell>
          <cell r="K237">
            <v>0</v>
          </cell>
          <cell r="P237" t="str">
            <v>SB22190</v>
          </cell>
          <cell r="Q237">
            <v>0</v>
          </cell>
          <cell r="R237" t="str">
            <v>SB22190</v>
          </cell>
          <cell r="S237">
            <v>0</v>
          </cell>
        </row>
        <row r="238">
          <cell r="H238" t="str">
            <v>SB22159</v>
          </cell>
          <cell r="I238">
            <v>-11025023</v>
          </cell>
          <cell r="J238" t="str">
            <v>SB22159</v>
          </cell>
          <cell r="K238">
            <v>0</v>
          </cell>
          <cell r="P238" t="str">
            <v>SB22159</v>
          </cell>
          <cell r="Q238">
            <v>0</v>
          </cell>
          <cell r="R238" t="str">
            <v>SB22159</v>
          </cell>
          <cell r="S238">
            <v>0</v>
          </cell>
        </row>
        <row r="239">
          <cell r="H239" t="str">
            <v>SB22158</v>
          </cell>
          <cell r="I239">
            <v>0</v>
          </cell>
          <cell r="J239" t="str">
            <v>SB22158</v>
          </cell>
          <cell r="K239">
            <v>0</v>
          </cell>
          <cell r="P239" t="str">
            <v>SB22158</v>
          </cell>
          <cell r="Q239">
            <v>-181650</v>
          </cell>
          <cell r="R239" t="str">
            <v>SB22158</v>
          </cell>
          <cell r="S239">
            <v>0</v>
          </cell>
        </row>
        <row r="240">
          <cell r="H240" t="str">
            <v>SB22156</v>
          </cell>
          <cell r="I240">
            <v>0</v>
          </cell>
          <cell r="J240" t="str">
            <v>SB22156</v>
          </cell>
          <cell r="K240">
            <v>0</v>
          </cell>
          <cell r="P240" t="str">
            <v>SB22156</v>
          </cell>
          <cell r="Q240">
            <v>126201.2</v>
          </cell>
          <cell r="R240" t="str">
            <v>SB22156</v>
          </cell>
          <cell r="S240">
            <v>0</v>
          </cell>
        </row>
        <row r="241">
          <cell r="H241" t="str">
            <v>SB22124</v>
          </cell>
          <cell r="I241">
            <v>0</v>
          </cell>
          <cell r="J241" t="str">
            <v>SB22124</v>
          </cell>
          <cell r="K241">
            <v>0</v>
          </cell>
          <cell r="P241" t="str">
            <v>SB22124</v>
          </cell>
          <cell r="Q241">
            <v>-1545455</v>
          </cell>
          <cell r="R241" t="str">
            <v>SB22124</v>
          </cell>
          <cell r="S241">
            <v>0</v>
          </cell>
        </row>
        <row r="242">
          <cell r="H242" t="str">
            <v>SB22115</v>
          </cell>
          <cell r="I242">
            <v>0</v>
          </cell>
          <cell r="J242" t="str">
            <v>SB22115</v>
          </cell>
          <cell r="K242">
            <v>0</v>
          </cell>
          <cell r="P242" t="str">
            <v>SB22115</v>
          </cell>
          <cell r="Q242">
            <v>-45000</v>
          </cell>
          <cell r="R242" t="str">
            <v>SB22115</v>
          </cell>
          <cell r="S242">
            <v>0</v>
          </cell>
        </row>
        <row r="243">
          <cell r="H243" t="str">
            <v>SB22089</v>
          </cell>
          <cell r="I243">
            <v>0</v>
          </cell>
          <cell r="J243" t="str">
            <v>SB22089</v>
          </cell>
          <cell r="K243">
            <v>0</v>
          </cell>
          <cell r="P243" t="str">
            <v>SB22089</v>
          </cell>
          <cell r="Q243">
            <v>0</v>
          </cell>
          <cell r="R243" t="str">
            <v>SB22089</v>
          </cell>
          <cell r="S243">
            <v>0</v>
          </cell>
        </row>
        <row r="244">
          <cell r="H244" t="str">
            <v>SB22083</v>
          </cell>
          <cell r="I244">
            <v>0</v>
          </cell>
          <cell r="J244" t="str">
            <v>SB22083</v>
          </cell>
          <cell r="K244">
            <v>0</v>
          </cell>
          <cell r="P244" t="str">
            <v>SB22083</v>
          </cell>
          <cell r="Q244">
            <v>-70000</v>
          </cell>
          <cell r="R244" t="str">
            <v>SB22083</v>
          </cell>
          <cell r="S244">
            <v>0</v>
          </cell>
        </row>
        <row r="245">
          <cell r="H245" t="str">
            <v>SB22065</v>
          </cell>
          <cell r="I245">
            <v>0</v>
          </cell>
          <cell r="J245" t="str">
            <v>SB22065</v>
          </cell>
          <cell r="K245">
            <v>0</v>
          </cell>
          <cell r="P245" t="str">
            <v>SB22065</v>
          </cell>
          <cell r="Q245">
            <v>0</v>
          </cell>
          <cell r="R245" t="str">
            <v>SB22065</v>
          </cell>
          <cell r="S245">
            <v>0</v>
          </cell>
        </row>
        <row r="246">
          <cell r="H246" t="str">
            <v>SB21947</v>
          </cell>
          <cell r="I246">
            <v>0</v>
          </cell>
          <cell r="J246" t="str">
            <v>SB21947</v>
          </cell>
          <cell r="K246">
            <v>0</v>
          </cell>
          <cell r="P246" t="str">
            <v>SB21947</v>
          </cell>
          <cell r="Q246">
            <v>-4350</v>
          </cell>
          <cell r="R246" t="str">
            <v>SB21947</v>
          </cell>
          <cell r="S246">
            <v>0</v>
          </cell>
        </row>
        <row r="247">
          <cell r="H247" t="str">
            <v>SB21859</v>
          </cell>
          <cell r="I247">
            <v>0</v>
          </cell>
          <cell r="J247" t="str">
            <v>SB21859</v>
          </cell>
          <cell r="K247">
            <v>0</v>
          </cell>
          <cell r="P247" t="str">
            <v>SB21859</v>
          </cell>
          <cell r="Q247">
            <v>-15793.06</v>
          </cell>
          <cell r="R247" t="str">
            <v>SB21859</v>
          </cell>
          <cell r="S247">
            <v>0</v>
          </cell>
        </row>
        <row r="248">
          <cell r="I248">
            <v>-5530092.0800000001</v>
          </cell>
          <cell r="K248">
            <v>-2083710.26</v>
          </cell>
          <cell r="Q248">
            <v>24453493.170000002</v>
          </cell>
          <cell r="S248">
            <v>-5123186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1"/>
  <sheetViews>
    <sheetView topLeftCell="A4" workbookViewId="0">
      <selection activeCell="F14" sqref="F14"/>
    </sheetView>
  </sheetViews>
  <sheetFormatPr defaultColWidth="8.75" defaultRowHeight="14.45"/>
  <cols>
    <col min="1" max="1" width="12" customWidth="1"/>
    <col min="2" max="2" width="13.875" customWidth="1"/>
    <col min="3" max="3" width="12.875" customWidth="1"/>
    <col min="4" max="4" width="18.375" customWidth="1"/>
    <col min="5" max="5" width="10.75" customWidth="1"/>
    <col min="6" max="6" width="16.75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 t="s">
        <v>6</v>
      </c>
      <c r="B2" s="1" t="s">
        <v>7</v>
      </c>
      <c r="C2" s="1">
        <f>VLOOKUP(A2,'[1]MGM Tally'!G:I,3,FALSE)</f>
        <v>0</v>
      </c>
      <c r="D2" s="1">
        <f>VLOOKUP(A2,'[1]MGM NS'!H:I,2,FALSE)</f>
        <v>0</v>
      </c>
      <c r="E2" s="1" t="b">
        <f t="shared" ref="E2:E65" si="0">IF(ABS(C2)=ABS(D2),TRUE,FALSE)</f>
        <v>1</v>
      </c>
      <c r="F2" s="1"/>
    </row>
    <row r="3" spans="1:6">
      <c r="A3" s="1" t="s">
        <v>8</v>
      </c>
      <c r="B3" s="1" t="s">
        <v>7</v>
      </c>
      <c r="C3" s="1" t="str">
        <f>VLOOKUP(A3,'[1]MGM Tally'!G:I,3,FALSE)</f>
        <v>326914.00</v>
      </c>
      <c r="D3" s="1">
        <f>VLOOKUP(A3,'[1]MGM NS'!H:I,2,FALSE)</f>
        <v>-326914</v>
      </c>
      <c r="E3" s="1" t="b">
        <f t="shared" si="0"/>
        <v>1</v>
      </c>
      <c r="F3" s="1"/>
    </row>
    <row r="4" spans="1:6">
      <c r="A4" s="1" t="s">
        <v>9</v>
      </c>
      <c r="B4" s="1" t="s">
        <v>7</v>
      </c>
      <c r="C4" s="1">
        <f>VLOOKUP(A4,'[1]MGM Tally'!G:I,3,FALSE)</f>
        <v>-943616.5</v>
      </c>
      <c r="D4" s="1">
        <f>VLOOKUP(A4,'[1]MGM NS'!H:I,2,FALSE)</f>
        <v>943616.5</v>
      </c>
      <c r="E4" s="1" t="b">
        <f t="shared" si="0"/>
        <v>1</v>
      </c>
      <c r="F4" s="1"/>
    </row>
    <row r="5" spans="1:6">
      <c r="A5" s="1" t="s">
        <v>10</v>
      </c>
      <c r="B5" s="1" t="s">
        <v>7</v>
      </c>
      <c r="C5" s="1" t="str">
        <f>VLOOKUP(A5,'[1]MGM Tally'!G:I,3,FALSE)</f>
        <v>115008.00</v>
      </c>
      <c r="D5" s="1">
        <f>VLOOKUP(A5,'[1]MGM NS'!H:I,2,FALSE)</f>
        <v>-115008</v>
      </c>
      <c r="E5" s="1" t="b">
        <f t="shared" si="0"/>
        <v>1</v>
      </c>
      <c r="F5" s="1"/>
    </row>
    <row r="6" spans="1:6">
      <c r="A6" s="1" t="s">
        <v>11</v>
      </c>
      <c r="B6" s="1" t="s">
        <v>7</v>
      </c>
      <c r="C6" s="1">
        <f>VLOOKUP(A6,'[1]MGM Tally'!G:I,3,FALSE)</f>
        <v>0</v>
      </c>
      <c r="D6" s="1">
        <f>VLOOKUP(A6,'[1]MGM NS'!H:I,2,FALSE)</f>
        <v>0</v>
      </c>
      <c r="E6" s="1" t="b">
        <f t="shared" si="0"/>
        <v>1</v>
      </c>
      <c r="F6" s="1"/>
    </row>
    <row r="7" spans="1:6">
      <c r="A7" s="1" t="s">
        <v>12</v>
      </c>
      <c r="B7" s="1" t="s">
        <v>7</v>
      </c>
      <c r="C7" s="1">
        <f>VLOOKUP(A7,'[1]MGM Tally'!G:I,3,FALSE)</f>
        <v>-192016</v>
      </c>
      <c r="D7" s="1">
        <f>VLOOKUP(A7,'[1]MGM NS'!H:I,2,FALSE)</f>
        <v>192016</v>
      </c>
      <c r="E7" s="1" t="b">
        <f t="shared" si="0"/>
        <v>1</v>
      </c>
      <c r="F7" s="1"/>
    </row>
    <row r="8" spans="1:6">
      <c r="A8" s="1" t="s">
        <v>13</v>
      </c>
      <c r="B8" s="1" t="s">
        <v>7</v>
      </c>
      <c r="C8" s="1">
        <f>VLOOKUP(A8,'[1]MGM Tally'!G:I,3,FALSE)</f>
        <v>0</v>
      </c>
      <c r="D8" s="1">
        <f>VLOOKUP(A8,'[1]MGM NS'!H:I,2,FALSE)</f>
        <v>0</v>
      </c>
      <c r="E8" s="1" t="b">
        <f t="shared" si="0"/>
        <v>1</v>
      </c>
      <c r="F8" s="1"/>
    </row>
    <row r="9" spans="1:6">
      <c r="A9" s="1" t="s">
        <v>14</v>
      </c>
      <c r="B9" s="1" t="s">
        <v>7</v>
      </c>
      <c r="C9" s="1">
        <f>VLOOKUP(A9,'[1]MGM Tally'!G:I,3,FALSE)</f>
        <v>0</v>
      </c>
      <c r="D9" s="1">
        <f>VLOOKUP(A9,'[1]MGM NS'!H:I,2,FALSE)</f>
        <v>0</v>
      </c>
      <c r="E9" s="1" t="b">
        <f t="shared" si="0"/>
        <v>1</v>
      </c>
      <c r="F9" s="1"/>
    </row>
    <row r="10" spans="1:6">
      <c r="A10" s="1" t="s">
        <v>15</v>
      </c>
      <c r="B10" s="1" t="s">
        <v>7</v>
      </c>
      <c r="C10" s="1">
        <f>VLOOKUP(A10,'[1]MGM Tally'!G:I,3,FALSE)</f>
        <v>0</v>
      </c>
      <c r="D10" s="1">
        <f>VLOOKUP(A10,'[1]MGM NS'!H:I,2,FALSE)</f>
        <v>0</v>
      </c>
      <c r="E10" s="1" t="b">
        <f t="shared" si="0"/>
        <v>1</v>
      </c>
      <c r="F10" s="1"/>
    </row>
    <row r="11" spans="1:6">
      <c r="A11" s="1" t="s">
        <v>16</v>
      </c>
      <c r="B11" s="1" t="s">
        <v>7</v>
      </c>
      <c r="C11" s="1">
        <f>VLOOKUP(A11,'[1]MGM Tally'!G:I,3,FALSE)</f>
        <v>0</v>
      </c>
      <c r="D11" s="1">
        <f>VLOOKUP(A11,'[1]MGM NS'!H:I,2,FALSE)</f>
        <v>0</v>
      </c>
      <c r="E11" s="1" t="b">
        <f t="shared" si="0"/>
        <v>1</v>
      </c>
      <c r="F11" s="1"/>
    </row>
    <row r="12" spans="1:6">
      <c r="A12" s="1" t="s">
        <v>17</v>
      </c>
      <c r="B12" s="1" t="s">
        <v>7</v>
      </c>
      <c r="C12" s="1">
        <f>VLOOKUP(A12,'[1]MGM Tally'!G:I,3,FALSE)</f>
        <v>0</v>
      </c>
      <c r="D12" s="1">
        <f>VLOOKUP(A12,'[1]MGM NS'!H:I,2,FALSE)</f>
        <v>0</v>
      </c>
      <c r="E12" s="1" t="b">
        <f t="shared" si="0"/>
        <v>1</v>
      </c>
      <c r="F12" s="1"/>
    </row>
    <row r="13" spans="1:6">
      <c r="A13" s="1" t="s">
        <v>18</v>
      </c>
      <c r="B13" s="1" t="s">
        <v>7</v>
      </c>
      <c r="C13" s="1" t="str">
        <f>VLOOKUP(A13,'[1]MGM Tally'!G:I,3,FALSE)</f>
        <v>5492385.06</v>
      </c>
      <c r="D13" s="1">
        <f>VLOOKUP(A13,'[1]MGM NS'!H:I,2,FALSE)</f>
        <v>-5492385.0599999996</v>
      </c>
      <c r="E13" s="1" t="b">
        <f t="shared" si="0"/>
        <v>1</v>
      </c>
      <c r="F13" s="1"/>
    </row>
    <row r="14" spans="1:6">
      <c r="A14" s="1" t="s">
        <v>19</v>
      </c>
      <c r="B14" s="1" t="s">
        <v>7</v>
      </c>
      <c r="C14" s="1">
        <f>VLOOKUP(A14,'[1]MGM Tally'!G:I,3,FALSE)</f>
        <v>-33211000</v>
      </c>
      <c r="D14" s="1">
        <f>VLOOKUP(A14,'[1]MGM NS'!H:I,2,FALSE)</f>
        <v>33211000</v>
      </c>
      <c r="E14" s="1" t="b">
        <f t="shared" si="0"/>
        <v>1</v>
      </c>
      <c r="F14" s="1"/>
    </row>
    <row r="15" spans="1:6">
      <c r="A15" s="1" t="s">
        <v>20</v>
      </c>
      <c r="B15" s="1" t="s">
        <v>7</v>
      </c>
      <c r="C15" s="1">
        <f>VLOOKUP(A15,'[1]MGM Tally'!G:I,3,FALSE)</f>
        <v>0</v>
      </c>
      <c r="D15" s="1">
        <f>VLOOKUP(A15,'[1]MGM NS'!H:I,2,FALSE)</f>
        <v>0</v>
      </c>
      <c r="E15" s="1" t="b">
        <f t="shared" si="0"/>
        <v>1</v>
      </c>
      <c r="F15" s="1"/>
    </row>
    <row r="16" spans="1:6">
      <c r="A16" s="1" t="s">
        <v>21</v>
      </c>
      <c r="B16" s="1" t="s">
        <v>7</v>
      </c>
      <c r="C16" s="1">
        <f>VLOOKUP(A16,'[1]MGM Tally'!G:I,3,FALSE)</f>
        <v>0</v>
      </c>
      <c r="D16" s="1">
        <f>VLOOKUP(A16,'[1]MGM NS'!H:I,2,FALSE)</f>
        <v>0</v>
      </c>
      <c r="E16" s="1" t="b">
        <f t="shared" si="0"/>
        <v>1</v>
      </c>
      <c r="F16" s="1"/>
    </row>
    <row r="17" spans="1:6">
      <c r="A17" s="1" t="s">
        <v>22</v>
      </c>
      <c r="B17" s="1" t="s">
        <v>7</v>
      </c>
      <c r="C17" s="1">
        <f>VLOOKUP(A17,'[1]MGM Tally'!G:I,3,FALSE)</f>
        <v>0</v>
      </c>
      <c r="D17" s="1">
        <f>VLOOKUP(A17,'[1]MGM NS'!H:I,2,FALSE)</f>
        <v>0</v>
      </c>
      <c r="E17" s="1" t="b">
        <f t="shared" si="0"/>
        <v>1</v>
      </c>
      <c r="F17" s="1"/>
    </row>
    <row r="18" spans="1:6">
      <c r="A18" s="1" t="s">
        <v>23</v>
      </c>
      <c r="B18" s="1" t="s">
        <v>7</v>
      </c>
      <c r="C18" s="1">
        <f>VLOOKUP(A18,'[1]MGM Tally'!G:I,3,FALSE)</f>
        <v>0</v>
      </c>
      <c r="D18" s="1">
        <f>VLOOKUP(A18,'[1]MGM NS'!H:I,2,FALSE)</f>
        <v>0</v>
      </c>
      <c r="E18" s="1" t="b">
        <f t="shared" si="0"/>
        <v>1</v>
      </c>
      <c r="F18" s="1"/>
    </row>
    <row r="19" spans="1:6">
      <c r="A19" s="1" t="s">
        <v>24</v>
      </c>
      <c r="B19" s="1" t="s">
        <v>7</v>
      </c>
      <c r="C19" s="1">
        <f>VLOOKUP(A19,'[1]MGM Tally'!G:I,3,FALSE)</f>
        <v>0</v>
      </c>
      <c r="D19" s="1">
        <f>VLOOKUP(A19,'[1]MGM NS'!H:I,2,FALSE)</f>
        <v>0</v>
      </c>
      <c r="E19" s="1" t="b">
        <f t="shared" si="0"/>
        <v>1</v>
      </c>
      <c r="F19" s="1"/>
    </row>
    <row r="20" spans="1:6">
      <c r="A20" s="1" t="s">
        <v>25</v>
      </c>
      <c r="B20" s="1" t="s">
        <v>7</v>
      </c>
      <c r="C20" s="1">
        <f>VLOOKUP(A20,'[1]MGM Tally'!G:I,3,FALSE)</f>
        <v>0</v>
      </c>
      <c r="D20" s="1">
        <f>VLOOKUP(A20,'[1]MGM NS'!H:I,2,FALSE)</f>
        <v>0</v>
      </c>
      <c r="E20" s="1" t="b">
        <f t="shared" si="0"/>
        <v>1</v>
      </c>
      <c r="F20" s="1"/>
    </row>
    <row r="21" spans="1:6">
      <c r="A21" s="1" t="s">
        <v>26</v>
      </c>
      <c r="B21" s="1" t="s">
        <v>7</v>
      </c>
      <c r="C21" s="1">
        <f>VLOOKUP(A21,'[1]MGM Tally'!G:I,3,FALSE)</f>
        <v>0</v>
      </c>
      <c r="D21" s="1">
        <f>VLOOKUP(A21,'[1]MGM NS'!H:I,2,FALSE)</f>
        <v>0</v>
      </c>
      <c r="E21" s="1" t="b">
        <f t="shared" si="0"/>
        <v>1</v>
      </c>
      <c r="F21" s="1"/>
    </row>
    <row r="22" spans="1:6">
      <c r="A22" s="1" t="s">
        <v>27</v>
      </c>
      <c r="B22" s="1" t="s">
        <v>7</v>
      </c>
      <c r="C22" s="1">
        <f>VLOOKUP(A22,'[1]MGM Tally'!G:I,3,FALSE)</f>
        <v>-2820020</v>
      </c>
      <c r="D22" s="1">
        <f>VLOOKUP(A22,'[1]MGM NS'!H:I,2,FALSE)</f>
        <v>2820020</v>
      </c>
      <c r="E22" s="1" t="b">
        <f t="shared" si="0"/>
        <v>1</v>
      </c>
      <c r="F22" s="1"/>
    </row>
    <row r="23" spans="1:6">
      <c r="A23" s="1" t="s">
        <v>28</v>
      </c>
      <c r="B23" s="1" t="s">
        <v>7</v>
      </c>
      <c r="C23" s="1">
        <f>VLOOKUP(A23,'[1]MGM Tally'!G:I,3,FALSE)</f>
        <v>-650000</v>
      </c>
      <c r="D23" s="1">
        <f>VLOOKUP(A23,'[1]MGM NS'!H:I,2,FALSE)</f>
        <v>650000</v>
      </c>
      <c r="E23" s="1" t="b">
        <f t="shared" si="0"/>
        <v>1</v>
      </c>
      <c r="F23" s="1"/>
    </row>
    <row r="24" spans="1:6">
      <c r="A24" s="1" t="s">
        <v>29</v>
      </c>
      <c r="B24" s="1" t="s">
        <v>7</v>
      </c>
      <c r="C24" s="1">
        <f>VLOOKUP(A24,'[1]MGM Tally'!G:I,3,FALSE)</f>
        <v>-617954</v>
      </c>
      <c r="D24" s="1">
        <f>VLOOKUP(A24,'[1]MGM NS'!H:I,2,FALSE)</f>
        <v>617954</v>
      </c>
      <c r="E24" s="1" t="b">
        <f t="shared" si="0"/>
        <v>1</v>
      </c>
      <c r="F24" s="1"/>
    </row>
    <row r="25" spans="1:6">
      <c r="A25" s="1" t="s">
        <v>30</v>
      </c>
      <c r="B25" s="1" t="s">
        <v>7</v>
      </c>
      <c r="C25" s="1" t="str">
        <f>VLOOKUP(A25,'[1]MGM Tally'!G:I,3,FALSE)</f>
        <v>2271571.00</v>
      </c>
      <c r="D25" s="1">
        <f>VLOOKUP(A25,'[1]MGM NS'!H:I,2,FALSE)</f>
        <v>-2271571</v>
      </c>
      <c r="E25" s="1" t="b">
        <f t="shared" si="0"/>
        <v>1</v>
      </c>
      <c r="F25" s="1"/>
    </row>
    <row r="26" spans="1:6">
      <c r="A26" s="1" t="s">
        <v>31</v>
      </c>
      <c r="B26" s="1" t="s">
        <v>7</v>
      </c>
      <c r="C26" s="1">
        <f>VLOOKUP(A26,'[1]MGM Tally'!G:I,3,FALSE)</f>
        <v>0</v>
      </c>
      <c r="D26" s="1">
        <f>VLOOKUP(A26,'[1]MGM NS'!H:I,2,FALSE)</f>
        <v>0</v>
      </c>
      <c r="E26" s="1" t="b">
        <f t="shared" si="0"/>
        <v>1</v>
      </c>
      <c r="F26" s="1"/>
    </row>
    <row r="27" spans="1:6">
      <c r="A27" s="1" t="s">
        <v>32</v>
      </c>
      <c r="B27" s="1" t="s">
        <v>7</v>
      </c>
      <c r="C27" s="1">
        <f>VLOOKUP(A27,'[1]MGM Tally'!G:I,3,FALSE)</f>
        <v>0</v>
      </c>
      <c r="D27" s="1">
        <f>VLOOKUP(A27,'[1]MGM NS'!H:I,2,FALSE)</f>
        <v>0</v>
      </c>
      <c r="E27" s="1" t="b">
        <f t="shared" si="0"/>
        <v>1</v>
      </c>
      <c r="F27" s="1"/>
    </row>
    <row r="28" spans="1:6">
      <c r="A28" s="1" t="s">
        <v>33</v>
      </c>
      <c r="B28" s="1" t="s">
        <v>7</v>
      </c>
      <c r="C28" s="1">
        <f>VLOOKUP(A28,'[1]MGM Tally'!G:I,3,FALSE)</f>
        <v>0</v>
      </c>
      <c r="D28" s="1">
        <f>VLOOKUP(A28,'[1]MGM NS'!H:I,2,FALSE)</f>
        <v>0</v>
      </c>
      <c r="E28" s="1" t="b">
        <f t="shared" si="0"/>
        <v>1</v>
      </c>
      <c r="F28" s="1"/>
    </row>
    <row r="29" spans="1:6">
      <c r="A29" s="1" t="s">
        <v>34</v>
      </c>
      <c r="B29" s="1" t="s">
        <v>7</v>
      </c>
      <c r="C29" s="1">
        <f>VLOOKUP(A29,'[1]MGM Tally'!G:I,3,FALSE)</f>
        <v>0</v>
      </c>
      <c r="D29" s="1">
        <f>VLOOKUP(A29,'[1]MGM NS'!H:I,2,FALSE)</f>
        <v>0</v>
      </c>
      <c r="E29" s="1" t="b">
        <f t="shared" si="0"/>
        <v>1</v>
      </c>
      <c r="F29" s="1"/>
    </row>
    <row r="30" spans="1:6">
      <c r="A30" s="1" t="s">
        <v>35</v>
      </c>
      <c r="B30" s="1" t="s">
        <v>7</v>
      </c>
      <c r="C30" s="1">
        <f>VLOOKUP(A30,'[1]MGM Tally'!G:I,3,FALSE)</f>
        <v>0</v>
      </c>
      <c r="D30" s="1">
        <f>VLOOKUP(A30,'[1]MGM NS'!H:I,2,FALSE)</f>
        <v>0</v>
      </c>
      <c r="E30" s="1" t="b">
        <f t="shared" si="0"/>
        <v>1</v>
      </c>
      <c r="F30" s="1"/>
    </row>
    <row r="31" spans="1:6">
      <c r="A31" s="1" t="s">
        <v>36</v>
      </c>
      <c r="B31" s="1" t="s">
        <v>7</v>
      </c>
      <c r="C31" s="1">
        <f>VLOOKUP(A31,'[1]MGM Tally'!G:I,3,FALSE)</f>
        <v>-1232800</v>
      </c>
      <c r="D31" s="1">
        <f>VLOOKUP(A31,'[1]MGM NS'!H:I,2,FALSE)</f>
        <v>1232800</v>
      </c>
      <c r="E31" s="1" t="b">
        <f t="shared" si="0"/>
        <v>1</v>
      </c>
      <c r="F31" s="1"/>
    </row>
    <row r="32" spans="1:6">
      <c r="A32" s="1" t="s">
        <v>37</v>
      </c>
      <c r="B32" s="1" t="s">
        <v>7</v>
      </c>
      <c r="C32" s="1">
        <f>VLOOKUP(A32,'[1]MGM Tally'!G:I,3,FALSE)</f>
        <v>0</v>
      </c>
      <c r="D32" s="1">
        <f>VLOOKUP(A32,'[1]MGM NS'!H:I,2,FALSE)</f>
        <v>0</v>
      </c>
      <c r="E32" s="1" t="b">
        <f t="shared" si="0"/>
        <v>1</v>
      </c>
      <c r="F32" s="1"/>
    </row>
    <row r="33" spans="1:6">
      <c r="A33" s="1" t="s">
        <v>38</v>
      </c>
      <c r="B33" s="1" t="s">
        <v>7</v>
      </c>
      <c r="C33" s="1">
        <f>VLOOKUP(A33,'[1]MGM Tally'!G:I,3,FALSE)</f>
        <v>0</v>
      </c>
      <c r="D33" s="1">
        <f>VLOOKUP(A33,'[1]MGM NS'!H:I,2,FALSE)</f>
        <v>0</v>
      </c>
      <c r="E33" s="1" t="b">
        <f t="shared" si="0"/>
        <v>1</v>
      </c>
      <c r="F33" s="1"/>
    </row>
    <row r="34" spans="1:6">
      <c r="A34" s="1" t="s">
        <v>39</v>
      </c>
      <c r="B34" s="1" t="s">
        <v>7</v>
      </c>
      <c r="C34" s="1">
        <f>VLOOKUP(A34,'[1]MGM Tally'!G:I,3,FALSE)</f>
        <v>0</v>
      </c>
      <c r="D34" s="1">
        <f>VLOOKUP(A34,'[1]MGM NS'!H:I,2,FALSE)</f>
        <v>0</v>
      </c>
      <c r="E34" s="1" t="b">
        <f t="shared" si="0"/>
        <v>1</v>
      </c>
      <c r="F34" s="1"/>
    </row>
    <row r="35" spans="1:6">
      <c r="A35" s="1" t="s">
        <v>40</v>
      </c>
      <c r="B35" s="1" t="s">
        <v>7</v>
      </c>
      <c r="C35" s="1">
        <f>VLOOKUP(A35,'[1]MGM Tally'!G:I,3,FALSE)</f>
        <v>-46575</v>
      </c>
      <c r="D35" s="1">
        <f>VLOOKUP(A35,'[1]MGM NS'!H:I,2,FALSE)</f>
        <v>46575</v>
      </c>
      <c r="E35" s="1" t="b">
        <f t="shared" si="0"/>
        <v>1</v>
      </c>
      <c r="F35" s="1"/>
    </row>
    <row r="36" spans="1:6">
      <c r="A36" s="1" t="s">
        <v>41</v>
      </c>
      <c r="B36" s="1" t="s">
        <v>7</v>
      </c>
      <c r="C36" s="1">
        <f>VLOOKUP(A36,'[1]MGM Tally'!G:I,3,FALSE)</f>
        <v>0</v>
      </c>
      <c r="D36" s="1">
        <f>VLOOKUP(A36,'[1]MGM NS'!H:I,2,FALSE)</f>
        <v>0</v>
      </c>
      <c r="E36" s="1" t="b">
        <f t="shared" si="0"/>
        <v>1</v>
      </c>
      <c r="F36" s="1"/>
    </row>
    <row r="37" spans="1:6">
      <c r="A37" s="1" t="s">
        <v>42</v>
      </c>
      <c r="B37" s="1" t="s">
        <v>7</v>
      </c>
      <c r="C37" s="1">
        <f>VLOOKUP(A37,'[1]MGM Tally'!G:I,3,FALSE)</f>
        <v>0</v>
      </c>
      <c r="D37" s="1">
        <f>VLOOKUP(A37,'[1]MGM NS'!H:I,2,FALSE)</f>
        <v>0</v>
      </c>
      <c r="E37" s="1" t="b">
        <f t="shared" si="0"/>
        <v>1</v>
      </c>
      <c r="F37" s="1"/>
    </row>
    <row r="38" spans="1:6">
      <c r="A38" s="1" t="s">
        <v>43</v>
      </c>
      <c r="B38" s="1" t="s">
        <v>7</v>
      </c>
      <c r="C38" s="1">
        <f>VLOOKUP(A38,'[1]MGM Tally'!G:I,3,FALSE)</f>
        <v>0</v>
      </c>
      <c r="D38" s="1">
        <f>VLOOKUP(A38,'[1]MGM NS'!H:I,2,FALSE)</f>
        <v>0</v>
      </c>
      <c r="E38" s="1" t="b">
        <f t="shared" si="0"/>
        <v>1</v>
      </c>
      <c r="F38" s="1"/>
    </row>
    <row r="39" spans="1:6">
      <c r="A39" s="1" t="s">
        <v>44</v>
      </c>
      <c r="B39" s="1" t="s">
        <v>7</v>
      </c>
      <c r="C39" s="1">
        <f>VLOOKUP(A39,'[1]MGM Tally'!G:I,3,FALSE)</f>
        <v>0</v>
      </c>
      <c r="D39" s="1">
        <f>VLOOKUP(A39,'[1]MGM NS'!H:I,2,FALSE)</f>
        <v>0</v>
      </c>
      <c r="E39" s="1" t="b">
        <f t="shared" si="0"/>
        <v>1</v>
      </c>
      <c r="F39" s="1"/>
    </row>
    <row r="40" spans="1:6">
      <c r="A40" s="1" t="s">
        <v>45</v>
      </c>
      <c r="B40" s="1" t="s">
        <v>7</v>
      </c>
      <c r="C40" s="1">
        <f>VLOOKUP(A40,'[1]MGM Tally'!G:I,3,FALSE)</f>
        <v>0</v>
      </c>
      <c r="D40" s="1">
        <f>VLOOKUP(A40,'[1]MGM NS'!H:I,2,FALSE)</f>
        <v>0</v>
      </c>
      <c r="E40" s="1" t="b">
        <f t="shared" si="0"/>
        <v>1</v>
      </c>
      <c r="F40" s="1"/>
    </row>
    <row r="41" spans="1:6">
      <c r="A41" s="1" t="s">
        <v>46</v>
      </c>
      <c r="B41" s="1" t="s">
        <v>7</v>
      </c>
      <c r="C41" s="1">
        <f>VLOOKUP(A41,'[1]MGM Tally'!G:I,3,FALSE)</f>
        <v>0</v>
      </c>
      <c r="D41" s="1">
        <f>VLOOKUP(A41,'[1]MGM NS'!H:I,2,FALSE)</f>
        <v>0</v>
      </c>
      <c r="E41" s="1" t="b">
        <f t="shared" si="0"/>
        <v>1</v>
      </c>
      <c r="F41" s="1"/>
    </row>
    <row r="42" spans="1:6">
      <c r="A42" s="1" t="s">
        <v>47</v>
      </c>
      <c r="B42" s="1" t="s">
        <v>7</v>
      </c>
      <c r="C42" s="1">
        <f>VLOOKUP(A42,'[1]MGM Tally'!G:I,3,FALSE)</f>
        <v>0</v>
      </c>
      <c r="D42" s="1">
        <f>VLOOKUP(A42,'[1]MGM NS'!H:I,2,FALSE)</f>
        <v>0</v>
      </c>
      <c r="E42" s="1" t="b">
        <f t="shared" si="0"/>
        <v>1</v>
      </c>
      <c r="F42" s="1"/>
    </row>
    <row r="43" spans="1:6">
      <c r="A43" s="1" t="s">
        <v>48</v>
      </c>
      <c r="B43" s="1" t="s">
        <v>7</v>
      </c>
      <c r="C43" s="1" t="str">
        <f>VLOOKUP(A43,'[1]MGM Tally'!G:I,3,FALSE)</f>
        <v>17248.00</v>
      </c>
      <c r="D43" s="1">
        <f>VLOOKUP(A43,'[1]MGM NS'!H:I,2,FALSE)</f>
        <v>-17248</v>
      </c>
      <c r="E43" s="1" t="b">
        <f t="shared" si="0"/>
        <v>1</v>
      </c>
      <c r="F43" s="1"/>
    </row>
    <row r="44" spans="1:6">
      <c r="A44" s="1" t="s">
        <v>49</v>
      </c>
      <c r="B44" s="1" t="s">
        <v>7</v>
      </c>
      <c r="C44" s="1">
        <f>VLOOKUP(A44,'[1]MGM Tally'!G:I,3,FALSE)</f>
        <v>0</v>
      </c>
      <c r="D44" s="1">
        <f>VLOOKUP(A44,'[1]MGM NS'!H:I,2,FALSE)</f>
        <v>0</v>
      </c>
      <c r="E44" s="1" t="b">
        <f t="shared" si="0"/>
        <v>1</v>
      </c>
      <c r="F44" s="1"/>
    </row>
    <row r="45" spans="1:6">
      <c r="A45" s="1" t="s">
        <v>50</v>
      </c>
      <c r="B45" s="1" t="s">
        <v>7</v>
      </c>
      <c r="C45" s="1">
        <f>VLOOKUP(A45,'[1]MGM Tally'!G:I,3,FALSE)</f>
        <v>-5907348</v>
      </c>
      <c r="D45" s="1">
        <f>VLOOKUP(A45,'[1]MGM NS'!H:I,2,FALSE)</f>
        <v>5907348</v>
      </c>
      <c r="E45" s="1" t="b">
        <f t="shared" si="0"/>
        <v>1</v>
      </c>
      <c r="F45" s="1"/>
    </row>
    <row r="46" spans="1:6">
      <c r="A46" s="1" t="s">
        <v>51</v>
      </c>
      <c r="B46" s="1" t="s">
        <v>7</v>
      </c>
      <c r="C46" s="1">
        <f>VLOOKUP(A46,'[1]MGM Tally'!G:I,3,FALSE)</f>
        <v>0</v>
      </c>
      <c r="D46" s="1">
        <f>VLOOKUP(A46,'[1]MGM NS'!H:I,2,FALSE)</f>
        <v>0</v>
      </c>
      <c r="E46" s="1" t="b">
        <f t="shared" si="0"/>
        <v>1</v>
      </c>
      <c r="F46" s="1"/>
    </row>
    <row r="47" spans="1:6">
      <c r="A47" s="1" t="s">
        <v>52</v>
      </c>
      <c r="B47" s="1" t="s">
        <v>7</v>
      </c>
      <c r="C47" s="1">
        <f>VLOOKUP(A47,'[1]MGM Tally'!G:I,3,FALSE)</f>
        <v>0</v>
      </c>
      <c r="D47" s="1">
        <f>VLOOKUP(A47,'[1]MGM NS'!H:I,2,FALSE)</f>
        <v>0</v>
      </c>
      <c r="E47" s="1" t="b">
        <f t="shared" si="0"/>
        <v>1</v>
      </c>
      <c r="F47" s="1"/>
    </row>
    <row r="48" spans="1:6">
      <c r="A48" s="1" t="s">
        <v>53</v>
      </c>
      <c r="B48" s="1" t="s">
        <v>7</v>
      </c>
      <c r="C48" s="1">
        <f>VLOOKUP(A48,'[1]MGM Tally'!G:I,3,FALSE)</f>
        <v>0</v>
      </c>
      <c r="D48" s="1">
        <f>VLOOKUP(A48,'[1]MGM NS'!H:I,2,FALSE)</f>
        <v>0</v>
      </c>
      <c r="E48" s="1" t="b">
        <f t="shared" si="0"/>
        <v>1</v>
      </c>
      <c r="F48" s="1"/>
    </row>
    <row r="49" spans="1:6">
      <c r="A49" s="1" t="s">
        <v>54</v>
      </c>
      <c r="B49" s="1" t="s">
        <v>7</v>
      </c>
      <c r="C49" s="1" t="str">
        <f>VLOOKUP(A49,'[1]MGM Tally'!G:I,3,FALSE)</f>
        <v>1871000.00</v>
      </c>
      <c r="D49" s="1">
        <f>VLOOKUP(A49,'[1]MGM NS'!H:I,2,FALSE)</f>
        <v>-1871000</v>
      </c>
      <c r="E49" s="1" t="b">
        <f t="shared" si="0"/>
        <v>1</v>
      </c>
      <c r="F49" s="1"/>
    </row>
    <row r="50" spans="1:6">
      <c r="A50" s="1" t="s">
        <v>55</v>
      </c>
      <c r="B50" s="1" t="s">
        <v>7</v>
      </c>
      <c r="C50" s="1">
        <f>VLOOKUP(A50,'[1]MGM Tally'!G:I,3,FALSE)</f>
        <v>0</v>
      </c>
      <c r="D50" s="1">
        <v>0</v>
      </c>
      <c r="E50" s="1" t="b">
        <f t="shared" si="0"/>
        <v>1</v>
      </c>
      <c r="F50" s="1"/>
    </row>
    <row r="51" spans="1:6">
      <c r="A51" s="1" t="s">
        <v>56</v>
      </c>
      <c r="B51" s="1" t="s">
        <v>7</v>
      </c>
      <c r="C51" s="1">
        <f>VLOOKUP(A51,'[1]MGM Tally'!G:I,3,FALSE)</f>
        <v>0</v>
      </c>
      <c r="D51" s="1">
        <f>VLOOKUP(A51,'[1]MGM NS'!H:I,2,FALSE)</f>
        <v>0</v>
      </c>
      <c r="E51" s="1" t="b">
        <f t="shared" si="0"/>
        <v>1</v>
      </c>
      <c r="F51" s="1"/>
    </row>
    <row r="52" spans="1:6">
      <c r="A52" s="1" t="s">
        <v>57</v>
      </c>
      <c r="B52" s="1" t="s">
        <v>7</v>
      </c>
      <c r="C52" s="1">
        <f>VLOOKUP(A52,'[1]MGM Tally'!G:I,3,FALSE)</f>
        <v>0</v>
      </c>
      <c r="D52" s="1">
        <f>VLOOKUP(A52,'[1]MGM NS'!H:I,2,FALSE)</f>
        <v>0</v>
      </c>
      <c r="E52" s="1" t="b">
        <f t="shared" si="0"/>
        <v>1</v>
      </c>
      <c r="F52" s="1"/>
    </row>
    <row r="53" spans="1:6">
      <c r="A53" s="1" t="s">
        <v>58</v>
      </c>
      <c r="B53" s="1" t="s">
        <v>7</v>
      </c>
      <c r="C53" s="1">
        <f>VLOOKUP(A53,'[1]MGM Tally'!G:I,3,FALSE)</f>
        <v>-3167429.4</v>
      </c>
      <c r="D53" s="1">
        <f>VLOOKUP(A53,'[1]MGM NS'!H:I,2,FALSE)</f>
        <v>3167429.4</v>
      </c>
      <c r="E53" s="1" t="b">
        <f t="shared" si="0"/>
        <v>1</v>
      </c>
      <c r="F53" s="1"/>
    </row>
    <row r="54" spans="1:6">
      <c r="A54" s="1" t="s">
        <v>59</v>
      </c>
      <c r="B54" s="1" t="s">
        <v>7</v>
      </c>
      <c r="C54" s="1">
        <f>VLOOKUP(A54,'[1]MGM Tally'!G:I,3,FALSE)</f>
        <v>-1017327</v>
      </c>
      <c r="D54" s="1">
        <f>VLOOKUP(A54,'[1]MGM NS'!H:I,2,FALSE)</f>
        <v>1017327</v>
      </c>
      <c r="E54" s="1" t="b">
        <f t="shared" si="0"/>
        <v>1</v>
      </c>
      <c r="F54" s="1"/>
    </row>
    <row r="55" spans="1:6">
      <c r="A55" s="1" t="s">
        <v>60</v>
      </c>
      <c r="B55" s="1" t="s">
        <v>7</v>
      </c>
      <c r="C55" s="1">
        <f>VLOOKUP(A55,'[1]MGM Tally'!G:I,3,FALSE)</f>
        <v>-835524</v>
      </c>
      <c r="D55" s="1">
        <f>VLOOKUP(A55,'[1]MGM NS'!H:I,2,FALSE)</f>
        <v>835524</v>
      </c>
      <c r="E55" s="1" t="b">
        <f t="shared" si="0"/>
        <v>1</v>
      </c>
      <c r="F55" s="1"/>
    </row>
    <row r="56" spans="1:6">
      <c r="A56" s="1" t="s">
        <v>61</v>
      </c>
      <c r="B56" s="1" t="s">
        <v>7</v>
      </c>
      <c r="C56" s="1">
        <f>VLOOKUP(A56,'[1]MGM Tally'!G:I,3,FALSE)</f>
        <v>-138448</v>
      </c>
      <c r="D56" s="1">
        <f>VLOOKUP(A56,'[1]MGM NS'!H:I,2,FALSE)</f>
        <v>138448</v>
      </c>
      <c r="E56" s="1" t="b">
        <f t="shared" si="0"/>
        <v>1</v>
      </c>
      <c r="F56" s="1"/>
    </row>
    <row r="57" spans="1:6">
      <c r="A57" s="1" t="s">
        <v>62</v>
      </c>
      <c r="B57" s="1" t="s">
        <v>7</v>
      </c>
      <c r="C57" s="1" t="str">
        <f>VLOOKUP(A57,'[1]MGM Tally'!G:I,3,FALSE)</f>
        <v>10000.00</v>
      </c>
      <c r="D57" s="1">
        <f>VLOOKUP(A57,'[1]MGM NS'!H:I,2,FALSE)</f>
        <v>-10000</v>
      </c>
      <c r="E57" s="1" t="b">
        <f t="shared" si="0"/>
        <v>1</v>
      </c>
      <c r="F57" s="1"/>
    </row>
    <row r="58" spans="1:6">
      <c r="A58" s="1" t="s">
        <v>63</v>
      </c>
      <c r="B58" s="1" t="s">
        <v>7</v>
      </c>
      <c r="C58" s="1" t="str">
        <f>VLOOKUP(A58,'[1]MGM Tally'!G:I,3,FALSE)</f>
        <v>1301935.00</v>
      </c>
      <c r="D58" s="1">
        <f>VLOOKUP(A58,'[1]MGM NS'!H:I,2,FALSE)</f>
        <v>-1301935</v>
      </c>
      <c r="E58" s="1" t="b">
        <f t="shared" si="0"/>
        <v>1</v>
      </c>
      <c r="F58" s="1"/>
    </row>
    <row r="59" spans="1:6">
      <c r="A59" s="1" t="s">
        <v>64</v>
      </c>
      <c r="B59" s="1" t="s">
        <v>7</v>
      </c>
      <c r="C59" s="1">
        <f>VLOOKUP(A59,'[1]MGM Tally'!G:I,3,FALSE)</f>
        <v>0</v>
      </c>
      <c r="D59" s="1">
        <f>VLOOKUP(A59,'[1]MGM NS'!H:I,2,FALSE)</f>
        <v>0</v>
      </c>
      <c r="E59" s="1" t="b">
        <f t="shared" si="0"/>
        <v>1</v>
      </c>
      <c r="F59" s="1"/>
    </row>
    <row r="60" spans="1:6">
      <c r="A60" s="1" t="s">
        <v>65</v>
      </c>
      <c r="B60" s="1" t="s">
        <v>7</v>
      </c>
      <c r="C60" s="1">
        <f>VLOOKUP(A60,'[1]MGM Tally'!G:I,3,FALSE)</f>
        <v>0</v>
      </c>
      <c r="D60" s="1">
        <f>VLOOKUP(A60,'[1]MGM NS'!H:I,2,FALSE)</f>
        <v>0</v>
      </c>
      <c r="E60" s="1" t="b">
        <f t="shared" si="0"/>
        <v>1</v>
      </c>
      <c r="F60" s="1"/>
    </row>
    <row r="61" spans="1:6">
      <c r="A61" s="1" t="s">
        <v>66</v>
      </c>
      <c r="B61" s="1" t="s">
        <v>7</v>
      </c>
      <c r="C61" s="1">
        <f>VLOOKUP(A61,'[1]MGM Tally'!G:I,3,FALSE)</f>
        <v>0</v>
      </c>
      <c r="D61" s="1">
        <f>VLOOKUP(A61,'[1]MGM NS'!H:I,2,FALSE)</f>
        <v>0</v>
      </c>
      <c r="E61" s="1" t="b">
        <f t="shared" si="0"/>
        <v>1</v>
      </c>
      <c r="F61" s="1"/>
    </row>
    <row r="62" spans="1:6">
      <c r="A62" s="1" t="s">
        <v>67</v>
      </c>
      <c r="B62" s="1" t="s">
        <v>7</v>
      </c>
      <c r="C62" s="1">
        <f>VLOOKUP(A62,'[1]MGM Tally'!G:I,3,FALSE)</f>
        <v>0</v>
      </c>
      <c r="D62" s="1">
        <f>VLOOKUP(A62,'[1]MGM NS'!H:I,2,FALSE)</f>
        <v>0</v>
      </c>
      <c r="E62" s="1" t="b">
        <f t="shared" si="0"/>
        <v>1</v>
      </c>
      <c r="F62" s="1"/>
    </row>
    <row r="63" spans="1:6">
      <c r="A63" s="1" t="s">
        <v>68</v>
      </c>
      <c r="B63" s="1" t="s">
        <v>7</v>
      </c>
      <c r="C63" s="1" t="str">
        <f>VLOOKUP(A63,'[1]MGM Tally'!G:I,3,FALSE)</f>
        <v>2500000.00</v>
      </c>
      <c r="D63" s="1">
        <f>VLOOKUP(A63,'[1]MGM NS'!H:I,2,FALSE)</f>
        <v>-2500000</v>
      </c>
      <c r="E63" s="1" t="b">
        <f t="shared" si="0"/>
        <v>1</v>
      </c>
      <c r="F63" s="1"/>
    </row>
    <row r="64" spans="1:6">
      <c r="A64" s="1" t="s">
        <v>69</v>
      </c>
      <c r="B64" s="1" t="s">
        <v>7</v>
      </c>
      <c r="C64" s="1" t="str">
        <f>VLOOKUP(A64,'[1]MGM Tally'!G:I,3,FALSE)</f>
        <v>14900720.39</v>
      </c>
      <c r="D64" s="1">
        <f>VLOOKUP(A64,'[1]MGM NS'!H:I,2,FALSE)</f>
        <v>-14900720.390000001</v>
      </c>
      <c r="E64" s="1" t="b">
        <f t="shared" si="0"/>
        <v>1</v>
      </c>
      <c r="F64" s="1"/>
    </row>
    <row r="65" spans="1:6">
      <c r="A65" s="1" t="s">
        <v>70</v>
      </c>
      <c r="B65" s="1" t="s">
        <v>7</v>
      </c>
      <c r="C65" s="1">
        <f>VLOOKUP(A65,'[1]MGM Tally'!G:I,3,FALSE)</f>
        <v>0</v>
      </c>
      <c r="D65" s="1">
        <f>VLOOKUP(A65,'[1]MGM NS'!H:I,2,FALSE)</f>
        <v>0</v>
      </c>
      <c r="E65" s="1" t="b">
        <f t="shared" si="0"/>
        <v>1</v>
      </c>
      <c r="F65" s="1"/>
    </row>
    <row r="66" spans="1:6">
      <c r="A66" s="1" t="s">
        <v>71</v>
      </c>
      <c r="B66" s="1" t="s">
        <v>7</v>
      </c>
      <c r="C66" s="1" t="str">
        <f>VLOOKUP(A66,'[1]MGM Tally'!G:I,3,FALSE)</f>
        <v>2500000.00</v>
      </c>
      <c r="D66" s="1">
        <f>VLOOKUP(A66,'[1]MGM NS'!H:I,2,FALSE)</f>
        <v>-2500000</v>
      </c>
      <c r="E66" s="1" t="b">
        <f t="shared" ref="E66:E129" si="1">IF(ABS(C66)=ABS(D66),TRUE,FALSE)</f>
        <v>1</v>
      </c>
      <c r="F66" s="1"/>
    </row>
    <row r="67" spans="1:6">
      <c r="A67" s="1" t="s">
        <v>72</v>
      </c>
      <c r="B67" s="1" t="s">
        <v>7</v>
      </c>
      <c r="C67" s="1">
        <f>VLOOKUP(A67,'[1]MGM Tally'!G:I,3,FALSE)</f>
        <v>0</v>
      </c>
      <c r="D67" s="1">
        <f>VLOOKUP(A67,'[1]MGM NS'!H:I,2,FALSE)</f>
        <v>0</v>
      </c>
      <c r="E67" s="1" t="b">
        <f t="shared" si="1"/>
        <v>1</v>
      </c>
      <c r="F67" s="1"/>
    </row>
    <row r="68" spans="1:6">
      <c r="A68" s="1" t="s">
        <v>73</v>
      </c>
      <c r="B68" s="1" t="s">
        <v>7</v>
      </c>
      <c r="C68" s="1" t="str">
        <f>VLOOKUP(A68,'[1]MGM Tally'!G:I,3,FALSE)</f>
        <v>2060170.57</v>
      </c>
      <c r="D68" s="1">
        <f>VLOOKUP(A68,'[1]MGM NS'!H:I,2,FALSE)</f>
        <v>-2060170.57</v>
      </c>
      <c r="E68" s="1" t="b">
        <f t="shared" si="1"/>
        <v>1</v>
      </c>
      <c r="F68" s="1"/>
    </row>
    <row r="69" spans="1:6">
      <c r="A69" s="1" t="s">
        <v>74</v>
      </c>
      <c r="B69" s="1" t="s">
        <v>7</v>
      </c>
      <c r="C69" s="1">
        <f>VLOOKUP(A69,'[1]MGM Tally'!G:I,3,FALSE)</f>
        <v>0</v>
      </c>
      <c r="D69" s="1">
        <f>VLOOKUP(A69,'[1]MGM NS'!H:I,2,FALSE)</f>
        <v>0</v>
      </c>
      <c r="E69" s="1" t="b">
        <f t="shared" si="1"/>
        <v>1</v>
      </c>
      <c r="F69" s="1"/>
    </row>
    <row r="70" spans="1:6">
      <c r="A70" s="1" t="s">
        <v>75</v>
      </c>
      <c r="B70" s="1" t="s">
        <v>7</v>
      </c>
      <c r="C70" s="1">
        <f>VLOOKUP(A70,'[1]MGM Tally'!G:I,3,FALSE)</f>
        <v>0</v>
      </c>
      <c r="D70" s="1">
        <f>VLOOKUP(A70,'[1]MGM NS'!H:I,2,FALSE)</f>
        <v>0</v>
      </c>
      <c r="E70" s="1" t="b">
        <f t="shared" si="1"/>
        <v>1</v>
      </c>
      <c r="F70" s="1"/>
    </row>
    <row r="71" spans="1:6">
      <c r="A71" s="1" t="s">
        <v>76</v>
      </c>
      <c r="B71" s="1" t="s">
        <v>7</v>
      </c>
      <c r="C71" s="1">
        <f>VLOOKUP(A71,'[1]MGM Tally'!G:I,3,FALSE)</f>
        <v>-1483795</v>
      </c>
      <c r="D71" s="1">
        <f>VLOOKUP(A71,'[1]MGM NS'!H:I,2,FALSE)</f>
        <v>1483795</v>
      </c>
      <c r="E71" s="1" t="b">
        <f t="shared" si="1"/>
        <v>1</v>
      </c>
      <c r="F71" s="1"/>
    </row>
    <row r="72" spans="1:6">
      <c r="A72" s="1" t="s">
        <v>77</v>
      </c>
      <c r="B72" s="1" t="s">
        <v>7</v>
      </c>
      <c r="C72" s="1">
        <f>VLOOKUP(A72,'[1]MGM Tally'!G:I,3,FALSE)</f>
        <v>0</v>
      </c>
      <c r="D72" s="1">
        <f>VLOOKUP(A72,'[1]MGM NS'!H:I,2,FALSE)</f>
        <v>0</v>
      </c>
      <c r="E72" s="1" t="b">
        <f t="shared" si="1"/>
        <v>1</v>
      </c>
      <c r="F72" s="1"/>
    </row>
    <row r="73" spans="1:6">
      <c r="A73" s="1" t="s">
        <v>78</v>
      </c>
      <c r="B73" s="1" t="s">
        <v>7</v>
      </c>
      <c r="C73" s="1">
        <f>VLOOKUP(A73,'[1]MGM Tally'!G:I,3,FALSE)</f>
        <v>-713240</v>
      </c>
      <c r="D73" s="1">
        <f>VLOOKUP(A73,'[1]MGM NS'!H:I,2,FALSE)</f>
        <v>713240</v>
      </c>
      <c r="E73" s="1" t="b">
        <f t="shared" si="1"/>
        <v>1</v>
      </c>
      <c r="F73" s="1"/>
    </row>
    <row r="74" spans="1:6">
      <c r="A74" s="1" t="s">
        <v>79</v>
      </c>
      <c r="B74" s="1" t="s">
        <v>7</v>
      </c>
      <c r="C74" s="1">
        <f>VLOOKUP(A74,'[1]MGM Tally'!G:I,3,FALSE)</f>
        <v>0</v>
      </c>
      <c r="D74" s="1">
        <f>VLOOKUP(A74,'[1]MGM NS'!H:I,2,FALSE)</f>
        <v>0</v>
      </c>
      <c r="E74" s="1" t="b">
        <f t="shared" si="1"/>
        <v>1</v>
      </c>
      <c r="F74" s="1"/>
    </row>
    <row r="75" spans="1:6">
      <c r="A75" s="1" t="s">
        <v>80</v>
      </c>
      <c r="B75" s="1" t="s">
        <v>7</v>
      </c>
      <c r="C75" s="1">
        <f>VLOOKUP(A75,'[1]MGM Tally'!G:I,3,FALSE)</f>
        <v>0</v>
      </c>
      <c r="D75" s="1">
        <f>VLOOKUP(A75,'[1]MGM NS'!H:I,2,FALSE)</f>
        <v>0</v>
      </c>
      <c r="E75" s="1" t="b">
        <f t="shared" si="1"/>
        <v>1</v>
      </c>
      <c r="F75" s="1"/>
    </row>
    <row r="76" spans="1:6">
      <c r="A76" s="1" t="s">
        <v>81</v>
      </c>
      <c r="B76" s="1" t="s">
        <v>7</v>
      </c>
      <c r="C76" s="1">
        <f>VLOOKUP(A76,'[1]MGM Tally'!G:I,3,FALSE)</f>
        <v>0</v>
      </c>
      <c r="D76" s="1">
        <f>VLOOKUP(A76,'[1]MGM NS'!H:I,2,FALSE)</f>
        <v>0</v>
      </c>
      <c r="E76" s="1" t="b">
        <f t="shared" si="1"/>
        <v>1</v>
      </c>
      <c r="F76" s="1"/>
    </row>
    <row r="77" spans="1:6">
      <c r="A77" s="1" t="s">
        <v>82</v>
      </c>
      <c r="B77" s="1" t="s">
        <v>7</v>
      </c>
      <c r="C77" s="1">
        <f>VLOOKUP(A77,'[1]MGM Tally'!G:I,3,FALSE)</f>
        <v>0</v>
      </c>
      <c r="D77" s="1">
        <f>VLOOKUP(A77,'[1]MGM NS'!H:I,2,FALSE)</f>
        <v>0</v>
      </c>
      <c r="E77" s="1" t="b">
        <f t="shared" si="1"/>
        <v>1</v>
      </c>
      <c r="F77" s="1"/>
    </row>
    <row r="78" spans="1:6">
      <c r="A78" s="1" t="s">
        <v>83</v>
      </c>
      <c r="B78" s="1" t="s">
        <v>7</v>
      </c>
      <c r="C78" s="1">
        <f>VLOOKUP(A78,'[1]MGM Tally'!G:I,3,FALSE)</f>
        <v>0</v>
      </c>
      <c r="D78" s="1">
        <f>VLOOKUP(A78,'[1]MGM NS'!H:I,2,FALSE)</f>
        <v>0</v>
      </c>
      <c r="E78" s="1" t="b">
        <f t="shared" si="1"/>
        <v>1</v>
      </c>
      <c r="F78" s="1"/>
    </row>
    <row r="79" spans="1:6">
      <c r="A79" s="1" t="s">
        <v>84</v>
      </c>
      <c r="B79" s="1" t="s">
        <v>7</v>
      </c>
      <c r="C79" s="1" t="str">
        <f>VLOOKUP(A79,'[1]MGM Tally'!G:I,3,FALSE)</f>
        <v>64000.00</v>
      </c>
      <c r="D79" s="1">
        <f>VLOOKUP(A79,'[1]MGM NS'!H:I,2,FALSE)</f>
        <v>-64000</v>
      </c>
      <c r="E79" s="1" t="b">
        <f t="shared" si="1"/>
        <v>1</v>
      </c>
      <c r="F79" s="1"/>
    </row>
    <row r="80" spans="1:6">
      <c r="A80" s="1" t="s">
        <v>85</v>
      </c>
      <c r="B80" s="1" t="s">
        <v>7</v>
      </c>
      <c r="C80" s="1">
        <f>VLOOKUP(A80,'[1]MGM Tally'!G:I,3,FALSE)</f>
        <v>0</v>
      </c>
      <c r="D80" s="1">
        <f>VLOOKUP(A80,'[1]MGM NS'!H:I,2,FALSE)</f>
        <v>0</v>
      </c>
      <c r="E80" s="1" t="b">
        <f t="shared" si="1"/>
        <v>1</v>
      </c>
      <c r="F80" s="1"/>
    </row>
    <row r="81" spans="1:6">
      <c r="A81" s="1" t="s">
        <v>86</v>
      </c>
      <c r="B81" s="1" t="s">
        <v>7</v>
      </c>
      <c r="C81" s="1" t="str">
        <f>VLOOKUP(A81,'[1]MGM Tally'!G:I,3,FALSE)</f>
        <v>2117000.00</v>
      </c>
      <c r="D81" s="1">
        <f>VLOOKUP(A81,'[1]MGM NS'!H:I,2,FALSE)</f>
        <v>-2117000</v>
      </c>
      <c r="E81" s="1" t="b">
        <f t="shared" si="1"/>
        <v>1</v>
      </c>
      <c r="F81" s="1"/>
    </row>
    <row r="82" spans="1:6">
      <c r="A82" s="1" t="s">
        <v>87</v>
      </c>
      <c r="B82" s="1" t="s">
        <v>7</v>
      </c>
      <c r="C82" s="1">
        <f>VLOOKUP(A82,'[1]MGM Tally'!G:I,3,FALSE)</f>
        <v>0</v>
      </c>
      <c r="D82" s="1">
        <f>VLOOKUP(A82,'[1]MGM NS'!H:I,2,FALSE)</f>
        <v>0</v>
      </c>
      <c r="E82" s="1" t="b">
        <f t="shared" si="1"/>
        <v>1</v>
      </c>
      <c r="F82" s="1"/>
    </row>
    <row r="83" spans="1:6">
      <c r="A83" s="1" t="s">
        <v>88</v>
      </c>
      <c r="B83" s="1" t="s">
        <v>7</v>
      </c>
      <c r="C83" s="1">
        <f>VLOOKUP(A83,'[1]MGM Tally'!G:I,3,FALSE)</f>
        <v>0</v>
      </c>
      <c r="D83" s="1">
        <f>VLOOKUP(A83,'[1]MGM NS'!H:I,2,FALSE)</f>
        <v>0</v>
      </c>
      <c r="E83" s="1" t="b">
        <f t="shared" si="1"/>
        <v>1</v>
      </c>
      <c r="F83" s="1"/>
    </row>
    <row r="84" spans="1:6">
      <c r="A84" s="1" t="s">
        <v>89</v>
      </c>
      <c r="B84" s="1" t="s">
        <v>7</v>
      </c>
      <c r="C84" s="1">
        <f>VLOOKUP(A84,'[1]MGM Tally'!G:I,3,FALSE)</f>
        <v>0</v>
      </c>
      <c r="D84" s="1">
        <f>VLOOKUP(A84,'[1]MGM NS'!H:I,2,FALSE)</f>
        <v>0</v>
      </c>
      <c r="E84" s="1" t="b">
        <f t="shared" si="1"/>
        <v>1</v>
      </c>
      <c r="F84" s="1"/>
    </row>
    <row r="85" spans="1:6">
      <c r="A85" s="1" t="s">
        <v>90</v>
      </c>
      <c r="B85" s="1" t="s">
        <v>7</v>
      </c>
      <c r="C85" s="1" t="str">
        <f>VLOOKUP(A85,'[1]MGM Tally'!G:I,3,FALSE)</f>
        <v>292462.00</v>
      </c>
      <c r="D85" s="1">
        <f>VLOOKUP(A85,'[1]MGM NS'!H:I,2,FALSE)</f>
        <v>-292462</v>
      </c>
      <c r="E85" s="1" t="b">
        <f t="shared" si="1"/>
        <v>1</v>
      </c>
      <c r="F85" s="1"/>
    </row>
    <row r="86" spans="1:6">
      <c r="A86" s="1" t="s">
        <v>91</v>
      </c>
      <c r="B86" s="1" t="s">
        <v>7</v>
      </c>
      <c r="C86" s="1">
        <f>VLOOKUP(A86,'[1]MGM Tally'!G:I,3,FALSE)</f>
        <v>0</v>
      </c>
      <c r="D86" s="1">
        <f>VLOOKUP(A86,'[1]MGM NS'!H:I,2,FALSE)</f>
        <v>0</v>
      </c>
      <c r="E86" s="1" t="b">
        <f t="shared" si="1"/>
        <v>1</v>
      </c>
      <c r="F86" s="1"/>
    </row>
    <row r="87" spans="1:6">
      <c r="A87" s="1" t="s">
        <v>92</v>
      </c>
      <c r="B87" s="1" t="s">
        <v>7</v>
      </c>
      <c r="C87" s="1">
        <f>VLOOKUP(A87,'[1]MGM Tally'!G:I,3,FALSE)</f>
        <v>0</v>
      </c>
      <c r="D87" s="1">
        <f>VLOOKUP(A87,'[1]MGM NS'!H:I,2,FALSE)</f>
        <v>0</v>
      </c>
      <c r="E87" s="1" t="b">
        <f t="shared" si="1"/>
        <v>1</v>
      </c>
      <c r="F87" s="1"/>
    </row>
    <row r="88" spans="1:6">
      <c r="A88" s="1" t="s">
        <v>93</v>
      </c>
      <c r="B88" s="1" t="s">
        <v>7</v>
      </c>
      <c r="C88" s="1">
        <f>VLOOKUP(A88,'[1]MGM Tally'!G:I,3,FALSE)</f>
        <v>0</v>
      </c>
      <c r="D88" s="1">
        <f>VLOOKUP(A88,'[1]MGM NS'!H:I,2,FALSE)</f>
        <v>0</v>
      </c>
      <c r="E88" s="1" t="b">
        <f t="shared" si="1"/>
        <v>1</v>
      </c>
      <c r="F88" s="1"/>
    </row>
    <row r="89" spans="1:6">
      <c r="A89" s="1" t="s">
        <v>94</v>
      </c>
      <c r="B89" s="1" t="s">
        <v>7</v>
      </c>
      <c r="C89" s="1">
        <f>VLOOKUP(A89,'[1]MGM Tally'!G:I,3,FALSE)</f>
        <v>0</v>
      </c>
      <c r="D89" s="1">
        <f>VLOOKUP(A89,'[1]MGM NS'!H:I,2,FALSE)</f>
        <v>0</v>
      </c>
      <c r="E89" s="1" t="b">
        <f t="shared" si="1"/>
        <v>1</v>
      </c>
      <c r="F89" s="1"/>
    </row>
    <row r="90" spans="1:6">
      <c r="A90" s="1" t="s">
        <v>95</v>
      </c>
      <c r="B90" s="1" t="s">
        <v>7</v>
      </c>
      <c r="C90" s="1">
        <f>VLOOKUP(A90,'[1]MGM Tally'!G:I,3,FALSE)</f>
        <v>0</v>
      </c>
      <c r="D90" s="1">
        <f>VLOOKUP(A90,'[1]MGM NS'!H:I,2,FALSE)</f>
        <v>0</v>
      </c>
      <c r="E90" s="1" t="b">
        <f t="shared" si="1"/>
        <v>1</v>
      </c>
      <c r="F90" s="1"/>
    </row>
    <row r="91" spans="1:6">
      <c r="A91" s="1" t="s">
        <v>96</v>
      </c>
      <c r="B91" s="1" t="s">
        <v>7</v>
      </c>
      <c r="C91" s="1">
        <f>VLOOKUP(A91,'[1]MGM Tally'!G:I,3,FALSE)</f>
        <v>0</v>
      </c>
      <c r="D91" s="1">
        <f>VLOOKUP(A91,'[1]MGM NS'!H:I,2,FALSE)</f>
        <v>0</v>
      </c>
      <c r="E91" s="1" t="b">
        <f t="shared" si="1"/>
        <v>1</v>
      </c>
      <c r="F91" s="1"/>
    </row>
    <row r="92" spans="1:6">
      <c r="A92" s="1" t="s">
        <v>97</v>
      </c>
      <c r="B92" s="1" t="s">
        <v>7</v>
      </c>
      <c r="C92" s="1">
        <f>VLOOKUP(A92,'[1]MGM Tally'!G:I,3,FALSE)</f>
        <v>0</v>
      </c>
      <c r="D92" s="1">
        <f>VLOOKUP(A92,'[1]MGM NS'!H:I,2,FALSE)</f>
        <v>0</v>
      </c>
      <c r="E92" s="1" t="b">
        <f t="shared" si="1"/>
        <v>1</v>
      </c>
      <c r="F92" s="1"/>
    </row>
    <row r="93" spans="1:6">
      <c r="A93" s="1" t="s">
        <v>98</v>
      </c>
      <c r="B93" s="1" t="s">
        <v>7</v>
      </c>
      <c r="C93" s="1" t="str">
        <f>VLOOKUP(A93,'[1]MGM Tally'!G:I,3,FALSE)</f>
        <v>301859.98</v>
      </c>
      <c r="D93" s="1">
        <f>VLOOKUP(A93,'[1]MGM NS'!H:I,2,FALSE)</f>
        <v>-301859.98</v>
      </c>
      <c r="E93" s="1" t="b">
        <f t="shared" si="1"/>
        <v>1</v>
      </c>
      <c r="F93" s="1"/>
    </row>
    <row r="94" spans="1:6">
      <c r="A94" s="1" t="s">
        <v>99</v>
      </c>
      <c r="B94" s="1" t="s">
        <v>7</v>
      </c>
      <c r="C94" s="1">
        <f>VLOOKUP(A94,'[1]MGM Tally'!G:I,3,FALSE)</f>
        <v>0</v>
      </c>
      <c r="D94" s="1">
        <f>VLOOKUP(A94,'[1]MGM NS'!H:I,2,FALSE)</f>
        <v>0</v>
      </c>
      <c r="E94" s="1" t="b">
        <f t="shared" si="1"/>
        <v>1</v>
      </c>
      <c r="F94" s="1"/>
    </row>
    <row r="95" spans="1:6">
      <c r="A95" s="1" t="s">
        <v>100</v>
      </c>
      <c r="B95" s="1" t="s">
        <v>7</v>
      </c>
      <c r="C95" s="1">
        <f>VLOOKUP(A95,'[1]MGM Tally'!G:I,3,FALSE)</f>
        <v>-1022599</v>
      </c>
      <c r="D95" s="1">
        <f>VLOOKUP(A95,'[1]MGM NS'!H:I,2,FALSE)</f>
        <v>1022599</v>
      </c>
      <c r="E95" s="1" t="b">
        <f t="shared" si="1"/>
        <v>1</v>
      </c>
      <c r="F95" s="1"/>
    </row>
    <row r="96" spans="1:6">
      <c r="A96" s="1" t="s">
        <v>101</v>
      </c>
      <c r="B96" s="1" t="s">
        <v>7</v>
      </c>
      <c r="C96" s="1">
        <f>VLOOKUP(A96,'[1]MGM Tally'!G:I,3,FALSE)</f>
        <v>0</v>
      </c>
      <c r="D96" s="1">
        <f>VLOOKUP(A96,'[1]MGM NS'!H:I,2,FALSE)</f>
        <v>0</v>
      </c>
      <c r="E96" s="1" t="b">
        <f t="shared" si="1"/>
        <v>1</v>
      </c>
      <c r="F96" s="1"/>
    </row>
    <row r="97" spans="1:6">
      <c r="A97" s="1" t="s">
        <v>102</v>
      </c>
      <c r="B97" s="1" t="s">
        <v>7</v>
      </c>
      <c r="C97" s="1">
        <f>VLOOKUP(A97,'[1]MGM Tally'!G:I,3,FALSE)</f>
        <v>0</v>
      </c>
      <c r="D97" s="1">
        <f>VLOOKUP(A97,'[1]MGM NS'!H:I,2,FALSE)</f>
        <v>0</v>
      </c>
      <c r="E97" s="1" t="b">
        <f t="shared" si="1"/>
        <v>1</v>
      </c>
      <c r="F97" s="1"/>
    </row>
    <row r="98" spans="1:6">
      <c r="A98" s="1" t="s">
        <v>103</v>
      </c>
      <c r="B98" s="1" t="s">
        <v>7</v>
      </c>
      <c r="C98" s="1">
        <f>VLOOKUP(A98,'[1]MGM Tally'!G:I,3,FALSE)</f>
        <v>-1077740.44</v>
      </c>
      <c r="D98" s="1">
        <f>VLOOKUP(A98,'[1]MGM NS'!H:I,2,FALSE)</f>
        <v>1077740.44</v>
      </c>
      <c r="E98" s="1" t="b">
        <f t="shared" si="1"/>
        <v>1</v>
      </c>
      <c r="F98" s="1"/>
    </row>
    <row r="99" spans="1:6">
      <c r="A99" s="1" t="s">
        <v>104</v>
      </c>
      <c r="B99" s="1" t="s">
        <v>7</v>
      </c>
      <c r="C99" s="1">
        <f>VLOOKUP(A99,'[1]MGM Tally'!G:I,3,FALSE)</f>
        <v>-115000</v>
      </c>
      <c r="D99" s="1">
        <f>VLOOKUP(A99,'[1]MGM NS'!H:I,2,FALSE)</f>
        <v>115000</v>
      </c>
      <c r="E99" s="1" t="b">
        <f t="shared" si="1"/>
        <v>1</v>
      </c>
      <c r="F99" s="1"/>
    </row>
    <row r="100" spans="1:6">
      <c r="A100" s="1" t="s">
        <v>105</v>
      </c>
      <c r="B100" s="1" t="s">
        <v>7</v>
      </c>
      <c r="C100" s="1">
        <f>VLOOKUP(A100,'[1]MGM Tally'!G:I,3,FALSE)</f>
        <v>0</v>
      </c>
      <c r="D100" s="1">
        <f>VLOOKUP(A100,'[1]MGM NS'!H:I,2,FALSE)</f>
        <v>0</v>
      </c>
      <c r="E100" s="1" t="b">
        <f t="shared" si="1"/>
        <v>1</v>
      </c>
      <c r="F100" s="1"/>
    </row>
    <row r="101" spans="1:6">
      <c r="A101" s="1" t="s">
        <v>106</v>
      </c>
      <c r="B101" s="1" t="s">
        <v>7</v>
      </c>
      <c r="C101" s="1" t="str">
        <f>VLOOKUP(A101,'[1]MGM Tally'!G:I,3,FALSE)</f>
        <v>2855245.40</v>
      </c>
      <c r="D101" s="1">
        <f>VLOOKUP(A101,'[1]MGM NS'!H:I,2,FALSE)</f>
        <v>-2855245.4</v>
      </c>
      <c r="E101" s="1" t="b">
        <f t="shared" si="1"/>
        <v>1</v>
      </c>
      <c r="F101" s="1"/>
    </row>
    <row r="102" spans="1:6">
      <c r="A102" s="1" t="s">
        <v>107</v>
      </c>
      <c r="B102" s="1" t="s">
        <v>7</v>
      </c>
      <c r="C102" s="1">
        <f>VLOOKUP(A102,'[1]MGM Tally'!G:I,3,FALSE)</f>
        <v>0</v>
      </c>
      <c r="D102" s="1">
        <f>VLOOKUP(A102,'[1]MGM NS'!H:I,2,FALSE)</f>
        <v>0</v>
      </c>
      <c r="E102" s="1" t="b">
        <f t="shared" si="1"/>
        <v>1</v>
      </c>
      <c r="F102" s="1"/>
    </row>
    <row r="103" spans="1:6">
      <c r="A103" s="1" t="s">
        <v>108</v>
      </c>
      <c r="B103" s="1" t="s">
        <v>7</v>
      </c>
      <c r="C103" s="1">
        <f>VLOOKUP(A103,'[1]MGM Tally'!G:I,3,FALSE)</f>
        <v>0</v>
      </c>
      <c r="D103" s="1">
        <f>VLOOKUP(A103,'[1]MGM NS'!H:I,2,FALSE)</f>
        <v>0</v>
      </c>
      <c r="E103" s="1" t="b">
        <f t="shared" si="1"/>
        <v>1</v>
      </c>
      <c r="F103" s="1"/>
    </row>
    <row r="104" spans="1:6">
      <c r="A104" s="1" t="s">
        <v>109</v>
      </c>
      <c r="B104" s="1" t="s">
        <v>7</v>
      </c>
      <c r="C104" s="1">
        <f>VLOOKUP(A104,'[1]MGM Tally'!G:I,3,FALSE)</f>
        <v>0</v>
      </c>
      <c r="D104" s="1">
        <f>VLOOKUP(A104,'[1]MGM NS'!H:I,2,FALSE)</f>
        <v>0</v>
      </c>
      <c r="E104" s="1" t="b">
        <f t="shared" si="1"/>
        <v>1</v>
      </c>
      <c r="F104" s="1"/>
    </row>
    <row r="105" spans="1:6">
      <c r="A105" s="1" t="s">
        <v>110</v>
      </c>
      <c r="B105" s="1" t="s">
        <v>7</v>
      </c>
      <c r="C105" s="1">
        <f>VLOOKUP(A105,'[1]MGM Tally'!G:I,3,FALSE)</f>
        <v>0</v>
      </c>
      <c r="D105" s="1">
        <f>VLOOKUP(A105,'[1]MGM NS'!H:I,2,FALSE)</f>
        <v>0</v>
      </c>
      <c r="E105" s="1" t="b">
        <f t="shared" si="1"/>
        <v>1</v>
      </c>
      <c r="F105" s="1"/>
    </row>
    <row r="106" spans="1:6">
      <c r="A106" s="1" t="s">
        <v>111</v>
      </c>
      <c r="B106" s="1" t="s">
        <v>7</v>
      </c>
      <c r="C106" s="1">
        <f>VLOOKUP(A106,'[1]MGM Tally'!G:I,3,FALSE)</f>
        <v>0</v>
      </c>
      <c r="D106" s="1">
        <f>VLOOKUP(A106,'[1]MGM NS'!H:I,2,FALSE)</f>
        <v>0</v>
      </c>
      <c r="E106" s="1" t="b">
        <f t="shared" si="1"/>
        <v>1</v>
      </c>
      <c r="F106" s="1"/>
    </row>
    <row r="107" spans="1:6">
      <c r="A107" s="1" t="s">
        <v>112</v>
      </c>
      <c r="B107" s="1" t="s">
        <v>7</v>
      </c>
      <c r="C107" s="1">
        <f>VLOOKUP(A107,'[1]MGM Tally'!G:I,3,FALSE)</f>
        <v>0</v>
      </c>
      <c r="D107" s="1">
        <f>VLOOKUP(A107,'[1]MGM NS'!H:I,2,FALSE)</f>
        <v>0</v>
      </c>
      <c r="E107" s="1" t="b">
        <f t="shared" si="1"/>
        <v>1</v>
      </c>
      <c r="F107" s="1"/>
    </row>
    <row r="108" spans="1:6">
      <c r="A108" s="1" t="s">
        <v>113</v>
      </c>
      <c r="B108" s="1" t="s">
        <v>7</v>
      </c>
      <c r="C108" s="1">
        <f>VLOOKUP(A108,'[1]MGM Tally'!G:I,3,FALSE)</f>
        <v>0</v>
      </c>
      <c r="D108" s="1">
        <f>VLOOKUP(A108,'[1]MGM NS'!H:I,2,FALSE)</f>
        <v>0</v>
      </c>
      <c r="E108" s="1" t="b">
        <f t="shared" si="1"/>
        <v>1</v>
      </c>
      <c r="F108" s="1"/>
    </row>
    <row r="109" spans="1:6">
      <c r="A109" s="1" t="s">
        <v>114</v>
      </c>
      <c r="B109" s="1" t="s">
        <v>7</v>
      </c>
      <c r="C109" s="1">
        <f>VLOOKUP(A109,'[1]MGM Tally'!G:I,3,FALSE)</f>
        <v>0</v>
      </c>
      <c r="D109" s="1">
        <f>VLOOKUP(A109,'[1]MGM NS'!H:I,2,FALSE)</f>
        <v>0</v>
      </c>
      <c r="E109" s="1" t="b">
        <f t="shared" si="1"/>
        <v>1</v>
      </c>
      <c r="F109" s="1"/>
    </row>
    <row r="110" spans="1:6">
      <c r="A110" s="1" t="s">
        <v>115</v>
      </c>
      <c r="B110" s="1" t="s">
        <v>7</v>
      </c>
      <c r="C110" s="1">
        <f>VLOOKUP(A110,'[1]MGM Tally'!G:I,3,FALSE)</f>
        <v>0</v>
      </c>
      <c r="D110" s="1">
        <f>VLOOKUP(A110,'[1]MGM NS'!H:I,2,FALSE)</f>
        <v>0</v>
      </c>
      <c r="E110" s="1" t="b">
        <f t="shared" si="1"/>
        <v>1</v>
      </c>
      <c r="F110" s="1"/>
    </row>
    <row r="111" spans="1:6">
      <c r="A111" s="1" t="s">
        <v>116</v>
      </c>
      <c r="B111" s="1" t="s">
        <v>7</v>
      </c>
      <c r="C111" s="1">
        <f>VLOOKUP(A111,'[1]MGM Tally'!G:I,3,FALSE)</f>
        <v>0</v>
      </c>
      <c r="D111" s="1">
        <f>VLOOKUP(A111,'[1]MGM NS'!H:I,2,FALSE)</f>
        <v>0</v>
      </c>
      <c r="E111" s="1" t="b">
        <f t="shared" si="1"/>
        <v>1</v>
      </c>
      <c r="F111" s="1"/>
    </row>
    <row r="112" spans="1:6">
      <c r="A112" s="1" t="s">
        <v>117</v>
      </c>
      <c r="B112" s="1" t="s">
        <v>7</v>
      </c>
      <c r="C112" s="1">
        <f>VLOOKUP(A112,'[1]MGM Tally'!G:I,3,FALSE)</f>
        <v>-33583</v>
      </c>
      <c r="D112" s="1">
        <f>VLOOKUP(A112,'[1]MGM NS'!H:I,2,FALSE)</f>
        <v>33583</v>
      </c>
      <c r="E112" s="1" t="b">
        <f t="shared" si="1"/>
        <v>1</v>
      </c>
      <c r="F112" s="1"/>
    </row>
    <row r="113" spans="1:6">
      <c r="A113" s="1" t="s">
        <v>118</v>
      </c>
      <c r="B113" s="1" t="s">
        <v>7</v>
      </c>
      <c r="C113" s="1">
        <f>VLOOKUP(A113,'[1]MGM Tally'!G:I,3,FALSE)</f>
        <v>0</v>
      </c>
      <c r="D113" s="1">
        <f>VLOOKUP(A113,'[1]MGM NS'!H:I,2,FALSE)</f>
        <v>0</v>
      </c>
      <c r="E113" s="1" t="b">
        <f t="shared" si="1"/>
        <v>1</v>
      </c>
      <c r="F113" s="1"/>
    </row>
    <row r="114" spans="1:6">
      <c r="A114" s="1" t="s">
        <v>119</v>
      </c>
      <c r="B114" s="1" t="s">
        <v>7</v>
      </c>
      <c r="C114" s="1">
        <f>VLOOKUP(A114,'[1]MGM Tally'!G:I,3,FALSE)</f>
        <v>-1014046</v>
      </c>
      <c r="D114" s="1">
        <f>VLOOKUP(A114,'[1]MGM NS'!H:I,2,FALSE)</f>
        <v>1014046</v>
      </c>
      <c r="E114" s="1" t="b">
        <f t="shared" si="1"/>
        <v>1</v>
      </c>
      <c r="F114" s="1"/>
    </row>
    <row r="115" spans="1:6">
      <c r="A115" s="1" t="s">
        <v>120</v>
      </c>
      <c r="B115" s="1" t="s">
        <v>7</v>
      </c>
      <c r="C115" s="1">
        <f>VLOOKUP(A115,'[1]MGM Tally'!G:I,3,FALSE)</f>
        <v>-71500</v>
      </c>
      <c r="D115" s="1">
        <f>VLOOKUP(A115,'[1]MGM NS'!H:I,2,FALSE)</f>
        <v>71500</v>
      </c>
      <c r="E115" s="1" t="b">
        <f t="shared" si="1"/>
        <v>1</v>
      </c>
      <c r="F115" s="1"/>
    </row>
    <row r="116" spans="1:6">
      <c r="A116" s="1" t="s">
        <v>121</v>
      </c>
      <c r="B116" s="1" t="s">
        <v>7</v>
      </c>
      <c r="C116" s="1">
        <f>VLOOKUP(A116,'[1]MGM Tally'!G:I,3,FALSE)</f>
        <v>-179520</v>
      </c>
      <c r="D116" s="1">
        <f>VLOOKUP(A116,'[1]MGM NS'!H:I,2,FALSE)</f>
        <v>179520</v>
      </c>
      <c r="E116" s="1" t="b">
        <f t="shared" si="1"/>
        <v>1</v>
      </c>
      <c r="F116" s="1"/>
    </row>
    <row r="117" spans="1:6">
      <c r="A117" s="1" t="s">
        <v>122</v>
      </c>
      <c r="B117" s="1" t="s">
        <v>7</v>
      </c>
      <c r="C117" s="1">
        <f>VLOOKUP(A117,'[1]MGM Tally'!G:I,3,FALSE)</f>
        <v>-80014</v>
      </c>
      <c r="D117" s="1">
        <f>VLOOKUP(A117,'[1]MGM NS'!H:I,2,FALSE)</f>
        <v>80014</v>
      </c>
      <c r="E117" s="1" t="b">
        <f t="shared" si="1"/>
        <v>1</v>
      </c>
      <c r="F117" s="1"/>
    </row>
    <row r="118" spans="1:6">
      <c r="A118" s="1" t="s">
        <v>123</v>
      </c>
      <c r="B118" s="1" t="s">
        <v>7</v>
      </c>
      <c r="C118" s="1">
        <f>VLOOKUP(A118,'[1]MGM Tally'!G:I,3,FALSE)</f>
        <v>-437059</v>
      </c>
      <c r="D118" s="1">
        <f>VLOOKUP(A118,'[1]MGM NS'!H:I,2,FALSE)</f>
        <v>437059</v>
      </c>
      <c r="E118" s="1" t="b">
        <f t="shared" si="1"/>
        <v>1</v>
      </c>
      <c r="F118" s="1"/>
    </row>
    <row r="119" spans="1:6">
      <c r="A119" s="1" t="s">
        <v>124</v>
      </c>
      <c r="B119" s="1" t="s">
        <v>7</v>
      </c>
      <c r="C119" s="1">
        <f>VLOOKUP(A119,'[1]MGM Tally'!G:I,3,FALSE)</f>
        <v>-10010</v>
      </c>
      <c r="D119" s="1">
        <f>VLOOKUP(A119,'[1]MGM NS'!H:I,2,FALSE)</f>
        <v>10010</v>
      </c>
      <c r="E119" s="1" t="b">
        <f t="shared" si="1"/>
        <v>1</v>
      </c>
      <c r="F119" s="1"/>
    </row>
    <row r="120" spans="1:6">
      <c r="A120" s="1" t="s">
        <v>125</v>
      </c>
      <c r="B120" s="1" t="s">
        <v>7</v>
      </c>
      <c r="C120" s="1">
        <f>VLOOKUP(A120,'[1]MGM Tally'!G:I,3,FALSE)</f>
        <v>-209293</v>
      </c>
      <c r="D120" s="1">
        <f>VLOOKUP(A120,'[1]MGM NS'!H:I,2,FALSE)</f>
        <v>209293</v>
      </c>
      <c r="E120" s="1" t="b">
        <f t="shared" si="1"/>
        <v>1</v>
      </c>
      <c r="F120" s="1"/>
    </row>
    <row r="121" spans="1:6">
      <c r="A121" s="1" t="s">
        <v>126</v>
      </c>
      <c r="B121" s="1" t="s">
        <v>7</v>
      </c>
      <c r="C121" s="1">
        <f>VLOOKUP(A121,'[1]MGM Tally'!G:I,3,FALSE)</f>
        <v>-178178</v>
      </c>
      <c r="D121" s="1">
        <f>VLOOKUP(A121,'[1]MGM NS'!H:I,2,FALSE)</f>
        <v>178178</v>
      </c>
      <c r="E121" s="1" t="b">
        <f t="shared" si="1"/>
        <v>1</v>
      </c>
      <c r="F121" s="1"/>
    </row>
    <row r="122" spans="1:6">
      <c r="A122" s="1" t="s">
        <v>127</v>
      </c>
      <c r="B122" s="1" t="s">
        <v>7</v>
      </c>
      <c r="C122" s="1">
        <f>VLOOKUP(A122,'[1]MGM Tally'!G:I,3,FALSE)</f>
        <v>-1804616</v>
      </c>
      <c r="D122" s="1">
        <f>VLOOKUP(A122,'[1]MGM NS'!H:I,2,FALSE)</f>
        <v>1804616</v>
      </c>
      <c r="E122" s="1" t="b">
        <f t="shared" si="1"/>
        <v>1</v>
      </c>
      <c r="F122" s="1"/>
    </row>
    <row r="123" spans="1:6">
      <c r="A123" s="1" t="s">
        <v>128</v>
      </c>
      <c r="B123" s="1" t="s">
        <v>7</v>
      </c>
      <c r="C123" s="1" t="str">
        <f>VLOOKUP(A123,'[1]MGM Tally'!G:I,3,FALSE)</f>
        <v>660000.00</v>
      </c>
      <c r="D123" s="1">
        <f>VLOOKUP(A123,'[1]MGM NS'!H:I,2,FALSE)</f>
        <v>-660000</v>
      </c>
      <c r="E123" s="1" t="b">
        <f t="shared" si="1"/>
        <v>1</v>
      </c>
      <c r="F123" s="1"/>
    </row>
    <row r="124" spans="1:6">
      <c r="A124" s="1" t="s">
        <v>129</v>
      </c>
      <c r="B124" s="1" t="s">
        <v>7</v>
      </c>
      <c r="C124" s="1" t="str">
        <f>VLOOKUP(A124,'[1]MGM Tally'!G:I,3,FALSE)</f>
        <v>1809610.00</v>
      </c>
      <c r="D124" s="1">
        <f>VLOOKUP(A124,'[1]MGM NS'!H:I,2,FALSE)</f>
        <v>-1809610</v>
      </c>
      <c r="E124" s="1" t="b">
        <f t="shared" si="1"/>
        <v>1</v>
      </c>
      <c r="F124" s="1"/>
    </row>
    <row r="125" spans="1:6">
      <c r="A125" s="1" t="s">
        <v>130</v>
      </c>
      <c r="B125" s="1" t="s">
        <v>7</v>
      </c>
      <c r="C125" s="1">
        <f>VLOOKUP(A125,'[1]MGM Tally'!G:I,3,FALSE)</f>
        <v>0</v>
      </c>
      <c r="D125" s="1">
        <f>VLOOKUP(A125,'[1]MGM NS'!H:I,2,FALSE)</f>
        <v>0</v>
      </c>
      <c r="E125" s="1" t="b">
        <f t="shared" si="1"/>
        <v>1</v>
      </c>
      <c r="F125" s="1"/>
    </row>
    <row r="126" spans="1:6">
      <c r="A126" s="1" t="s">
        <v>131</v>
      </c>
      <c r="B126" s="1" t="s">
        <v>7</v>
      </c>
      <c r="C126" s="1">
        <f>VLOOKUP(A126,'[1]MGM Tally'!G:I,3,FALSE)</f>
        <v>0</v>
      </c>
      <c r="D126" s="1">
        <f>VLOOKUP(A126,'[1]MGM NS'!H:I,2,FALSE)</f>
        <v>0</v>
      </c>
      <c r="E126" s="1" t="b">
        <f t="shared" si="1"/>
        <v>1</v>
      </c>
      <c r="F126" s="1"/>
    </row>
    <row r="127" spans="1:6">
      <c r="A127" s="1" t="s">
        <v>132</v>
      </c>
      <c r="B127" s="1" t="s">
        <v>7</v>
      </c>
      <c r="C127" s="1" t="str">
        <f>VLOOKUP(A127,'[1]MGM Tally'!G:I,3,FALSE)</f>
        <v>3011623.20</v>
      </c>
      <c r="D127" s="1">
        <f>VLOOKUP(A127,'[1]MGM NS'!H:I,2,FALSE)</f>
        <v>-3011623.2</v>
      </c>
      <c r="E127" s="1" t="b">
        <f t="shared" si="1"/>
        <v>1</v>
      </c>
      <c r="F127" s="1"/>
    </row>
    <row r="128" spans="1:6">
      <c r="A128" s="1" t="s">
        <v>133</v>
      </c>
      <c r="B128" s="1" t="s">
        <v>7</v>
      </c>
      <c r="C128" s="1" t="str">
        <f>VLOOKUP(A128,'[1]MGM Tally'!G:I,3,FALSE)</f>
        <v>3554369.50</v>
      </c>
      <c r="D128" s="1">
        <f>VLOOKUP(A128,'[1]MGM NS'!H:I,2,FALSE)</f>
        <v>-3554369.5</v>
      </c>
      <c r="E128" s="1" t="b">
        <f t="shared" si="1"/>
        <v>1</v>
      </c>
      <c r="F128" s="1"/>
    </row>
    <row r="129" spans="1:6">
      <c r="A129" s="1" t="s">
        <v>134</v>
      </c>
      <c r="B129" s="1" t="s">
        <v>7</v>
      </c>
      <c r="C129" s="1">
        <f>VLOOKUP(A129,'[1]MGM Tally'!G:I,3,FALSE)</f>
        <v>0</v>
      </c>
      <c r="D129" s="1">
        <f>VLOOKUP(A129,'[1]MGM NS'!H:I,2,FALSE)</f>
        <v>0</v>
      </c>
      <c r="E129" s="1" t="b">
        <f t="shared" si="1"/>
        <v>1</v>
      </c>
      <c r="F129" s="1"/>
    </row>
    <row r="130" spans="1:6">
      <c r="A130" s="1" t="s">
        <v>135</v>
      </c>
      <c r="B130" s="1" t="s">
        <v>7</v>
      </c>
      <c r="C130" s="1">
        <f>VLOOKUP(A130,'[1]MGM Tally'!G:I,3,FALSE)</f>
        <v>-440000</v>
      </c>
      <c r="D130" s="1">
        <f>VLOOKUP(A130,'[1]MGM NS'!H:I,2,FALSE)</f>
        <v>440000</v>
      </c>
      <c r="E130" s="1" t="b">
        <f t="shared" ref="E130:E193" si="2">IF(ABS(C130)=ABS(D130),TRUE,FALSE)</f>
        <v>1</v>
      </c>
      <c r="F130" s="1"/>
    </row>
    <row r="131" spans="1:6">
      <c r="A131" s="1" t="s">
        <v>136</v>
      </c>
      <c r="B131" s="1" t="s">
        <v>7</v>
      </c>
      <c r="C131" s="1">
        <f>VLOOKUP(A131,'[1]MGM Tally'!G:I,3,FALSE)</f>
        <v>0</v>
      </c>
      <c r="D131" s="1">
        <f>VLOOKUP(A131,'[1]MGM NS'!H:I,2,FALSE)</f>
        <v>0</v>
      </c>
      <c r="E131" s="1" t="b">
        <f t="shared" si="2"/>
        <v>1</v>
      </c>
      <c r="F131" s="1"/>
    </row>
    <row r="132" spans="1:6">
      <c r="A132" s="1" t="s">
        <v>137</v>
      </c>
      <c r="B132" s="1" t="s">
        <v>7</v>
      </c>
      <c r="C132" s="1" t="str">
        <f>VLOOKUP(A132,'[1]MGM Tally'!G:I,3,FALSE)</f>
        <v>175142.00</v>
      </c>
      <c r="D132" s="1">
        <f>VLOOKUP(A132,'[1]MGM NS'!H:I,2,FALSE)</f>
        <v>-175142</v>
      </c>
      <c r="E132" s="1" t="b">
        <f t="shared" si="2"/>
        <v>1</v>
      </c>
      <c r="F132" s="1"/>
    </row>
    <row r="133" spans="1:6">
      <c r="A133" s="1" t="s">
        <v>138</v>
      </c>
      <c r="B133" s="1" t="s">
        <v>7</v>
      </c>
      <c r="C133" s="1">
        <f>VLOOKUP(A133,'[1]MGM Tally'!G:I,3,FALSE)</f>
        <v>-97440</v>
      </c>
      <c r="D133" s="1">
        <f>VLOOKUP(A133,'[1]MGM NS'!H:I,2,FALSE)</f>
        <v>97440</v>
      </c>
      <c r="E133" s="1" t="b">
        <f t="shared" si="2"/>
        <v>1</v>
      </c>
      <c r="F133" s="1"/>
    </row>
    <row r="134" spans="1:6">
      <c r="A134" s="1" t="s">
        <v>139</v>
      </c>
      <c r="B134" s="1" t="s">
        <v>7</v>
      </c>
      <c r="C134" s="1">
        <f>VLOOKUP(A134,'[1]MGM Tally'!G:I,3,FALSE)</f>
        <v>0</v>
      </c>
      <c r="D134" s="1">
        <f>VLOOKUP(A134,'[1]MGM NS'!H:I,2,FALSE)</f>
        <v>0</v>
      </c>
      <c r="E134" s="1" t="b">
        <f t="shared" si="2"/>
        <v>1</v>
      </c>
      <c r="F134" s="1"/>
    </row>
    <row r="135" spans="1:6">
      <c r="A135" s="1" t="s">
        <v>140</v>
      </c>
      <c r="B135" s="1" t="s">
        <v>7</v>
      </c>
      <c r="C135" s="1">
        <f>VLOOKUP(A135,'[1]MGM Tally'!G:I,3,FALSE)</f>
        <v>-1263051.28</v>
      </c>
      <c r="D135" s="1">
        <f>VLOOKUP(A135,'[1]MGM NS'!H:I,2,FALSE)</f>
        <v>1263051.28</v>
      </c>
      <c r="E135" s="1" t="b">
        <f t="shared" si="2"/>
        <v>1</v>
      </c>
      <c r="F135" s="1"/>
    </row>
    <row r="136" spans="1:6">
      <c r="A136" s="1" t="s">
        <v>141</v>
      </c>
      <c r="B136" s="1" t="s">
        <v>7</v>
      </c>
      <c r="C136" s="1">
        <f>VLOOKUP(A136,'[1]MGM Tally'!G:I,3,FALSE)</f>
        <v>0</v>
      </c>
      <c r="D136" s="1">
        <f>VLOOKUP(A136,'[1]MGM NS'!H:I,2,FALSE)</f>
        <v>0</v>
      </c>
      <c r="E136" s="1" t="b">
        <f t="shared" si="2"/>
        <v>1</v>
      </c>
      <c r="F136" s="1"/>
    </row>
    <row r="137" spans="1:6">
      <c r="A137" s="1" t="s">
        <v>142</v>
      </c>
      <c r="B137" s="1" t="s">
        <v>7</v>
      </c>
      <c r="C137" s="1">
        <f>VLOOKUP(A137,'[1]MGM Tally'!G:I,3,FALSE)</f>
        <v>0</v>
      </c>
      <c r="D137" s="1">
        <f>VLOOKUP(A137,'[1]MGM NS'!H:I,2,FALSE)</f>
        <v>0</v>
      </c>
      <c r="E137" s="1" t="b">
        <f t="shared" si="2"/>
        <v>1</v>
      </c>
      <c r="F137" s="1"/>
    </row>
    <row r="138" spans="1:6">
      <c r="A138" s="1" t="s">
        <v>143</v>
      </c>
      <c r="B138" s="1" t="s">
        <v>7</v>
      </c>
      <c r="C138" s="1">
        <f>VLOOKUP(A138,'[1]MGM Tally'!G:I,3,FALSE)</f>
        <v>0</v>
      </c>
      <c r="D138" s="1">
        <f>VLOOKUP(A138,'[1]MGM NS'!H:I,2,FALSE)</f>
        <v>0</v>
      </c>
      <c r="E138" s="1" t="b">
        <f t="shared" si="2"/>
        <v>1</v>
      </c>
      <c r="F138" s="1"/>
    </row>
    <row r="139" spans="1:6">
      <c r="A139" s="1" t="s">
        <v>144</v>
      </c>
      <c r="B139" s="1" t="s">
        <v>7</v>
      </c>
      <c r="C139" s="1">
        <f>VLOOKUP(A139,'[1]MGM Tally'!G:I,3,FALSE)</f>
        <v>0</v>
      </c>
      <c r="D139" s="1">
        <f>VLOOKUP(A139,'[1]MGM NS'!H:I,2,FALSE)</f>
        <v>0</v>
      </c>
      <c r="E139" s="1" t="b">
        <f t="shared" si="2"/>
        <v>1</v>
      </c>
      <c r="F139" s="1"/>
    </row>
    <row r="140" spans="1:6">
      <c r="A140" s="1" t="s">
        <v>145</v>
      </c>
      <c r="B140" s="1" t="s">
        <v>7</v>
      </c>
      <c r="C140" s="1">
        <f>VLOOKUP(A140,'[1]MGM Tally'!G:I,3,FALSE)</f>
        <v>-30800</v>
      </c>
      <c r="D140" s="1">
        <f>VLOOKUP(A140,'[1]MGM NS'!H:I,2,FALSE)</f>
        <v>30800</v>
      </c>
      <c r="E140" s="1" t="b">
        <f t="shared" si="2"/>
        <v>1</v>
      </c>
      <c r="F140" s="1"/>
    </row>
    <row r="141" spans="1:6">
      <c r="A141" s="1" t="s">
        <v>146</v>
      </c>
      <c r="B141" s="1" t="s">
        <v>7</v>
      </c>
      <c r="C141" s="1">
        <f>VLOOKUP(A141,'[1]MGM Tally'!G:I,3,FALSE)</f>
        <v>0</v>
      </c>
      <c r="D141" s="1">
        <f>VLOOKUP(A141,'[1]MGM NS'!H:I,2,FALSE)</f>
        <v>0</v>
      </c>
      <c r="E141" s="1" t="b">
        <f t="shared" si="2"/>
        <v>1</v>
      </c>
      <c r="F141" s="1"/>
    </row>
    <row r="142" spans="1:6">
      <c r="A142" s="1" t="s">
        <v>147</v>
      </c>
      <c r="B142" s="1" t="s">
        <v>7</v>
      </c>
      <c r="C142" s="1">
        <f>VLOOKUP(A142,'[1]MGM Tally'!G:I,3,FALSE)</f>
        <v>0</v>
      </c>
      <c r="D142" s="1">
        <f>VLOOKUP(A142,'[1]MGM NS'!H:I,2,FALSE)</f>
        <v>0</v>
      </c>
      <c r="E142" s="1" t="b">
        <f t="shared" si="2"/>
        <v>1</v>
      </c>
      <c r="F142" s="1"/>
    </row>
    <row r="143" spans="1:6">
      <c r="A143" s="1" t="s">
        <v>148</v>
      </c>
      <c r="B143" s="1" t="s">
        <v>7</v>
      </c>
      <c r="C143" s="1">
        <f>VLOOKUP(A143,'[1]MGM Tally'!G:I,3,FALSE)</f>
        <v>0</v>
      </c>
      <c r="D143" s="1">
        <f>VLOOKUP(A143,'[1]MGM NS'!H:I,2,FALSE)</f>
        <v>0</v>
      </c>
      <c r="E143" s="1" t="b">
        <f t="shared" si="2"/>
        <v>1</v>
      </c>
      <c r="F143" s="1"/>
    </row>
    <row r="144" spans="1:6">
      <c r="A144" s="1" t="s">
        <v>149</v>
      </c>
      <c r="B144" s="1" t="s">
        <v>7</v>
      </c>
      <c r="C144" s="1">
        <f>VLOOKUP(A144,'[1]MGM Tally'!G:I,3,FALSE)</f>
        <v>-703084</v>
      </c>
      <c r="D144" s="1">
        <f>VLOOKUP(A144,'[1]MGM NS'!H:I,2,FALSE)</f>
        <v>703084</v>
      </c>
      <c r="E144" s="1" t="b">
        <f t="shared" si="2"/>
        <v>1</v>
      </c>
      <c r="F144" s="1"/>
    </row>
    <row r="145" spans="1:6">
      <c r="A145" s="1" t="s">
        <v>150</v>
      </c>
      <c r="B145" s="1" t="s">
        <v>7</v>
      </c>
      <c r="C145" s="1">
        <f>VLOOKUP(A145,'[1]MGM Tally'!G:I,3,FALSE)</f>
        <v>0</v>
      </c>
      <c r="D145" s="1">
        <f>VLOOKUP(A145,'[1]MGM NS'!H:I,2,FALSE)</f>
        <v>0</v>
      </c>
      <c r="E145" s="1" t="b">
        <f t="shared" si="2"/>
        <v>1</v>
      </c>
      <c r="F145" s="1"/>
    </row>
    <row r="146" spans="1:6">
      <c r="A146" s="1" t="s">
        <v>151</v>
      </c>
      <c r="B146" s="1" t="s">
        <v>7</v>
      </c>
      <c r="C146" s="1" t="str">
        <f>VLOOKUP(A146,'[1]MGM Tally'!G:I,3,FALSE)</f>
        <v>339093.00</v>
      </c>
      <c r="D146" s="1">
        <f>VLOOKUP(A146,'[1]MGM NS'!H:I,2,FALSE)</f>
        <v>-339093</v>
      </c>
      <c r="E146" s="1" t="b">
        <f t="shared" si="2"/>
        <v>1</v>
      </c>
      <c r="F146" s="1"/>
    </row>
    <row r="147" spans="1:6">
      <c r="A147" s="1" t="s">
        <v>152</v>
      </c>
      <c r="B147" s="1" t="s">
        <v>7</v>
      </c>
      <c r="C147" s="1">
        <f>VLOOKUP(A147,'[1]MGM Tally'!G:I,3,FALSE)</f>
        <v>0</v>
      </c>
      <c r="D147" s="1">
        <f>VLOOKUP(A147,'[1]MGM NS'!H:I,2,FALSE)</f>
        <v>0</v>
      </c>
      <c r="E147" s="1" t="b">
        <f t="shared" si="2"/>
        <v>1</v>
      </c>
      <c r="F147" s="1"/>
    </row>
    <row r="148" spans="1:6">
      <c r="A148" s="1" t="s">
        <v>153</v>
      </c>
      <c r="B148" s="1" t="s">
        <v>7</v>
      </c>
      <c r="C148" s="1">
        <f>VLOOKUP(A148,'[1]MGM Tally'!G:I,3,FALSE)</f>
        <v>-2000000</v>
      </c>
      <c r="D148" s="1">
        <f>VLOOKUP(A148,'[1]MGM NS'!H:I,2,FALSE)</f>
        <v>2000000</v>
      </c>
      <c r="E148" s="1" t="b">
        <f t="shared" si="2"/>
        <v>1</v>
      </c>
      <c r="F148" s="1"/>
    </row>
    <row r="149" spans="1:6">
      <c r="A149" s="1" t="s">
        <v>154</v>
      </c>
      <c r="B149" s="1" t="s">
        <v>7</v>
      </c>
      <c r="C149" s="1">
        <f>VLOOKUP(A149,'[1]MGM Tally'!G:I,3,FALSE)</f>
        <v>0</v>
      </c>
      <c r="D149" s="1">
        <f>VLOOKUP(A149,'[1]MGM NS'!H:I,2,FALSE)</f>
        <v>0</v>
      </c>
      <c r="E149" s="1" t="b">
        <f t="shared" si="2"/>
        <v>1</v>
      </c>
      <c r="F149" s="1"/>
    </row>
    <row r="150" spans="1:6">
      <c r="A150" s="1" t="s">
        <v>155</v>
      </c>
      <c r="B150" s="1" t="s">
        <v>7</v>
      </c>
      <c r="C150" s="1" t="str">
        <f>VLOOKUP(A150,'[1]MGM Tally'!G:I,3,FALSE)</f>
        <v>317178.00</v>
      </c>
      <c r="D150" s="1">
        <f>VLOOKUP(A150,'[1]MGM NS'!H:I,2,FALSE)</f>
        <v>-317178</v>
      </c>
      <c r="E150" s="1" t="b">
        <f t="shared" si="2"/>
        <v>1</v>
      </c>
      <c r="F150" s="1"/>
    </row>
    <row r="151" spans="1:6">
      <c r="A151" s="1" t="s">
        <v>156</v>
      </c>
      <c r="B151" s="1" t="s">
        <v>7</v>
      </c>
      <c r="C151" s="1">
        <f>VLOOKUP(A151,'[1]MGM Tally'!G:I,3,FALSE)</f>
        <v>0</v>
      </c>
      <c r="D151" s="1">
        <f>VLOOKUP(A151,'[1]MGM NS'!H:I,2,FALSE)</f>
        <v>0</v>
      </c>
      <c r="E151" s="1" t="b">
        <f t="shared" si="2"/>
        <v>1</v>
      </c>
      <c r="F151" s="1"/>
    </row>
    <row r="152" spans="1:6">
      <c r="A152" s="1" t="s">
        <v>157</v>
      </c>
      <c r="B152" s="1" t="s">
        <v>7</v>
      </c>
      <c r="C152" s="1">
        <f>VLOOKUP(A152,'[1]MGM Tally'!G:I,3,FALSE)</f>
        <v>-451386</v>
      </c>
      <c r="D152" s="1">
        <f>VLOOKUP(A152,'[1]MGM NS'!H:I,2,FALSE)</f>
        <v>451386</v>
      </c>
      <c r="E152" s="1" t="b">
        <f t="shared" si="2"/>
        <v>1</v>
      </c>
      <c r="F152" s="1"/>
    </row>
    <row r="153" spans="1:6">
      <c r="A153" s="1" t="s">
        <v>158</v>
      </c>
      <c r="B153" s="1" t="s">
        <v>7</v>
      </c>
      <c r="C153" s="1">
        <f>VLOOKUP(A153,'[1]MGM Tally'!G:I,3,FALSE)</f>
        <v>-4949340</v>
      </c>
      <c r="D153" s="1">
        <f>VLOOKUP(A153,'[1]MGM NS'!H:I,2,FALSE)</f>
        <v>4949340</v>
      </c>
      <c r="E153" s="1" t="b">
        <f t="shared" si="2"/>
        <v>1</v>
      </c>
      <c r="F153" s="1"/>
    </row>
    <row r="154" spans="1:6">
      <c r="A154" s="1" t="s">
        <v>159</v>
      </c>
      <c r="B154" s="1" t="s">
        <v>7</v>
      </c>
      <c r="C154" s="1">
        <f>VLOOKUP(A154,'[1]MGM Tally'!G:I,3,FALSE)</f>
        <v>-535700</v>
      </c>
      <c r="D154" s="1">
        <f>VLOOKUP(A154,'[1]MGM NS'!H:I,2,FALSE)</f>
        <v>535700</v>
      </c>
      <c r="E154" s="1" t="b">
        <f t="shared" si="2"/>
        <v>1</v>
      </c>
      <c r="F154" s="1"/>
    </row>
    <row r="155" spans="1:6">
      <c r="A155" s="1" t="s">
        <v>160</v>
      </c>
      <c r="B155" s="1" t="s">
        <v>7</v>
      </c>
      <c r="C155" s="1">
        <f>VLOOKUP(A155,'[1]MGM Tally'!G:I,3,FALSE)</f>
        <v>-1784284</v>
      </c>
      <c r="D155" s="1">
        <f>VLOOKUP(A155,'[1]MGM NS'!H:I,2,FALSE)</f>
        <v>1784284</v>
      </c>
      <c r="E155" s="1" t="b">
        <f t="shared" si="2"/>
        <v>1</v>
      </c>
      <c r="F155" s="1"/>
    </row>
    <row r="156" spans="1:6">
      <c r="A156" s="1" t="s">
        <v>161</v>
      </c>
      <c r="B156" s="1" t="s">
        <v>7</v>
      </c>
      <c r="C156" s="1">
        <f>VLOOKUP(A156,'[1]MGM Tally'!G:I,3,FALSE)</f>
        <v>0</v>
      </c>
      <c r="D156" s="1">
        <f>VLOOKUP(A156,'[1]MGM NS'!H:I,2,FALSE)</f>
        <v>0</v>
      </c>
      <c r="E156" s="1" t="b">
        <f t="shared" si="2"/>
        <v>1</v>
      </c>
      <c r="F156" s="1"/>
    </row>
    <row r="157" spans="1:6">
      <c r="A157" s="1" t="s">
        <v>162</v>
      </c>
      <c r="B157" s="1" t="s">
        <v>7</v>
      </c>
      <c r="C157" s="1">
        <f>VLOOKUP(A157,'[1]MGM Tally'!G:I,3,FALSE)</f>
        <v>0</v>
      </c>
      <c r="D157" s="1">
        <f>VLOOKUP(A157,'[1]MGM NS'!H:I,2,FALSE)</f>
        <v>0</v>
      </c>
      <c r="E157" s="1" t="b">
        <f t="shared" si="2"/>
        <v>1</v>
      </c>
      <c r="F157" s="1"/>
    </row>
    <row r="158" spans="1:6">
      <c r="A158" s="1" t="s">
        <v>163</v>
      </c>
      <c r="B158" s="1" t="s">
        <v>7</v>
      </c>
      <c r="C158" s="1">
        <f>VLOOKUP(A158,'[1]MGM Tally'!G:I,3,FALSE)</f>
        <v>0</v>
      </c>
      <c r="D158" s="1">
        <f>VLOOKUP(A158,'[1]MGM NS'!H:I,2,FALSE)</f>
        <v>0</v>
      </c>
      <c r="E158" s="1" t="b">
        <f t="shared" si="2"/>
        <v>1</v>
      </c>
      <c r="F158" s="1"/>
    </row>
    <row r="159" spans="1:6">
      <c r="A159" s="1" t="s">
        <v>164</v>
      </c>
      <c r="B159" s="1" t="s">
        <v>7</v>
      </c>
      <c r="C159" s="1" t="str">
        <f>VLOOKUP(A159,'[1]MGM Tally'!G:I,3,FALSE)</f>
        <v>1668425.00</v>
      </c>
      <c r="D159" s="1">
        <f>VLOOKUP(A159,'[1]MGM NS'!H:I,2,FALSE)</f>
        <v>-1668425</v>
      </c>
      <c r="E159" s="1" t="b">
        <f t="shared" si="2"/>
        <v>1</v>
      </c>
      <c r="F159" s="1"/>
    </row>
    <row r="160" spans="1:6">
      <c r="A160" s="1" t="s">
        <v>165</v>
      </c>
      <c r="B160" s="1" t="s">
        <v>7</v>
      </c>
      <c r="C160" s="1" t="str">
        <f>VLOOKUP(A160,'[1]MGM Tally'!G:I,3,FALSE)</f>
        <v>3600229.60</v>
      </c>
      <c r="D160" s="1">
        <f>VLOOKUP(A160,'[1]MGM NS'!H:I,2,FALSE)</f>
        <v>-3600229.6</v>
      </c>
      <c r="E160" s="1" t="b">
        <f t="shared" si="2"/>
        <v>1</v>
      </c>
      <c r="F160" s="1"/>
    </row>
    <row r="161" spans="1:6">
      <c r="A161" s="1" t="s">
        <v>166</v>
      </c>
      <c r="B161" s="1" t="s">
        <v>7</v>
      </c>
      <c r="C161" s="1" t="str">
        <f>VLOOKUP(A161,'[1]MGM Tally'!G:I,3,FALSE)</f>
        <v>656271.00</v>
      </c>
      <c r="D161" s="1">
        <f>VLOOKUP(A161,'[1]MGM NS'!H:I,2,FALSE)</f>
        <v>-656271</v>
      </c>
      <c r="E161" s="1" t="b">
        <f t="shared" si="2"/>
        <v>1</v>
      </c>
      <c r="F161" s="1"/>
    </row>
    <row r="162" spans="1:6">
      <c r="A162" s="1" t="s">
        <v>167</v>
      </c>
      <c r="B162" s="1" t="s">
        <v>7</v>
      </c>
      <c r="C162" s="1">
        <f>VLOOKUP(A162,'[1]MGM Tally'!G:I,3,FALSE)</f>
        <v>0</v>
      </c>
      <c r="D162" s="1">
        <f>VLOOKUP(A162,'[1]MGM NS'!H:I,2,FALSE)</f>
        <v>0</v>
      </c>
      <c r="E162" s="1" t="b">
        <f t="shared" si="2"/>
        <v>1</v>
      </c>
      <c r="F162" s="1"/>
    </row>
    <row r="163" spans="1:6">
      <c r="A163" s="1" t="s">
        <v>168</v>
      </c>
      <c r="B163" s="1" t="s">
        <v>7</v>
      </c>
      <c r="C163" s="1">
        <f>VLOOKUP(A163,'[1]MGM Tally'!G:I,3,FALSE)</f>
        <v>0</v>
      </c>
      <c r="D163" s="1">
        <f>VLOOKUP(A163,'[1]MGM NS'!H:I,2,FALSE)</f>
        <v>0</v>
      </c>
      <c r="E163" s="1" t="b">
        <f t="shared" si="2"/>
        <v>1</v>
      </c>
      <c r="F163" s="1"/>
    </row>
    <row r="164" spans="1:6">
      <c r="A164" s="1" t="s">
        <v>169</v>
      </c>
      <c r="B164" s="1" t="s">
        <v>7</v>
      </c>
      <c r="C164" s="1">
        <f>VLOOKUP(A164,'[1]MGM Tally'!G:I,3,FALSE)</f>
        <v>0</v>
      </c>
      <c r="D164" s="1">
        <f>VLOOKUP(A164,'[1]MGM NS'!H:I,2,FALSE)</f>
        <v>0</v>
      </c>
      <c r="E164" s="1" t="b">
        <f t="shared" si="2"/>
        <v>1</v>
      </c>
      <c r="F164" s="1"/>
    </row>
    <row r="165" spans="1:6">
      <c r="A165" s="1" t="s">
        <v>170</v>
      </c>
      <c r="B165" s="1" t="s">
        <v>7</v>
      </c>
      <c r="C165" s="1">
        <f>VLOOKUP(A165,'[1]MGM Tally'!G:I,3,FALSE)</f>
        <v>-268279</v>
      </c>
      <c r="D165" s="1">
        <f>VLOOKUP(A165,'[1]MGM NS'!H:I,2,FALSE)</f>
        <v>268279</v>
      </c>
      <c r="E165" s="1" t="b">
        <f t="shared" si="2"/>
        <v>1</v>
      </c>
      <c r="F165" s="1"/>
    </row>
    <row r="166" spans="1:6">
      <c r="A166" s="1" t="s">
        <v>171</v>
      </c>
      <c r="B166" s="1" t="s">
        <v>7</v>
      </c>
      <c r="C166" s="1">
        <f>VLOOKUP(A166,'[1]MGM Tally'!G:I,3,FALSE)</f>
        <v>0</v>
      </c>
      <c r="D166" s="1">
        <f>VLOOKUP(A166,'[1]MGM NS'!H:I,2,FALSE)</f>
        <v>0</v>
      </c>
      <c r="E166" s="1" t="b">
        <f t="shared" si="2"/>
        <v>1</v>
      </c>
      <c r="F166" s="1"/>
    </row>
    <row r="167" spans="1:6">
      <c r="A167" s="1" t="s">
        <v>172</v>
      </c>
      <c r="B167" s="1" t="s">
        <v>7</v>
      </c>
      <c r="C167" s="1">
        <f>VLOOKUP(A167,'[1]MGM Tally'!G:I,3,FALSE)</f>
        <v>0</v>
      </c>
      <c r="D167" s="1">
        <f>VLOOKUP(A167,'[1]MGM NS'!H:I,2,FALSE)</f>
        <v>0</v>
      </c>
      <c r="E167" s="1" t="b">
        <f t="shared" si="2"/>
        <v>1</v>
      </c>
      <c r="F167" s="1"/>
    </row>
    <row r="168" spans="1:6">
      <c r="A168" s="1" t="s">
        <v>173</v>
      </c>
      <c r="B168" s="1" t="s">
        <v>7</v>
      </c>
      <c r="C168" s="1">
        <f>VLOOKUP(A168,'[1]MGM Tally'!G:I,3,FALSE)</f>
        <v>-100100</v>
      </c>
      <c r="D168" s="1">
        <f>VLOOKUP(A168,'[1]MGM NS'!H:I,2,FALSE)</f>
        <v>100100</v>
      </c>
      <c r="E168" s="1" t="b">
        <f t="shared" si="2"/>
        <v>1</v>
      </c>
      <c r="F168" s="1"/>
    </row>
    <row r="169" spans="1:6">
      <c r="A169" s="1" t="s">
        <v>174</v>
      </c>
      <c r="B169" s="1" t="s">
        <v>7</v>
      </c>
      <c r="C169" s="1" t="str">
        <f>VLOOKUP(A169,'[1]MGM Tally'!G:I,3,FALSE)</f>
        <v>308665.00</v>
      </c>
      <c r="D169" s="1">
        <f>VLOOKUP(A169,'[1]MGM NS'!H:I,2,FALSE)</f>
        <v>-308665</v>
      </c>
      <c r="E169" s="1" t="b">
        <f t="shared" si="2"/>
        <v>1</v>
      </c>
      <c r="F169" s="1"/>
    </row>
    <row r="170" spans="1:6">
      <c r="A170" s="1" t="s">
        <v>175</v>
      </c>
      <c r="B170" s="1" t="s">
        <v>7</v>
      </c>
      <c r="C170" s="1" t="str">
        <f>VLOOKUP(A170,'[1]MGM Tally'!G:I,3,FALSE)</f>
        <v>337700.00</v>
      </c>
      <c r="D170" s="1">
        <f>VLOOKUP(A170,'[1]MGM NS'!H:I,2,FALSE)</f>
        <v>-337700</v>
      </c>
      <c r="E170" s="1" t="b">
        <f t="shared" si="2"/>
        <v>1</v>
      </c>
      <c r="F170" s="1"/>
    </row>
    <row r="171" spans="1:6">
      <c r="A171" s="1" t="s">
        <v>176</v>
      </c>
      <c r="B171" s="1" t="s">
        <v>7</v>
      </c>
      <c r="C171" s="1">
        <f>VLOOKUP(A171,'[1]MGM Tally'!G:I,3,FALSE)</f>
        <v>-361880</v>
      </c>
      <c r="D171" s="1">
        <f>VLOOKUP(A171,'[1]MGM NS'!H:I,2,FALSE)</f>
        <v>361880</v>
      </c>
      <c r="E171" s="1" t="b">
        <f t="shared" si="2"/>
        <v>1</v>
      </c>
      <c r="F171" s="1"/>
    </row>
    <row r="172" spans="1:6">
      <c r="A172" s="1" t="s">
        <v>177</v>
      </c>
      <c r="B172" s="1" t="s">
        <v>7</v>
      </c>
      <c r="C172" s="1">
        <f>VLOOKUP(A172,'[1]MGM Tally'!G:I,3,FALSE)</f>
        <v>-349765</v>
      </c>
      <c r="D172" s="1">
        <f>VLOOKUP(A172,'[1]MGM NS'!H:I,2,FALSE)</f>
        <v>349765</v>
      </c>
      <c r="E172" s="1" t="b">
        <f t="shared" si="2"/>
        <v>1</v>
      </c>
      <c r="F172" s="1"/>
    </row>
    <row r="173" spans="1:6">
      <c r="A173" s="1" t="s">
        <v>178</v>
      </c>
      <c r="B173" s="1" t="s">
        <v>7</v>
      </c>
      <c r="C173" s="1">
        <f>VLOOKUP(A173,'[1]MGM Tally'!G:I,3,FALSE)</f>
        <v>0</v>
      </c>
      <c r="D173" s="1">
        <f>VLOOKUP(A173,'[1]MGM NS'!H:I,2,FALSE)</f>
        <v>0</v>
      </c>
      <c r="E173" s="1" t="b">
        <f t="shared" si="2"/>
        <v>1</v>
      </c>
      <c r="F173" s="1"/>
    </row>
    <row r="174" spans="1:6">
      <c r="A174" s="1" t="s">
        <v>179</v>
      </c>
      <c r="B174" s="1" t="s">
        <v>7</v>
      </c>
      <c r="C174" s="1" t="str">
        <f>VLOOKUP(A174,'[1]MGM Tally'!G:I,3,FALSE)</f>
        <v>186450.00</v>
      </c>
      <c r="D174" s="1">
        <f>VLOOKUP(A174,'[1]MGM NS'!H:I,2,FALSE)</f>
        <v>-186450</v>
      </c>
      <c r="E174" s="1" t="b">
        <f t="shared" si="2"/>
        <v>1</v>
      </c>
      <c r="F174" s="1"/>
    </row>
    <row r="175" spans="1:6">
      <c r="A175" s="1" t="s">
        <v>180</v>
      </c>
      <c r="B175" s="1" t="s">
        <v>7</v>
      </c>
      <c r="C175" s="1">
        <f>VLOOKUP(A175,'[1]MGM Tally'!G:I,3,FALSE)</f>
        <v>-891616</v>
      </c>
      <c r="D175" s="1">
        <f>VLOOKUP(A175,'[1]MGM NS'!H:I,2,FALSE)</f>
        <v>891616</v>
      </c>
      <c r="E175" s="1" t="b">
        <f t="shared" si="2"/>
        <v>1</v>
      </c>
      <c r="F175" s="1"/>
    </row>
    <row r="176" spans="1:6">
      <c r="A176" s="1" t="s">
        <v>181</v>
      </c>
      <c r="B176" s="1" t="s">
        <v>7</v>
      </c>
      <c r="C176" s="1">
        <f>VLOOKUP(A176,'[1]MGM Tally'!G:I,3,FALSE)</f>
        <v>0</v>
      </c>
      <c r="D176" s="1">
        <f>VLOOKUP(A176,'[1]MGM NS'!H:I,2,FALSE)</f>
        <v>0</v>
      </c>
      <c r="E176" s="1" t="b">
        <f t="shared" si="2"/>
        <v>1</v>
      </c>
      <c r="F176" s="1"/>
    </row>
    <row r="177" spans="1:6">
      <c r="A177" s="1" t="s">
        <v>182</v>
      </c>
      <c r="B177" s="1" t="s">
        <v>7</v>
      </c>
      <c r="C177" s="1">
        <f>VLOOKUP(A177,'[1]MGM Tally'!G:I,3,FALSE)</f>
        <v>0</v>
      </c>
      <c r="D177" s="1">
        <f>VLOOKUP(A177,'[1]MGM NS'!H:I,2,FALSE)</f>
        <v>0</v>
      </c>
      <c r="E177" s="1" t="b">
        <f t="shared" si="2"/>
        <v>1</v>
      </c>
      <c r="F177" s="1"/>
    </row>
    <row r="178" spans="1:6">
      <c r="A178" s="1" t="s">
        <v>183</v>
      </c>
      <c r="B178" s="1" t="s">
        <v>7</v>
      </c>
      <c r="C178" s="1">
        <f>VLOOKUP(A178,'[1]MGM Tally'!G:I,3,FALSE)</f>
        <v>0</v>
      </c>
      <c r="D178" s="1">
        <f>VLOOKUP(A178,'[1]MGM NS'!H:I,2,FALSE)</f>
        <v>0</v>
      </c>
      <c r="E178" s="1" t="b">
        <f t="shared" si="2"/>
        <v>1</v>
      </c>
      <c r="F178" s="1"/>
    </row>
    <row r="179" spans="1:6">
      <c r="A179" s="1" t="s">
        <v>184</v>
      </c>
      <c r="B179" s="1" t="s">
        <v>7</v>
      </c>
      <c r="C179" s="1">
        <f>VLOOKUP(A179,'[1]MGM Tally'!G:I,3,FALSE)</f>
        <v>0</v>
      </c>
      <c r="D179" s="1">
        <f>VLOOKUP(A179,'[1]MGM NS'!H:I,2,FALSE)</f>
        <v>0</v>
      </c>
      <c r="E179" s="1" t="b">
        <f t="shared" si="2"/>
        <v>1</v>
      </c>
      <c r="F179" s="1"/>
    </row>
    <row r="180" spans="1:6">
      <c r="A180" s="1" t="s">
        <v>185</v>
      </c>
      <c r="B180" s="1" t="s">
        <v>7</v>
      </c>
      <c r="C180" s="1" t="str">
        <f>VLOOKUP(A180,'[1]MGM Tally'!G:I,3,FALSE)</f>
        <v>5313598.00</v>
      </c>
      <c r="D180" s="1">
        <f>VLOOKUP(A180,'[1]MGM NS'!H:I,2,FALSE)</f>
        <v>-5313598</v>
      </c>
      <c r="E180" s="1" t="b">
        <f t="shared" si="2"/>
        <v>1</v>
      </c>
      <c r="F180" s="1"/>
    </row>
    <row r="181" spans="1:6">
      <c r="A181" s="1" t="s">
        <v>186</v>
      </c>
      <c r="B181" s="1" t="s">
        <v>7</v>
      </c>
      <c r="C181" s="1" t="str">
        <f>VLOOKUP(A181,'[1]MGM Tally'!G:I,3,FALSE)</f>
        <v>4904900.00</v>
      </c>
      <c r="D181" s="1">
        <f>VLOOKUP(A181,'[1]MGM NS'!H:I,2,FALSE)</f>
        <v>-4904900</v>
      </c>
      <c r="E181" s="1" t="b">
        <f t="shared" si="2"/>
        <v>1</v>
      </c>
      <c r="F181" s="1"/>
    </row>
    <row r="182" spans="1:6">
      <c r="A182" s="1" t="s">
        <v>187</v>
      </c>
      <c r="B182" s="1" t="s">
        <v>7</v>
      </c>
      <c r="C182" s="1">
        <f>VLOOKUP(A182,'[1]MGM Tally'!G:I,3,FALSE)</f>
        <v>0</v>
      </c>
      <c r="D182" s="1">
        <f>VLOOKUP(A182,'[1]MGM NS'!H:I,2,FALSE)</f>
        <v>0</v>
      </c>
      <c r="E182" s="1" t="b">
        <f t="shared" si="2"/>
        <v>1</v>
      </c>
      <c r="F182" s="1"/>
    </row>
    <row r="183" spans="1:6">
      <c r="A183" s="1" t="s">
        <v>188</v>
      </c>
      <c r="B183" s="1" t="s">
        <v>7</v>
      </c>
      <c r="C183" s="1">
        <f>VLOOKUP(A183,'[1]MGM Tally'!G:I,3,FALSE)</f>
        <v>0</v>
      </c>
      <c r="D183" s="1">
        <f>VLOOKUP(A183,'[1]MGM NS'!H:I,2,FALSE)</f>
        <v>0</v>
      </c>
      <c r="E183" s="1" t="b">
        <f t="shared" si="2"/>
        <v>1</v>
      </c>
      <c r="F183" s="1"/>
    </row>
    <row r="184" spans="1:6">
      <c r="A184" s="1" t="s">
        <v>189</v>
      </c>
      <c r="B184" s="1" t="s">
        <v>7</v>
      </c>
      <c r="C184" s="1" t="str">
        <f>VLOOKUP(A184,'[1]MGM Tally'!G:I,3,FALSE)</f>
        <v>480693.00</v>
      </c>
      <c r="D184" s="1">
        <f>VLOOKUP(A184,'[1]MGM NS'!H:I,2,FALSE)</f>
        <v>-480693</v>
      </c>
      <c r="E184" s="1" t="b">
        <f t="shared" si="2"/>
        <v>1</v>
      </c>
      <c r="F184" s="1"/>
    </row>
    <row r="185" spans="1:6">
      <c r="A185" s="1" t="s">
        <v>190</v>
      </c>
      <c r="B185" s="1" t="s">
        <v>7</v>
      </c>
      <c r="C185" s="1">
        <f>VLOOKUP(A185,'[1]MGM Tally'!G:I,3,FALSE)</f>
        <v>-1650000</v>
      </c>
      <c r="D185" s="1">
        <f>VLOOKUP(A185,'[1]MGM NS'!H:I,2,FALSE)</f>
        <v>1650000</v>
      </c>
      <c r="E185" s="1" t="b">
        <f t="shared" si="2"/>
        <v>1</v>
      </c>
      <c r="F185" s="1"/>
    </row>
    <row r="186" spans="1:6">
      <c r="A186" s="1" t="s">
        <v>191</v>
      </c>
      <c r="B186" s="1" t="s">
        <v>7</v>
      </c>
      <c r="C186" s="1">
        <f>VLOOKUP(A186,'[1]MGM Tally'!G:I,3,FALSE)</f>
        <v>0</v>
      </c>
      <c r="D186" s="1">
        <f>VLOOKUP(A186,'[1]MGM NS'!H:I,2,FALSE)</f>
        <v>0</v>
      </c>
      <c r="E186" s="1" t="b">
        <f t="shared" si="2"/>
        <v>1</v>
      </c>
      <c r="F186" s="1"/>
    </row>
    <row r="187" spans="1:6">
      <c r="A187" s="1" t="s">
        <v>192</v>
      </c>
      <c r="B187" s="1" t="s">
        <v>7</v>
      </c>
      <c r="C187" s="1">
        <f>VLOOKUP(A187,'[1]MGM Tally'!G:I,3,FALSE)</f>
        <v>0</v>
      </c>
      <c r="D187" s="1">
        <f>VLOOKUP(A187,'[1]MGM NS'!H:I,2,FALSE)</f>
        <v>0</v>
      </c>
      <c r="E187" s="1" t="b">
        <f t="shared" si="2"/>
        <v>1</v>
      </c>
      <c r="F187" s="1"/>
    </row>
    <row r="188" spans="1:6">
      <c r="A188" s="1" t="s">
        <v>193</v>
      </c>
      <c r="B188" s="1" t="s">
        <v>7</v>
      </c>
      <c r="C188" s="1">
        <f>VLOOKUP(A188,'[1]MGM Tally'!G:I,3,FALSE)</f>
        <v>0</v>
      </c>
      <c r="D188" s="1">
        <f>VLOOKUP(A188,'[1]MGM NS'!H:I,2,FALSE)</f>
        <v>0</v>
      </c>
      <c r="E188" s="1" t="b">
        <f t="shared" si="2"/>
        <v>1</v>
      </c>
      <c r="F188" s="1"/>
    </row>
    <row r="189" spans="1:6">
      <c r="A189" s="1" t="s">
        <v>194</v>
      </c>
      <c r="B189" s="1" t="s">
        <v>7</v>
      </c>
      <c r="C189" s="1">
        <f>VLOOKUP(A189,'[1]MGM Tally'!G:I,3,FALSE)</f>
        <v>0</v>
      </c>
      <c r="D189" s="1">
        <f>VLOOKUP(A189,'[1]MGM NS'!H:I,2,FALSE)</f>
        <v>0</v>
      </c>
      <c r="E189" s="1" t="b">
        <f t="shared" si="2"/>
        <v>1</v>
      </c>
      <c r="F189" s="1"/>
    </row>
    <row r="190" spans="1:6">
      <c r="A190" s="1" t="s">
        <v>195</v>
      </c>
      <c r="B190" s="1" t="s">
        <v>7</v>
      </c>
      <c r="C190" s="1">
        <f>VLOOKUP(A190,'[1]MGM Tally'!G:I,3,FALSE)</f>
        <v>0</v>
      </c>
      <c r="D190" s="1">
        <f>VLOOKUP(A190,'[1]MGM NS'!H:I,2,FALSE)</f>
        <v>0</v>
      </c>
      <c r="E190" s="1" t="b">
        <f t="shared" si="2"/>
        <v>1</v>
      </c>
      <c r="F190" s="1"/>
    </row>
    <row r="191" spans="1:6">
      <c r="A191" s="1" t="s">
        <v>196</v>
      </c>
      <c r="B191" s="1" t="s">
        <v>7</v>
      </c>
      <c r="C191" s="1">
        <f>VLOOKUP(A191,'[1]MGM Tally'!G:I,3,FALSE)</f>
        <v>0</v>
      </c>
      <c r="D191" s="1">
        <f>VLOOKUP(A191,'[1]MGM NS'!H:I,2,FALSE)</f>
        <v>0</v>
      </c>
      <c r="E191" s="1" t="b">
        <f t="shared" si="2"/>
        <v>1</v>
      </c>
      <c r="F191" s="1"/>
    </row>
    <row r="192" spans="1:6">
      <c r="A192" s="1" t="s">
        <v>197</v>
      </c>
      <c r="B192" s="1" t="s">
        <v>7</v>
      </c>
      <c r="C192" s="1">
        <f>VLOOKUP(A192,'[1]MGM Tally'!G:I,3,FALSE)</f>
        <v>0</v>
      </c>
      <c r="D192" s="1">
        <f>VLOOKUP(A192,'[1]MGM NS'!H:I,2,FALSE)</f>
        <v>0</v>
      </c>
      <c r="E192" s="1" t="b">
        <f t="shared" si="2"/>
        <v>1</v>
      </c>
      <c r="F192" s="1"/>
    </row>
    <row r="193" spans="1:6">
      <c r="A193" s="1" t="s">
        <v>198</v>
      </c>
      <c r="B193" s="1" t="s">
        <v>7</v>
      </c>
      <c r="C193" s="1">
        <f>VLOOKUP(A193,'[1]MGM Tally'!G:I,3,FALSE)</f>
        <v>0</v>
      </c>
      <c r="D193" s="1">
        <f>VLOOKUP(A193,'[1]MGM NS'!H:I,2,FALSE)</f>
        <v>0</v>
      </c>
      <c r="E193" s="1" t="b">
        <f t="shared" si="2"/>
        <v>1</v>
      </c>
      <c r="F193" s="1"/>
    </row>
    <row r="194" spans="1:6">
      <c r="A194" s="1" t="s">
        <v>199</v>
      </c>
      <c r="B194" s="1" t="s">
        <v>7</v>
      </c>
      <c r="C194" s="1">
        <f>VLOOKUP(A194,'[1]MGM Tally'!G:I,3,FALSE)</f>
        <v>0</v>
      </c>
      <c r="D194" s="1">
        <f>VLOOKUP(A194,'[1]MGM NS'!H:I,2,FALSE)</f>
        <v>0</v>
      </c>
      <c r="E194" s="1" t="b">
        <f t="shared" ref="E194:E240" si="3">IF(ABS(C194)=ABS(D194),TRUE,FALSE)</f>
        <v>1</v>
      </c>
      <c r="F194" s="1"/>
    </row>
    <row r="195" spans="1:6">
      <c r="A195" s="1" t="s">
        <v>200</v>
      </c>
      <c r="B195" s="1" t="s">
        <v>7</v>
      </c>
      <c r="C195" s="1">
        <f>VLOOKUP(A195,'[1]MGM Tally'!G:I,3,FALSE)</f>
        <v>0</v>
      </c>
      <c r="D195" s="1">
        <f>VLOOKUP(A195,'[1]MGM NS'!H:I,2,FALSE)</f>
        <v>0</v>
      </c>
      <c r="E195" s="1" t="b">
        <f t="shared" si="3"/>
        <v>1</v>
      </c>
      <c r="F195" s="1"/>
    </row>
    <row r="196" spans="1:6">
      <c r="A196" s="1" t="s">
        <v>201</v>
      </c>
      <c r="B196" s="1" t="s">
        <v>7</v>
      </c>
      <c r="C196" s="1" t="str">
        <f>VLOOKUP(A196,'[1]MGM Tally'!G:I,3,FALSE)</f>
        <v>2917310.00</v>
      </c>
      <c r="D196" s="1">
        <f>VLOOKUP(A196,'[1]MGM NS'!H:I,2,FALSE)</f>
        <v>-2917310</v>
      </c>
      <c r="E196" s="1" t="b">
        <f t="shared" si="3"/>
        <v>1</v>
      </c>
      <c r="F196" s="1"/>
    </row>
    <row r="197" spans="1:6">
      <c r="A197" s="1" t="s">
        <v>202</v>
      </c>
      <c r="B197" s="1" t="s">
        <v>7</v>
      </c>
      <c r="C197" s="1">
        <f>VLOOKUP(A197,'[1]MGM Tally'!G:I,3,FALSE)</f>
        <v>0</v>
      </c>
      <c r="D197" s="1">
        <f>VLOOKUP(A197,'[1]MGM NS'!H:I,2,FALSE)</f>
        <v>0</v>
      </c>
      <c r="E197" s="1" t="b">
        <f t="shared" si="3"/>
        <v>1</v>
      </c>
      <c r="F197" s="1"/>
    </row>
    <row r="198" spans="1:6">
      <c r="A198" s="1" t="s">
        <v>203</v>
      </c>
      <c r="B198" s="1" t="s">
        <v>7</v>
      </c>
      <c r="C198" s="1">
        <f>VLOOKUP(A198,'[1]MGM Tally'!G:I,3,FALSE)</f>
        <v>0</v>
      </c>
      <c r="D198" s="1">
        <f>VLOOKUP(A198,'[1]MGM NS'!H:I,2,FALSE)</f>
        <v>0</v>
      </c>
      <c r="E198" s="1" t="b">
        <f t="shared" si="3"/>
        <v>1</v>
      </c>
      <c r="F198" s="1"/>
    </row>
    <row r="199" spans="1:6">
      <c r="A199" s="1" t="s">
        <v>204</v>
      </c>
      <c r="B199" s="1" t="s">
        <v>7</v>
      </c>
      <c r="C199" s="1" t="str">
        <f>VLOOKUP(A199,'[1]MGM Tally'!G:I,3,FALSE)</f>
        <v>284211.00</v>
      </c>
      <c r="D199" s="1">
        <f>VLOOKUP(A199,'[1]MGM NS'!H:I,2,FALSE)</f>
        <v>-284211</v>
      </c>
      <c r="E199" s="1" t="b">
        <f t="shared" si="3"/>
        <v>1</v>
      </c>
      <c r="F199" s="1"/>
    </row>
    <row r="200" spans="1:6">
      <c r="A200" s="1" t="s">
        <v>205</v>
      </c>
      <c r="B200" s="1" t="s">
        <v>7</v>
      </c>
      <c r="C200" s="1">
        <f>VLOOKUP(A200,'[1]MGM Tally'!G:I,3,FALSE)</f>
        <v>-2099625</v>
      </c>
      <c r="D200" s="1">
        <f>VLOOKUP(A200,'[1]MGM NS'!H:I,2,FALSE)</f>
        <v>2099625</v>
      </c>
      <c r="E200" s="1" t="b">
        <f t="shared" si="3"/>
        <v>1</v>
      </c>
      <c r="F200" s="1"/>
    </row>
    <row r="201" spans="1:6">
      <c r="A201" s="1" t="s">
        <v>206</v>
      </c>
      <c r="B201" s="1" t="s">
        <v>7</v>
      </c>
      <c r="C201" s="1">
        <f>VLOOKUP(A201,'[1]MGM Tally'!G:I,3,FALSE)</f>
        <v>0</v>
      </c>
      <c r="D201" s="1">
        <f>VLOOKUP(A201,'[1]MGM NS'!H:I,2,FALSE)</f>
        <v>0</v>
      </c>
      <c r="E201" s="1" t="b">
        <f t="shared" si="3"/>
        <v>1</v>
      </c>
      <c r="F201" s="1"/>
    </row>
    <row r="202" spans="1:6">
      <c r="A202" s="1" t="s">
        <v>207</v>
      </c>
      <c r="B202" s="1" t="s">
        <v>7</v>
      </c>
      <c r="C202" s="1">
        <f>VLOOKUP(A202,'[1]MGM Tally'!G:I,3,FALSE)</f>
        <v>0</v>
      </c>
      <c r="D202" s="1">
        <f>VLOOKUP(A202,'[1]MGM NS'!H:I,2,FALSE)</f>
        <v>0</v>
      </c>
      <c r="E202" s="1" t="b">
        <f t="shared" si="3"/>
        <v>1</v>
      </c>
      <c r="F202" s="1"/>
    </row>
    <row r="203" spans="1:6">
      <c r="A203" s="1" t="s">
        <v>208</v>
      </c>
      <c r="B203" s="1" t="s">
        <v>7</v>
      </c>
      <c r="C203" s="1" t="str">
        <f>VLOOKUP(A203,'[1]MGM Tally'!G:I,3,FALSE)</f>
        <v>928816.00</v>
      </c>
      <c r="D203" s="1">
        <f>VLOOKUP(A203,'[1]MGM NS'!H:I,2,FALSE)</f>
        <v>-928816</v>
      </c>
      <c r="E203" s="1" t="b">
        <f t="shared" si="3"/>
        <v>1</v>
      </c>
      <c r="F203" s="1"/>
    </row>
    <row r="204" spans="1:6">
      <c r="A204" s="1" t="s">
        <v>209</v>
      </c>
      <c r="B204" s="1" t="s">
        <v>7</v>
      </c>
      <c r="C204" s="1">
        <f>VLOOKUP(A204,'[1]MGM Tally'!G:I,3,FALSE)</f>
        <v>-437265</v>
      </c>
      <c r="D204" s="1">
        <f>VLOOKUP(A204,'[1]MGM NS'!H:I,2,FALSE)</f>
        <v>437265</v>
      </c>
      <c r="E204" s="1" t="b">
        <f t="shared" si="3"/>
        <v>1</v>
      </c>
      <c r="F204" s="1"/>
    </row>
    <row r="205" spans="1:6">
      <c r="A205" s="1" t="s">
        <v>210</v>
      </c>
      <c r="B205" s="1" t="s">
        <v>7</v>
      </c>
      <c r="C205" s="1">
        <f>VLOOKUP(A205,'[1]MGM Tally'!G:I,3,FALSE)</f>
        <v>0</v>
      </c>
      <c r="D205" s="1">
        <f>VLOOKUP(A205,'[1]MGM NS'!H:I,2,FALSE)</f>
        <v>0</v>
      </c>
      <c r="E205" s="1" t="b">
        <f t="shared" si="3"/>
        <v>1</v>
      </c>
      <c r="F205" s="1"/>
    </row>
    <row r="206" spans="1:6">
      <c r="A206" s="1" t="s">
        <v>211</v>
      </c>
      <c r="B206" s="1" t="s">
        <v>7</v>
      </c>
      <c r="C206" s="1">
        <f>VLOOKUP(A206,'[1]MGM Tally'!G:I,3,FALSE)</f>
        <v>0</v>
      </c>
      <c r="D206" s="1">
        <f>VLOOKUP(A206,'[1]MGM NS'!H:I,2,FALSE)</f>
        <v>0</v>
      </c>
      <c r="E206" s="1" t="b">
        <f t="shared" si="3"/>
        <v>1</v>
      </c>
      <c r="F206" s="1"/>
    </row>
    <row r="207" spans="1:6">
      <c r="A207" s="1" t="s">
        <v>212</v>
      </c>
      <c r="B207" s="1" t="s">
        <v>7</v>
      </c>
      <c r="C207" s="1">
        <f>VLOOKUP(A207,'[1]MGM Tally'!G:I,3,FALSE)</f>
        <v>0</v>
      </c>
      <c r="D207" s="1">
        <f>VLOOKUP(A207,'[1]MGM NS'!H:I,2,FALSE)</f>
        <v>0</v>
      </c>
      <c r="E207" s="1" t="b">
        <f t="shared" si="3"/>
        <v>1</v>
      </c>
      <c r="F207" s="1"/>
    </row>
    <row r="208" spans="1:6">
      <c r="A208" s="1" t="s">
        <v>213</v>
      </c>
      <c r="B208" s="1" t="s">
        <v>7</v>
      </c>
      <c r="C208" s="1" t="str">
        <f>VLOOKUP(A208,'[1]MGM Tally'!G:I,3,FALSE)</f>
        <v>699894.00</v>
      </c>
      <c r="D208" s="1">
        <f>VLOOKUP(A208,'[1]MGM NS'!H:I,2,FALSE)</f>
        <v>-699894</v>
      </c>
      <c r="E208" s="1" t="b">
        <f t="shared" si="3"/>
        <v>1</v>
      </c>
      <c r="F208" s="1"/>
    </row>
    <row r="209" spans="1:6">
      <c r="A209" s="1" t="s">
        <v>214</v>
      </c>
      <c r="B209" s="1" t="s">
        <v>7</v>
      </c>
      <c r="C209" s="1">
        <f>VLOOKUP(A209,'[1]MGM Tally'!G:I,3,FALSE)</f>
        <v>0</v>
      </c>
      <c r="D209" s="1">
        <f>VLOOKUP(A209,'[1]MGM NS'!H:I,2,FALSE)</f>
        <v>0</v>
      </c>
      <c r="E209" s="1" t="b">
        <f t="shared" si="3"/>
        <v>1</v>
      </c>
      <c r="F209" s="1"/>
    </row>
    <row r="210" spans="1:6">
      <c r="A210" s="1" t="s">
        <v>215</v>
      </c>
      <c r="B210" s="1" t="s">
        <v>7</v>
      </c>
      <c r="C210" s="1">
        <f>VLOOKUP(A210,'[1]MGM Tally'!G:I,3,FALSE)</f>
        <v>0</v>
      </c>
      <c r="D210" s="1">
        <f>VLOOKUP(A210,'[1]MGM NS'!H:I,2,FALSE)</f>
        <v>0</v>
      </c>
      <c r="E210" s="1" t="b">
        <f t="shared" si="3"/>
        <v>1</v>
      </c>
      <c r="F210" s="1"/>
    </row>
    <row r="211" spans="1:6">
      <c r="A211" s="1" t="s">
        <v>216</v>
      </c>
      <c r="B211" s="1" t="s">
        <v>7</v>
      </c>
      <c r="C211" s="1">
        <f>VLOOKUP(A211,'[1]MGM Tally'!G:I,3,FALSE)</f>
        <v>-725537</v>
      </c>
      <c r="D211" s="1">
        <f>VLOOKUP(A211,'[1]MGM NS'!H:I,2,FALSE)</f>
        <v>725537</v>
      </c>
      <c r="E211" s="1" t="b">
        <f t="shared" si="3"/>
        <v>1</v>
      </c>
      <c r="F211" s="1"/>
    </row>
    <row r="212" spans="1:6">
      <c r="A212" s="1" t="s">
        <v>217</v>
      </c>
      <c r="B212" s="1" t="s">
        <v>7</v>
      </c>
      <c r="C212" s="1">
        <f>VLOOKUP(A212,'[1]MGM Tally'!G:I,3,FALSE)</f>
        <v>0</v>
      </c>
      <c r="D212" s="1">
        <f>VLOOKUP(A212,'[1]MGM NS'!H:I,2,FALSE)</f>
        <v>0</v>
      </c>
      <c r="E212" s="1" t="b">
        <f t="shared" si="3"/>
        <v>1</v>
      </c>
      <c r="F212" s="1"/>
    </row>
    <row r="213" spans="1:6">
      <c r="A213" s="1" t="s">
        <v>218</v>
      </c>
      <c r="B213" s="1" t="s">
        <v>7</v>
      </c>
      <c r="C213" s="1">
        <f>VLOOKUP(A213,'[1]MGM Tally'!G:I,3,FALSE)</f>
        <v>0</v>
      </c>
      <c r="D213" s="1">
        <f>VLOOKUP(A213,'[1]MGM NS'!H:I,2,FALSE)</f>
        <v>0</v>
      </c>
      <c r="E213" s="1" t="b">
        <f t="shared" si="3"/>
        <v>1</v>
      </c>
      <c r="F213" s="1"/>
    </row>
    <row r="214" spans="1:6">
      <c r="A214" s="1" t="s">
        <v>219</v>
      </c>
      <c r="B214" s="1" t="s">
        <v>7</v>
      </c>
      <c r="C214" s="1">
        <f>VLOOKUP(A214,'[1]MGM Tally'!G:I,3,FALSE)</f>
        <v>0</v>
      </c>
      <c r="D214" s="1">
        <f>VLOOKUP(A214,'[1]MGM NS'!H:I,2,FALSE)</f>
        <v>0</v>
      </c>
      <c r="E214" s="1" t="b">
        <f t="shared" si="3"/>
        <v>1</v>
      </c>
      <c r="F214" s="1"/>
    </row>
    <row r="215" spans="1:6">
      <c r="A215" s="1" t="s">
        <v>220</v>
      </c>
      <c r="B215" s="1" t="s">
        <v>7</v>
      </c>
      <c r="C215" s="1">
        <f>VLOOKUP(A215,'[1]MGM Tally'!G:I,3,FALSE)</f>
        <v>0</v>
      </c>
      <c r="D215" s="1">
        <f>VLOOKUP(A215,'[1]MGM NS'!H:I,2,FALSE)</f>
        <v>0</v>
      </c>
      <c r="E215" s="1" t="b">
        <f t="shared" si="3"/>
        <v>1</v>
      </c>
      <c r="F215" s="1"/>
    </row>
    <row r="216" spans="1:6">
      <c r="A216" s="1" t="s">
        <v>221</v>
      </c>
      <c r="B216" s="1" t="s">
        <v>7</v>
      </c>
      <c r="C216" s="1">
        <f>VLOOKUP(A216,'[1]MGM Tally'!G:I,3,FALSE)</f>
        <v>0</v>
      </c>
      <c r="D216" s="1">
        <f>VLOOKUP(A216,'[1]MGM NS'!H:I,2,FALSE)</f>
        <v>0</v>
      </c>
      <c r="E216" s="1" t="b">
        <f t="shared" si="3"/>
        <v>1</v>
      </c>
      <c r="F216" s="1"/>
    </row>
    <row r="217" spans="1:6">
      <c r="A217" s="1" t="s">
        <v>222</v>
      </c>
      <c r="B217" s="1" t="s">
        <v>7</v>
      </c>
      <c r="C217" s="1">
        <f>VLOOKUP(A217,'[1]MGM Tally'!G:I,3,FALSE)</f>
        <v>0</v>
      </c>
      <c r="D217" s="1">
        <f>VLOOKUP(A217,'[1]MGM NS'!H:I,2,FALSE)</f>
        <v>0</v>
      </c>
      <c r="E217" s="1" t="b">
        <f t="shared" si="3"/>
        <v>1</v>
      </c>
      <c r="F217" s="1"/>
    </row>
    <row r="218" spans="1:6">
      <c r="A218" s="1" t="s">
        <v>223</v>
      </c>
      <c r="B218" s="1" t="s">
        <v>7</v>
      </c>
      <c r="C218" s="1">
        <f>VLOOKUP(A218,'[1]MGM Tally'!G:I,3,FALSE)</f>
        <v>-3518535</v>
      </c>
      <c r="D218" s="1">
        <f>VLOOKUP(A218,'[1]MGM NS'!H:I,2,FALSE)</f>
        <v>3518535</v>
      </c>
      <c r="E218" s="1" t="b">
        <f t="shared" si="3"/>
        <v>1</v>
      </c>
      <c r="F218" s="1"/>
    </row>
    <row r="219" spans="1:6">
      <c r="A219" s="1" t="s">
        <v>224</v>
      </c>
      <c r="B219" s="1" t="s">
        <v>7</v>
      </c>
      <c r="C219" s="1" t="str">
        <f>VLOOKUP(A219,'[1]MGM Tally'!G:I,3,FALSE)</f>
        <v>250000.00</v>
      </c>
      <c r="D219" s="1">
        <f>VLOOKUP(A219,'[1]MGM NS'!H:I,2,FALSE)</f>
        <v>-250000</v>
      </c>
      <c r="E219" s="1" t="b">
        <f t="shared" si="3"/>
        <v>1</v>
      </c>
      <c r="F219" s="1"/>
    </row>
    <row r="220" spans="1:6">
      <c r="A220" s="1" t="s">
        <v>225</v>
      </c>
      <c r="B220" s="1" t="s">
        <v>7</v>
      </c>
      <c r="C220" s="1">
        <f>VLOOKUP(A220,'[1]MGM Tally'!G:I,3,FALSE)</f>
        <v>0</v>
      </c>
      <c r="D220" s="1">
        <f>VLOOKUP(A220,'[1]MGM NS'!H:I,2,FALSE)</f>
        <v>0</v>
      </c>
      <c r="E220" s="1" t="b">
        <f t="shared" si="3"/>
        <v>1</v>
      </c>
      <c r="F220" s="1"/>
    </row>
    <row r="221" spans="1:6">
      <c r="A221" s="1" t="s">
        <v>226</v>
      </c>
      <c r="B221" s="1" t="s">
        <v>7</v>
      </c>
      <c r="C221" s="1">
        <f>VLOOKUP(A221,'[1]MGM Tally'!G:I,3,FALSE)</f>
        <v>-2150500</v>
      </c>
      <c r="D221" s="1">
        <f>VLOOKUP(A221,'[1]MGM NS'!H:I,2,FALSE)</f>
        <v>2150500</v>
      </c>
      <c r="E221" s="1" t="b">
        <f t="shared" si="3"/>
        <v>1</v>
      </c>
      <c r="F221" s="1"/>
    </row>
    <row r="222" spans="1:6">
      <c r="A222" s="1" t="s">
        <v>227</v>
      </c>
      <c r="B222" s="1" t="s">
        <v>7</v>
      </c>
      <c r="C222" s="1">
        <f>VLOOKUP(A222,'[1]MGM Tally'!G:I,3,FALSE)</f>
        <v>0</v>
      </c>
      <c r="D222" s="1">
        <f>VLOOKUP(A222,'[1]MGM NS'!H:I,2,FALSE)</f>
        <v>0</v>
      </c>
      <c r="E222" s="1" t="b">
        <f t="shared" si="3"/>
        <v>1</v>
      </c>
      <c r="F222" s="1"/>
    </row>
    <row r="223" spans="1:6">
      <c r="A223" s="1" t="s">
        <v>228</v>
      </c>
      <c r="B223" s="1" t="s">
        <v>7</v>
      </c>
      <c r="C223" s="1">
        <f>VLOOKUP(A223,'[1]MGM Tally'!G:I,3,FALSE)</f>
        <v>-1719960</v>
      </c>
      <c r="D223" s="1">
        <f>VLOOKUP(A223,'[1]MGM NS'!H:I,2,FALSE)</f>
        <v>1719960</v>
      </c>
      <c r="E223" s="1" t="b">
        <f t="shared" si="3"/>
        <v>1</v>
      </c>
      <c r="F223" s="1"/>
    </row>
    <row r="224" spans="1:6">
      <c r="A224" s="1" t="s">
        <v>229</v>
      </c>
      <c r="B224" s="1" t="s">
        <v>7</v>
      </c>
      <c r="C224" s="1">
        <f>VLOOKUP(A224,'[1]MGM Tally'!G:I,3,FALSE)</f>
        <v>0</v>
      </c>
      <c r="D224" s="1">
        <f>VLOOKUP(A224,'[1]MGM NS'!H:I,2,FALSE)</f>
        <v>0</v>
      </c>
      <c r="E224" s="1" t="b">
        <f t="shared" si="3"/>
        <v>1</v>
      </c>
      <c r="F224" s="1"/>
    </row>
    <row r="225" spans="1:6">
      <c r="A225" s="1" t="s">
        <v>230</v>
      </c>
      <c r="B225" s="1" t="s">
        <v>7</v>
      </c>
      <c r="C225" s="1">
        <f>VLOOKUP(A225,'[1]MGM Tally'!G:I,3,FALSE)</f>
        <v>-6890903</v>
      </c>
      <c r="D225" s="1">
        <f>VLOOKUP(A225,'[1]MGM NS'!H:I,2,FALSE)</f>
        <v>6890903</v>
      </c>
      <c r="E225" s="1" t="b">
        <f t="shared" si="3"/>
        <v>1</v>
      </c>
      <c r="F225" s="1"/>
    </row>
    <row r="226" spans="1:6">
      <c r="A226" s="1" t="s">
        <v>231</v>
      </c>
      <c r="B226" s="1" t="s">
        <v>7</v>
      </c>
      <c r="C226" s="1" t="str">
        <f>VLOOKUP(A226,'[1]MGM Tally'!G:I,3,FALSE)</f>
        <v>1568753.00</v>
      </c>
      <c r="D226" s="1">
        <f>VLOOKUP(A226,'[1]MGM NS'!H:I,2,FALSE)</f>
        <v>-1568753</v>
      </c>
      <c r="E226" s="1" t="b">
        <f t="shared" si="3"/>
        <v>1</v>
      </c>
      <c r="F226" s="1"/>
    </row>
    <row r="227" spans="1:6">
      <c r="A227" s="1" t="s">
        <v>232</v>
      </c>
      <c r="B227" s="1" t="s">
        <v>7</v>
      </c>
      <c r="C227" s="1">
        <f>VLOOKUP(A227,'[1]MGM Tally'!G:I,3,FALSE)</f>
        <v>0</v>
      </c>
      <c r="D227" s="1">
        <f>VLOOKUP(A227,'[1]MGM NS'!H:I,2,FALSE)</f>
        <v>0</v>
      </c>
      <c r="E227" s="1" t="b">
        <f t="shared" si="3"/>
        <v>1</v>
      </c>
      <c r="F227" s="1"/>
    </row>
    <row r="228" spans="1:6">
      <c r="A228" s="1" t="s">
        <v>233</v>
      </c>
      <c r="B228" s="1" t="s">
        <v>7</v>
      </c>
      <c r="C228" s="1">
        <f>VLOOKUP(A228,'[1]MGM Tally'!G:I,3,FALSE)</f>
        <v>0</v>
      </c>
      <c r="D228" s="1">
        <f>VLOOKUP(A228,'[1]MGM NS'!H:I,2,FALSE)</f>
        <v>0</v>
      </c>
      <c r="E228" s="1" t="b">
        <f t="shared" si="3"/>
        <v>1</v>
      </c>
      <c r="F228" s="1"/>
    </row>
    <row r="229" spans="1:6">
      <c r="A229" s="1" t="s">
        <v>234</v>
      </c>
      <c r="B229" s="1" t="s">
        <v>7</v>
      </c>
      <c r="C229" s="1">
        <f>VLOOKUP(A229,'[1]MGM Tally'!G:I,3,FALSE)</f>
        <v>0</v>
      </c>
      <c r="D229" s="1">
        <f>VLOOKUP(A229,'[1]MGM NS'!H:I,2,FALSE)</f>
        <v>0</v>
      </c>
      <c r="E229" s="1" t="b">
        <f t="shared" si="3"/>
        <v>1</v>
      </c>
      <c r="F229" s="1"/>
    </row>
    <row r="230" spans="1:6">
      <c r="A230" s="1" t="s">
        <v>235</v>
      </c>
      <c r="B230" s="1" t="s">
        <v>7</v>
      </c>
      <c r="C230" s="1" t="str">
        <f>VLOOKUP(A230,'[1]MGM Tally'!G:I,3,FALSE)</f>
        <v>2475150.00</v>
      </c>
      <c r="D230" s="1">
        <f>VLOOKUP(A230,'[1]MGM NS'!H:I,2,FALSE)</f>
        <v>-2475150</v>
      </c>
      <c r="E230" s="1" t="b">
        <f t="shared" si="3"/>
        <v>1</v>
      </c>
      <c r="F230" s="1"/>
    </row>
    <row r="231" spans="1:6">
      <c r="A231" s="1" t="s">
        <v>236</v>
      </c>
      <c r="B231" s="1" t="s">
        <v>7</v>
      </c>
      <c r="C231" s="1">
        <f>VLOOKUP(A231,'[1]MGM Tally'!G:I,3,FALSE)</f>
        <v>-832754</v>
      </c>
      <c r="D231" s="1">
        <f>VLOOKUP(A231,'[1]MGM NS'!H:I,2,FALSE)</f>
        <v>832754</v>
      </c>
      <c r="E231" s="1" t="b">
        <f t="shared" si="3"/>
        <v>1</v>
      </c>
      <c r="F231" s="1"/>
    </row>
    <row r="232" spans="1:6">
      <c r="A232" s="1" t="s">
        <v>237</v>
      </c>
      <c r="B232" s="1" t="s">
        <v>7</v>
      </c>
      <c r="C232" s="1">
        <f>VLOOKUP(A232,'[1]MGM Tally'!G:I,3,FALSE)</f>
        <v>-862426</v>
      </c>
      <c r="D232" s="1">
        <f>VLOOKUP(A232,'[1]MGM NS'!H:I,2,FALSE)</f>
        <v>862426</v>
      </c>
      <c r="E232" s="1" t="b">
        <f t="shared" si="3"/>
        <v>1</v>
      </c>
      <c r="F232" s="1"/>
    </row>
    <row r="233" spans="1:6">
      <c r="A233" s="1" t="s">
        <v>238</v>
      </c>
      <c r="B233" s="1" t="s">
        <v>7</v>
      </c>
      <c r="C233" s="1">
        <f>VLOOKUP(A233,'[1]MGM Tally'!G:I,3,FALSE)</f>
        <v>-1610670</v>
      </c>
      <c r="D233" s="1">
        <f>VLOOKUP(A233,'[1]MGM NS'!H:I,2,FALSE)</f>
        <v>1610670</v>
      </c>
      <c r="E233" s="1" t="b">
        <f t="shared" si="3"/>
        <v>1</v>
      </c>
      <c r="F233" s="1"/>
    </row>
    <row r="234" spans="1:6">
      <c r="A234" s="1" t="s">
        <v>239</v>
      </c>
      <c r="B234" s="1" t="s">
        <v>7</v>
      </c>
      <c r="C234" s="1" t="str">
        <f>VLOOKUP(A234,'[1]MGM Tally'!G:I,3,FALSE)</f>
        <v>7894260.00</v>
      </c>
      <c r="D234" s="1">
        <f>VLOOKUP(A234,'[1]MGM NS'!H:I,2,FALSE)</f>
        <v>-7894260</v>
      </c>
      <c r="E234" s="1" t="b">
        <f t="shared" si="3"/>
        <v>1</v>
      </c>
      <c r="F234" s="1"/>
    </row>
    <row r="235" spans="1:6">
      <c r="A235" s="1" t="s">
        <v>240</v>
      </c>
      <c r="B235" s="1" t="s">
        <v>7</v>
      </c>
      <c r="C235" s="1">
        <f>VLOOKUP(A235,'[1]MGM Tally'!G:I,3,FALSE)</f>
        <v>0</v>
      </c>
      <c r="D235" s="1">
        <f>VLOOKUP(A235,'[1]MGM NS'!H:I,2,FALSE)</f>
        <v>0</v>
      </c>
      <c r="E235" s="1" t="b">
        <f t="shared" si="3"/>
        <v>1</v>
      </c>
      <c r="F235" s="1"/>
    </row>
    <row r="236" spans="1:6">
      <c r="A236" s="1" t="s">
        <v>241</v>
      </c>
      <c r="B236" s="1" t="s">
        <v>7</v>
      </c>
      <c r="C236" s="1" t="str">
        <f>VLOOKUP(A236,'[1]MGM Tally'!G:I,3,FALSE)</f>
        <v>11025023.00</v>
      </c>
      <c r="D236" s="1">
        <f>VLOOKUP(A236,'[1]MGM NS'!H:I,2,FALSE)</f>
        <v>-11025023</v>
      </c>
      <c r="E236" s="1" t="b">
        <f t="shared" si="3"/>
        <v>1</v>
      </c>
      <c r="F236" s="1"/>
    </row>
    <row r="237" spans="1:6">
      <c r="A237" s="1" t="s">
        <v>242</v>
      </c>
      <c r="B237" s="1" t="s">
        <v>7</v>
      </c>
      <c r="C237" s="1">
        <f>VLOOKUP(A237,'[1]MGM Tally'!G:I,3,FALSE)</f>
        <v>0</v>
      </c>
      <c r="D237" s="1">
        <f>VLOOKUP(A237,'[1]MGM NS'!H:I,2,FALSE)</f>
        <v>0</v>
      </c>
      <c r="E237" s="1" t="b">
        <f t="shared" si="3"/>
        <v>1</v>
      </c>
      <c r="F237" s="1"/>
    </row>
    <row r="238" spans="1:6">
      <c r="A238" s="1" t="s">
        <v>243</v>
      </c>
      <c r="B238" s="1" t="s">
        <v>7</v>
      </c>
      <c r="C238" s="1" t="str">
        <f>VLOOKUP(A238,'[1]MGM Tally'!G:I,3,FALSE)</f>
        <v>14000000.00</v>
      </c>
      <c r="D238" s="1">
        <f>VLOOKUP(A238,'[1]MGM NS'!H:I,2,FALSE)</f>
        <v>-14000000</v>
      </c>
      <c r="E238" s="1" t="b">
        <f t="shared" si="3"/>
        <v>1</v>
      </c>
      <c r="F238" s="1"/>
    </row>
    <row r="239" spans="1:6">
      <c r="A239" s="1" t="s">
        <v>244</v>
      </c>
      <c r="B239" s="1" t="s">
        <v>7</v>
      </c>
      <c r="C239" s="1">
        <f>VLOOKUP(A239,'[1]MGM Tally'!G:I,3,FALSE)</f>
        <v>-6899640</v>
      </c>
      <c r="D239" s="1">
        <f>VLOOKUP(A239,'[1]MGM NS'!H:I,2,FALSE)</f>
        <v>6899640</v>
      </c>
      <c r="E239" s="1" t="b">
        <f t="shared" si="3"/>
        <v>1</v>
      </c>
      <c r="F239" s="1"/>
    </row>
    <row r="240" spans="1:6">
      <c r="A240" s="1" t="s">
        <v>245</v>
      </c>
      <c r="B240" s="1" t="s">
        <v>7</v>
      </c>
      <c r="C240" s="1">
        <f>VLOOKUP(A240,'[1]MGM Tally'!G:I,3,FALSE)</f>
        <v>0</v>
      </c>
      <c r="D240" s="1">
        <v>0</v>
      </c>
      <c r="E240" s="1" t="b">
        <f t="shared" si="3"/>
        <v>1</v>
      </c>
      <c r="F240" s="1"/>
    </row>
    <row r="241" spans="1:4">
      <c r="A241" s="8" t="s">
        <v>246</v>
      </c>
      <c r="B241" s="8"/>
      <c r="C241" s="3">
        <v>-5530092.0800000001</v>
      </c>
      <c r="D241" s="3">
        <f>SUM(D2:D240)</f>
        <v>-5530092.0800000103</v>
      </c>
    </row>
  </sheetData>
  <mergeCells count="1">
    <mergeCell ref="A241:B24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1"/>
  <sheetViews>
    <sheetView workbookViewId="0">
      <selection activeCell="H126" sqref="H126"/>
    </sheetView>
  </sheetViews>
  <sheetFormatPr defaultColWidth="8.75" defaultRowHeight="14.45"/>
  <cols>
    <col min="1" max="1" width="12" customWidth="1"/>
    <col min="2" max="2" width="13.875" customWidth="1"/>
    <col min="3" max="3" width="12.875" customWidth="1"/>
    <col min="4" max="4" width="18.375" customWidth="1"/>
    <col min="5" max="5" width="10.75" customWidth="1"/>
    <col min="6" max="6" width="36.625" customWidth="1"/>
  </cols>
  <sheetData>
    <row r="1" spans="1:6" ht="29.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6" t="s">
        <v>5</v>
      </c>
    </row>
    <row r="2" spans="1:6">
      <c r="A2" s="1" t="s">
        <v>6</v>
      </c>
      <c r="B2" s="1" t="s">
        <v>247</v>
      </c>
      <c r="C2" s="1" t="str">
        <f>VLOOKUP(A2,'[1]MGM Tally'!J:L,3,FALSE)</f>
        <v>394474.00</v>
      </c>
      <c r="D2" s="1">
        <f>VLOOKUP(A2,'[1]MGM NS'!J:K,2,FALSE)</f>
        <v>-394474</v>
      </c>
      <c r="E2" s="1" t="b">
        <f t="shared" ref="E2:E65" si="0">IF(ABS(C2)=ABS(D2),TRUE,FALSE)</f>
        <v>1</v>
      </c>
      <c r="F2" s="7"/>
    </row>
    <row r="3" spans="1:6">
      <c r="A3" s="1" t="s">
        <v>8</v>
      </c>
      <c r="B3" s="1" t="s">
        <v>247</v>
      </c>
      <c r="C3" s="1">
        <f>VLOOKUP(A3,'[1]MGM Tally'!J:L,3,FALSE)</f>
        <v>0</v>
      </c>
      <c r="D3" s="1">
        <f>VLOOKUP(A3,'[1]MGM NS'!J:K,2,FALSE)</f>
        <v>0</v>
      </c>
      <c r="E3" s="1" t="b">
        <f t="shared" si="0"/>
        <v>1</v>
      </c>
      <c r="F3" s="7"/>
    </row>
    <row r="4" spans="1:6">
      <c r="A4" s="1" t="s">
        <v>9</v>
      </c>
      <c r="B4" s="1" t="s">
        <v>247</v>
      </c>
      <c r="C4" s="1">
        <f>VLOOKUP(A4,'[1]MGM Tally'!J:L,3,FALSE)</f>
        <v>0</v>
      </c>
      <c r="D4" s="1">
        <f>VLOOKUP(A4,'[1]MGM NS'!J:K,2,FALSE)</f>
        <v>0</v>
      </c>
      <c r="E4" s="1" t="b">
        <f t="shared" si="0"/>
        <v>1</v>
      </c>
      <c r="F4" s="7"/>
    </row>
    <row r="5" spans="1:6">
      <c r="A5" s="1" t="s">
        <v>10</v>
      </c>
      <c r="B5" s="1" t="s">
        <v>247</v>
      </c>
      <c r="C5" s="1">
        <f>VLOOKUP(A5,'[1]MGM Tally'!J:L,3,FALSE)</f>
        <v>0</v>
      </c>
      <c r="D5" s="1">
        <f>VLOOKUP(A5,'[1]MGM NS'!J:K,2,FALSE)</f>
        <v>0</v>
      </c>
      <c r="E5" s="1" t="b">
        <f t="shared" si="0"/>
        <v>1</v>
      </c>
      <c r="F5" s="7"/>
    </row>
    <row r="6" spans="1:6">
      <c r="A6" s="1" t="s">
        <v>11</v>
      </c>
      <c r="B6" s="1" t="s">
        <v>247</v>
      </c>
      <c r="C6" s="1">
        <f>VLOOKUP(A6,'[1]MGM Tally'!J:L,3,FALSE)</f>
        <v>0</v>
      </c>
      <c r="D6" s="1">
        <f>VLOOKUP(A6,'[1]MGM NS'!J:K,2,FALSE)</f>
        <v>0</v>
      </c>
      <c r="E6" s="1" t="b">
        <f t="shared" si="0"/>
        <v>1</v>
      </c>
      <c r="F6" s="7"/>
    </row>
    <row r="7" spans="1:6">
      <c r="A7" s="1" t="s">
        <v>12</v>
      </c>
      <c r="B7" s="1" t="s">
        <v>247</v>
      </c>
      <c r="C7" s="1">
        <f>VLOOKUP(A7,'[1]MGM Tally'!J:L,3,FALSE)</f>
        <v>0</v>
      </c>
      <c r="D7" s="1">
        <f>VLOOKUP(A7,'[1]MGM NS'!J:K,2,FALSE)</f>
        <v>0</v>
      </c>
      <c r="E7" s="1" t="b">
        <f t="shared" si="0"/>
        <v>1</v>
      </c>
      <c r="F7" s="7"/>
    </row>
    <row r="8" spans="1:6">
      <c r="A8" s="1" t="s">
        <v>13</v>
      </c>
      <c r="B8" s="1" t="s">
        <v>247</v>
      </c>
      <c r="C8" s="1">
        <f>VLOOKUP(A8,'[1]MGM Tally'!J:L,3,FALSE)</f>
        <v>0</v>
      </c>
      <c r="D8" s="1">
        <f>VLOOKUP(A8,'[1]MGM NS'!J:K,2,FALSE)</f>
        <v>0</v>
      </c>
      <c r="E8" s="1" t="b">
        <f t="shared" si="0"/>
        <v>1</v>
      </c>
      <c r="F8" s="7"/>
    </row>
    <row r="9" spans="1:6">
      <c r="A9" s="1" t="s">
        <v>14</v>
      </c>
      <c r="B9" s="1" t="s">
        <v>247</v>
      </c>
      <c r="C9" s="1">
        <f>VLOOKUP(A9,'[1]MGM Tally'!J:L,3,FALSE)</f>
        <v>0</v>
      </c>
      <c r="D9" s="1">
        <f>VLOOKUP(A9,'[1]MGM NS'!J:K,2,FALSE)</f>
        <v>0</v>
      </c>
      <c r="E9" s="1" t="b">
        <f t="shared" si="0"/>
        <v>1</v>
      </c>
      <c r="F9" s="7"/>
    </row>
    <row r="10" spans="1:6">
      <c r="A10" s="1" t="s">
        <v>15</v>
      </c>
      <c r="B10" s="1" t="s">
        <v>247</v>
      </c>
      <c r="C10" s="1">
        <f>VLOOKUP(A10,'[1]MGM Tally'!J:L,3,FALSE)</f>
        <v>0</v>
      </c>
      <c r="D10" s="1">
        <f>VLOOKUP(A10,'[1]MGM NS'!J:K,2,FALSE)</f>
        <v>0</v>
      </c>
      <c r="E10" s="1" t="b">
        <f t="shared" si="0"/>
        <v>1</v>
      </c>
      <c r="F10" s="7"/>
    </row>
    <row r="11" spans="1:6">
      <c r="A11" s="1" t="s">
        <v>16</v>
      </c>
      <c r="B11" s="1" t="s">
        <v>247</v>
      </c>
      <c r="C11" s="1">
        <f>VLOOKUP(A11,'[1]MGM Tally'!J:L,3,FALSE)</f>
        <v>0</v>
      </c>
      <c r="D11" s="1">
        <f>VLOOKUP(A11,'[1]MGM NS'!J:K,2,FALSE)</f>
        <v>0</v>
      </c>
      <c r="E11" s="1" t="b">
        <f t="shared" si="0"/>
        <v>1</v>
      </c>
      <c r="F11" s="7"/>
    </row>
    <row r="12" spans="1:6">
      <c r="A12" s="1" t="s">
        <v>17</v>
      </c>
      <c r="B12" s="1" t="s">
        <v>247</v>
      </c>
      <c r="C12" s="1">
        <f>VLOOKUP(A12,'[1]MGM Tally'!J:L,3,FALSE)</f>
        <v>0</v>
      </c>
      <c r="D12" s="1">
        <f>VLOOKUP(A12,'[1]MGM NS'!J:K,2,FALSE)</f>
        <v>0</v>
      </c>
      <c r="E12" s="1" t="b">
        <f t="shared" si="0"/>
        <v>1</v>
      </c>
      <c r="F12" s="7"/>
    </row>
    <row r="13" spans="1:6">
      <c r="A13" s="1" t="s">
        <v>18</v>
      </c>
      <c r="B13" s="1" t="s">
        <v>247</v>
      </c>
      <c r="C13" s="1">
        <f>VLOOKUP(A13,'[1]MGM Tally'!J:L,3,FALSE)</f>
        <v>0</v>
      </c>
      <c r="D13" s="1">
        <f>VLOOKUP(A13,'[1]MGM NS'!J:K,2,FALSE)</f>
        <v>0</v>
      </c>
      <c r="E13" s="1" t="b">
        <f t="shared" si="0"/>
        <v>1</v>
      </c>
      <c r="F13" s="7"/>
    </row>
    <row r="14" spans="1:6">
      <c r="A14" s="1" t="s">
        <v>19</v>
      </c>
      <c r="B14" s="1" t="s">
        <v>247</v>
      </c>
      <c r="C14" s="1">
        <f>VLOOKUP(A14,'[1]MGM Tally'!J:L,3,FALSE)</f>
        <v>0</v>
      </c>
      <c r="D14" s="1">
        <f>VLOOKUP(A14,'[1]MGM NS'!J:K,2,FALSE)</f>
        <v>0</v>
      </c>
      <c r="E14" s="1" t="b">
        <f t="shared" si="0"/>
        <v>1</v>
      </c>
      <c r="F14" s="7"/>
    </row>
    <row r="15" spans="1:6">
      <c r="A15" s="1" t="s">
        <v>20</v>
      </c>
      <c r="B15" s="1" t="s">
        <v>247</v>
      </c>
      <c r="C15" s="1">
        <f>VLOOKUP(A15,'[1]MGM Tally'!J:L,3,FALSE)</f>
        <v>0</v>
      </c>
      <c r="D15" s="1">
        <f>VLOOKUP(A15,'[1]MGM NS'!J:K,2,FALSE)</f>
        <v>0</v>
      </c>
      <c r="E15" s="1" t="b">
        <f t="shared" si="0"/>
        <v>1</v>
      </c>
      <c r="F15" s="7"/>
    </row>
    <row r="16" spans="1:6">
      <c r="A16" s="1" t="s">
        <v>21</v>
      </c>
      <c r="B16" s="1" t="s">
        <v>247</v>
      </c>
      <c r="C16" s="1">
        <f>VLOOKUP(A16,'[1]MGM Tally'!J:L,3,FALSE)</f>
        <v>0</v>
      </c>
      <c r="D16" s="1">
        <f>VLOOKUP(A16,'[1]MGM NS'!J:K,2,FALSE)</f>
        <v>0</v>
      </c>
      <c r="E16" s="1" t="b">
        <f t="shared" si="0"/>
        <v>1</v>
      </c>
      <c r="F16" s="7"/>
    </row>
    <row r="17" spans="1:6">
      <c r="A17" s="1" t="s">
        <v>22</v>
      </c>
      <c r="B17" s="1" t="s">
        <v>247</v>
      </c>
      <c r="C17" s="1">
        <f>VLOOKUP(A17,'[1]MGM Tally'!J:L,3,FALSE)</f>
        <v>0</v>
      </c>
      <c r="D17" s="1">
        <f>VLOOKUP(A17,'[1]MGM NS'!J:K,2,FALSE)</f>
        <v>0</v>
      </c>
      <c r="E17" s="1" t="b">
        <f t="shared" si="0"/>
        <v>1</v>
      </c>
      <c r="F17" s="7"/>
    </row>
    <row r="18" spans="1:6">
      <c r="A18" s="1" t="s">
        <v>23</v>
      </c>
      <c r="B18" s="1" t="s">
        <v>247</v>
      </c>
      <c r="C18" s="1">
        <f>VLOOKUP(A18,'[1]MGM Tally'!J:L,3,FALSE)</f>
        <v>0</v>
      </c>
      <c r="D18" s="1">
        <f>VLOOKUP(A18,'[1]MGM NS'!J:K,2,FALSE)</f>
        <v>0</v>
      </c>
      <c r="E18" s="1" t="b">
        <f t="shared" si="0"/>
        <v>1</v>
      </c>
      <c r="F18" s="7"/>
    </row>
    <row r="19" spans="1:6">
      <c r="A19" s="1" t="s">
        <v>24</v>
      </c>
      <c r="B19" s="1" t="s">
        <v>247</v>
      </c>
      <c r="C19" s="1">
        <f>VLOOKUP(A19,'[1]MGM Tally'!J:L,3,FALSE)</f>
        <v>0</v>
      </c>
      <c r="D19" s="1">
        <f>VLOOKUP(A19,'[1]MGM NS'!J:K,2,FALSE)</f>
        <v>0</v>
      </c>
      <c r="E19" s="1" t="b">
        <f t="shared" si="0"/>
        <v>1</v>
      </c>
      <c r="F19" s="7"/>
    </row>
    <row r="20" spans="1:6">
      <c r="A20" s="1" t="s">
        <v>25</v>
      </c>
      <c r="B20" s="1" t="s">
        <v>247</v>
      </c>
      <c r="C20" s="1">
        <f>VLOOKUP(A20,'[1]MGM Tally'!J:L,3,FALSE)</f>
        <v>0</v>
      </c>
      <c r="D20" s="1">
        <f>VLOOKUP(A20,'[1]MGM NS'!J:K,2,FALSE)</f>
        <v>0</v>
      </c>
      <c r="E20" s="1" t="b">
        <f t="shared" si="0"/>
        <v>1</v>
      </c>
      <c r="F20" s="7"/>
    </row>
    <row r="21" spans="1:6">
      <c r="A21" s="1" t="s">
        <v>26</v>
      </c>
      <c r="B21" s="1" t="s">
        <v>247</v>
      </c>
      <c r="C21" s="1">
        <f>VLOOKUP(A21,'[1]MGM Tally'!J:L,3,FALSE)</f>
        <v>0</v>
      </c>
      <c r="D21" s="1">
        <f>VLOOKUP(A21,'[1]MGM NS'!J:K,2,FALSE)</f>
        <v>0</v>
      </c>
      <c r="E21" s="1" t="b">
        <f t="shared" si="0"/>
        <v>1</v>
      </c>
      <c r="F21" s="7"/>
    </row>
    <row r="22" spans="1:6">
      <c r="A22" s="1" t="s">
        <v>27</v>
      </c>
      <c r="B22" s="1" t="s">
        <v>247</v>
      </c>
      <c r="C22" s="1">
        <f>VLOOKUP(A22,'[1]MGM Tally'!J:L,3,FALSE)</f>
        <v>0</v>
      </c>
      <c r="D22" s="1">
        <f>VLOOKUP(A22,'[1]MGM NS'!J:K,2,FALSE)</f>
        <v>0</v>
      </c>
      <c r="E22" s="1" t="b">
        <f t="shared" si="0"/>
        <v>1</v>
      </c>
      <c r="F22" s="7"/>
    </row>
    <row r="23" spans="1:6">
      <c r="A23" s="1" t="s">
        <v>28</v>
      </c>
      <c r="B23" s="1" t="s">
        <v>247</v>
      </c>
      <c r="C23" s="1">
        <f>VLOOKUP(A23,'[1]MGM Tally'!J:L,3,FALSE)</f>
        <v>0</v>
      </c>
      <c r="D23" s="1">
        <f>VLOOKUP(A23,'[1]MGM NS'!J:K,2,FALSE)</f>
        <v>0</v>
      </c>
      <c r="E23" s="1" t="b">
        <f t="shared" si="0"/>
        <v>1</v>
      </c>
      <c r="F23" s="7"/>
    </row>
    <row r="24" spans="1:6">
      <c r="A24" s="1" t="s">
        <v>29</v>
      </c>
      <c r="B24" s="1" t="s">
        <v>247</v>
      </c>
      <c r="C24" s="1">
        <f>VLOOKUP(A24,'[1]MGM Tally'!J:L,3,FALSE)</f>
        <v>0</v>
      </c>
      <c r="D24" s="1">
        <f>VLOOKUP(A24,'[1]MGM NS'!J:K,2,FALSE)</f>
        <v>0</v>
      </c>
      <c r="E24" s="1" t="b">
        <f t="shared" si="0"/>
        <v>1</v>
      </c>
      <c r="F24" s="7"/>
    </row>
    <row r="25" spans="1:6">
      <c r="A25" s="1" t="s">
        <v>30</v>
      </c>
      <c r="B25" s="1" t="s">
        <v>247</v>
      </c>
      <c r="C25" s="1">
        <f>VLOOKUP(A25,'[1]MGM Tally'!J:L,3,FALSE)</f>
        <v>0</v>
      </c>
      <c r="D25" s="1">
        <f>VLOOKUP(A25,'[1]MGM NS'!J:K,2,FALSE)</f>
        <v>0</v>
      </c>
      <c r="E25" s="1" t="b">
        <f t="shared" si="0"/>
        <v>1</v>
      </c>
      <c r="F25" s="7"/>
    </row>
    <row r="26" spans="1:6">
      <c r="A26" s="1" t="s">
        <v>31</v>
      </c>
      <c r="B26" s="1" t="s">
        <v>247</v>
      </c>
      <c r="C26" s="1">
        <f>VLOOKUP(A26,'[1]MGM Tally'!J:L,3,FALSE)</f>
        <v>0</v>
      </c>
      <c r="D26" s="1">
        <f>VLOOKUP(A26,'[1]MGM NS'!J:K,2,FALSE)</f>
        <v>0</v>
      </c>
      <c r="E26" s="1" t="b">
        <f t="shared" si="0"/>
        <v>1</v>
      </c>
      <c r="F26" s="7"/>
    </row>
    <row r="27" spans="1:6">
      <c r="A27" s="1" t="s">
        <v>32</v>
      </c>
      <c r="B27" s="1" t="s">
        <v>247</v>
      </c>
      <c r="C27" s="1">
        <f>VLOOKUP(A27,'[1]MGM Tally'!J:L,3,FALSE)</f>
        <v>0</v>
      </c>
      <c r="D27" s="1">
        <f>VLOOKUP(A27,'[1]MGM NS'!J:K,2,FALSE)</f>
        <v>0</v>
      </c>
      <c r="E27" s="1" t="b">
        <f t="shared" si="0"/>
        <v>1</v>
      </c>
      <c r="F27" s="7"/>
    </row>
    <row r="28" spans="1:6">
      <c r="A28" s="1" t="s">
        <v>33</v>
      </c>
      <c r="B28" s="1" t="s">
        <v>247</v>
      </c>
      <c r="C28" s="1">
        <f>VLOOKUP(A28,'[1]MGM Tally'!J:L,3,FALSE)</f>
        <v>0</v>
      </c>
      <c r="D28" s="1">
        <f>VLOOKUP(A28,'[1]MGM NS'!J:K,2,FALSE)</f>
        <v>0</v>
      </c>
      <c r="E28" s="1" t="b">
        <f t="shared" si="0"/>
        <v>1</v>
      </c>
      <c r="F28" s="7"/>
    </row>
    <row r="29" spans="1:6">
      <c r="A29" s="1" t="s">
        <v>34</v>
      </c>
      <c r="B29" s="1" t="s">
        <v>247</v>
      </c>
      <c r="C29" s="1">
        <f>VLOOKUP(A29,'[1]MGM Tally'!J:L,3,FALSE)</f>
        <v>0</v>
      </c>
      <c r="D29" s="1">
        <f>VLOOKUP(A29,'[1]MGM NS'!J:K,2,FALSE)</f>
        <v>0</v>
      </c>
      <c r="E29" s="1" t="b">
        <f t="shared" si="0"/>
        <v>1</v>
      </c>
      <c r="F29" s="7"/>
    </row>
    <row r="30" spans="1:6">
      <c r="A30" s="1" t="s">
        <v>35</v>
      </c>
      <c r="B30" s="1" t="s">
        <v>247</v>
      </c>
      <c r="C30" s="1">
        <f>VLOOKUP(A30,'[1]MGM Tally'!J:L,3,FALSE)</f>
        <v>0</v>
      </c>
      <c r="D30" s="1">
        <f>VLOOKUP(A30,'[1]MGM NS'!J:K,2,FALSE)</f>
        <v>0</v>
      </c>
      <c r="E30" s="1" t="b">
        <f t="shared" si="0"/>
        <v>1</v>
      </c>
      <c r="F30" s="7"/>
    </row>
    <row r="31" spans="1:6">
      <c r="A31" s="1" t="s">
        <v>36</v>
      </c>
      <c r="B31" s="1" t="s">
        <v>247</v>
      </c>
      <c r="C31" s="1">
        <f>VLOOKUP(A31,'[1]MGM Tally'!J:L,3,FALSE)</f>
        <v>0</v>
      </c>
      <c r="D31" s="1">
        <f>VLOOKUP(A31,'[1]MGM NS'!J:K,2,FALSE)</f>
        <v>0</v>
      </c>
      <c r="E31" s="1" t="b">
        <f t="shared" si="0"/>
        <v>1</v>
      </c>
      <c r="F31" s="7"/>
    </row>
    <row r="32" spans="1:6">
      <c r="A32" s="1" t="s">
        <v>37</v>
      </c>
      <c r="B32" s="1" t="s">
        <v>247</v>
      </c>
      <c r="C32" s="1">
        <f>VLOOKUP(A32,'[1]MGM Tally'!J:L,3,FALSE)</f>
        <v>0</v>
      </c>
      <c r="D32" s="1">
        <f>VLOOKUP(A32,'[1]MGM NS'!J:K,2,FALSE)</f>
        <v>0</v>
      </c>
      <c r="E32" s="1" t="b">
        <f t="shared" si="0"/>
        <v>1</v>
      </c>
      <c r="F32" s="7"/>
    </row>
    <row r="33" spans="1:6">
      <c r="A33" s="1" t="s">
        <v>38</v>
      </c>
      <c r="B33" s="1" t="s">
        <v>247</v>
      </c>
      <c r="C33" s="1">
        <f>VLOOKUP(A33,'[1]MGM Tally'!J:L,3,FALSE)</f>
        <v>0</v>
      </c>
      <c r="D33" s="1">
        <f>VLOOKUP(A33,'[1]MGM NS'!J:K,2,FALSE)</f>
        <v>0</v>
      </c>
      <c r="E33" s="1" t="b">
        <f t="shared" si="0"/>
        <v>1</v>
      </c>
      <c r="F33" s="7"/>
    </row>
    <row r="34" spans="1:6">
      <c r="A34" s="1" t="s">
        <v>39</v>
      </c>
      <c r="B34" s="1" t="s">
        <v>247</v>
      </c>
      <c r="C34" s="1">
        <f>VLOOKUP(A34,'[1]MGM Tally'!J:L,3,FALSE)</f>
        <v>0</v>
      </c>
      <c r="D34" s="1">
        <f>VLOOKUP(A34,'[1]MGM NS'!J:K,2,FALSE)</f>
        <v>0</v>
      </c>
      <c r="E34" s="1" t="b">
        <f t="shared" si="0"/>
        <v>1</v>
      </c>
      <c r="F34" s="7"/>
    </row>
    <row r="35" spans="1:6">
      <c r="A35" s="1" t="s">
        <v>40</v>
      </c>
      <c r="B35" s="1" t="s">
        <v>247</v>
      </c>
      <c r="C35" s="1">
        <f>VLOOKUP(A35,'[1]MGM Tally'!J:L,3,FALSE)</f>
        <v>0</v>
      </c>
      <c r="D35" s="1">
        <f>VLOOKUP(A35,'[1]MGM NS'!J:K,2,FALSE)</f>
        <v>0</v>
      </c>
      <c r="E35" s="1" t="b">
        <f t="shared" si="0"/>
        <v>1</v>
      </c>
      <c r="F35" s="7"/>
    </row>
    <row r="36" spans="1:6">
      <c r="A36" s="1" t="s">
        <v>41</v>
      </c>
      <c r="B36" s="1" t="s">
        <v>247</v>
      </c>
      <c r="C36" s="1">
        <f>VLOOKUP(A36,'[1]MGM Tally'!J:L,3,FALSE)</f>
        <v>0</v>
      </c>
      <c r="D36" s="1">
        <f>VLOOKUP(A36,'[1]MGM NS'!J:K,2,FALSE)</f>
        <v>0</v>
      </c>
      <c r="E36" s="1" t="b">
        <f t="shared" si="0"/>
        <v>1</v>
      </c>
      <c r="F36" s="7"/>
    </row>
    <row r="37" spans="1:6">
      <c r="A37" s="1" t="s">
        <v>42</v>
      </c>
      <c r="B37" s="1" t="s">
        <v>247</v>
      </c>
      <c r="C37" s="1">
        <f>VLOOKUP(A37,'[1]MGM Tally'!J:L,3,FALSE)</f>
        <v>0</v>
      </c>
      <c r="D37" s="1">
        <f>VLOOKUP(A37,'[1]MGM NS'!J:K,2,FALSE)</f>
        <v>0</v>
      </c>
      <c r="E37" s="1" t="b">
        <f t="shared" si="0"/>
        <v>1</v>
      </c>
      <c r="F37" s="7"/>
    </row>
    <row r="38" spans="1:6">
      <c r="A38" s="1" t="s">
        <v>43</v>
      </c>
      <c r="B38" s="1" t="s">
        <v>247</v>
      </c>
      <c r="C38" s="1">
        <f>VLOOKUP(A38,'[1]MGM Tally'!J:L,3,FALSE)</f>
        <v>0</v>
      </c>
      <c r="D38" s="1">
        <f>VLOOKUP(A38,'[1]MGM NS'!J:K,2,FALSE)</f>
        <v>0</v>
      </c>
      <c r="E38" s="1" t="b">
        <f t="shared" si="0"/>
        <v>1</v>
      </c>
      <c r="F38" s="7"/>
    </row>
    <row r="39" spans="1:6">
      <c r="A39" s="1" t="s">
        <v>44</v>
      </c>
      <c r="B39" s="1" t="s">
        <v>247</v>
      </c>
      <c r="C39" s="1">
        <f>VLOOKUP(A39,'[1]MGM Tally'!J:L,3,FALSE)</f>
        <v>0</v>
      </c>
      <c r="D39" s="1">
        <f>VLOOKUP(A39,'[1]MGM NS'!J:K,2,FALSE)</f>
        <v>0</v>
      </c>
      <c r="E39" s="1" t="b">
        <f t="shared" si="0"/>
        <v>1</v>
      </c>
      <c r="F39" s="7"/>
    </row>
    <row r="40" spans="1:6">
      <c r="A40" s="1" t="s">
        <v>45</v>
      </c>
      <c r="B40" s="1" t="s">
        <v>247</v>
      </c>
      <c r="C40" s="1">
        <f>VLOOKUP(A40,'[1]MGM Tally'!J:L,3,FALSE)</f>
        <v>0</v>
      </c>
      <c r="D40" s="1">
        <f>VLOOKUP(A40,'[1]MGM NS'!J:K,2,FALSE)</f>
        <v>0</v>
      </c>
      <c r="E40" s="1" t="b">
        <f t="shared" si="0"/>
        <v>1</v>
      </c>
      <c r="F40" s="7"/>
    </row>
    <row r="41" spans="1:6">
      <c r="A41" s="1" t="s">
        <v>46</v>
      </c>
      <c r="B41" s="1" t="s">
        <v>247</v>
      </c>
      <c r="C41" s="1">
        <f>VLOOKUP(A41,'[1]MGM Tally'!J:L,3,FALSE)</f>
        <v>0</v>
      </c>
      <c r="D41" s="1">
        <f>VLOOKUP(A41,'[1]MGM NS'!J:K,2,FALSE)</f>
        <v>0</v>
      </c>
      <c r="E41" s="1" t="b">
        <f t="shared" si="0"/>
        <v>1</v>
      </c>
      <c r="F41" s="7"/>
    </row>
    <row r="42" spans="1:6">
      <c r="A42" s="1" t="s">
        <v>47</v>
      </c>
      <c r="B42" s="1" t="s">
        <v>247</v>
      </c>
      <c r="C42" s="1">
        <f>VLOOKUP(A42,'[1]MGM Tally'!J:L,3,FALSE)</f>
        <v>0</v>
      </c>
      <c r="D42" s="1">
        <f>VLOOKUP(A42,'[1]MGM NS'!J:K,2,FALSE)</f>
        <v>0</v>
      </c>
      <c r="E42" s="1" t="b">
        <f t="shared" si="0"/>
        <v>1</v>
      </c>
      <c r="F42" s="7"/>
    </row>
    <row r="43" spans="1:6">
      <c r="A43" s="1" t="s">
        <v>48</v>
      </c>
      <c r="B43" s="1" t="s">
        <v>247</v>
      </c>
      <c r="C43" s="1">
        <f>VLOOKUP(A43,'[1]MGM Tally'!J:L,3,FALSE)</f>
        <v>0</v>
      </c>
      <c r="D43" s="1">
        <f>VLOOKUP(A43,'[1]MGM NS'!J:K,2,FALSE)</f>
        <v>0</v>
      </c>
      <c r="E43" s="1" t="b">
        <f t="shared" si="0"/>
        <v>1</v>
      </c>
      <c r="F43" s="7"/>
    </row>
    <row r="44" spans="1:6">
      <c r="A44" s="1" t="s">
        <v>49</v>
      </c>
      <c r="B44" s="1" t="s">
        <v>247</v>
      </c>
      <c r="C44" s="1">
        <f>VLOOKUP(A44,'[1]MGM Tally'!J:L,3,FALSE)</f>
        <v>0</v>
      </c>
      <c r="D44" s="1">
        <f>VLOOKUP(A44,'[1]MGM NS'!J:K,2,FALSE)</f>
        <v>0</v>
      </c>
      <c r="E44" s="1" t="b">
        <f t="shared" si="0"/>
        <v>1</v>
      </c>
      <c r="F44" s="7"/>
    </row>
    <row r="45" spans="1:6">
      <c r="A45" s="1" t="s">
        <v>50</v>
      </c>
      <c r="B45" s="1" t="s">
        <v>247</v>
      </c>
      <c r="C45" s="1">
        <f>VLOOKUP(A45,'[1]MGM Tally'!J:L,3,FALSE)</f>
        <v>0</v>
      </c>
      <c r="D45" s="1">
        <f>VLOOKUP(A45,'[1]MGM NS'!J:K,2,FALSE)</f>
        <v>0</v>
      </c>
      <c r="E45" s="1" t="b">
        <f t="shared" si="0"/>
        <v>1</v>
      </c>
      <c r="F45" s="7"/>
    </row>
    <row r="46" spans="1:6">
      <c r="A46" s="1" t="s">
        <v>51</v>
      </c>
      <c r="B46" s="1" t="s">
        <v>247</v>
      </c>
      <c r="C46" s="1">
        <f>VLOOKUP(A46,'[1]MGM Tally'!J:L,3,FALSE)</f>
        <v>0</v>
      </c>
      <c r="D46" s="1">
        <f>VLOOKUP(A46,'[1]MGM NS'!J:K,2,FALSE)</f>
        <v>0</v>
      </c>
      <c r="E46" s="1" t="b">
        <f t="shared" si="0"/>
        <v>1</v>
      </c>
      <c r="F46" s="7"/>
    </row>
    <row r="47" spans="1:6">
      <c r="A47" s="1" t="s">
        <v>52</v>
      </c>
      <c r="B47" s="1" t="s">
        <v>247</v>
      </c>
      <c r="C47" s="1">
        <f>VLOOKUP(A47,'[1]MGM Tally'!J:L,3,FALSE)</f>
        <v>0</v>
      </c>
      <c r="D47" s="1">
        <f>VLOOKUP(A47,'[1]MGM NS'!J:K,2,FALSE)</f>
        <v>0</v>
      </c>
      <c r="E47" s="1" t="b">
        <f t="shared" si="0"/>
        <v>1</v>
      </c>
      <c r="F47" s="7"/>
    </row>
    <row r="48" spans="1:6">
      <c r="A48" s="1" t="s">
        <v>53</v>
      </c>
      <c r="B48" s="1" t="s">
        <v>247</v>
      </c>
      <c r="C48" s="1">
        <f>VLOOKUP(A48,'[1]MGM Tally'!J:L,3,FALSE)</f>
        <v>0</v>
      </c>
      <c r="D48" s="1">
        <f>VLOOKUP(A48,'[1]MGM NS'!J:K,2,FALSE)</f>
        <v>0</v>
      </c>
      <c r="E48" s="1" t="b">
        <f t="shared" si="0"/>
        <v>1</v>
      </c>
      <c r="F48" s="7"/>
    </row>
    <row r="49" spans="1:6">
      <c r="A49" s="1" t="s">
        <v>54</v>
      </c>
      <c r="B49" s="1" t="s">
        <v>247</v>
      </c>
      <c r="C49" s="1">
        <f>VLOOKUP(A49,'[1]MGM Tally'!J:L,3,FALSE)</f>
        <v>0</v>
      </c>
      <c r="D49" s="1">
        <f>VLOOKUP(A49,'[1]MGM NS'!J:K,2,FALSE)</f>
        <v>0</v>
      </c>
      <c r="E49" s="1" t="b">
        <f t="shared" si="0"/>
        <v>1</v>
      </c>
      <c r="F49" s="7"/>
    </row>
    <row r="50" spans="1:6">
      <c r="A50" s="1" t="s">
        <v>55</v>
      </c>
      <c r="B50" s="1" t="s">
        <v>247</v>
      </c>
      <c r="C50" s="1">
        <f>VLOOKUP(A50,'[1]MGM Tally'!J:L,3,FALSE)</f>
        <v>0</v>
      </c>
      <c r="D50" s="1">
        <v>0</v>
      </c>
      <c r="E50" s="1" t="b">
        <f t="shared" si="0"/>
        <v>1</v>
      </c>
      <c r="F50" s="7"/>
    </row>
    <row r="51" spans="1:6">
      <c r="A51" s="1" t="s">
        <v>56</v>
      </c>
      <c r="B51" s="1" t="s">
        <v>247</v>
      </c>
      <c r="C51" s="1">
        <f>VLOOKUP(A51,'[1]MGM Tally'!J:L,3,FALSE)</f>
        <v>0</v>
      </c>
      <c r="D51" s="1">
        <f>VLOOKUP(A51,'[1]MGM NS'!J:K,2,FALSE)</f>
        <v>0</v>
      </c>
      <c r="E51" s="1" t="b">
        <f t="shared" si="0"/>
        <v>1</v>
      </c>
      <c r="F51" s="7"/>
    </row>
    <row r="52" spans="1:6">
      <c r="A52" s="1" t="s">
        <v>57</v>
      </c>
      <c r="B52" s="1" t="s">
        <v>247</v>
      </c>
      <c r="C52" s="1">
        <f>VLOOKUP(A52,'[1]MGM Tally'!J:L,3,FALSE)</f>
        <v>0</v>
      </c>
      <c r="D52" s="1">
        <f>VLOOKUP(A52,'[1]MGM NS'!J:K,2,FALSE)</f>
        <v>0</v>
      </c>
      <c r="E52" s="1" t="b">
        <f t="shared" si="0"/>
        <v>1</v>
      </c>
      <c r="F52" s="7"/>
    </row>
    <row r="53" spans="1:6">
      <c r="A53" s="1" t="s">
        <v>58</v>
      </c>
      <c r="B53" s="1" t="s">
        <v>247</v>
      </c>
      <c r="C53" s="1">
        <f>VLOOKUP(A53,'[1]MGM Tally'!J:L,3,FALSE)</f>
        <v>0</v>
      </c>
      <c r="D53" s="1">
        <f>VLOOKUP(A53,'[1]MGM NS'!J:K,2,FALSE)</f>
        <v>0</v>
      </c>
      <c r="E53" s="1" t="b">
        <f t="shared" si="0"/>
        <v>1</v>
      </c>
      <c r="F53" s="7"/>
    </row>
    <row r="54" spans="1:6">
      <c r="A54" s="1" t="s">
        <v>59</v>
      </c>
      <c r="B54" s="1" t="s">
        <v>247</v>
      </c>
      <c r="C54" s="1">
        <f>VLOOKUP(A54,'[1]MGM Tally'!J:L,3,FALSE)</f>
        <v>0</v>
      </c>
      <c r="D54" s="1">
        <f>VLOOKUP(A54,'[1]MGM NS'!J:K,2,FALSE)</f>
        <v>0</v>
      </c>
      <c r="E54" s="1" t="b">
        <f t="shared" si="0"/>
        <v>1</v>
      </c>
      <c r="F54" s="7"/>
    </row>
    <row r="55" spans="1:6">
      <c r="A55" s="1" t="s">
        <v>60</v>
      </c>
      <c r="B55" s="1" t="s">
        <v>247</v>
      </c>
      <c r="C55" s="1">
        <f>VLOOKUP(A55,'[1]MGM Tally'!J:L,3,FALSE)</f>
        <v>0</v>
      </c>
      <c r="D55" s="1">
        <f>VLOOKUP(A55,'[1]MGM NS'!J:K,2,FALSE)</f>
        <v>0</v>
      </c>
      <c r="E55" s="1" t="b">
        <f t="shared" si="0"/>
        <v>1</v>
      </c>
      <c r="F55" s="7"/>
    </row>
    <row r="56" spans="1:6">
      <c r="A56" s="1" t="s">
        <v>61</v>
      </c>
      <c r="B56" s="1" t="s">
        <v>247</v>
      </c>
      <c r="C56" s="1">
        <f>VLOOKUP(A56,'[1]MGM Tally'!J:L,3,FALSE)</f>
        <v>0</v>
      </c>
      <c r="D56" s="1">
        <f>VLOOKUP(A56,'[1]MGM NS'!J:K,2,FALSE)</f>
        <v>0</v>
      </c>
      <c r="E56" s="1" t="b">
        <f t="shared" si="0"/>
        <v>1</v>
      </c>
      <c r="F56" s="7"/>
    </row>
    <row r="57" spans="1:6">
      <c r="A57" s="1" t="s">
        <v>62</v>
      </c>
      <c r="B57" s="1" t="s">
        <v>247</v>
      </c>
      <c r="C57" s="1">
        <f>VLOOKUP(A57,'[1]MGM Tally'!J:L,3,FALSE)</f>
        <v>0</v>
      </c>
      <c r="D57" s="1">
        <f>VLOOKUP(A57,'[1]MGM NS'!J:K,2,FALSE)</f>
        <v>0</v>
      </c>
      <c r="E57" s="1" t="b">
        <f t="shared" si="0"/>
        <v>1</v>
      </c>
      <c r="F57" s="7"/>
    </row>
    <row r="58" spans="1:6">
      <c r="A58" s="1" t="s">
        <v>63</v>
      </c>
      <c r="B58" s="1" t="s">
        <v>247</v>
      </c>
      <c r="C58" s="1">
        <f>VLOOKUP(A58,'[1]MGM Tally'!J:L,3,FALSE)</f>
        <v>0</v>
      </c>
      <c r="D58" s="1">
        <f>VLOOKUP(A58,'[1]MGM NS'!J:K,2,FALSE)</f>
        <v>0</v>
      </c>
      <c r="E58" s="1" t="b">
        <f t="shared" si="0"/>
        <v>1</v>
      </c>
      <c r="F58" s="7"/>
    </row>
    <row r="59" spans="1:6">
      <c r="A59" s="1" t="s">
        <v>64</v>
      </c>
      <c r="B59" s="1" t="s">
        <v>247</v>
      </c>
      <c r="C59" s="1">
        <f>VLOOKUP(A59,'[1]MGM Tally'!J:L,3,FALSE)</f>
        <v>0</v>
      </c>
      <c r="D59" s="1">
        <f>VLOOKUP(A59,'[1]MGM NS'!J:K,2,FALSE)</f>
        <v>0</v>
      </c>
      <c r="E59" s="1" t="b">
        <f t="shared" si="0"/>
        <v>1</v>
      </c>
      <c r="F59" s="7"/>
    </row>
    <row r="60" spans="1:6">
      <c r="A60" s="1" t="s">
        <v>65</v>
      </c>
      <c r="B60" s="1" t="s">
        <v>247</v>
      </c>
      <c r="C60" s="1">
        <f>VLOOKUP(A60,'[1]MGM Tally'!J:L,3,FALSE)</f>
        <v>0</v>
      </c>
      <c r="D60" s="1">
        <f>VLOOKUP(A60,'[1]MGM NS'!J:K,2,FALSE)</f>
        <v>0</v>
      </c>
      <c r="E60" s="1" t="b">
        <f t="shared" si="0"/>
        <v>1</v>
      </c>
      <c r="F60" s="7"/>
    </row>
    <row r="61" spans="1:6">
      <c r="A61" s="1" t="s">
        <v>66</v>
      </c>
      <c r="B61" s="1" t="s">
        <v>247</v>
      </c>
      <c r="C61" s="1">
        <f>VLOOKUP(A61,'[1]MGM Tally'!J:L,3,FALSE)</f>
        <v>0</v>
      </c>
      <c r="D61" s="1">
        <f>VLOOKUP(A61,'[1]MGM NS'!J:K,2,FALSE)</f>
        <v>0</v>
      </c>
      <c r="E61" s="1" t="b">
        <f t="shared" si="0"/>
        <v>1</v>
      </c>
      <c r="F61" s="7"/>
    </row>
    <row r="62" spans="1:6">
      <c r="A62" s="1" t="s">
        <v>67</v>
      </c>
      <c r="B62" s="1" t="s">
        <v>247</v>
      </c>
      <c r="C62" s="1">
        <f>VLOOKUP(A62,'[1]MGM Tally'!J:L,3,FALSE)</f>
        <v>0</v>
      </c>
      <c r="D62" s="1">
        <f>VLOOKUP(A62,'[1]MGM NS'!J:K,2,FALSE)</f>
        <v>0</v>
      </c>
      <c r="E62" s="1" t="b">
        <f t="shared" si="0"/>
        <v>1</v>
      </c>
      <c r="F62" s="7"/>
    </row>
    <row r="63" spans="1:6">
      <c r="A63" s="1" t="s">
        <v>68</v>
      </c>
      <c r="B63" s="1" t="s">
        <v>247</v>
      </c>
      <c r="C63" s="1">
        <f>VLOOKUP(A63,'[1]MGM Tally'!J:L,3,FALSE)</f>
        <v>0</v>
      </c>
      <c r="D63" s="1">
        <f>VLOOKUP(A63,'[1]MGM NS'!J:K,2,FALSE)</f>
        <v>0</v>
      </c>
      <c r="E63" s="1" t="b">
        <f t="shared" si="0"/>
        <v>1</v>
      </c>
      <c r="F63" s="7"/>
    </row>
    <row r="64" spans="1:6">
      <c r="A64" s="1" t="s">
        <v>69</v>
      </c>
      <c r="B64" s="1" t="s">
        <v>247</v>
      </c>
      <c r="C64" s="1">
        <f>VLOOKUP(A64,'[1]MGM Tally'!J:L,3,FALSE)</f>
        <v>0</v>
      </c>
      <c r="D64" s="1">
        <f>VLOOKUP(A64,'[1]MGM NS'!J:K,2,FALSE)</f>
        <v>0</v>
      </c>
      <c r="E64" s="1" t="b">
        <f t="shared" si="0"/>
        <v>1</v>
      </c>
      <c r="F64" s="7"/>
    </row>
    <row r="65" spans="1:6">
      <c r="A65" s="1" t="s">
        <v>70</v>
      </c>
      <c r="B65" s="1" t="s">
        <v>247</v>
      </c>
      <c r="C65" s="1">
        <f>VLOOKUP(A65,'[1]MGM Tally'!J:L,3,FALSE)</f>
        <v>0</v>
      </c>
      <c r="D65" s="1">
        <f>VLOOKUP(A65,'[1]MGM NS'!J:K,2,FALSE)</f>
        <v>0</v>
      </c>
      <c r="E65" s="1" t="b">
        <f t="shared" si="0"/>
        <v>1</v>
      </c>
      <c r="F65" s="7"/>
    </row>
    <row r="66" spans="1:6">
      <c r="A66" s="1" t="s">
        <v>71</v>
      </c>
      <c r="B66" s="1" t="s">
        <v>247</v>
      </c>
      <c r="C66" s="1">
        <f>VLOOKUP(A66,'[1]MGM Tally'!J:L,3,FALSE)</f>
        <v>0</v>
      </c>
      <c r="D66" s="1">
        <f>VLOOKUP(A66,'[1]MGM NS'!J:K,2,FALSE)</f>
        <v>0</v>
      </c>
      <c r="E66" s="1" t="b">
        <f t="shared" ref="E66:E129" si="1">IF(ABS(C66)=ABS(D66),TRUE,FALSE)</f>
        <v>1</v>
      </c>
      <c r="F66" s="7"/>
    </row>
    <row r="67" spans="1:6">
      <c r="A67" s="1" t="s">
        <v>72</v>
      </c>
      <c r="B67" s="1" t="s">
        <v>247</v>
      </c>
      <c r="C67" s="1">
        <f>VLOOKUP(A67,'[1]MGM Tally'!J:L,3,FALSE)</f>
        <v>0</v>
      </c>
      <c r="D67" s="1">
        <f>VLOOKUP(A67,'[1]MGM NS'!J:K,2,FALSE)</f>
        <v>0</v>
      </c>
      <c r="E67" s="1" t="b">
        <f t="shared" si="1"/>
        <v>1</v>
      </c>
      <c r="F67" s="7"/>
    </row>
    <row r="68" spans="1:6">
      <c r="A68" s="1" t="s">
        <v>73</v>
      </c>
      <c r="B68" s="1" t="s">
        <v>247</v>
      </c>
      <c r="C68" s="1">
        <f>VLOOKUP(A68,'[1]MGM Tally'!J:L,3,FALSE)</f>
        <v>0</v>
      </c>
      <c r="D68" s="1">
        <f>VLOOKUP(A68,'[1]MGM NS'!J:K,2,FALSE)</f>
        <v>0</v>
      </c>
      <c r="E68" s="1" t="b">
        <f t="shared" si="1"/>
        <v>1</v>
      </c>
      <c r="F68" s="7"/>
    </row>
    <row r="69" spans="1:6">
      <c r="A69" s="1" t="s">
        <v>74</v>
      </c>
      <c r="B69" s="1" t="s">
        <v>247</v>
      </c>
      <c r="C69" s="1">
        <f>VLOOKUP(A69,'[1]MGM Tally'!J:L,3,FALSE)</f>
        <v>0</v>
      </c>
      <c r="D69" s="1">
        <f>VLOOKUP(A69,'[1]MGM NS'!J:K,2,FALSE)</f>
        <v>0</v>
      </c>
      <c r="E69" s="1" t="b">
        <f t="shared" si="1"/>
        <v>1</v>
      </c>
      <c r="F69" s="7"/>
    </row>
    <row r="70" spans="1:6">
      <c r="A70" s="1" t="s">
        <v>75</v>
      </c>
      <c r="B70" s="1" t="s">
        <v>247</v>
      </c>
      <c r="C70" s="1">
        <f>VLOOKUP(A70,'[1]MGM Tally'!J:L,3,FALSE)</f>
        <v>0</v>
      </c>
      <c r="D70" s="1">
        <f>VLOOKUP(A70,'[1]MGM NS'!J:K,2,FALSE)</f>
        <v>0</v>
      </c>
      <c r="E70" s="1" t="b">
        <f t="shared" si="1"/>
        <v>1</v>
      </c>
      <c r="F70" s="7"/>
    </row>
    <row r="71" spans="1:6">
      <c r="A71" s="1" t="s">
        <v>76</v>
      </c>
      <c r="B71" s="1" t="s">
        <v>247</v>
      </c>
      <c r="C71" s="1">
        <f>VLOOKUP(A71,'[1]MGM Tally'!J:L,3,FALSE)</f>
        <v>0</v>
      </c>
      <c r="D71" s="1">
        <f>VLOOKUP(A71,'[1]MGM NS'!J:K,2,FALSE)</f>
        <v>0</v>
      </c>
      <c r="E71" s="1" t="b">
        <f t="shared" si="1"/>
        <v>1</v>
      </c>
      <c r="F71" s="7"/>
    </row>
    <row r="72" spans="1:6">
      <c r="A72" s="1" t="s">
        <v>77</v>
      </c>
      <c r="B72" s="1" t="s">
        <v>247</v>
      </c>
      <c r="C72" s="1">
        <f>VLOOKUP(A72,'[1]MGM Tally'!J:L,3,FALSE)</f>
        <v>0</v>
      </c>
      <c r="D72" s="1">
        <f>VLOOKUP(A72,'[1]MGM NS'!J:K,2,FALSE)</f>
        <v>0</v>
      </c>
      <c r="E72" s="1" t="b">
        <f t="shared" si="1"/>
        <v>1</v>
      </c>
      <c r="F72" s="7"/>
    </row>
    <row r="73" spans="1:6">
      <c r="A73" s="1" t="s">
        <v>78</v>
      </c>
      <c r="B73" s="1" t="s">
        <v>247</v>
      </c>
      <c r="C73" s="1">
        <f>VLOOKUP(A73,'[1]MGM Tally'!J:L,3,FALSE)</f>
        <v>0</v>
      </c>
      <c r="D73" s="1">
        <f>VLOOKUP(A73,'[1]MGM NS'!J:K,2,FALSE)</f>
        <v>0</v>
      </c>
      <c r="E73" s="1" t="b">
        <f t="shared" si="1"/>
        <v>1</v>
      </c>
      <c r="F73" s="7"/>
    </row>
    <row r="74" spans="1:6">
      <c r="A74" s="1" t="s">
        <v>79</v>
      </c>
      <c r="B74" s="1" t="s">
        <v>247</v>
      </c>
      <c r="C74" s="1" t="str">
        <f>VLOOKUP(A74,'[1]MGM Tally'!J:L,3,FALSE)</f>
        <v>138800.00</v>
      </c>
      <c r="D74" s="1">
        <f>VLOOKUP(A74,'[1]MGM NS'!J:K,2,FALSE)</f>
        <v>-138800</v>
      </c>
      <c r="E74" s="1" t="b">
        <f t="shared" si="1"/>
        <v>1</v>
      </c>
      <c r="F74" s="7"/>
    </row>
    <row r="75" spans="1:6">
      <c r="A75" s="1" t="s">
        <v>80</v>
      </c>
      <c r="B75" s="1" t="s">
        <v>247</v>
      </c>
      <c r="C75" s="1">
        <f>VLOOKUP(A75,'[1]MGM Tally'!J:L,3,FALSE)</f>
        <v>0</v>
      </c>
      <c r="D75" s="1">
        <f>VLOOKUP(A75,'[1]MGM NS'!J:K,2,FALSE)</f>
        <v>0</v>
      </c>
      <c r="E75" s="1" t="b">
        <f t="shared" si="1"/>
        <v>1</v>
      </c>
      <c r="F75" s="7"/>
    </row>
    <row r="76" spans="1:6">
      <c r="A76" s="1" t="s">
        <v>81</v>
      </c>
      <c r="B76" s="1" t="s">
        <v>247</v>
      </c>
      <c r="C76" s="1">
        <f>VLOOKUP(A76,'[1]MGM Tally'!J:L,3,FALSE)</f>
        <v>0</v>
      </c>
      <c r="D76" s="1">
        <f>VLOOKUP(A76,'[1]MGM NS'!J:K,2,FALSE)</f>
        <v>0</v>
      </c>
      <c r="E76" s="1" t="b">
        <f t="shared" si="1"/>
        <v>1</v>
      </c>
      <c r="F76" s="7"/>
    </row>
    <row r="77" spans="1:6">
      <c r="A77" s="1" t="s">
        <v>82</v>
      </c>
      <c r="B77" s="1" t="s">
        <v>247</v>
      </c>
      <c r="C77" s="1">
        <f>VLOOKUP(A77,'[1]MGM Tally'!J:L,3,FALSE)</f>
        <v>0</v>
      </c>
      <c r="D77" s="1">
        <f>VLOOKUP(A77,'[1]MGM NS'!J:K,2,FALSE)</f>
        <v>0</v>
      </c>
      <c r="E77" s="1" t="b">
        <f t="shared" si="1"/>
        <v>1</v>
      </c>
      <c r="F77" s="7"/>
    </row>
    <row r="78" spans="1:6">
      <c r="A78" s="1" t="s">
        <v>83</v>
      </c>
      <c r="B78" s="1" t="s">
        <v>247</v>
      </c>
      <c r="C78" s="1" t="str">
        <f>VLOOKUP(A78,'[1]MGM Tally'!J:L,3,FALSE)</f>
        <v>581460.00</v>
      </c>
      <c r="D78" s="1">
        <f>VLOOKUP(A78,'[1]MGM NS'!J:K,2,FALSE)</f>
        <v>-581460</v>
      </c>
      <c r="E78" s="1" t="b">
        <f t="shared" si="1"/>
        <v>1</v>
      </c>
      <c r="F78" s="7"/>
    </row>
    <row r="79" spans="1:6">
      <c r="A79" s="1" t="s">
        <v>84</v>
      </c>
      <c r="B79" s="1" t="s">
        <v>247</v>
      </c>
      <c r="C79" s="1">
        <f>VLOOKUP(A79,'[1]MGM Tally'!J:L,3,FALSE)</f>
        <v>0</v>
      </c>
      <c r="D79" s="1">
        <f>VLOOKUP(A79,'[1]MGM NS'!J:K,2,FALSE)</f>
        <v>0</v>
      </c>
      <c r="E79" s="1" t="b">
        <f t="shared" si="1"/>
        <v>1</v>
      </c>
      <c r="F79" s="7"/>
    </row>
    <row r="80" spans="1:6">
      <c r="A80" s="1" t="s">
        <v>85</v>
      </c>
      <c r="B80" s="1" t="s">
        <v>247</v>
      </c>
      <c r="C80" s="1">
        <f>VLOOKUP(A80,'[1]MGM Tally'!J:L,3,FALSE)</f>
        <v>0</v>
      </c>
      <c r="D80" s="1">
        <f>VLOOKUP(A80,'[1]MGM NS'!J:K,2,FALSE)</f>
        <v>0</v>
      </c>
      <c r="E80" s="1" t="b">
        <f t="shared" si="1"/>
        <v>1</v>
      </c>
      <c r="F80" s="7"/>
    </row>
    <row r="81" spans="1:6">
      <c r="A81" s="1" t="s">
        <v>86</v>
      </c>
      <c r="B81" s="1" t="s">
        <v>247</v>
      </c>
      <c r="C81" s="1">
        <f>VLOOKUP(A81,'[1]MGM Tally'!J:L,3,FALSE)</f>
        <v>0</v>
      </c>
      <c r="D81" s="1">
        <f>VLOOKUP(A81,'[1]MGM NS'!J:K,2,FALSE)</f>
        <v>0</v>
      </c>
      <c r="E81" s="1" t="b">
        <f t="shared" si="1"/>
        <v>1</v>
      </c>
      <c r="F81" s="7"/>
    </row>
    <row r="82" spans="1:6">
      <c r="A82" s="1" t="s">
        <v>87</v>
      </c>
      <c r="B82" s="1" t="s">
        <v>247</v>
      </c>
      <c r="C82" s="1">
        <f>VLOOKUP(A82,'[1]MGM Tally'!J:L,3,FALSE)</f>
        <v>0</v>
      </c>
      <c r="D82" s="1">
        <f>VLOOKUP(A82,'[1]MGM NS'!J:K,2,FALSE)</f>
        <v>0</v>
      </c>
      <c r="E82" s="1" t="b">
        <f t="shared" si="1"/>
        <v>1</v>
      </c>
      <c r="F82" s="7"/>
    </row>
    <row r="83" spans="1:6">
      <c r="A83" s="1" t="s">
        <v>88</v>
      </c>
      <c r="B83" s="1" t="s">
        <v>247</v>
      </c>
      <c r="C83" s="1">
        <f>VLOOKUP(A83,'[1]MGM Tally'!J:L,3,FALSE)</f>
        <v>0</v>
      </c>
      <c r="D83" s="1">
        <f>VLOOKUP(A83,'[1]MGM NS'!J:K,2,FALSE)</f>
        <v>0</v>
      </c>
      <c r="E83" s="1" t="b">
        <f t="shared" si="1"/>
        <v>1</v>
      </c>
      <c r="F83" s="7"/>
    </row>
    <row r="84" spans="1:6">
      <c r="A84" s="1" t="s">
        <v>89</v>
      </c>
      <c r="B84" s="1" t="s">
        <v>247</v>
      </c>
      <c r="C84" s="1">
        <f>VLOOKUP(A84,'[1]MGM Tally'!J:L,3,FALSE)</f>
        <v>0</v>
      </c>
      <c r="D84" s="1">
        <f>VLOOKUP(A84,'[1]MGM NS'!J:K,2,FALSE)</f>
        <v>0</v>
      </c>
      <c r="E84" s="1" t="b">
        <f t="shared" si="1"/>
        <v>1</v>
      </c>
      <c r="F84" s="7"/>
    </row>
    <row r="85" spans="1:6">
      <c r="A85" s="1" t="s">
        <v>90</v>
      </c>
      <c r="B85" s="1" t="s">
        <v>247</v>
      </c>
      <c r="C85" s="1">
        <f>VLOOKUP(A85,'[1]MGM Tally'!J:L,3,FALSE)</f>
        <v>0</v>
      </c>
      <c r="D85" s="1">
        <f>VLOOKUP(A85,'[1]MGM NS'!J:K,2,FALSE)</f>
        <v>0</v>
      </c>
      <c r="E85" s="1" t="b">
        <f t="shared" si="1"/>
        <v>1</v>
      </c>
      <c r="F85" s="7"/>
    </row>
    <row r="86" spans="1:6">
      <c r="A86" s="1" t="s">
        <v>91</v>
      </c>
      <c r="B86" s="1" t="s">
        <v>247</v>
      </c>
      <c r="C86" s="1">
        <f>VLOOKUP(A86,'[1]MGM Tally'!J:L,3,FALSE)</f>
        <v>0</v>
      </c>
      <c r="D86" s="1">
        <f>VLOOKUP(A86,'[1]MGM NS'!J:K,2,FALSE)</f>
        <v>0</v>
      </c>
      <c r="E86" s="1" t="b">
        <f t="shared" si="1"/>
        <v>1</v>
      </c>
      <c r="F86" s="7"/>
    </row>
    <row r="87" spans="1:6">
      <c r="A87" s="1" t="s">
        <v>92</v>
      </c>
      <c r="B87" s="1" t="s">
        <v>247</v>
      </c>
      <c r="C87" s="1">
        <f>VLOOKUP(A87,'[1]MGM Tally'!J:L,3,FALSE)</f>
        <v>0</v>
      </c>
      <c r="D87" s="1">
        <f>VLOOKUP(A87,'[1]MGM NS'!J:K,2,FALSE)</f>
        <v>0</v>
      </c>
      <c r="E87" s="1" t="b">
        <f t="shared" si="1"/>
        <v>1</v>
      </c>
      <c r="F87" s="7"/>
    </row>
    <row r="88" spans="1:6">
      <c r="A88" s="1" t="s">
        <v>93</v>
      </c>
      <c r="B88" s="1" t="s">
        <v>247</v>
      </c>
      <c r="C88" s="1" t="str">
        <f>VLOOKUP(A88,'[1]MGM Tally'!J:L,3,FALSE)</f>
        <v>399072.26</v>
      </c>
      <c r="D88" s="1">
        <f>VLOOKUP(A88,'[1]MGM NS'!J:K,2,FALSE)</f>
        <v>-399072.26</v>
      </c>
      <c r="E88" s="1" t="b">
        <f t="shared" si="1"/>
        <v>1</v>
      </c>
      <c r="F88" s="7"/>
    </row>
    <row r="89" spans="1:6">
      <c r="A89" s="1" t="s">
        <v>94</v>
      </c>
      <c r="B89" s="1" t="s">
        <v>247</v>
      </c>
      <c r="C89" s="1">
        <f>VLOOKUP(A89,'[1]MGM Tally'!J:L,3,FALSE)</f>
        <v>0</v>
      </c>
      <c r="D89" s="1">
        <f>VLOOKUP(A89,'[1]MGM NS'!J:K,2,FALSE)</f>
        <v>0</v>
      </c>
      <c r="E89" s="1" t="b">
        <f t="shared" si="1"/>
        <v>1</v>
      </c>
      <c r="F89" s="7"/>
    </row>
    <row r="90" spans="1:6">
      <c r="A90" s="1" t="s">
        <v>95</v>
      </c>
      <c r="B90" s="1" t="s">
        <v>247</v>
      </c>
      <c r="C90" s="1">
        <f>VLOOKUP(A90,'[1]MGM Tally'!J:L,3,FALSE)</f>
        <v>0</v>
      </c>
      <c r="D90" s="1">
        <f>VLOOKUP(A90,'[1]MGM NS'!J:K,2,FALSE)</f>
        <v>0</v>
      </c>
      <c r="E90" s="1" t="b">
        <f t="shared" si="1"/>
        <v>1</v>
      </c>
      <c r="F90" s="7"/>
    </row>
    <row r="91" spans="1:6">
      <c r="A91" s="1" t="s">
        <v>96</v>
      </c>
      <c r="B91" s="1" t="s">
        <v>247</v>
      </c>
      <c r="C91" s="1">
        <f>VLOOKUP(A91,'[1]MGM Tally'!J:L,3,FALSE)</f>
        <v>0</v>
      </c>
      <c r="D91" s="1">
        <f>VLOOKUP(A91,'[1]MGM NS'!J:K,2,FALSE)</f>
        <v>0</v>
      </c>
      <c r="E91" s="1" t="b">
        <f t="shared" si="1"/>
        <v>1</v>
      </c>
      <c r="F91" s="7"/>
    </row>
    <row r="92" spans="1:6">
      <c r="A92" s="1" t="s">
        <v>97</v>
      </c>
      <c r="B92" s="1" t="s">
        <v>247</v>
      </c>
      <c r="C92" s="1">
        <f>VLOOKUP(A92,'[1]MGM Tally'!J:L,3,FALSE)</f>
        <v>0</v>
      </c>
      <c r="D92" s="1">
        <f>VLOOKUP(A92,'[1]MGM NS'!J:K,2,FALSE)</f>
        <v>0</v>
      </c>
      <c r="E92" s="1" t="b">
        <f t="shared" si="1"/>
        <v>1</v>
      </c>
      <c r="F92" s="7"/>
    </row>
    <row r="93" spans="1:6">
      <c r="A93" s="1" t="s">
        <v>98</v>
      </c>
      <c r="B93" s="1" t="s">
        <v>247</v>
      </c>
      <c r="C93" s="1">
        <f>VLOOKUP(A93,'[1]MGM Tally'!J:L,3,FALSE)</f>
        <v>0</v>
      </c>
      <c r="D93" s="1">
        <f>VLOOKUP(A93,'[1]MGM NS'!J:K,2,FALSE)</f>
        <v>0</v>
      </c>
      <c r="E93" s="1" t="b">
        <f t="shared" si="1"/>
        <v>1</v>
      </c>
      <c r="F93" s="7"/>
    </row>
    <row r="94" spans="1:6">
      <c r="A94" s="1" t="s">
        <v>99</v>
      </c>
      <c r="B94" s="1" t="s">
        <v>247</v>
      </c>
      <c r="C94" s="1">
        <f>VLOOKUP(A94,'[1]MGM Tally'!J:L,3,FALSE)</f>
        <v>0</v>
      </c>
      <c r="D94" s="1">
        <f>VLOOKUP(A94,'[1]MGM NS'!J:K,2,FALSE)</f>
        <v>0</v>
      </c>
      <c r="E94" s="1" t="b">
        <f t="shared" si="1"/>
        <v>1</v>
      </c>
      <c r="F94" s="7"/>
    </row>
    <row r="95" spans="1:6">
      <c r="A95" s="1" t="s">
        <v>100</v>
      </c>
      <c r="B95" s="1" t="s">
        <v>247</v>
      </c>
      <c r="C95" s="1">
        <f>VLOOKUP(A95,'[1]MGM Tally'!J:L,3,FALSE)</f>
        <v>0</v>
      </c>
      <c r="D95" s="1">
        <f>VLOOKUP(A95,'[1]MGM NS'!J:K,2,FALSE)</f>
        <v>0</v>
      </c>
      <c r="E95" s="1" t="b">
        <f t="shared" si="1"/>
        <v>1</v>
      </c>
      <c r="F95" s="7"/>
    </row>
    <row r="96" spans="1:6">
      <c r="A96" s="1" t="s">
        <v>101</v>
      </c>
      <c r="B96" s="1" t="s">
        <v>247</v>
      </c>
      <c r="C96" s="1">
        <f>VLOOKUP(A96,'[1]MGM Tally'!J:L,3,FALSE)</f>
        <v>0</v>
      </c>
      <c r="D96" s="1">
        <f>VLOOKUP(A96,'[1]MGM NS'!J:K,2,FALSE)</f>
        <v>0</v>
      </c>
      <c r="E96" s="1" t="b">
        <f t="shared" si="1"/>
        <v>1</v>
      </c>
      <c r="F96" s="7"/>
    </row>
    <row r="97" spans="1:6">
      <c r="A97" s="1" t="s">
        <v>102</v>
      </c>
      <c r="B97" s="1" t="s">
        <v>247</v>
      </c>
      <c r="C97" s="1">
        <f>VLOOKUP(A97,'[1]MGM Tally'!J:L,3,FALSE)</f>
        <v>0</v>
      </c>
      <c r="D97" s="1">
        <f>VLOOKUP(A97,'[1]MGM NS'!J:K,2,FALSE)</f>
        <v>0</v>
      </c>
      <c r="E97" s="1" t="b">
        <f t="shared" si="1"/>
        <v>1</v>
      </c>
      <c r="F97" s="7"/>
    </row>
    <row r="98" spans="1:6">
      <c r="A98" s="1" t="s">
        <v>103</v>
      </c>
      <c r="B98" s="1" t="s">
        <v>247</v>
      </c>
      <c r="C98" s="1">
        <f>VLOOKUP(A98,'[1]MGM Tally'!J:L,3,FALSE)</f>
        <v>0</v>
      </c>
      <c r="D98" s="1">
        <f>VLOOKUP(A98,'[1]MGM NS'!J:K,2,FALSE)</f>
        <v>0</v>
      </c>
      <c r="E98" s="1" t="b">
        <f t="shared" si="1"/>
        <v>1</v>
      </c>
      <c r="F98" s="7"/>
    </row>
    <row r="99" spans="1:6">
      <c r="A99" s="1" t="s">
        <v>104</v>
      </c>
      <c r="B99" s="1" t="s">
        <v>247</v>
      </c>
      <c r="C99" s="1">
        <f>VLOOKUP(A99,'[1]MGM Tally'!J:L,3,FALSE)</f>
        <v>0</v>
      </c>
      <c r="D99" s="1">
        <f>VLOOKUP(A99,'[1]MGM NS'!J:K,2,FALSE)</f>
        <v>0</v>
      </c>
      <c r="E99" s="1" t="b">
        <f t="shared" si="1"/>
        <v>1</v>
      </c>
      <c r="F99" s="7"/>
    </row>
    <row r="100" spans="1:6">
      <c r="A100" s="1" t="s">
        <v>105</v>
      </c>
      <c r="B100" s="1" t="s">
        <v>247</v>
      </c>
      <c r="C100" s="1">
        <f>VLOOKUP(A100,'[1]MGM Tally'!J:L,3,FALSE)</f>
        <v>0</v>
      </c>
      <c r="D100" s="1">
        <f>VLOOKUP(A100,'[1]MGM NS'!J:K,2,FALSE)</f>
        <v>0</v>
      </c>
      <c r="E100" s="1" t="b">
        <f t="shared" si="1"/>
        <v>1</v>
      </c>
      <c r="F100" s="7"/>
    </row>
    <row r="101" spans="1:6">
      <c r="A101" s="1" t="s">
        <v>106</v>
      </c>
      <c r="B101" s="1" t="s">
        <v>247</v>
      </c>
      <c r="C101" s="1">
        <f>VLOOKUP(A101,'[1]MGM Tally'!J:L,3,FALSE)</f>
        <v>0</v>
      </c>
      <c r="D101" s="1">
        <f>VLOOKUP(A101,'[1]MGM NS'!J:K,2,FALSE)</f>
        <v>0</v>
      </c>
      <c r="E101" s="1" t="b">
        <f t="shared" si="1"/>
        <v>1</v>
      </c>
      <c r="F101" s="7"/>
    </row>
    <row r="102" spans="1:6">
      <c r="A102" s="1" t="s">
        <v>107</v>
      </c>
      <c r="B102" s="1" t="s">
        <v>247</v>
      </c>
      <c r="C102" s="1">
        <f>VLOOKUP(A102,'[1]MGM Tally'!J:L,3,FALSE)</f>
        <v>0</v>
      </c>
      <c r="D102" s="1">
        <f>VLOOKUP(A102,'[1]MGM NS'!J:K,2,FALSE)</f>
        <v>0</v>
      </c>
      <c r="E102" s="1" t="b">
        <f t="shared" si="1"/>
        <v>1</v>
      </c>
      <c r="F102" s="7"/>
    </row>
    <row r="103" spans="1:6">
      <c r="A103" s="1" t="s">
        <v>108</v>
      </c>
      <c r="B103" s="1" t="s">
        <v>247</v>
      </c>
      <c r="C103" s="1">
        <f>VLOOKUP(A103,'[1]MGM Tally'!J:L,3,FALSE)</f>
        <v>0</v>
      </c>
      <c r="D103" s="1">
        <f>VLOOKUP(A103,'[1]MGM NS'!J:K,2,FALSE)</f>
        <v>0</v>
      </c>
      <c r="E103" s="1" t="b">
        <f t="shared" si="1"/>
        <v>1</v>
      </c>
      <c r="F103" s="7"/>
    </row>
    <row r="104" spans="1:6">
      <c r="A104" s="1" t="s">
        <v>109</v>
      </c>
      <c r="B104" s="1" t="s">
        <v>247</v>
      </c>
      <c r="C104" s="1">
        <f>VLOOKUP(A104,'[1]MGM Tally'!J:L,3,FALSE)</f>
        <v>0</v>
      </c>
      <c r="D104" s="1">
        <f>VLOOKUP(A104,'[1]MGM NS'!J:K,2,FALSE)</f>
        <v>0</v>
      </c>
      <c r="E104" s="1" t="b">
        <f t="shared" si="1"/>
        <v>1</v>
      </c>
      <c r="F104" s="7"/>
    </row>
    <row r="105" spans="1:6">
      <c r="A105" s="1" t="s">
        <v>110</v>
      </c>
      <c r="B105" s="1" t="s">
        <v>247</v>
      </c>
      <c r="C105" s="1">
        <f>VLOOKUP(A105,'[1]MGM Tally'!J:L,3,FALSE)</f>
        <v>0</v>
      </c>
      <c r="D105" s="1">
        <f>VLOOKUP(A105,'[1]MGM NS'!J:K,2,FALSE)</f>
        <v>0</v>
      </c>
      <c r="E105" s="1" t="b">
        <f t="shared" si="1"/>
        <v>1</v>
      </c>
      <c r="F105" s="7"/>
    </row>
    <row r="106" spans="1:6">
      <c r="A106" s="1" t="s">
        <v>111</v>
      </c>
      <c r="B106" s="1" t="s">
        <v>247</v>
      </c>
      <c r="C106" s="1">
        <f>VLOOKUP(A106,'[1]MGM Tally'!J:L,3,FALSE)</f>
        <v>0</v>
      </c>
      <c r="D106" s="1">
        <f>VLOOKUP(A106,'[1]MGM NS'!J:K,2,FALSE)</f>
        <v>0</v>
      </c>
      <c r="E106" s="1" t="b">
        <f t="shared" si="1"/>
        <v>1</v>
      </c>
      <c r="F106" s="7"/>
    </row>
    <row r="107" spans="1:6">
      <c r="A107" s="1" t="s">
        <v>112</v>
      </c>
      <c r="B107" s="1" t="s">
        <v>247</v>
      </c>
      <c r="C107" s="1">
        <f>VLOOKUP(A107,'[1]MGM Tally'!J:L,3,FALSE)</f>
        <v>0</v>
      </c>
      <c r="D107" s="1">
        <f>VLOOKUP(A107,'[1]MGM NS'!J:K,2,FALSE)</f>
        <v>0</v>
      </c>
      <c r="E107" s="1" t="b">
        <f t="shared" si="1"/>
        <v>1</v>
      </c>
      <c r="F107" s="7"/>
    </row>
    <row r="108" spans="1:6">
      <c r="A108" s="1" t="s">
        <v>113</v>
      </c>
      <c r="B108" s="1" t="s">
        <v>247</v>
      </c>
      <c r="C108" s="1">
        <f>VLOOKUP(A108,'[1]MGM Tally'!J:L,3,FALSE)</f>
        <v>0</v>
      </c>
      <c r="D108" s="1">
        <f>VLOOKUP(A108,'[1]MGM NS'!J:K,2,FALSE)</f>
        <v>0</v>
      </c>
      <c r="E108" s="1" t="b">
        <f t="shared" si="1"/>
        <v>1</v>
      </c>
      <c r="F108" s="7"/>
    </row>
    <row r="109" spans="1:6">
      <c r="A109" s="1" t="s">
        <v>114</v>
      </c>
      <c r="B109" s="1" t="s">
        <v>247</v>
      </c>
      <c r="C109" s="1">
        <f>VLOOKUP(A109,'[1]MGM Tally'!J:L,3,FALSE)</f>
        <v>0</v>
      </c>
      <c r="D109" s="1">
        <f>VLOOKUP(A109,'[1]MGM NS'!J:K,2,FALSE)</f>
        <v>0</v>
      </c>
      <c r="E109" s="1" t="b">
        <f t="shared" si="1"/>
        <v>1</v>
      </c>
      <c r="F109" s="7"/>
    </row>
    <row r="110" spans="1:6">
      <c r="A110" s="1" t="s">
        <v>115</v>
      </c>
      <c r="B110" s="1" t="s">
        <v>247</v>
      </c>
      <c r="C110" s="1">
        <f>VLOOKUP(A110,'[1]MGM Tally'!J:L,3,FALSE)</f>
        <v>0</v>
      </c>
      <c r="D110" s="1">
        <f>VLOOKUP(A110,'[1]MGM NS'!J:K,2,FALSE)</f>
        <v>0</v>
      </c>
      <c r="E110" s="1" t="b">
        <f t="shared" si="1"/>
        <v>1</v>
      </c>
      <c r="F110" s="7"/>
    </row>
    <row r="111" spans="1:6">
      <c r="A111" s="1" t="s">
        <v>116</v>
      </c>
      <c r="B111" s="1" t="s">
        <v>247</v>
      </c>
      <c r="C111" s="1">
        <f>VLOOKUP(A111,'[1]MGM Tally'!J:L,3,FALSE)</f>
        <v>0</v>
      </c>
      <c r="D111" s="1">
        <f>VLOOKUP(A111,'[1]MGM NS'!J:K,2,FALSE)</f>
        <v>0</v>
      </c>
      <c r="E111" s="1" t="b">
        <f t="shared" si="1"/>
        <v>1</v>
      </c>
      <c r="F111" s="7"/>
    </row>
    <row r="112" spans="1:6">
      <c r="A112" s="1" t="s">
        <v>117</v>
      </c>
      <c r="B112" s="1" t="s">
        <v>247</v>
      </c>
      <c r="C112" s="1">
        <f>VLOOKUP(A112,'[1]MGM Tally'!J:L,3,FALSE)</f>
        <v>0</v>
      </c>
      <c r="D112" s="1">
        <f>VLOOKUP(A112,'[1]MGM NS'!J:K,2,FALSE)</f>
        <v>0</v>
      </c>
      <c r="E112" s="1" t="b">
        <f t="shared" si="1"/>
        <v>1</v>
      </c>
      <c r="F112" s="7"/>
    </row>
    <row r="113" spans="1:6">
      <c r="A113" s="1" t="s">
        <v>118</v>
      </c>
      <c r="B113" s="1" t="s">
        <v>247</v>
      </c>
      <c r="C113" s="1">
        <f>VLOOKUP(A113,'[1]MGM Tally'!J:L,3,FALSE)</f>
        <v>0</v>
      </c>
      <c r="D113" s="1">
        <f>VLOOKUP(A113,'[1]MGM NS'!J:K,2,FALSE)</f>
        <v>0</v>
      </c>
      <c r="E113" s="1" t="b">
        <f t="shared" si="1"/>
        <v>1</v>
      </c>
      <c r="F113" s="7"/>
    </row>
    <row r="114" spans="1:6">
      <c r="A114" s="1" t="s">
        <v>119</v>
      </c>
      <c r="B114" s="1" t="s">
        <v>247</v>
      </c>
      <c r="C114" s="1">
        <f>VLOOKUP(A114,'[1]MGM Tally'!J:L,3,FALSE)</f>
        <v>0</v>
      </c>
      <c r="D114" s="1">
        <f>VLOOKUP(A114,'[1]MGM NS'!J:K,2,FALSE)</f>
        <v>0</v>
      </c>
      <c r="E114" s="1" t="b">
        <f t="shared" si="1"/>
        <v>1</v>
      </c>
      <c r="F114" s="7"/>
    </row>
    <row r="115" spans="1:6">
      <c r="A115" s="1" t="s">
        <v>120</v>
      </c>
      <c r="B115" s="1" t="s">
        <v>247</v>
      </c>
      <c r="C115" s="1">
        <f>VLOOKUP(A115,'[1]MGM Tally'!J:L,3,FALSE)</f>
        <v>0</v>
      </c>
      <c r="D115" s="1">
        <f>VLOOKUP(A115,'[1]MGM NS'!J:K,2,FALSE)</f>
        <v>0</v>
      </c>
      <c r="E115" s="1" t="b">
        <f t="shared" si="1"/>
        <v>1</v>
      </c>
      <c r="F115" s="7"/>
    </row>
    <row r="116" spans="1:6">
      <c r="A116" s="1" t="s">
        <v>121</v>
      </c>
      <c r="B116" s="1" t="s">
        <v>247</v>
      </c>
      <c r="C116" s="1">
        <f>VLOOKUP(A116,'[1]MGM Tally'!J:L,3,FALSE)</f>
        <v>0</v>
      </c>
      <c r="D116" s="1">
        <f>VLOOKUP(A116,'[1]MGM NS'!J:K,2,FALSE)</f>
        <v>0</v>
      </c>
      <c r="E116" s="1" t="b">
        <f t="shared" si="1"/>
        <v>1</v>
      </c>
      <c r="F116" s="7"/>
    </row>
    <row r="117" spans="1:6">
      <c r="A117" s="1" t="s">
        <v>122</v>
      </c>
      <c r="B117" s="1" t="s">
        <v>247</v>
      </c>
      <c r="C117" s="1">
        <f>VLOOKUP(A117,'[1]MGM Tally'!J:L,3,FALSE)</f>
        <v>0</v>
      </c>
      <c r="D117" s="1">
        <f>VLOOKUP(A117,'[1]MGM NS'!J:K,2,FALSE)</f>
        <v>0</v>
      </c>
      <c r="E117" s="1" t="b">
        <f t="shared" si="1"/>
        <v>1</v>
      </c>
      <c r="F117" s="7"/>
    </row>
    <row r="118" spans="1:6">
      <c r="A118" s="1" t="s">
        <v>123</v>
      </c>
      <c r="B118" s="1" t="s">
        <v>247</v>
      </c>
      <c r="C118" s="1">
        <f>VLOOKUP(A118,'[1]MGM Tally'!J:L,3,FALSE)</f>
        <v>0</v>
      </c>
      <c r="D118" s="1">
        <f>VLOOKUP(A118,'[1]MGM NS'!J:K,2,FALSE)</f>
        <v>0</v>
      </c>
      <c r="E118" s="1" t="b">
        <f t="shared" si="1"/>
        <v>1</v>
      </c>
      <c r="F118" s="7"/>
    </row>
    <row r="119" spans="1:6">
      <c r="A119" s="1" t="s">
        <v>124</v>
      </c>
      <c r="B119" s="1" t="s">
        <v>247</v>
      </c>
      <c r="C119" s="1">
        <f>VLOOKUP(A119,'[1]MGM Tally'!J:L,3,FALSE)</f>
        <v>0</v>
      </c>
      <c r="D119" s="1">
        <f>VLOOKUP(A119,'[1]MGM NS'!J:K,2,FALSE)</f>
        <v>0</v>
      </c>
      <c r="E119" s="1" t="b">
        <f t="shared" si="1"/>
        <v>1</v>
      </c>
      <c r="F119" s="7"/>
    </row>
    <row r="120" spans="1:6">
      <c r="A120" s="1" t="s">
        <v>125</v>
      </c>
      <c r="B120" s="1" t="s">
        <v>247</v>
      </c>
      <c r="C120" s="1">
        <f>VLOOKUP(A120,'[1]MGM Tally'!J:L,3,FALSE)</f>
        <v>0</v>
      </c>
      <c r="D120" s="1">
        <f>VLOOKUP(A120,'[1]MGM NS'!J:K,2,FALSE)</f>
        <v>0</v>
      </c>
      <c r="E120" s="1" t="b">
        <f t="shared" si="1"/>
        <v>1</v>
      </c>
      <c r="F120" s="7"/>
    </row>
    <row r="121" spans="1:6">
      <c r="A121" s="1" t="s">
        <v>126</v>
      </c>
      <c r="B121" s="1" t="s">
        <v>247</v>
      </c>
      <c r="C121" s="1">
        <f>VLOOKUP(A121,'[1]MGM Tally'!J:L,3,FALSE)</f>
        <v>0</v>
      </c>
      <c r="D121" s="1">
        <f>VLOOKUP(A121,'[1]MGM NS'!J:K,2,FALSE)</f>
        <v>0</v>
      </c>
      <c r="E121" s="1" t="b">
        <f t="shared" si="1"/>
        <v>1</v>
      </c>
      <c r="F121" s="7"/>
    </row>
    <row r="122" spans="1:6">
      <c r="A122" s="1" t="s">
        <v>127</v>
      </c>
      <c r="B122" s="1" t="s">
        <v>247</v>
      </c>
      <c r="C122" s="1">
        <f>VLOOKUP(A122,'[1]MGM Tally'!J:L,3,FALSE)</f>
        <v>0</v>
      </c>
      <c r="D122" s="1">
        <f>VLOOKUP(A122,'[1]MGM NS'!J:K,2,FALSE)</f>
        <v>0</v>
      </c>
      <c r="E122" s="1" t="b">
        <f t="shared" si="1"/>
        <v>1</v>
      </c>
      <c r="F122" s="7"/>
    </row>
    <row r="123" spans="1:6">
      <c r="A123" s="1" t="s">
        <v>128</v>
      </c>
      <c r="B123" s="1" t="s">
        <v>247</v>
      </c>
      <c r="C123" s="1">
        <f>VLOOKUP(A123,'[1]MGM Tally'!J:L,3,FALSE)</f>
        <v>0</v>
      </c>
      <c r="D123" s="1">
        <f>VLOOKUP(A123,'[1]MGM NS'!J:K,2,FALSE)</f>
        <v>0</v>
      </c>
      <c r="E123" s="1" t="b">
        <f t="shared" si="1"/>
        <v>1</v>
      </c>
      <c r="F123" s="7"/>
    </row>
    <row r="124" spans="1:6">
      <c r="A124" s="1" t="s">
        <v>129</v>
      </c>
      <c r="B124" s="1" t="s">
        <v>247</v>
      </c>
      <c r="C124" s="1">
        <f>VLOOKUP(A124,'[1]MGM Tally'!J:L,3,FALSE)</f>
        <v>0</v>
      </c>
      <c r="D124" s="1">
        <f>VLOOKUP(A124,'[1]MGM NS'!J:K,2,FALSE)</f>
        <v>0</v>
      </c>
      <c r="E124" s="1" t="b">
        <f t="shared" si="1"/>
        <v>1</v>
      </c>
      <c r="F124" s="7"/>
    </row>
    <row r="125" spans="1:6">
      <c r="A125" s="1" t="s">
        <v>130</v>
      </c>
      <c r="B125" s="1" t="s">
        <v>247</v>
      </c>
      <c r="C125" s="1">
        <f>VLOOKUP(A125,'[1]MGM Tally'!J:L,3,FALSE)</f>
        <v>0</v>
      </c>
      <c r="D125" s="1">
        <f>VLOOKUP(A125,'[1]MGM NS'!J:K,2,FALSE)</f>
        <v>0</v>
      </c>
      <c r="E125" s="1" t="b">
        <f t="shared" si="1"/>
        <v>1</v>
      </c>
      <c r="F125" s="7"/>
    </row>
    <row r="126" spans="1:6">
      <c r="A126" s="1" t="s">
        <v>131</v>
      </c>
      <c r="B126" s="1" t="s">
        <v>247</v>
      </c>
      <c r="C126" s="1">
        <f>VLOOKUP(A126,'[1]MGM Tally'!J:L,3,FALSE)</f>
        <v>0</v>
      </c>
      <c r="D126" s="1">
        <f>VLOOKUP(A126,'[1]MGM NS'!J:K,2,FALSE)</f>
        <v>0</v>
      </c>
      <c r="E126" s="1" t="b">
        <f t="shared" si="1"/>
        <v>1</v>
      </c>
      <c r="F126" s="7"/>
    </row>
    <row r="127" spans="1:6">
      <c r="A127" s="1" t="s">
        <v>132</v>
      </c>
      <c r="B127" s="1" t="s">
        <v>247</v>
      </c>
      <c r="C127" s="1">
        <f>VLOOKUP(A127,'[1]MGM Tally'!J:L,3,FALSE)</f>
        <v>0</v>
      </c>
      <c r="D127" s="1">
        <f>VLOOKUP(A127,'[1]MGM NS'!J:K,2,FALSE)</f>
        <v>0</v>
      </c>
      <c r="E127" s="1" t="b">
        <f t="shared" si="1"/>
        <v>1</v>
      </c>
      <c r="F127" s="7"/>
    </row>
    <row r="128" spans="1:6">
      <c r="A128" s="1" t="s">
        <v>133</v>
      </c>
      <c r="B128" s="1" t="s">
        <v>247</v>
      </c>
      <c r="C128" s="1">
        <f>VLOOKUP(A128,'[1]MGM Tally'!J:L,3,FALSE)</f>
        <v>0</v>
      </c>
      <c r="D128" s="1">
        <f>VLOOKUP(A128,'[1]MGM NS'!J:K,2,FALSE)</f>
        <v>0</v>
      </c>
      <c r="E128" s="1" t="b">
        <f t="shared" si="1"/>
        <v>1</v>
      </c>
      <c r="F128" s="7"/>
    </row>
    <row r="129" spans="1:6" ht="203.1">
      <c r="A129" s="9" t="s">
        <v>134</v>
      </c>
      <c r="B129" s="9" t="s">
        <v>247</v>
      </c>
      <c r="C129" s="9" t="str">
        <f>VLOOKUP(A129,'[1]MGM Tally'!J:L,3,FALSE)</f>
        <v>1372057.50</v>
      </c>
      <c r="D129" s="9">
        <f>VLOOKUP(A129,'[1]MGM NS'!J:K,2,FALSE)</f>
        <v>0</v>
      </c>
      <c r="E129" s="9" t="b">
        <f t="shared" si="1"/>
        <v>0</v>
      </c>
      <c r="F129" s="10" t="s">
        <v>248</v>
      </c>
    </row>
    <row r="130" spans="1:6">
      <c r="A130" s="1" t="s">
        <v>135</v>
      </c>
      <c r="B130" s="1" t="s">
        <v>247</v>
      </c>
      <c r="C130" s="1">
        <f>VLOOKUP(A130,'[1]MGM Tally'!J:L,3,FALSE)</f>
        <v>0</v>
      </c>
      <c r="D130" s="1">
        <f>VLOOKUP(A130,'[1]MGM NS'!J:K,2,FALSE)</f>
        <v>0</v>
      </c>
      <c r="E130" s="1" t="b">
        <f t="shared" ref="E130:E193" si="2">IF(ABS(C130)=ABS(D130),TRUE,FALSE)</f>
        <v>1</v>
      </c>
      <c r="F130" s="7"/>
    </row>
    <row r="131" spans="1:6">
      <c r="A131" s="1" t="s">
        <v>136</v>
      </c>
      <c r="B131" s="1" t="s">
        <v>247</v>
      </c>
      <c r="C131" s="1">
        <f>VLOOKUP(A131,'[1]MGM Tally'!J:L,3,FALSE)</f>
        <v>0</v>
      </c>
      <c r="D131" s="1">
        <f>VLOOKUP(A131,'[1]MGM NS'!J:K,2,FALSE)</f>
        <v>0</v>
      </c>
      <c r="E131" s="1" t="b">
        <f t="shared" si="2"/>
        <v>1</v>
      </c>
      <c r="F131" s="7"/>
    </row>
    <row r="132" spans="1:6">
      <c r="A132" s="1" t="s">
        <v>137</v>
      </c>
      <c r="B132" s="1" t="s">
        <v>247</v>
      </c>
      <c r="C132" s="1">
        <f>VLOOKUP(A132,'[1]MGM Tally'!J:L,3,FALSE)</f>
        <v>0</v>
      </c>
      <c r="D132" s="1">
        <f>VLOOKUP(A132,'[1]MGM NS'!J:K,2,FALSE)</f>
        <v>0</v>
      </c>
      <c r="E132" s="1" t="b">
        <f t="shared" si="2"/>
        <v>1</v>
      </c>
      <c r="F132" s="7"/>
    </row>
    <row r="133" spans="1:6">
      <c r="A133" s="1" t="s">
        <v>138</v>
      </c>
      <c r="B133" s="1" t="s">
        <v>247</v>
      </c>
      <c r="C133" s="1">
        <f>VLOOKUP(A133,'[1]MGM Tally'!J:L,3,FALSE)</f>
        <v>0</v>
      </c>
      <c r="D133" s="1">
        <f>VLOOKUP(A133,'[1]MGM NS'!J:K,2,FALSE)</f>
        <v>0</v>
      </c>
      <c r="E133" s="1" t="b">
        <f t="shared" si="2"/>
        <v>1</v>
      </c>
      <c r="F133" s="7"/>
    </row>
    <row r="134" spans="1:6">
      <c r="A134" s="1" t="s">
        <v>139</v>
      </c>
      <c r="B134" s="1" t="s">
        <v>247</v>
      </c>
      <c r="C134" s="1">
        <f>VLOOKUP(A134,'[1]MGM Tally'!J:L,3,FALSE)</f>
        <v>0</v>
      </c>
      <c r="D134" s="1">
        <f>VLOOKUP(A134,'[1]MGM NS'!J:K,2,FALSE)</f>
        <v>0</v>
      </c>
      <c r="E134" s="1" t="b">
        <f t="shared" si="2"/>
        <v>1</v>
      </c>
      <c r="F134" s="7"/>
    </row>
    <row r="135" spans="1:6">
      <c r="A135" s="1" t="s">
        <v>140</v>
      </c>
      <c r="B135" s="1" t="s">
        <v>247</v>
      </c>
      <c r="C135" s="1">
        <f>VLOOKUP(A135,'[1]MGM Tally'!J:L,3,FALSE)</f>
        <v>0</v>
      </c>
      <c r="D135" s="1">
        <f>VLOOKUP(A135,'[1]MGM NS'!J:K,2,FALSE)</f>
        <v>0</v>
      </c>
      <c r="E135" s="1" t="b">
        <f t="shared" si="2"/>
        <v>1</v>
      </c>
      <c r="F135" s="7"/>
    </row>
    <row r="136" spans="1:6">
      <c r="A136" s="1" t="s">
        <v>141</v>
      </c>
      <c r="B136" s="1" t="s">
        <v>247</v>
      </c>
      <c r="C136" s="1">
        <f>VLOOKUP(A136,'[1]MGM Tally'!J:L,3,FALSE)</f>
        <v>0</v>
      </c>
      <c r="D136" s="1">
        <f>VLOOKUP(A136,'[1]MGM NS'!J:K,2,FALSE)</f>
        <v>0</v>
      </c>
      <c r="E136" s="1" t="b">
        <f t="shared" si="2"/>
        <v>1</v>
      </c>
      <c r="F136" s="7"/>
    </row>
    <row r="137" spans="1:6">
      <c r="A137" s="1" t="s">
        <v>142</v>
      </c>
      <c r="B137" s="1" t="s">
        <v>247</v>
      </c>
      <c r="C137" s="1">
        <f>VLOOKUP(A137,'[1]MGM Tally'!J:L,3,FALSE)</f>
        <v>0</v>
      </c>
      <c r="D137" s="1">
        <f>VLOOKUP(A137,'[1]MGM NS'!J:K,2,FALSE)</f>
        <v>0</v>
      </c>
      <c r="E137" s="1" t="b">
        <f t="shared" si="2"/>
        <v>1</v>
      </c>
      <c r="F137" s="7"/>
    </row>
    <row r="138" spans="1:6">
      <c r="A138" s="1" t="s">
        <v>143</v>
      </c>
      <c r="B138" s="1" t="s">
        <v>247</v>
      </c>
      <c r="C138" s="1">
        <f>VLOOKUP(A138,'[1]MGM Tally'!J:L,3,FALSE)</f>
        <v>0</v>
      </c>
      <c r="D138" s="1">
        <f>VLOOKUP(A138,'[1]MGM NS'!J:K,2,FALSE)</f>
        <v>0</v>
      </c>
      <c r="E138" s="1" t="b">
        <f t="shared" si="2"/>
        <v>1</v>
      </c>
      <c r="F138" s="7"/>
    </row>
    <row r="139" spans="1:6">
      <c r="A139" s="1" t="s">
        <v>144</v>
      </c>
      <c r="B139" s="1" t="s">
        <v>247</v>
      </c>
      <c r="C139" s="1">
        <f>VLOOKUP(A139,'[1]MGM Tally'!J:L,3,FALSE)</f>
        <v>0</v>
      </c>
      <c r="D139" s="1">
        <f>VLOOKUP(A139,'[1]MGM NS'!J:K,2,FALSE)</f>
        <v>0</v>
      </c>
      <c r="E139" s="1" t="b">
        <f t="shared" si="2"/>
        <v>1</v>
      </c>
      <c r="F139" s="7"/>
    </row>
    <row r="140" spans="1:6">
      <c r="A140" s="1" t="s">
        <v>145</v>
      </c>
      <c r="B140" s="1" t="s">
        <v>247</v>
      </c>
      <c r="C140" s="1">
        <f>VLOOKUP(A140,'[1]MGM Tally'!J:L,3,FALSE)</f>
        <v>0</v>
      </c>
      <c r="D140" s="1">
        <f>VLOOKUP(A140,'[1]MGM NS'!J:K,2,FALSE)</f>
        <v>0</v>
      </c>
      <c r="E140" s="1" t="b">
        <f t="shared" si="2"/>
        <v>1</v>
      </c>
      <c r="F140" s="7"/>
    </row>
    <row r="141" spans="1:6">
      <c r="A141" s="1" t="s">
        <v>146</v>
      </c>
      <c r="B141" s="1" t="s">
        <v>247</v>
      </c>
      <c r="C141" s="1">
        <f>VLOOKUP(A141,'[1]MGM Tally'!J:L,3,FALSE)</f>
        <v>0</v>
      </c>
      <c r="D141" s="1">
        <f>VLOOKUP(A141,'[1]MGM NS'!J:K,2,FALSE)</f>
        <v>0</v>
      </c>
      <c r="E141" s="1" t="b">
        <f t="shared" si="2"/>
        <v>1</v>
      </c>
      <c r="F141" s="7"/>
    </row>
    <row r="142" spans="1:6">
      <c r="A142" s="1" t="s">
        <v>147</v>
      </c>
      <c r="B142" s="1" t="s">
        <v>247</v>
      </c>
      <c r="C142" s="1">
        <f>VLOOKUP(A142,'[1]MGM Tally'!J:L,3,FALSE)</f>
        <v>0</v>
      </c>
      <c r="D142" s="1">
        <f>VLOOKUP(A142,'[1]MGM NS'!J:K,2,FALSE)</f>
        <v>0</v>
      </c>
      <c r="E142" s="1" t="b">
        <f t="shared" si="2"/>
        <v>1</v>
      </c>
      <c r="F142" s="7"/>
    </row>
    <row r="143" spans="1:6">
      <c r="A143" s="1" t="s">
        <v>148</v>
      </c>
      <c r="B143" s="1" t="s">
        <v>247</v>
      </c>
      <c r="C143" s="1">
        <f>VLOOKUP(A143,'[1]MGM Tally'!J:L,3,FALSE)</f>
        <v>0</v>
      </c>
      <c r="D143" s="1">
        <f>VLOOKUP(A143,'[1]MGM NS'!J:K,2,FALSE)</f>
        <v>0</v>
      </c>
      <c r="E143" s="1" t="b">
        <f t="shared" si="2"/>
        <v>1</v>
      </c>
      <c r="F143" s="7"/>
    </row>
    <row r="144" spans="1:6">
      <c r="A144" s="1" t="s">
        <v>149</v>
      </c>
      <c r="B144" s="1" t="s">
        <v>247</v>
      </c>
      <c r="C144" s="1">
        <f>VLOOKUP(A144,'[1]MGM Tally'!J:L,3,FALSE)</f>
        <v>0</v>
      </c>
      <c r="D144" s="1">
        <f>VLOOKUP(A144,'[1]MGM NS'!J:K,2,FALSE)</f>
        <v>0</v>
      </c>
      <c r="E144" s="1" t="b">
        <f t="shared" si="2"/>
        <v>1</v>
      </c>
      <c r="F144" s="7"/>
    </row>
    <row r="145" spans="1:6">
      <c r="A145" s="1" t="s">
        <v>150</v>
      </c>
      <c r="B145" s="1" t="s">
        <v>247</v>
      </c>
      <c r="C145" s="1">
        <f>VLOOKUP(A145,'[1]MGM Tally'!J:L,3,FALSE)</f>
        <v>0</v>
      </c>
      <c r="D145" s="1">
        <f>VLOOKUP(A145,'[1]MGM NS'!J:K,2,FALSE)</f>
        <v>0</v>
      </c>
      <c r="E145" s="1" t="b">
        <f t="shared" si="2"/>
        <v>1</v>
      </c>
      <c r="F145" s="7"/>
    </row>
    <row r="146" spans="1:6">
      <c r="A146" s="1" t="s">
        <v>151</v>
      </c>
      <c r="B146" s="1" t="s">
        <v>247</v>
      </c>
      <c r="C146" s="1">
        <f>VLOOKUP(A146,'[1]MGM Tally'!J:L,3,FALSE)</f>
        <v>0</v>
      </c>
      <c r="D146" s="1">
        <f>VLOOKUP(A146,'[1]MGM NS'!J:K,2,FALSE)</f>
        <v>0</v>
      </c>
      <c r="E146" s="1" t="b">
        <f t="shared" si="2"/>
        <v>1</v>
      </c>
      <c r="F146" s="7"/>
    </row>
    <row r="147" spans="1:6">
      <c r="A147" s="1" t="s">
        <v>152</v>
      </c>
      <c r="B147" s="1" t="s">
        <v>247</v>
      </c>
      <c r="C147" s="1">
        <f>VLOOKUP(A147,'[1]MGM Tally'!J:L,3,FALSE)</f>
        <v>0</v>
      </c>
      <c r="D147" s="1">
        <f>VLOOKUP(A147,'[1]MGM NS'!J:K,2,FALSE)</f>
        <v>0</v>
      </c>
      <c r="E147" s="1" t="b">
        <f t="shared" si="2"/>
        <v>1</v>
      </c>
      <c r="F147" s="7"/>
    </row>
    <row r="148" spans="1:6">
      <c r="A148" s="1" t="s">
        <v>153</v>
      </c>
      <c r="B148" s="1" t="s">
        <v>247</v>
      </c>
      <c r="C148" s="1">
        <f>VLOOKUP(A148,'[1]MGM Tally'!J:L,3,FALSE)</f>
        <v>0</v>
      </c>
      <c r="D148" s="1">
        <f>VLOOKUP(A148,'[1]MGM NS'!J:K,2,FALSE)</f>
        <v>0</v>
      </c>
      <c r="E148" s="1" t="b">
        <f t="shared" si="2"/>
        <v>1</v>
      </c>
      <c r="F148" s="7"/>
    </row>
    <row r="149" spans="1:6">
      <c r="A149" s="1" t="s">
        <v>154</v>
      </c>
      <c r="B149" s="1" t="s">
        <v>247</v>
      </c>
      <c r="C149" s="1">
        <f>VLOOKUP(A149,'[1]MGM Tally'!J:L,3,FALSE)</f>
        <v>0</v>
      </c>
      <c r="D149" s="1">
        <f>VLOOKUP(A149,'[1]MGM NS'!J:K,2,FALSE)</f>
        <v>0</v>
      </c>
      <c r="E149" s="1" t="b">
        <f t="shared" si="2"/>
        <v>1</v>
      </c>
      <c r="F149" s="7"/>
    </row>
    <row r="150" spans="1:6">
      <c r="A150" s="1" t="s">
        <v>155</v>
      </c>
      <c r="B150" s="1" t="s">
        <v>247</v>
      </c>
      <c r="C150" s="1">
        <f>VLOOKUP(A150,'[1]MGM Tally'!J:L,3,FALSE)</f>
        <v>0</v>
      </c>
      <c r="D150" s="1">
        <f>VLOOKUP(A150,'[1]MGM NS'!J:K,2,FALSE)</f>
        <v>0</v>
      </c>
      <c r="E150" s="1" t="b">
        <f t="shared" si="2"/>
        <v>1</v>
      </c>
      <c r="F150" s="7"/>
    </row>
    <row r="151" spans="1:6">
      <c r="A151" s="1" t="s">
        <v>156</v>
      </c>
      <c r="B151" s="1" t="s">
        <v>247</v>
      </c>
      <c r="C151" s="1">
        <f>VLOOKUP(A151,'[1]MGM Tally'!J:L,3,FALSE)</f>
        <v>0</v>
      </c>
      <c r="D151" s="1">
        <f>VLOOKUP(A151,'[1]MGM NS'!J:K,2,FALSE)</f>
        <v>0</v>
      </c>
      <c r="E151" s="1" t="b">
        <f t="shared" si="2"/>
        <v>1</v>
      </c>
      <c r="F151" s="7"/>
    </row>
    <row r="152" spans="1:6">
      <c r="A152" s="1" t="s">
        <v>157</v>
      </c>
      <c r="B152" s="1" t="s">
        <v>247</v>
      </c>
      <c r="C152" s="1">
        <f>VLOOKUP(A152,'[1]MGM Tally'!J:L,3,FALSE)</f>
        <v>0</v>
      </c>
      <c r="D152" s="1">
        <f>VLOOKUP(A152,'[1]MGM NS'!J:K,2,FALSE)</f>
        <v>0</v>
      </c>
      <c r="E152" s="1" t="b">
        <f t="shared" si="2"/>
        <v>1</v>
      </c>
      <c r="F152" s="7"/>
    </row>
    <row r="153" spans="1:6">
      <c r="A153" s="1" t="s">
        <v>158</v>
      </c>
      <c r="B153" s="1" t="s">
        <v>247</v>
      </c>
      <c r="C153" s="1">
        <f>VLOOKUP(A153,'[1]MGM Tally'!J:L,3,FALSE)</f>
        <v>0</v>
      </c>
      <c r="D153" s="1">
        <f>VLOOKUP(A153,'[1]MGM NS'!J:K,2,FALSE)</f>
        <v>0</v>
      </c>
      <c r="E153" s="1" t="b">
        <f t="shared" si="2"/>
        <v>1</v>
      </c>
      <c r="F153" s="7"/>
    </row>
    <row r="154" spans="1:6">
      <c r="A154" s="1" t="s">
        <v>159</v>
      </c>
      <c r="B154" s="1" t="s">
        <v>247</v>
      </c>
      <c r="C154" s="1">
        <f>VLOOKUP(A154,'[1]MGM Tally'!J:L,3,FALSE)</f>
        <v>0</v>
      </c>
      <c r="D154" s="1">
        <f>VLOOKUP(A154,'[1]MGM NS'!J:K,2,FALSE)</f>
        <v>0</v>
      </c>
      <c r="E154" s="1" t="b">
        <f t="shared" si="2"/>
        <v>1</v>
      </c>
      <c r="F154" s="7"/>
    </row>
    <row r="155" spans="1:6">
      <c r="A155" s="1" t="s">
        <v>160</v>
      </c>
      <c r="B155" s="1" t="s">
        <v>247</v>
      </c>
      <c r="C155" s="1">
        <f>VLOOKUP(A155,'[1]MGM Tally'!J:L,3,FALSE)</f>
        <v>0</v>
      </c>
      <c r="D155" s="1">
        <f>VLOOKUP(A155,'[1]MGM NS'!J:K,2,FALSE)</f>
        <v>0</v>
      </c>
      <c r="E155" s="1" t="b">
        <f t="shared" si="2"/>
        <v>1</v>
      </c>
      <c r="F155" s="7"/>
    </row>
    <row r="156" spans="1:6">
      <c r="A156" s="1" t="s">
        <v>161</v>
      </c>
      <c r="B156" s="1" t="s">
        <v>247</v>
      </c>
      <c r="C156" s="1">
        <f>VLOOKUP(A156,'[1]MGM Tally'!J:L,3,FALSE)</f>
        <v>0</v>
      </c>
      <c r="D156" s="1">
        <f>VLOOKUP(A156,'[1]MGM NS'!J:K,2,FALSE)</f>
        <v>0</v>
      </c>
      <c r="E156" s="1" t="b">
        <f t="shared" si="2"/>
        <v>1</v>
      </c>
      <c r="F156" s="7"/>
    </row>
    <row r="157" spans="1:6">
      <c r="A157" s="1" t="s">
        <v>162</v>
      </c>
      <c r="B157" s="1" t="s">
        <v>247</v>
      </c>
      <c r="C157" s="1">
        <f>VLOOKUP(A157,'[1]MGM Tally'!J:L,3,FALSE)</f>
        <v>0</v>
      </c>
      <c r="D157" s="1">
        <f>VLOOKUP(A157,'[1]MGM NS'!J:K,2,FALSE)</f>
        <v>0</v>
      </c>
      <c r="E157" s="1" t="b">
        <f t="shared" si="2"/>
        <v>1</v>
      </c>
      <c r="F157" s="7"/>
    </row>
    <row r="158" spans="1:6">
      <c r="A158" s="1" t="s">
        <v>163</v>
      </c>
      <c r="B158" s="1" t="s">
        <v>247</v>
      </c>
      <c r="C158" s="1">
        <f>VLOOKUP(A158,'[1]MGM Tally'!J:L,3,FALSE)</f>
        <v>0</v>
      </c>
      <c r="D158" s="1">
        <f>VLOOKUP(A158,'[1]MGM NS'!J:K,2,FALSE)</f>
        <v>0</v>
      </c>
      <c r="E158" s="1" t="b">
        <f t="shared" si="2"/>
        <v>1</v>
      </c>
      <c r="F158" s="7"/>
    </row>
    <row r="159" spans="1:6">
      <c r="A159" s="1" t="s">
        <v>164</v>
      </c>
      <c r="B159" s="1" t="s">
        <v>247</v>
      </c>
      <c r="C159" s="1">
        <f>VLOOKUP(A159,'[1]MGM Tally'!J:L,3,FALSE)</f>
        <v>0</v>
      </c>
      <c r="D159" s="1">
        <f>VLOOKUP(A159,'[1]MGM NS'!J:K,2,FALSE)</f>
        <v>0</v>
      </c>
      <c r="E159" s="1" t="b">
        <f t="shared" si="2"/>
        <v>1</v>
      </c>
      <c r="F159" s="7"/>
    </row>
    <row r="160" spans="1:6">
      <c r="A160" s="1" t="s">
        <v>165</v>
      </c>
      <c r="B160" s="1" t="s">
        <v>247</v>
      </c>
      <c r="C160" s="1">
        <f>VLOOKUP(A160,'[1]MGM Tally'!J:L,3,FALSE)</f>
        <v>0</v>
      </c>
      <c r="D160" s="1">
        <f>VLOOKUP(A160,'[1]MGM NS'!J:K,2,FALSE)</f>
        <v>0</v>
      </c>
      <c r="E160" s="1" t="b">
        <f t="shared" si="2"/>
        <v>1</v>
      </c>
      <c r="F160" s="7"/>
    </row>
    <row r="161" spans="1:6">
      <c r="A161" s="1" t="s">
        <v>166</v>
      </c>
      <c r="B161" s="1" t="s">
        <v>247</v>
      </c>
      <c r="C161" s="1">
        <f>VLOOKUP(A161,'[1]MGM Tally'!J:L,3,FALSE)</f>
        <v>0</v>
      </c>
      <c r="D161" s="1">
        <f>VLOOKUP(A161,'[1]MGM NS'!J:K,2,FALSE)</f>
        <v>0</v>
      </c>
      <c r="E161" s="1" t="b">
        <f t="shared" si="2"/>
        <v>1</v>
      </c>
      <c r="F161" s="7"/>
    </row>
    <row r="162" spans="1:6">
      <c r="A162" s="1" t="s">
        <v>167</v>
      </c>
      <c r="B162" s="1" t="s">
        <v>247</v>
      </c>
      <c r="C162" s="1">
        <f>VLOOKUP(A162,'[1]MGM Tally'!J:L,3,FALSE)</f>
        <v>0</v>
      </c>
      <c r="D162" s="1">
        <f>VLOOKUP(A162,'[1]MGM NS'!J:K,2,FALSE)</f>
        <v>0</v>
      </c>
      <c r="E162" s="1" t="b">
        <f t="shared" si="2"/>
        <v>1</v>
      </c>
      <c r="F162" s="7"/>
    </row>
    <row r="163" spans="1:6">
      <c r="A163" s="1" t="s">
        <v>168</v>
      </c>
      <c r="B163" s="1" t="s">
        <v>247</v>
      </c>
      <c r="C163" s="1">
        <f>VLOOKUP(A163,'[1]MGM Tally'!J:L,3,FALSE)</f>
        <v>0</v>
      </c>
      <c r="D163" s="1">
        <f>VLOOKUP(A163,'[1]MGM NS'!J:K,2,FALSE)</f>
        <v>0</v>
      </c>
      <c r="E163" s="1" t="b">
        <f t="shared" si="2"/>
        <v>1</v>
      </c>
      <c r="F163" s="7"/>
    </row>
    <row r="164" spans="1:6">
      <c r="A164" s="1" t="s">
        <v>169</v>
      </c>
      <c r="B164" s="1" t="s">
        <v>247</v>
      </c>
      <c r="C164" s="1">
        <f>VLOOKUP(A164,'[1]MGM Tally'!J:L,3,FALSE)</f>
        <v>0</v>
      </c>
      <c r="D164" s="1">
        <f>VLOOKUP(A164,'[1]MGM NS'!J:K,2,FALSE)</f>
        <v>0</v>
      </c>
      <c r="E164" s="1" t="b">
        <f t="shared" si="2"/>
        <v>1</v>
      </c>
      <c r="F164" s="7"/>
    </row>
    <row r="165" spans="1:6">
      <c r="A165" s="1" t="s">
        <v>170</v>
      </c>
      <c r="B165" s="1" t="s">
        <v>247</v>
      </c>
      <c r="C165" s="1">
        <f>VLOOKUP(A165,'[1]MGM Tally'!J:L,3,FALSE)</f>
        <v>0</v>
      </c>
      <c r="D165" s="1">
        <f>VLOOKUP(A165,'[1]MGM NS'!J:K,2,FALSE)</f>
        <v>0</v>
      </c>
      <c r="E165" s="1" t="b">
        <f t="shared" si="2"/>
        <v>1</v>
      </c>
      <c r="F165" s="7"/>
    </row>
    <row r="166" spans="1:6">
      <c r="A166" s="1" t="s">
        <v>171</v>
      </c>
      <c r="B166" s="1" t="s">
        <v>247</v>
      </c>
      <c r="C166" s="1">
        <f>VLOOKUP(A166,'[1]MGM Tally'!J:L,3,FALSE)</f>
        <v>0</v>
      </c>
      <c r="D166" s="1">
        <f>VLOOKUP(A166,'[1]MGM NS'!J:K,2,FALSE)</f>
        <v>0</v>
      </c>
      <c r="E166" s="1" t="b">
        <f t="shared" si="2"/>
        <v>1</v>
      </c>
      <c r="F166" s="7"/>
    </row>
    <row r="167" spans="1:6">
      <c r="A167" s="1" t="s">
        <v>172</v>
      </c>
      <c r="B167" s="1" t="s">
        <v>247</v>
      </c>
      <c r="C167" s="1">
        <f>VLOOKUP(A167,'[1]MGM Tally'!J:L,3,FALSE)</f>
        <v>0</v>
      </c>
      <c r="D167" s="1">
        <f>VLOOKUP(A167,'[1]MGM NS'!J:K,2,FALSE)</f>
        <v>0</v>
      </c>
      <c r="E167" s="1" t="b">
        <f t="shared" si="2"/>
        <v>1</v>
      </c>
      <c r="F167" s="7"/>
    </row>
    <row r="168" spans="1:6">
      <c r="A168" s="1" t="s">
        <v>173</v>
      </c>
      <c r="B168" s="1" t="s">
        <v>247</v>
      </c>
      <c r="C168" s="1">
        <f>VLOOKUP(A168,'[1]MGM Tally'!J:L,3,FALSE)</f>
        <v>0</v>
      </c>
      <c r="D168" s="1">
        <f>VLOOKUP(A168,'[1]MGM NS'!J:K,2,FALSE)</f>
        <v>0</v>
      </c>
      <c r="E168" s="1" t="b">
        <f t="shared" si="2"/>
        <v>1</v>
      </c>
      <c r="F168" s="7"/>
    </row>
    <row r="169" spans="1:6">
      <c r="A169" s="1" t="s">
        <v>174</v>
      </c>
      <c r="B169" s="1" t="s">
        <v>247</v>
      </c>
      <c r="C169" s="1">
        <f>VLOOKUP(A169,'[1]MGM Tally'!J:L,3,FALSE)</f>
        <v>0</v>
      </c>
      <c r="D169" s="1">
        <f>VLOOKUP(A169,'[1]MGM NS'!J:K,2,FALSE)</f>
        <v>0</v>
      </c>
      <c r="E169" s="1" t="b">
        <f t="shared" si="2"/>
        <v>1</v>
      </c>
      <c r="F169" s="7"/>
    </row>
    <row r="170" spans="1:6">
      <c r="A170" s="1" t="s">
        <v>175</v>
      </c>
      <c r="B170" s="1" t="s">
        <v>247</v>
      </c>
      <c r="C170" s="1">
        <f>VLOOKUP(A170,'[1]MGM Tally'!J:L,3,FALSE)</f>
        <v>0</v>
      </c>
      <c r="D170" s="1">
        <f>VLOOKUP(A170,'[1]MGM NS'!J:K,2,FALSE)</f>
        <v>0</v>
      </c>
      <c r="E170" s="1" t="b">
        <f t="shared" si="2"/>
        <v>1</v>
      </c>
      <c r="F170" s="7"/>
    </row>
    <row r="171" spans="1:6">
      <c r="A171" s="1" t="s">
        <v>176</v>
      </c>
      <c r="B171" s="1" t="s">
        <v>247</v>
      </c>
      <c r="C171" s="1">
        <f>VLOOKUP(A171,'[1]MGM Tally'!J:L,3,FALSE)</f>
        <v>0</v>
      </c>
      <c r="D171" s="1">
        <f>VLOOKUP(A171,'[1]MGM NS'!J:K,2,FALSE)</f>
        <v>0</v>
      </c>
      <c r="E171" s="1" t="b">
        <f t="shared" si="2"/>
        <v>1</v>
      </c>
      <c r="F171" s="7"/>
    </row>
    <row r="172" spans="1:6">
      <c r="A172" s="1" t="s">
        <v>177</v>
      </c>
      <c r="B172" s="1" t="s">
        <v>247</v>
      </c>
      <c r="C172" s="1">
        <f>VLOOKUP(A172,'[1]MGM Tally'!J:L,3,FALSE)</f>
        <v>0</v>
      </c>
      <c r="D172" s="1">
        <f>VLOOKUP(A172,'[1]MGM NS'!J:K,2,FALSE)</f>
        <v>0</v>
      </c>
      <c r="E172" s="1" t="b">
        <f t="shared" si="2"/>
        <v>1</v>
      </c>
      <c r="F172" s="7"/>
    </row>
    <row r="173" spans="1:6">
      <c r="A173" s="1" t="s">
        <v>178</v>
      </c>
      <c r="B173" s="1" t="s">
        <v>247</v>
      </c>
      <c r="C173" s="1">
        <f>VLOOKUP(A173,'[1]MGM Tally'!J:L,3,FALSE)</f>
        <v>0</v>
      </c>
      <c r="D173" s="1">
        <f>VLOOKUP(A173,'[1]MGM NS'!J:K,2,FALSE)</f>
        <v>0</v>
      </c>
      <c r="E173" s="1" t="b">
        <f t="shared" si="2"/>
        <v>1</v>
      </c>
      <c r="F173" s="7"/>
    </row>
    <row r="174" spans="1:6">
      <c r="A174" s="1" t="s">
        <v>179</v>
      </c>
      <c r="B174" s="1" t="s">
        <v>247</v>
      </c>
      <c r="C174" s="1">
        <f>VLOOKUP(A174,'[1]MGM Tally'!J:L,3,FALSE)</f>
        <v>0</v>
      </c>
      <c r="D174" s="1">
        <f>VLOOKUP(A174,'[1]MGM NS'!J:K,2,FALSE)</f>
        <v>0</v>
      </c>
      <c r="E174" s="1" t="b">
        <f t="shared" si="2"/>
        <v>1</v>
      </c>
      <c r="F174" s="7"/>
    </row>
    <row r="175" spans="1:6">
      <c r="A175" s="1" t="s">
        <v>180</v>
      </c>
      <c r="B175" s="1" t="s">
        <v>247</v>
      </c>
      <c r="C175" s="1">
        <f>VLOOKUP(A175,'[1]MGM Tally'!J:L,3,FALSE)</f>
        <v>0</v>
      </c>
      <c r="D175" s="1">
        <f>VLOOKUP(A175,'[1]MGM NS'!J:K,2,FALSE)</f>
        <v>0</v>
      </c>
      <c r="E175" s="1" t="b">
        <f t="shared" si="2"/>
        <v>1</v>
      </c>
      <c r="F175" s="7"/>
    </row>
    <row r="176" spans="1:6">
      <c r="A176" s="1" t="s">
        <v>181</v>
      </c>
      <c r="B176" s="1" t="s">
        <v>247</v>
      </c>
      <c r="C176" s="1">
        <f>VLOOKUP(A176,'[1]MGM Tally'!J:L,3,FALSE)</f>
        <v>0</v>
      </c>
      <c r="D176" s="1">
        <f>VLOOKUP(A176,'[1]MGM NS'!J:K,2,FALSE)</f>
        <v>0</v>
      </c>
      <c r="E176" s="1" t="b">
        <f t="shared" si="2"/>
        <v>1</v>
      </c>
      <c r="F176" s="7"/>
    </row>
    <row r="177" spans="1:6">
      <c r="A177" s="1" t="s">
        <v>182</v>
      </c>
      <c r="B177" s="1" t="s">
        <v>247</v>
      </c>
      <c r="C177" s="1">
        <f>VLOOKUP(A177,'[1]MGM Tally'!J:L,3,FALSE)</f>
        <v>0</v>
      </c>
      <c r="D177" s="1">
        <f>VLOOKUP(A177,'[1]MGM NS'!J:K,2,FALSE)</f>
        <v>0</v>
      </c>
      <c r="E177" s="1" t="b">
        <f t="shared" si="2"/>
        <v>1</v>
      </c>
      <c r="F177" s="7"/>
    </row>
    <row r="178" spans="1:6">
      <c r="A178" s="1" t="s">
        <v>183</v>
      </c>
      <c r="B178" s="1" t="s">
        <v>247</v>
      </c>
      <c r="C178" s="1">
        <f>VLOOKUP(A178,'[1]MGM Tally'!J:L,3,FALSE)</f>
        <v>0</v>
      </c>
      <c r="D178" s="1">
        <f>VLOOKUP(A178,'[1]MGM NS'!J:K,2,FALSE)</f>
        <v>0</v>
      </c>
      <c r="E178" s="1" t="b">
        <f t="shared" si="2"/>
        <v>1</v>
      </c>
      <c r="F178" s="7"/>
    </row>
    <row r="179" spans="1:6">
      <c r="A179" s="1" t="s">
        <v>184</v>
      </c>
      <c r="B179" s="1" t="s">
        <v>247</v>
      </c>
      <c r="C179" s="1">
        <f>VLOOKUP(A179,'[1]MGM Tally'!J:L,3,FALSE)</f>
        <v>0</v>
      </c>
      <c r="D179" s="1">
        <f>VLOOKUP(A179,'[1]MGM NS'!J:K,2,FALSE)</f>
        <v>0</v>
      </c>
      <c r="E179" s="1" t="b">
        <f t="shared" si="2"/>
        <v>1</v>
      </c>
      <c r="F179" s="7"/>
    </row>
    <row r="180" spans="1:6">
      <c r="A180" s="1" t="s">
        <v>185</v>
      </c>
      <c r="B180" s="1" t="s">
        <v>247</v>
      </c>
      <c r="C180" s="1">
        <f>VLOOKUP(A180,'[1]MGM Tally'!J:L,3,FALSE)</f>
        <v>0</v>
      </c>
      <c r="D180" s="1">
        <f>VLOOKUP(A180,'[1]MGM NS'!J:K,2,FALSE)</f>
        <v>0</v>
      </c>
      <c r="E180" s="1" t="b">
        <f t="shared" si="2"/>
        <v>1</v>
      </c>
      <c r="F180" s="7"/>
    </row>
    <row r="181" spans="1:6">
      <c r="A181" s="1" t="s">
        <v>186</v>
      </c>
      <c r="B181" s="1" t="s">
        <v>247</v>
      </c>
      <c r="C181" s="1">
        <f>VLOOKUP(A181,'[1]MGM Tally'!J:L,3,FALSE)</f>
        <v>0</v>
      </c>
      <c r="D181" s="1">
        <f>VLOOKUP(A181,'[1]MGM NS'!J:K,2,FALSE)</f>
        <v>0</v>
      </c>
      <c r="E181" s="1" t="b">
        <f t="shared" si="2"/>
        <v>1</v>
      </c>
      <c r="F181" s="7"/>
    </row>
    <row r="182" spans="1:6">
      <c r="A182" s="1" t="s">
        <v>187</v>
      </c>
      <c r="B182" s="1" t="s">
        <v>247</v>
      </c>
      <c r="C182" s="1">
        <f>VLOOKUP(A182,'[1]MGM Tally'!J:L,3,FALSE)</f>
        <v>0</v>
      </c>
      <c r="D182" s="1">
        <f>VLOOKUP(A182,'[1]MGM NS'!J:K,2,FALSE)</f>
        <v>0</v>
      </c>
      <c r="E182" s="1" t="b">
        <f t="shared" si="2"/>
        <v>1</v>
      </c>
      <c r="F182" s="7"/>
    </row>
    <row r="183" spans="1:6">
      <c r="A183" s="1" t="s">
        <v>188</v>
      </c>
      <c r="B183" s="1" t="s">
        <v>247</v>
      </c>
      <c r="C183" s="1">
        <f>VLOOKUP(A183,'[1]MGM Tally'!J:L,3,FALSE)</f>
        <v>0</v>
      </c>
      <c r="D183" s="1">
        <f>VLOOKUP(A183,'[1]MGM NS'!J:K,2,FALSE)</f>
        <v>0</v>
      </c>
      <c r="E183" s="1" t="b">
        <f t="shared" si="2"/>
        <v>1</v>
      </c>
      <c r="F183" s="7"/>
    </row>
    <row r="184" spans="1:6">
      <c r="A184" s="1" t="s">
        <v>189</v>
      </c>
      <c r="B184" s="1" t="s">
        <v>247</v>
      </c>
      <c r="C184" s="1">
        <f>VLOOKUP(A184,'[1]MGM Tally'!J:L,3,FALSE)</f>
        <v>0</v>
      </c>
      <c r="D184" s="1">
        <f>VLOOKUP(A184,'[1]MGM NS'!J:K,2,FALSE)</f>
        <v>0</v>
      </c>
      <c r="E184" s="1" t="b">
        <f t="shared" si="2"/>
        <v>1</v>
      </c>
      <c r="F184" s="7"/>
    </row>
    <row r="185" spans="1:6">
      <c r="A185" s="1" t="s">
        <v>190</v>
      </c>
      <c r="B185" s="1" t="s">
        <v>247</v>
      </c>
      <c r="C185" s="1">
        <f>VLOOKUP(A185,'[1]MGM Tally'!J:L,3,FALSE)</f>
        <v>0</v>
      </c>
      <c r="D185" s="1">
        <f>VLOOKUP(A185,'[1]MGM NS'!J:K,2,FALSE)</f>
        <v>0</v>
      </c>
      <c r="E185" s="1" t="b">
        <f t="shared" si="2"/>
        <v>1</v>
      </c>
      <c r="F185" s="7"/>
    </row>
    <row r="186" spans="1:6">
      <c r="A186" s="1" t="s">
        <v>191</v>
      </c>
      <c r="B186" s="1" t="s">
        <v>247</v>
      </c>
      <c r="C186" s="1">
        <f>VLOOKUP(A186,'[1]MGM Tally'!J:L,3,FALSE)</f>
        <v>0</v>
      </c>
      <c r="D186" s="1">
        <f>VLOOKUP(A186,'[1]MGM NS'!J:K,2,FALSE)</f>
        <v>0</v>
      </c>
      <c r="E186" s="1" t="b">
        <f t="shared" si="2"/>
        <v>1</v>
      </c>
      <c r="F186" s="7"/>
    </row>
    <row r="187" spans="1:6">
      <c r="A187" s="1" t="s">
        <v>192</v>
      </c>
      <c r="B187" s="1" t="s">
        <v>247</v>
      </c>
      <c r="C187" s="1">
        <f>VLOOKUP(A187,'[1]MGM Tally'!J:L,3,FALSE)</f>
        <v>0</v>
      </c>
      <c r="D187" s="1">
        <f>VLOOKUP(A187,'[1]MGM NS'!J:K,2,FALSE)</f>
        <v>0</v>
      </c>
      <c r="E187" s="1" t="b">
        <f t="shared" si="2"/>
        <v>1</v>
      </c>
      <c r="F187" s="7"/>
    </row>
    <row r="188" spans="1:6">
      <c r="A188" s="1" t="s">
        <v>193</v>
      </c>
      <c r="B188" s="1" t="s">
        <v>247</v>
      </c>
      <c r="C188" s="1">
        <f>VLOOKUP(A188,'[1]MGM Tally'!J:L,3,FALSE)</f>
        <v>0</v>
      </c>
      <c r="D188" s="1">
        <f>VLOOKUP(A188,'[1]MGM NS'!J:K,2,FALSE)</f>
        <v>0</v>
      </c>
      <c r="E188" s="1" t="b">
        <f t="shared" si="2"/>
        <v>1</v>
      </c>
      <c r="F188" s="7"/>
    </row>
    <row r="189" spans="1:6">
      <c r="A189" s="1" t="s">
        <v>194</v>
      </c>
      <c r="B189" s="1" t="s">
        <v>247</v>
      </c>
      <c r="C189" s="1">
        <f>VLOOKUP(A189,'[1]MGM Tally'!J:L,3,FALSE)</f>
        <v>0</v>
      </c>
      <c r="D189" s="1">
        <f>VLOOKUP(A189,'[1]MGM NS'!J:K,2,FALSE)</f>
        <v>0</v>
      </c>
      <c r="E189" s="1" t="b">
        <f t="shared" si="2"/>
        <v>1</v>
      </c>
      <c r="F189" s="7"/>
    </row>
    <row r="190" spans="1:6">
      <c r="A190" s="1" t="s">
        <v>195</v>
      </c>
      <c r="B190" s="1" t="s">
        <v>247</v>
      </c>
      <c r="C190" s="1">
        <f>VLOOKUP(A190,'[1]MGM Tally'!J:L,3,FALSE)</f>
        <v>0</v>
      </c>
      <c r="D190" s="1">
        <f>VLOOKUP(A190,'[1]MGM NS'!J:K,2,FALSE)</f>
        <v>0</v>
      </c>
      <c r="E190" s="1" t="b">
        <f t="shared" si="2"/>
        <v>1</v>
      </c>
      <c r="F190" s="7"/>
    </row>
    <row r="191" spans="1:6">
      <c r="A191" s="1" t="s">
        <v>196</v>
      </c>
      <c r="B191" s="1" t="s">
        <v>247</v>
      </c>
      <c r="C191" s="1">
        <f>VLOOKUP(A191,'[1]MGM Tally'!J:L,3,FALSE)</f>
        <v>0</v>
      </c>
      <c r="D191" s="1">
        <f>VLOOKUP(A191,'[1]MGM NS'!J:K,2,FALSE)</f>
        <v>0</v>
      </c>
      <c r="E191" s="1" t="b">
        <f t="shared" si="2"/>
        <v>1</v>
      </c>
      <c r="F191" s="7"/>
    </row>
    <row r="192" spans="1:6">
      <c r="A192" s="1" t="s">
        <v>197</v>
      </c>
      <c r="B192" s="1" t="s">
        <v>247</v>
      </c>
      <c r="C192" s="1">
        <f>VLOOKUP(A192,'[1]MGM Tally'!J:L,3,FALSE)</f>
        <v>0</v>
      </c>
      <c r="D192" s="1">
        <f>VLOOKUP(A192,'[1]MGM NS'!J:K,2,FALSE)</f>
        <v>0</v>
      </c>
      <c r="E192" s="1" t="b">
        <f t="shared" si="2"/>
        <v>1</v>
      </c>
      <c r="F192" s="7"/>
    </row>
    <row r="193" spans="1:6">
      <c r="A193" s="1" t="s">
        <v>198</v>
      </c>
      <c r="B193" s="1" t="s">
        <v>247</v>
      </c>
      <c r="C193" s="1">
        <f>VLOOKUP(A193,'[1]MGM Tally'!J:L,3,FALSE)</f>
        <v>0</v>
      </c>
      <c r="D193" s="1">
        <f>VLOOKUP(A193,'[1]MGM NS'!J:K,2,FALSE)</f>
        <v>0</v>
      </c>
      <c r="E193" s="1" t="b">
        <f t="shared" si="2"/>
        <v>1</v>
      </c>
      <c r="F193" s="7"/>
    </row>
    <row r="194" spans="1:6">
      <c r="A194" s="1" t="s">
        <v>199</v>
      </c>
      <c r="B194" s="1" t="s">
        <v>247</v>
      </c>
      <c r="C194" s="1">
        <f>VLOOKUP(A194,'[1]MGM Tally'!J:L,3,FALSE)</f>
        <v>0</v>
      </c>
      <c r="D194" s="1">
        <f>VLOOKUP(A194,'[1]MGM NS'!J:K,2,FALSE)</f>
        <v>0</v>
      </c>
      <c r="E194" s="1" t="b">
        <f t="shared" ref="E194:E240" si="3">IF(ABS(C194)=ABS(D194),TRUE,FALSE)</f>
        <v>1</v>
      </c>
      <c r="F194" s="7"/>
    </row>
    <row r="195" spans="1:6">
      <c r="A195" s="1" t="s">
        <v>200</v>
      </c>
      <c r="B195" s="1" t="s">
        <v>247</v>
      </c>
      <c r="C195" s="1">
        <f>VLOOKUP(A195,'[1]MGM Tally'!J:L,3,FALSE)</f>
        <v>0</v>
      </c>
      <c r="D195" s="1">
        <f>VLOOKUP(A195,'[1]MGM NS'!J:K,2,FALSE)</f>
        <v>0</v>
      </c>
      <c r="E195" s="1" t="b">
        <f t="shared" si="3"/>
        <v>1</v>
      </c>
      <c r="F195" s="7"/>
    </row>
    <row r="196" spans="1:6">
      <c r="A196" s="1" t="s">
        <v>201</v>
      </c>
      <c r="B196" s="1" t="s">
        <v>247</v>
      </c>
      <c r="C196" s="1">
        <f>VLOOKUP(A196,'[1]MGM Tally'!J:L,3,FALSE)</f>
        <v>0</v>
      </c>
      <c r="D196" s="1">
        <f>VLOOKUP(A196,'[1]MGM NS'!J:K,2,FALSE)</f>
        <v>0</v>
      </c>
      <c r="E196" s="1" t="b">
        <f t="shared" si="3"/>
        <v>1</v>
      </c>
      <c r="F196" s="7"/>
    </row>
    <row r="197" spans="1:6">
      <c r="A197" s="1" t="s">
        <v>202</v>
      </c>
      <c r="B197" s="1" t="s">
        <v>247</v>
      </c>
      <c r="C197" s="1">
        <f>VLOOKUP(A197,'[1]MGM Tally'!J:L,3,FALSE)</f>
        <v>0</v>
      </c>
      <c r="D197" s="1">
        <f>VLOOKUP(A197,'[1]MGM NS'!J:K,2,FALSE)</f>
        <v>0</v>
      </c>
      <c r="E197" s="1" t="b">
        <f t="shared" si="3"/>
        <v>1</v>
      </c>
      <c r="F197" s="7"/>
    </row>
    <row r="198" spans="1:6">
      <c r="A198" s="1" t="s">
        <v>203</v>
      </c>
      <c r="B198" s="1" t="s">
        <v>247</v>
      </c>
      <c r="C198" s="1">
        <f>VLOOKUP(A198,'[1]MGM Tally'!J:L,3,FALSE)</f>
        <v>0</v>
      </c>
      <c r="D198" s="1">
        <f>VLOOKUP(A198,'[1]MGM NS'!J:K,2,FALSE)</f>
        <v>0</v>
      </c>
      <c r="E198" s="1" t="b">
        <f t="shared" si="3"/>
        <v>1</v>
      </c>
      <c r="F198" s="7"/>
    </row>
    <row r="199" spans="1:6">
      <c r="A199" s="1" t="s">
        <v>204</v>
      </c>
      <c r="B199" s="1" t="s">
        <v>247</v>
      </c>
      <c r="C199" s="1">
        <f>VLOOKUP(A199,'[1]MGM Tally'!J:L,3,FALSE)</f>
        <v>0</v>
      </c>
      <c r="D199" s="1">
        <f>VLOOKUP(A199,'[1]MGM NS'!J:K,2,FALSE)</f>
        <v>0</v>
      </c>
      <c r="E199" s="1" t="b">
        <f t="shared" si="3"/>
        <v>1</v>
      </c>
      <c r="F199" s="7"/>
    </row>
    <row r="200" spans="1:6">
      <c r="A200" s="1" t="s">
        <v>205</v>
      </c>
      <c r="B200" s="1" t="s">
        <v>247</v>
      </c>
      <c r="C200" s="1">
        <f>VLOOKUP(A200,'[1]MGM Tally'!J:L,3,FALSE)</f>
        <v>0</v>
      </c>
      <c r="D200" s="1">
        <f>VLOOKUP(A200,'[1]MGM NS'!J:K,2,FALSE)</f>
        <v>0</v>
      </c>
      <c r="E200" s="1" t="b">
        <f t="shared" si="3"/>
        <v>1</v>
      </c>
      <c r="F200" s="7"/>
    </row>
    <row r="201" spans="1:6">
      <c r="A201" s="1" t="s">
        <v>206</v>
      </c>
      <c r="B201" s="1" t="s">
        <v>247</v>
      </c>
      <c r="C201" s="1">
        <f>VLOOKUP(A201,'[1]MGM Tally'!J:L,3,FALSE)</f>
        <v>0</v>
      </c>
      <c r="D201" s="1">
        <f>VLOOKUP(A201,'[1]MGM NS'!J:K,2,FALSE)</f>
        <v>0</v>
      </c>
      <c r="E201" s="1" t="b">
        <f t="shared" si="3"/>
        <v>1</v>
      </c>
      <c r="F201" s="7"/>
    </row>
    <row r="202" spans="1:6">
      <c r="A202" s="1" t="s">
        <v>207</v>
      </c>
      <c r="B202" s="1" t="s">
        <v>247</v>
      </c>
      <c r="C202" s="1">
        <f>VLOOKUP(A202,'[1]MGM Tally'!J:L,3,FALSE)</f>
        <v>0</v>
      </c>
      <c r="D202" s="1">
        <f>VLOOKUP(A202,'[1]MGM NS'!J:K,2,FALSE)</f>
        <v>0</v>
      </c>
      <c r="E202" s="1" t="b">
        <f t="shared" si="3"/>
        <v>1</v>
      </c>
      <c r="F202" s="7"/>
    </row>
    <row r="203" spans="1:6">
      <c r="A203" s="1" t="s">
        <v>208</v>
      </c>
      <c r="B203" s="1" t="s">
        <v>247</v>
      </c>
      <c r="C203" s="1">
        <f>VLOOKUP(A203,'[1]MGM Tally'!J:L,3,FALSE)</f>
        <v>0</v>
      </c>
      <c r="D203" s="1">
        <f>VLOOKUP(A203,'[1]MGM NS'!J:K,2,FALSE)</f>
        <v>0</v>
      </c>
      <c r="E203" s="1" t="b">
        <f t="shared" si="3"/>
        <v>1</v>
      </c>
      <c r="F203" s="7"/>
    </row>
    <row r="204" spans="1:6">
      <c r="A204" s="1" t="s">
        <v>209</v>
      </c>
      <c r="B204" s="1" t="s">
        <v>247</v>
      </c>
      <c r="C204" s="1">
        <f>VLOOKUP(A204,'[1]MGM Tally'!J:L,3,FALSE)</f>
        <v>0</v>
      </c>
      <c r="D204" s="1">
        <f>VLOOKUP(A204,'[1]MGM NS'!J:K,2,FALSE)</f>
        <v>0</v>
      </c>
      <c r="E204" s="1" t="b">
        <f t="shared" si="3"/>
        <v>1</v>
      </c>
      <c r="F204" s="7"/>
    </row>
    <row r="205" spans="1:6">
      <c r="A205" s="1" t="s">
        <v>210</v>
      </c>
      <c r="B205" s="1" t="s">
        <v>247</v>
      </c>
      <c r="C205" s="1">
        <f>VLOOKUP(A205,'[1]MGM Tally'!J:L,3,FALSE)</f>
        <v>0</v>
      </c>
      <c r="D205" s="1">
        <f>VLOOKUP(A205,'[1]MGM NS'!J:K,2,FALSE)</f>
        <v>0</v>
      </c>
      <c r="E205" s="1" t="b">
        <f t="shared" si="3"/>
        <v>1</v>
      </c>
      <c r="F205" s="7"/>
    </row>
    <row r="206" spans="1:6">
      <c r="A206" s="1" t="s">
        <v>211</v>
      </c>
      <c r="B206" s="1" t="s">
        <v>247</v>
      </c>
      <c r="C206" s="1">
        <f>VLOOKUP(A206,'[1]MGM Tally'!J:L,3,FALSE)</f>
        <v>0</v>
      </c>
      <c r="D206" s="1">
        <f>VLOOKUP(A206,'[1]MGM NS'!J:K,2,FALSE)</f>
        <v>0</v>
      </c>
      <c r="E206" s="1" t="b">
        <f t="shared" si="3"/>
        <v>1</v>
      </c>
      <c r="F206" s="7"/>
    </row>
    <row r="207" spans="1:6">
      <c r="A207" s="1" t="s">
        <v>212</v>
      </c>
      <c r="B207" s="1" t="s">
        <v>247</v>
      </c>
      <c r="C207" s="1">
        <f>VLOOKUP(A207,'[1]MGM Tally'!J:L,3,FALSE)</f>
        <v>0</v>
      </c>
      <c r="D207" s="1">
        <f>VLOOKUP(A207,'[1]MGM NS'!J:K,2,FALSE)</f>
        <v>0</v>
      </c>
      <c r="E207" s="1" t="b">
        <f t="shared" si="3"/>
        <v>1</v>
      </c>
      <c r="F207" s="7"/>
    </row>
    <row r="208" spans="1:6">
      <c r="A208" s="1" t="s">
        <v>213</v>
      </c>
      <c r="B208" s="1" t="s">
        <v>247</v>
      </c>
      <c r="C208" s="1">
        <f>VLOOKUP(A208,'[1]MGM Tally'!J:L,3,FALSE)</f>
        <v>0</v>
      </c>
      <c r="D208" s="1">
        <f>VLOOKUP(A208,'[1]MGM NS'!J:K,2,FALSE)</f>
        <v>0</v>
      </c>
      <c r="E208" s="1" t="b">
        <f t="shared" si="3"/>
        <v>1</v>
      </c>
      <c r="F208" s="7"/>
    </row>
    <row r="209" spans="1:6">
      <c r="A209" s="1" t="s">
        <v>214</v>
      </c>
      <c r="B209" s="1" t="s">
        <v>247</v>
      </c>
      <c r="C209" s="1">
        <f>VLOOKUP(A209,'[1]MGM Tally'!J:L,3,FALSE)</f>
        <v>0</v>
      </c>
      <c r="D209" s="1">
        <f>VLOOKUP(A209,'[1]MGM NS'!J:K,2,FALSE)</f>
        <v>0</v>
      </c>
      <c r="E209" s="1" t="b">
        <f t="shared" si="3"/>
        <v>1</v>
      </c>
      <c r="F209" s="7"/>
    </row>
    <row r="210" spans="1:6">
      <c r="A210" s="1" t="s">
        <v>215</v>
      </c>
      <c r="B210" s="1" t="s">
        <v>247</v>
      </c>
      <c r="C210" s="1">
        <f>VLOOKUP(A210,'[1]MGM Tally'!J:L,3,FALSE)</f>
        <v>0</v>
      </c>
      <c r="D210" s="1">
        <f>VLOOKUP(A210,'[1]MGM NS'!J:K,2,FALSE)</f>
        <v>0</v>
      </c>
      <c r="E210" s="1" t="b">
        <f t="shared" si="3"/>
        <v>1</v>
      </c>
      <c r="F210" s="7"/>
    </row>
    <row r="211" spans="1:6">
      <c r="A211" s="1" t="s">
        <v>216</v>
      </c>
      <c r="B211" s="1" t="s">
        <v>247</v>
      </c>
      <c r="C211" s="1">
        <f>VLOOKUP(A211,'[1]MGM Tally'!J:L,3,FALSE)</f>
        <v>0</v>
      </c>
      <c r="D211" s="1">
        <f>VLOOKUP(A211,'[1]MGM NS'!J:K,2,FALSE)</f>
        <v>0</v>
      </c>
      <c r="E211" s="1" t="b">
        <f t="shared" si="3"/>
        <v>1</v>
      </c>
      <c r="F211" s="7"/>
    </row>
    <row r="212" spans="1:6">
      <c r="A212" s="1" t="s">
        <v>217</v>
      </c>
      <c r="B212" s="1" t="s">
        <v>247</v>
      </c>
      <c r="C212" s="1">
        <f>VLOOKUP(A212,'[1]MGM Tally'!J:L,3,FALSE)</f>
        <v>0</v>
      </c>
      <c r="D212" s="1">
        <f>VLOOKUP(A212,'[1]MGM NS'!J:K,2,FALSE)</f>
        <v>0</v>
      </c>
      <c r="E212" s="1" t="b">
        <f t="shared" si="3"/>
        <v>1</v>
      </c>
      <c r="F212" s="7"/>
    </row>
    <row r="213" spans="1:6">
      <c r="A213" s="1" t="s">
        <v>218</v>
      </c>
      <c r="B213" s="1" t="s">
        <v>247</v>
      </c>
      <c r="C213" s="1">
        <f>VLOOKUP(A213,'[1]MGM Tally'!J:L,3,FALSE)</f>
        <v>0</v>
      </c>
      <c r="D213" s="1">
        <f>VLOOKUP(A213,'[1]MGM NS'!J:K,2,FALSE)</f>
        <v>0</v>
      </c>
      <c r="E213" s="1" t="b">
        <f t="shared" si="3"/>
        <v>1</v>
      </c>
      <c r="F213" s="7"/>
    </row>
    <row r="214" spans="1:6">
      <c r="A214" s="1" t="s">
        <v>219</v>
      </c>
      <c r="B214" s="1" t="s">
        <v>247</v>
      </c>
      <c r="C214" s="1">
        <f>VLOOKUP(A214,'[1]MGM Tally'!J:L,3,FALSE)</f>
        <v>0</v>
      </c>
      <c r="D214" s="1">
        <f>VLOOKUP(A214,'[1]MGM NS'!J:K,2,FALSE)</f>
        <v>0</v>
      </c>
      <c r="E214" s="1" t="b">
        <f t="shared" si="3"/>
        <v>1</v>
      </c>
      <c r="F214" s="7"/>
    </row>
    <row r="215" spans="1:6">
      <c r="A215" s="1" t="s">
        <v>220</v>
      </c>
      <c r="B215" s="1" t="s">
        <v>247</v>
      </c>
      <c r="C215" s="1" t="str">
        <f>VLOOKUP(A215,'[1]MGM Tally'!J:L,3,FALSE)</f>
        <v>54004.00</v>
      </c>
      <c r="D215" s="1">
        <f>VLOOKUP(A215,'[1]MGM NS'!J:K,2,FALSE)</f>
        <v>-54004</v>
      </c>
      <c r="E215" s="1" t="b">
        <f t="shared" si="3"/>
        <v>1</v>
      </c>
      <c r="F215" s="7"/>
    </row>
    <row r="216" spans="1:6">
      <c r="A216" s="1" t="s">
        <v>221</v>
      </c>
      <c r="B216" s="1" t="s">
        <v>247</v>
      </c>
      <c r="C216" s="1">
        <f>VLOOKUP(A216,'[1]MGM Tally'!J:L,3,FALSE)</f>
        <v>0</v>
      </c>
      <c r="D216" s="1">
        <f>VLOOKUP(A216,'[1]MGM NS'!J:K,2,FALSE)</f>
        <v>0</v>
      </c>
      <c r="E216" s="1" t="b">
        <f t="shared" si="3"/>
        <v>1</v>
      </c>
      <c r="F216" s="7"/>
    </row>
    <row r="217" spans="1:6">
      <c r="A217" s="1" t="s">
        <v>222</v>
      </c>
      <c r="B217" s="1" t="s">
        <v>247</v>
      </c>
      <c r="C217" s="1">
        <f>VLOOKUP(A217,'[1]MGM Tally'!J:L,3,FALSE)</f>
        <v>0</v>
      </c>
      <c r="D217" s="1">
        <f>VLOOKUP(A217,'[1]MGM NS'!J:K,2,FALSE)</f>
        <v>0</v>
      </c>
      <c r="E217" s="1" t="b">
        <f t="shared" si="3"/>
        <v>1</v>
      </c>
      <c r="F217" s="7"/>
    </row>
    <row r="218" spans="1:6">
      <c r="A218" s="1" t="s">
        <v>223</v>
      </c>
      <c r="B218" s="1" t="s">
        <v>247</v>
      </c>
      <c r="C218" s="1">
        <f>VLOOKUP(A218,'[1]MGM Tally'!J:L,3,FALSE)</f>
        <v>0</v>
      </c>
      <c r="D218" s="1">
        <f>VLOOKUP(A218,'[1]MGM NS'!J:K,2,FALSE)</f>
        <v>0</v>
      </c>
      <c r="E218" s="1" t="b">
        <f t="shared" si="3"/>
        <v>1</v>
      </c>
      <c r="F218" s="7"/>
    </row>
    <row r="219" spans="1:6">
      <c r="A219" s="1" t="s">
        <v>224</v>
      </c>
      <c r="B219" s="1" t="s">
        <v>247</v>
      </c>
      <c r="C219" s="1">
        <f>VLOOKUP(A219,'[1]MGM Tally'!J:L,3,FALSE)</f>
        <v>0</v>
      </c>
      <c r="D219" s="1">
        <f>VLOOKUP(A219,'[1]MGM NS'!J:K,2,FALSE)</f>
        <v>0</v>
      </c>
      <c r="E219" s="1" t="b">
        <f t="shared" si="3"/>
        <v>1</v>
      </c>
      <c r="F219" s="7"/>
    </row>
    <row r="220" spans="1:6">
      <c r="A220" s="1" t="s">
        <v>225</v>
      </c>
      <c r="B220" s="1" t="s">
        <v>247</v>
      </c>
      <c r="C220" s="1">
        <f>VLOOKUP(A220,'[1]MGM Tally'!J:L,3,FALSE)</f>
        <v>0</v>
      </c>
      <c r="D220" s="1">
        <f>VLOOKUP(A220,'[1]MGM NS'!J:K,2,FALSE)</f>
        <v>0</v>
      </c>
      <c r="E220" s="1" t="b">
        <f t="shared" si="3"/>
        <v>1</v>
      </c>
      <c r="F220" s="7"/>
    </row>
    <row r="221" spans="1:6">
      <c r="A221" s="1" t="s">
        <v>226</v>
      </c>
      <c r="B221" s="1" t="s">
        <v>247</v>
      </c>
      <c r="C221" s="1">
        <f>VLOOKUP(A221,'[1]MGM Tally'!J:L,3,FALSE)</f>
        <v>0</v>
      </c>
      <c r="D221" s="1">
        <f>VLOOKUP(A221,'[1]MGM NS'!J:K,2,FALSE)</f>
        <v>0</v>
      </c>
      <c r="E221" s="1" t="b">
        <f t="shared" si="3"/>
        <v>1</v>
      </c>
      <c r="F221" s="7"/>
    </row>
    <row r="222" spans="1:6">
      <c r="A222" s="1" t="s">
        <v>227</v>
      </c>
      <c r="B222" s="1" t="s">
        <v>247</v>
      </c>
      <c r="C222" s="1" t="str">
        <f>VLOOKUP(A222,'[1]MGM Tally'!J:L,3,FALSE)</f>
        <v>515900.00</v>
      </c>
      <c r="D222" s="1">
        <f>VLOOKUP(A222,'[1]MGM NS'!J:K,2,FALSE)</f>
        <v>-515900</v>
      </c>
      <c r="E222" s="1" t="b">
        <f t="shared" si="3"/>
        <v>1</v>
      </c>
      <c r="F222" s="7"/>
    </row>
    <row r="223" spans="1:6">
      <c r="A223" s="1" t="s">
        <v>228</v>
      </c>
      <c r="B223" s="1" t="s">
        <v>247</v>
      </c>
      <c r="C223" s="1">
        <f>VLOOKUP(A223,'[1]MGM Tally'!J:L,3,FALSE)</f>
        <v>0</v>
      </c>
      <c r="D223" s="1">
        <f>VLOOKUP(A223,'[1]MGM NS'!J:K,2,FALSE)</f>
        <v>0</v>
      </c>
      <c r="E223" s="1" t="b">
        <f t="shared" si="3"/>
        <v>1</v>
      </c>
      <c r="F223" s="7"/>
    </row>
    <row r="224" spans="1:6">
      <c r="A224" s="1" t="s">
        <v>229</v>
      </c>
      <c r="B224" s="1" t="s">
        <v>247</v>
      </c>
      <c r="C224" s="1">
        <f>VLOOKUP(A224,'[1]MGM Tally'!J:L,3,FALSE)</f>
        <v>0</v>
      </c>
      <c r="D224" s="1">
        <f>VLOOKUP(A224,'[1]MGM NS'!J:K,2,FALSE)</f>
        <v>0</v>
      </c>
      <c r="E224" s="1" t="b">
        <f t="shared" si="3"/>
        <v>1</v>
      </c>
      <c r="F224" s="7"/>
    </row>
    <row r="225" spans="1:6">
      <c r="A225" s="1" t="s">
        <v>230</v>
      </c>
      <c r="B225" s="1" t="s">
        <v>247</v>
      </c>
      <c r="C225" s="1">
        <f>VLOOKUP(A225,'[1]MGM Tally'!J:L,3,FALSE)</f>
        <v>0</v>
      </c>
      <c r="D225" s="1">
        <f>VLOOKUP(A225,'[1]MGM NS'!J:K,2,FALSE)</f>
        <v>0</v>
      </c>
      <c r="E225" s="1" t="b">
        <f t="shared" si="3"/>
        <v>1</v>
      </c>
      <c r="F225" s="7"/>
    </row>
    <row r="226" spans="1:6">
      <c r="A226" s="1" t="s">
        <v>231</v>
      </c>
      <c r="B226" s="1" t="s">
        <v>247</v>
      </c>
      <c r="C226" s="1">
        <f>VLOOKUP(A226,'[1]MGM Tally'!J:L,3,FALSE)</f>
        <v>0</v>
      </c>
      <c r="D226" s="1">
        <f>VLOOKUP(A226,'[1]MGM NS'!J:K,2,FALSE)</f>
        <v>0</v>
      </c>
      <c r="E226" s="1" t="b">
        <f t="shared" si="3"/>
        <v>1</v>
      </c>
      <c r="F226" s="7"/>
    </row>
    <row r="227" spans="1:6">
      <c r="A227" s="1" t="s">
        <v>232</v>
      </c>
      <c r="B227" s="1" t="s">
        <v>247</v>
      </c>
      <c r="C227" s="1">
        <f>VLOOKUP(A227,'[1]MGM Tally'!J:L,3,FALSE)</f>
        <v>0</v>
      </c>
      <c r="D227" s="1">
        <f>VLOOKUP(A227,'[1]MGM NS'!J:K,2,FALSE)</f>
        <v>0</v>
      </c>
      <c r="E227" s="1" t="b">
        <f t="shared" si="3"/>
        <v>1</v>
      </c>
      <c r="F227" s="7"/>
    </row>
    <row r="228" spans="1:6">
      <c r="A228" s="1" t="s">
        <v>233</v>
      </c>
      <c r="B228" s="1" t="s">
        <v>247</v>
      </c>
      <c r="C228" s="1">
        <f>VLOOKUP(A228,'[1]MGM Tally'!J:L,3,FALSE)</f>
        <v>0</v>
      </c>
      <c r="D228" s="1">
        <f>VLOOKUP(A228,'[1]MGM NS'!J:K,2,FALSE)</f>
        <v>0</v>
      </c>
      <c r="E228" s="1" t="b">
        <f t="shared" si="3"/>
        <v>1</v>
      </c>
      <c r="F228" s="7"/>
    </row>
    <row r="229" spans="1:6">
      <c r="A229" s="1" t="s">
        <v>234</v>
      </c>
      <c r="B229" s="1" t="s">
        <v>247</v>
      </c>
      <c r="C229" s="1">
        <f>VLOOKUP(A229,'[1]MGM Tally'!J:L,3,FALSE)</f>
        <v>0</v>
      </c>
      <c r="D229" s="1">
        <f>VLOOKUP(A229,'[1]MGM NS'!J:K,2,FALSE)</f>
        <v>0</v>
      </c>
      <c r="E229" s="1" t="b">
        <f t="shared" si="3"/>
        <v>1</v>
      </c>
      <c r="F229" s="7"/>
    </row>
    <row r="230" spans="1:6">
      <c r="A230" s="1" t="s">
        <v>235</v>
      </c>
      <c r="B230" s="1" t="s">
        <v>247</v>
      </c>
      <c r="C230" s="1">
        <f>VLOOKUP(A230,'[1]MGM Tally'!J:L,3,FALSE)</f>
        <v>0</v>
      </c>
      <c r="D230" s="1">
        <f>VLOOKUP(A230,'[1]MGM NS'!J:K,2,FALSE)</f>
        <v>0</v>
      </c>
      <c r="E230" s="1" t="b">
        <f t="shared" si="3"/>
        <v>1</v>
      </c>
      <c r="F230" s="7"/>
    </row>
    <row r="231" spans="1:6">
      <c r="A231" s="1" t="s">
        <v>236</v>
      </c>
      <c r="B231" s="1" t="s">
        <v>247</v>
      </c>
      <c r="C231" s="1">
        <f>VLOOKUP(A231,'[1]MGM Tally'!J:L,3,FALSE)</f>
        <v>0</v>
      </c>
      <c r="D231" s="1">
        <f>VLOOKUP(A231,'[1]MGM NS'!J:K,2,FALSE)</f>
        <v>0</v>
      </c>
      <c r="E231" s="1" t="b">
        <f t="shared" si="3"/>
        <v>1</v>
      </c>
      <c r="F231" s="7"/>
    </row>
    <row r="232" spans="1:6">
      <c r="A232" s="1" t="s">
        <v>237</v>
      </c>
      <c r="B232" s="1" t="s">
        <v>247</v>
      </c>
      <c r="C232" s="1">
        <f>VLOOKUP(A232,'[1]MGM Tally'!J:L,3,FALSE)</f>
        <v>0</v>
      </c>
      <c r="D232" s="1">
        <f>VLOOKUP(A232,'[1]MGM NS'!J:K,2,FALSE)</f>
        <v>0</v>
      </c>
      <c r="E232" s="1" t="b">
        <f t="shared" si="3"/>
        <v>1</v>
      </c>
      <c r="F232" s="7"/>
    </row>
    <row r="233" spans="1:6">
      <c r="A233" s="1" t="s">
        <v>238</v>
      </c>
      <c r="B233" s="1" t="s">
        <v>247</v>
      </c>
      <c r="C233" s="1">
        <f>VLOOKUP(A233,'[1]MGM Tally'!J:L,3,FALSE)</f>
        <v>0</v>
      </c>
      <c r="D233" s="1">
        <f>VLOOKUP(A233,'[1]MGM NS'!J:K,2,FALSE)</f>
        <v>0</v>
      </c>
      <c r="E233" s="1" t="b">
        <f t="shared" si="3"/>
        <v>1</v>
      </c>
      <c r="F233" s="7"/>
    </row>
    <row r="234" spans="1:6">
      <c r="A234" s="1" t="s">
        <v>239</v>
      </c>
      <c r="B234" s="1" t="s">
        <v>247</v>
      </c>
      <c r="C234" s="1">
        <f>VLOOKUP(A234,'[1]MGM Tally'!J:L,3,FALSE)</f>
        <v>0</v>
      </c>
      <c r="D234" s="1">
        <f>VLOOKUP(A234,'[1]MGM NS'!J:K,2,FALSE)</f>
        <v>0</v>
      </c>
      <c r="E234" s="1" t="b">
        <f t="shared" si="3"/>
        <v>1</v>
      </c>
      <c r="F234" s="7"/>
    </row>
    <row r="235" spans="1:6">
      <c r="A235" s="1" t="s">
        <v>240</v>
      </c>
      <c r="B235" s="1" t="s">
        <v>247</v>
      </c>
      <c r="C235" s="1">
        <f>VLOOKUP(A235,'[1]MGM Tally'!J:L,3,FALSE)</f>
        <v>0</v>
      </c>
      <c r="D235" s="1">
        <f>VLOOKUP(A235,'[1]MGM NS'!J:K,2,FALSE)</f>
        <v>0</v>
      </c>
      <c r="E235" s="1" t="b">
        <f t="shared" si="3"/>
        <v>1</v>
      </c>
      <c r="F235" s="7"/>
    </row>
    <row r="236" spans="1:6">
      <c r="A236" s="1" t="s">
        <v>241</v>
      </c>
      <c r="B236" s="1" t="s">
        <v>247</v>
      </c>
      <c r="C236" s="1">
        <f>VLOOKUP(A236,'[1]MGM Tally'!J:L,3,FALSE)</f>
        <v>0</v>
      </c>
      <c r="D236" s="1">
        <f>VLOOKUP(A236,'[1]MGM NS'!J:K,2,FALSE)</f>
        <v>0</v>
      </c>
      <c r="E236" s="1" t="b">
        <f t="shared" si="3"/>
        <v>1</v>
      </c>
      <c r="F236" s="7"/>
    </row>
    <row r="237" spans="1:6">
      <c r="A237" s="1" t="s">
        <v>242</v>
      </c>
      <c r="B237" s="1" t="s">
        <v>247</v>
      </c>
      <c r="C237" s="1">
        <f>VLOOKUP(A237,'[1]MGM Tally'!J:L,3,FALSE)</f>
        <v>0</v>
      </c>
      <c r="D237" s="1">
        <f>VLOOKUP(A237,'[1]MGM NS'!J:K,2,FALSE)</f>
        <v>0</v>
      </c>
      <c r="E237" s="1" t="b">
        <f t="shared" si="3"/>
        <v>1</v>
      </c>
      <c r="F237" s="7"/>
    </row>
    <row r="238" spans="1:6">
      <c r="A238" s="1" t="s">
        <v>243</v>
      </c>
      <c r="B238" s="1" t="s">
        <v>247</v>
      </c>
      <c r="C238" s="1">
        <f>VLOOKUP(A238,'[1]MGM Tally'!J:L,3,FALSE)</f>
        <v>0</v>
      </c>
      <c r="D238" s="1">
        <f>VLOOKUP(A238,'[1]MGM NS'!J:K,2,FALSE)</f>
        <v>0</v>
      </c>
      <c r="E238" s="1" t="b">
        <f t="shared" si="3"/>
        <v>1</v>
      </c>
      <c r="F238" s="7"/>
    </row>
    <row r="239" spans="1:6">
      <c r="A239" s="1" t="s">
        <v>244</v>
      </c>
      <c r="B239" s="1" t="s">
        <v>247</v>
      </c>
      <c r="C239" s="1">
        <f>VLOOKUP(A239,'[1]MGM Tally'!J:L,3,FALSE)</f>
        <v>0</v>
      </c>
      <c r="D239" s="1">
        <f>VLOOKUP(A239,'[1]MGM NS'!J:K,2,FALSE)</f>
        <v>0</v>
      </c>
      <c r="E239" s="1" t="b">
        <f t="shared" si="3"/>
        <v>1</v>
      </c>
      <c r="F239" s="7"/>
    </row>
    <row r="240" spans="1:6">
      <c r="A240" s="1" t="s">
        <v>245</v>
      </c>
      <c r="B240" s="1" t="s">
        <v>247</v>
      </c>
      <c r="C240" s="1">
        <f>VLOOKUP(A240,'[1]MGM Tally'!J:L,3,FALSE)</f>
        <v>0</v>
      </c>
      <c r="D240" s="1">
        <v>0</v>
      </c>
      <c r="E240" s="1" t="b">
        <f t="shared" si="3"/>
        <v>1</v>
      </c>
      <c r="F240" s="7"/>
    </row>
    <row r="241" spans="1:6">
      <c r="A241" s="8" t="s">
        <v>246</v>
      </c>
      <c r="B241" s="8"/>
      <c r="C241" s="3">
        <v>3455767.76</v>
      </c>
      <c r="D241" s="3">
        <f>ABS(SUM(D2:D240))</f>
        <v>2083710.26</v>
      </c>
      <c r="F241" s="4"/>
    </row>
  </sheetData>
  <mergeCells count="1">
    <mergeCell ref="A241:B24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41"/>
  <sheetViews>
    <sheetView workbookViewId="0">
      <selection activeCell="B10" sqref="B10"/>
    </sheetView>
  </sheetViews>
  <sheetFormatPr defaultColWidth="8.75" defaultRowHeight="14.45"/>
  <cols>
    <col min="1" max="1" width="12" customWidth="1"/>
    <col min="2" max="2" width="13.875" customWidth="1"/>
    <col min="3" max="3" width="22.125" customWidth="1"/>
    <col min="4" max="4" width="18.375" customWidth="1"/>
    <col min="5" max="5" width="19.875" customWidth="1"/>
    <col min="6" max="6" width="52.5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 t="s">
        <v>6</v>
      </c>
      <c r="B2" s="1" t="s">
        <v>249</v>
      </c>
      <c r="C2" s="1">
        <f>VLOOKUP(A2,'[1]MGM Tally'!Q:S,3,FALSE)</f>
        <v>0</v>
      </c>
      <c r="D2" s="1">
        <f>VLOOKUP(A2,'[1]MGM NS'!P:Q,2,FALSE)</f>
        <v>0</v>
      </c>
      <c r="E2" s="1" t="b">
        <f t="shared" ref="E2:E65" si="0">IF(ABS(C2)=ABS(D2),TRUE,FALSE)</f>
        <v>1</v>
      </c>
      <c r="F2" s="1"/>
    </row>
    <row r="3" spans="1:6">
      <c r="A3" s="1" t="s">
        <v>8</v>
      </c>
      <c r="B3" s="1" t="s">
        <v>249</v>
      </c>
      <c r="C3" s="1">
        <f>VLOOKUP(A3,'[1]MGM Tally'!Q:S,3,FALSE)</f>
        <v>0</v>
      </c>
      <c r="D3" s="1">
        <f>VLOOKUP(A3,'[1]MGM NS'!P:Q,2,FALSE)</f>
        <v>0</v>
      </c>
      <c r="E3" s="1" t="b">
        <f t="shared" si="0"/>
        <v>1</v>
      </c>
      <c r="F3" s="1"/>
    </row>
    <row r="4" spans="1:6">
      <c r="A4" s="1" t="s">
        <v>9</v>
      </c>
      <c r="B4" s="1" t="s">
        <v>249</v>
      </c>
      <c r="C4" s="1" t="str">
        <f>VLOOKUP(A4,'[1]MGM Tally'!Q:S,3,FALSE)</f>
        <v>763119.91</v>
      </c>
      <c r="D4" s="1">
        <f>VLOOKUP(A4,'[1]MGM NS'!P:Q,2,FALSE)</f>
        <v>763119.91</v>
      </c>
      <c r="E4" s="1" t="b">
        <f t="shared" si="0"/>
        <v>1</v>
      </c>
      <c r="F4" s="1"/>
    </row>
    <row r="5" spans="1:6">
      <c r="A5" s="1" t="s">
        <v>10</v>
      </c>
      <c r="B5" s="1" t="s">
        <v>249</v>
      </c>
      <c r="C5" s="1">
        <f>VLOOKUP(A5,'[1]MGM Tally'!Q:S,3,FALSE)</f>
        <v>0</v>
      </c>
      <c r="D5" s="1">
        <f>VLOOKUP(A5,'[1]MGM NS'!P:Q,2,FALSE)</f>
        <v>0</v>
      </c>
      <c r="E5" s="1" t="b">
        <f t="shared" si="0"/>
        <v>1</v>
      </c>
      <c r="F5" s="1"/>
    </row>
    <row r="6" spans="1:6">
      <c r="A6" s="1" t="s">
        <v>11</v>
      </c>
      <c r="B6" s="1" t="s">
        <v>249</v>
      </c>
      <c r="C6" s="1" t="str">
        <f>VLOOKUP(A6,'[1]MGM Tally'!Q:S,3,FALSE)</f>
        <v>48380.00</v>
      </c>
      <c r="D6" s="1">
        <f>VLOOKUP(A6,'[1]MGM NS'!P:Q,2,FALSE)</f>
        <v>48380</v>
      </c>
      <c r="E6" s="1" t="b">
        <f t="shared" si="0"/>
        <v>1</v>
      </c>
      <c r="F6" s="1"/>
    </row>
    <row r="7" spans="1:6">
      <c r="A7" s="1" t="s">
        <v>12</v>
      </c>
      <c r="B7" s="1" t="s">
        <v>249</v>
      </c>
      <c r="C7" s="1" t="str">
        <f>VLOOKUP(A7,'[1]MGM Tally'!Q:S,3,FALSE)</f>
        <v>149100.00</v>
      </c>
      <c r="D7" s="1">
        <f>VLOOKUP(A7,'[1]MGM NS'!P:Q,2,FALSE)</f>
        <v>149100</v>
      </c>
      <c r="E7" s="1" t="b">
        <f t="shared" si="0"/>
        <v>1</v>
      </c>
      <c r="F7" s="1"/>
    </row>
    <row r="8" spans="1:6">
      <c r="A8" s="1" t="s">
        <v>13</v>
      </c>
      <c r="B8" s="1" t="s">
        <v>249</v>
      </c>
      <c r="C8" s="1" t="str">
        <f>VLOOKUP(A8,'[1]MGM Tally'!Q:S,3,FALSE)</f>
        <v>305423.00</v>
      </c>
      <c r="D8" s="1">
        <f>VLOOKUP(A8,'[1]MGM NS'!P:Q,2,FALSE)</f>
        <v>305423</v>
      </c>
      <c r="E8" s="1" t="b">
        <f t="shared" si="0"/>
        <v>1</v>
      </c>
      <c r="F8" s="1"/>
    </row>
    <row r="9" spans="1:6">
      <c r="A9" s="1" t="s">
        <v>14</v>
      </c>
      <c r="B9" s="1" t="s">
        <v>249</v>
      </c>
      <c r="C9" s="1" t="str">
        <f>VLOOKUP(A9,'[1]MGM Tally'!Q:S,3,FALSE)</f>
        <v>38706.01</v>
      </c>
      <c r="D9" s="1">
        <f>VLOOKUP(A9,'[1]MGM NS'!P:Q,2,FALSE)</f>
        <v>38706.01</v>
      </c>
      <c r="E9" s="1" t="b">
        <f t="shared" si="0"/>
        <v>1</v>
      </c>
      <c r="F9" s="1"/>
    </row>
    <row r="10" spans="1:6">
      <c r="A10" s="1" t="s">
        <v>15</v>
      </c>
      <c r="B10" s="1" t="s">
        <v>249</v>
      </c>
      <c r="C10" s="1">
        <f>VLOOKUP(A10,'[1]MGM Tally'!Q:S,3,FALSE)</f>
        <v>-83600</v>
      </c>
      <c r="D10" s="1">
        <f>VLOOKUP(A10,'[1]MGM NS'!P:Q,2,FALSE)</f>
        <v>-83600</v>
      </c>
      <c r="E10" s="1" t="b">
        <f t="shared" si="0"/>
        <v>1</v>
      </c>
      <c r="F10" s="1"/>
    </row>
    <row r="11" spans="1:6" ht="43.5">
      <c r="A11" s="9" t="s">
        <v>16</v>
      </c>
      <c r="B11" s="9" t="s">
        <v>249</v>
      </c>
      <c r="C11" s="9">
        <f>VLOOKUP(A11,'[1]MGM Tally'!Q:S,3,FALSE)</f>
        <v>-300909</v>
      </c>
      <c r="D11" s="9">
        <f>VLOOKUP(A11,'[1]MGM NS'!P:Q,2,FALSE)</f>
        <v>-371859</v>
      </c>
      <c r="E11" s="9" t="b">
        <f t="shared" si="0"/>
        <v>0</v>
      </c>
      <c r="F11" s="10" t="s">
        <v>250</v>
      </c>
    </row>
    <row r="12" spans="1:6">
      <c r="A12" s="1" t="s">
        <v>17</v>
      </c>
      <c r="B12" s="1" t="s">
        <v>249</v>
      </c>
      <c r="C12" s="1">
        <f>VLOOKUP(A12,'[1]MGM Tally'!Q:S,3,FALSE)</f>
        <v>-1545455</v>
      </c>
      <c r="D12" s="1">
        <f>VLOOKUP(A12,'[1]MGM NS'!P:Q,2,FALSE)</f>
        <v>-1545455</v>
      </c>
      <c r="E12" s="1" t="b">
        <f t="shared" si="0"/>
        <v>1</v>
      </c>
      <c r="F12" s="1"/>
    </row>
    <row r="13" spans="1:6">
      <c r="A13" s="1" t="s">
        <v>18</v>
      </c>
      <c r="B13" s="1" t="s">
        <v>249</v>
      </c>
      <c r="C13" s="1">
        <f>VLOOKUP(A13,'[1]MGM Tally'!Q:S,3,FALSE)</f>
        <v>-350000</v>
      </c>
      <c r="D13" s="1">
        <f>VLOOKUP(A13,'[1]MGM NS'!P:Q,2,FALSE)</f>
        <v>-350000</v>
      </c>
      <c r="E13" s="1" t="b">
        <f t="shared" si="0"/>
        <v>1</v>
      </c>
      <c r="F13" s="1"/>
    </row>
    <row r="14" spans="1:6">
      <c r="A14" s="1" t="s">
        <v>19</v>
      </c>
      <c r="B14" s="1" t="s">
        <v>249</v>
      </c>
      <c r="C14" s="1" t="str">
        <f>VLOOKUP(A14,'[1]MGM Tally'!Q:S,3,FALSE)</f>
        <v>21458605.47</v>
      </c>
      <c r="D14" s="1">
        <f>VLOOKUP(A14,'[1]MGM NS'!P:Q,2,FALSE)</f>
        <v>21458605.469999999</v>
      </c>
      <c r="E14" s="1" t="b">
        <f t="shared" si="0"/>
        <v>1</v>
      </c>
      <c r="F14" s="1"/>
    </row>
    <row r="15" spans="1:6">
      <c r="A15" s="1" t="s">
        <v>20</v>
      </c>
      <c r="B15" s="1" t="s">
        <v>249</v>
      </c>
      <c r="C15" s="1">
        <f>VLOOKUP(A15,'[1]MGM Tally'!Q:S,3,FALSE)</f>
        <v>-14500</v>
      </c>
      <c r="D15" s="1">
        <f>VLOOKUP(A15,'[1]MGM NS'!P:Q,2,FALSE)</f>
        <v>-14500</v>
      </c>
      <c r="E15" s="1" t="b">
        <f t="shared" si="0"/>
        <v>1</v>
      </c>
      <c r="F15" s="1"/>
    </row>
    <row r="16" spans="1:6">
      <c r="A16" s="1" t="s">
        <v>21</v>
      </c>
      <c r="B16" s="1" t="s">
        <v>249</v>
      </c>
      <c r="C16" s="1">
        <f>VLOOKUP(A16,'[1]MGM Tally'!Q:S,3,FALSE)</f>
        <v>-12350</v>
      </c>
      <c r="D16" s="1">
        <f>VLOOKUP(A16,'[1]MGM NS'!P:Q,2,FALSE)</f>
        <v>-12350</v>
      </c>
      <c r="E16" s="1" t="b">
        <f t="shared" si="0"/>
        <v>1</v>
      </c>
      <c r="F16" s="1"/>
    </row>
    <row r="17" spans="1:6">
      <c r="A17" s="1" t="s">
        <v>22</v>
      </c>
      <c r="B17" s="1" t="s">
        <v>249</v>
      </c>
      <c r="C17" s="1">
        <f>VLOOKUP(A17,'[1]MGM Tally'!Q:S,3,FALSE)</f>
        <v>-46313</v>
      </c>
      <c r="D17" s="1">
        <f>VLOOKUP(A17,'[1]MGM NS'!P:Q,2,FALSE)</f>
        <v>-46313</v>
      </c>
      <c r="E17" s="1" t="b">
        <f t="shared" si="0"/>
        <v>1</v>
      </c>
      <c r="F17" s="1"/>
    </row>
    <row r="18" spans="1:6">
      <c r="A18" s="1" t="s">
        <v>23</v>
      </c>
      <c r="B18" s="1" t="s">
        <v>249</v>
      </c>
      <c r="C18" s="1">
        <f>VLOOKUP(A18,'[1]MGM Tally'!Q:S,3,FALSE)</f>
        <v>-142488</v>
      </c>
      <c r="D18" s="1">
        <f>VLOOKUP(A18,'[1]MGM NS'!P:Q,2,FALSE)</f>
        <v>-142488</v>
      </c>
      <c r="E18" s="1" t="b">
        <f t="shared" si="0"/>
        <v>1</v>
      </c>
      <c r="F18" s="1"/>
    </row>
    <row r="19" spans="1:6">
      <c r="A19" s="1" t="s">
        <v>24</v>
      </c>
      <c r="B19" s="1" t="s">
        <v>249</v>
      </c>
      <c r="C19" s="1">
        <f>VLOOKUP(A19,'[1]MGM Tally'!Q:S,3,FALSE)</f>
        <v>-128360</v>
      </c>
      <c r="D19" s="1">
        <f>VLOOKUP(A19,'[1]MGM NS'!P:Q,2,FALSE)</f>
        <v>-128360</v>
      </c>
      <c r="E19" s="1" t="b">
        <f t="shared" si="0"/>
        <v>1</v>
      </c>
      <c r="F19" s="1"/>
    </row>
    <row r="20" spans="1:6">
      <c r="A20" s="1" t="s">
        <v>25</v>
      </c>
      <c r="B20" s="1" t="s">
        <v>249</v>
      </c>
      <c r="C20" s="1" t="str">
        <f>VLOOKUP(A20,'[1]MGM Tally'!Q:S,3,FALSE)</f>
        <v>500000.00</v>
      </c>
      <c r="D20" s="1">
        <f>VLOOKUP(A20,'[1]MGM NS'!P:Q,2,FALSE)</f>
        <v>500000</v>
      </c>
      <c r="E20" s="1" t="b">
        <f t="shared" si="0"/>
        <v>1</v>
      </c>
      <c r="F20" s="1"/>
    </row>
    <row r="21" spans="1:6">
      <c r="A21" s="1" t="s">
        <v>26</v>
      </c>
      <c r="B21" s="1" t="s">
        <v>249</v>
      </c>
      <c r="C21" s="1">
        <f>VLOOKUP(A21,'[1]MGM Tally'!Q:S,3,FALSE)</f>
        <v>0</v>
      </c>
      <c r="D21" s="1">
        <f>VLOOKUP(A21,'[1]MGM NS'!P:Q,2,FALSE)</f>
        <v>0</v>
      </c>
      <c r="E21" s="1" t="b">
        <f t="shared" si="0"/>
        <v>1</v>
      </c>
      <c r="F21" s="1"/>
    </row>
    <row r="22" spans="1:6">
      <c r="A22" s="1" t="s">
        <v>27</v>
      </c>
      <c r="B22" s="1" t="s">
        <v>249</v>
      </c>
      <c r="C22" s="1" t="str">
        <f>VLOOKUP(A22,'[1]MGM Tally'!Q:S,3,FALSE)</f>
        <v>1612238.00</v>
      </c>
      <c r="D22" s="1">
        <f>VLOOKUP(A22,'[1]MGM NS'!P:Q,2,FALSE)</f>
        <v>1612238</v>
      </c>
      <c r="E22" s="1" t="b">
        <f t="shared" si="0"/>
        <v>1</v>
      </c>
      <c r="F22" s="1"/>
    </row>
    <row r="23" spans="1:6">
      <c r="A23" s="1" t="s">
        <v>28</v>
      </c>
      <c r="B23" s="1" t="s">
        <v>249</v>
      </c>
      <c r="C23" s="1">
        <f>VLOOKUP(A23,'[1]MGM Tally'!Q:S,3,FALSE)</f>
        <v>0</v>
      </c>
      <c r="D23" s="1">
        <f>VLOOKUP(A23,'[1]MGM NS'!P:Q,2,FALSE)</f>
        <v>0</v>
      </c>
      <c r="E23" s="1" t="b">
        <f t="shared" si="0"/>
        <v>1</v>
      </c>
      <c r="F23" s="1"/>
    </row>
    <row r="24" spans="1:6">
      <c r="A24" s="1" t="s">
        <v>29</v>
      </c>
      <c r="B24" s="1" t="s">
        <v>249</v>
      </c>
      <c r="C24" s="1" t="str">
        <f>VLOOKUP(A24,'[1]MGM Tally'!Q:S,3,FALSE)</f>
        <v>479242.00</v>
      </c>
      <c r="D24" s="1">
        <f>VLOOKUP(A24,'[1]MGM NS'!P:Q,2,FALSE)</f>
        <v>479242</v>
      </c>
      <c r="E24" s="1" t="b">
        <f t="shared" si="0"/>
        <v>1</v>
      </c>
      <c r="F24" s="1"/>
    </row>
    <row r="25" spans="1:6">
      <c r="A25" s="1" t="s">
        <v>30</v>
      </c>
      <c r="B25" s="1" t="s">
        <v>249</v>
      </c>
      <c r="C25" s="1">
        <f>VLOOKUP(A25,'[1]MGM Tally'!Q:S,3,FALSE)</f>
        <v>-1074050</v>
      </c>
      <c r="D25" s="1">
        <f>VLOOKUP(A25,'[1]MGM NS'!P:Q,2,FALSE)</f>
        <v>-1074050</v>
      </c>
      <c r="E25" s="1" t="b">
        <f t="shared" si="0"/>
        <v>1</v>
      </c>
      <c r="F25" s="1"/>
    </row>
    <row r="26" spans="1:6">
      <c r="A26" s="1" t="s">
        <v>31</v>
      </c>
      <c r="B26" s="1" t="s">
        <v>249</v>
      </c>
      <c r="C26" s="1" t="str">
        <f>VLOOKUP(A26,'[1]MGM Tally'!Q:S,3,FALSE)</f>
        <v>306788.22</v>
      </c>
      <c r="D26" s="1">
        <f>VLOOKUP(A26,'[1]MGM NS'!P:Q,2,FALSE)</f>
        <v>306788.21999999997</v>
      </c>
      <c r="E26" s="1" t="b">
        <f t="shared" si="0"/>
        <v>1</v>
      </c>
      <c r="F26" s="1"/>
    </row>
    <row r="27" spans="1:6">
      <c r="A27" s="1" t="s">
        <v>32</v>
      </c>
      <c r="B27" s="1" t="s">
        <v>249</v>
      </c>
      <c r="C27" s="1">
        <f>VLOOKUP(A27,'[1]MGM Tally'!Q:S,3,FALSE)</f>
        <v>0</v>
      </c>
      <c r="D27" s="1">
        <f>VLOOKUP(A27,'[1]MGM NS'!P:Q,2,FALSE)</f>
        <v>0</v>
      </c>
      <c r="E27" s="1" t="b">
        <f t="shared" si="0"/>
        <v>1</v>
      </c>
      <c r="F27" s="1"/>
    </row>
    <row r="28" spans="1:6">
      <c r="A28" s="1" t="s">
        <v>33</v>
      </c>
      <c r="B28" s="1" t="s">
        <v>249</v>
      </c>
      <c r="C28" s="1" t="str">
        <f>VLOOKUP(A28,'[1]MGM Tally'!Q:S,3,FALSE)</f>
        <v>575640.00</v>
      </c>
      <c r="D28" s="1">
        <f>VLOOKUP(A28,'[1]MGM NS'!P:Q,2,FALSE)</f>
        <v>575640</v>
      </c>
      <c r="E28" s="1" t="b">
        <f t="shared" si="0"/>
        <v>1</v>
      </c>
      <c r="F28" s="1"/>
    </row>
    <row r="29" spans="1:6" ht="43.5">
      <c r="A29" s="9" t="s">
        <v>34</v>
      </c>
      <c r="B29" s="9" t="s">
        <v>249</v>
      </c>
      <c r="C29" s="9">
        <f>VLOOKUP(A29,'[1]MGM Tally'!Q:S,3,FALSE)</f>
        <v>-193885.79</v>
      </c>
      <c r="D29" s="9">
        <f>VLOOKUP(A29,'[1]MGM NS'!P:Q,2,FALSE)</f>
        <v>-191318</v>
      </c>
      <c r="E29" s="9" t="b">
        <f t="shared" si="0"/>
        <v>0</v>
      </c>
      <c r="F29" s="10" t="s">
        <v>251</v>
      </c>
    </row>
    <row r="30" spans="1:6">
      <c r="A30" s="1" t="s">
        <v>35</v>
      </c>
      <c r="B30" s="1" t="s">
        <v>249</v>
      </c>
      <c r="C30" s="1">
        <f>VLOOKUP(A30,'[1]MGM Tally'!Q:S,3,FALSE)</f>
        <v>-250771</v>
      </c>
      <c r="D30" s="1">
        <f>VLOOKUP(A30,'[1]MGM NS'!P:Q,2,FALSE)</f>
        <v>-250771</v>
      </c>
      <c r="E30" s="1" t="b">
        <f t="shared" si="0"/>
        <v>1</v>
      </c>
      <c r="F30" s="1"/>
    </row>
    <row r="31" spans="1:6">
      <c r="A31" s="1" t="s">
        <v>36</v>
      </c>
      <c r="B31" s="1" t="s">
        <v>249</v>
      </c>
      <c r="C31" s="1" t="str">
        <f>VLOOKUP(A31,'[1]MGM Tally'!Q:S,3,FALSE)</f>
        <v>907484.00</v>
      </c>
      <c r="D31" s="1">
        <f>VLOOKUP(A31,'[1]MGM NS'!P:Q,2,FALSE)</f>
        <v>907484</v>
      </c>
      <c r="E31" s="1" t="b">
        <f t="shared" si="0"/>
        <v>1</v>
      </c>
      <c r="F31" s="1"/>
    </row>
    <row r="32" spans="1:6">
      <c r="A32" s="1" t="s">
        <v>37</v>
      </c>
      <c r="B32" s="1" t="s">
        <v>249</v>
      </c>
      <c r="C32" s="1">
        <f>VLOOKUP(A32,'[1]MGM Tally'!Q:S,3,FALSE)</f>
        <v>0</v>
      </c>
      <c r="D32" s="1">
        <f>VLOOKUP(A32,'[1]MGM NS'!P:Q,2,FALSE)</f>
        <v>0</v>
      </c>
      <c r="E32" s="1" t="b">
        <f t="shared" si="0"/>
        <v>1</v>
      </c>
      <c r="F32" s="1"/>
    </row>
    <row r="33" spans="1:6">
      <c r="A33" s="1" t="s">
        <v>38</v>
      </c>
      <c r="B33" s="1" t="s">
        <v>249</v>
      </c>
      <c r="C33" s="1">
        <f>VLOOKUP(A33,'[1]MGM Tally'!Q:S,3,FALSE)</f>
        <v>0</v>
      </c>
      <c r="D33" s="1">
        <f>VLOOKUP(A33,'[1]MGM NS'!P:Q,2,FALSE)</f>
        <v>0</v>
      </c>
      <c r="E33" s="1" t="b">
        <f t="shared" si="0"/>
        <v>1</v>
      </c>
      <c r="F33" s="1"/>
    </row>
    <row r="34" spans="1:6">
      <c r="A34" s="1" t="s">
        <v>39</v>
      </c>
      <c r="B34" s="1" t="s">
        <v>249</v>
      </c>
      <c r="C34" s="1">
        <f>VLOOKUP(A34,'[1]MGM Tally'!Q:S,3,FALSE)</f>
        <v>0</v>
      </c>
      <c r="D34" s="1">
        <f>VLOOKUP(A34,'[1]MGM NS'!P:Q,2,FALSE)</f>
        <v>0</v>
      </c>
      <c r="E34" s="1" t="b">
        <f t="shared" si="0"/>
        <v>1</v>
      </c>
      <c r="F34" s="1"/>
    </row>
    <row r="35" spans="1:6">
      <c r="A35" s="1" t="s">
        <v>40</v>
      </c>
      <c r="B35" s="1" t="s">
        <v>249</v>
      </c>
      <c r="C35" s="1" t="str">
        <f>VLOOKUP(A35,'[1]MGM Tally'!Q:S,3,FALSE)</f>
        <v>36329.00</v>
      </c>
      <c r="D35" s="1">
        <f>VLOOKUP(A35,'[1]MGM NS'!P:Q,2,FALSE)</f>
        <v>36329</v>
      </c>
      <c r="E35" s="1" t="b">
        <f t="shared" si="0"/>
        <v>1</v>
      </c>
      <c r="F35" s="1"/>
    </row>
    <row r="36" spans="1:6">
      <c r="A36" s="1" t="s">
        <v>41</v>
      </c>
      <c r="B36" s="1" t="s">
        <v>249</v>
      </c>
      <c r="C36" s="1">
        <f>VLOOKUP(A36,'[1]MGM Tally'!Q:S,3,FALSE)</f>
        <v>0</v>
      </c>
      <c r="D36" s="1">
        <f>VLOOKUP(A36,'[1]MGM NS'!P:Q,2,FALSE)</f>
        <v>0</v>
      </c>
      <c r="E36" s="1" t="b">
        <f t="shared" si="0"/>
        <v>1</v>
      </c>
      <c r="F36" s="1"/>
    </row>
    <row r="37" spans="1:6">
      <c r="A37" s="1" t="s">
        <v>42</v>
      </c>
      <c r="B37" s="1" t="s">
        <v>249</v>
      </c>
      <c r="C37" s="1">
        <f>VLOOKUP(A37,'[1]MGM Tally'!Q:S,3,FALSE)</f>
        <v>0</v>
      </c>
      <c r="D37" s="1">
        <f>VLOOKUP(A37,'[1]MGM NS'!P:Q,2,FALSE)</f>
        <v>0</v>
      </c>
      <c r="E37" s="1" t="b">
        <f t="shared" si="0"/>
        <v>1</v>
      </c>
      <c r="F37" s="1"/>
    </row>
    <row r="38" spans="1:6">
      <c r="A38" s="1" t="s">
        <v>43</v>
      </c>
      <c r="B38" s="1" t="s">
        <v>249</v>
      </c>
      <c r="C38" s="1">
        <f>VLOOKUP(A38,'[1]MGM Tally'!Q:S,3,FALSE)</f>
        <v>-263100</v>
      </c>
      <c r="D38" s="1">
        <f>VLOOKUP(A38,'[1]MGM NS'!P:Q,2,FALSE)</f>
        <v>-263100</v>
      </c>
      <c r="E38" s="1" t="b">
        <f t="shared" si="0"/>
        <v>1</v>
      </c>
      <c r="F38" s="1"/>
    </row>
    <row r="39" spans="1:6">
      <c r="A39" s="1" t="s">
        <v>44</v>
      </c>
      <c r="B39" s="1" t="s">
        <v>249</v>
      </c>
      <c r="C39" s="1" t="str">
        <f>VLOOKUP(A39,'[1]MGM Tally'!Q:S,3,FALSE)</f>
        <v>3115821.31</v>
      </c>
      <c r="D39" s="1">
        <f>VLOOKUP(A39,'[1]MGM NS'!P:Q,2,FALSE)</f>
        <v>3115821.31</v>
      </c>
      <c r="E39" s="1" t="b">
        <f t="shared" si="0"/>
        <v>1</v>
      </c>
      <c r="F39" s="1"/>
    </row>
    <row r="40" spans="1:6">
      <c r="A40" s="1" t="s">
        <v>45</v>
      </c>
      <c r="B40" s="1" t="s">
        <v>249</v>
      </c>
      <c r="C40" s="1" t="str">
        <f>VLOOKUP(A40,'[1]MGM Tally'!Q:S,3,FALSE)</f>
        <v>23270.00</v>
      </c>
      <c r="D40" s="1">
        <f>VLOOKUP(A40,'[1]MGM NS'!P:Q,2,FALSE)</f>
        <v>23270</v>
      </c>
      <c r="E40" s="1" t="b">
        <f t="shared" si="0"/>
        <v>1</v>
      </c>
      <c r="F40" s="1"/>
    </row>
    <row r="41" spans="1:6">
      <c r="A41" s="1" t="s">
        <v>46</v>
      </c>
      <c r="B41" s="1" t="s">
        <v>249</v>
      </c>
      <c r="C41" s="1" t="str">
        <f>VLOOKUP(A41,'[1]MGM Tally'!Q:S,3,FALSE)</f>
        <v>34616.00</v>
      </c>
      <c r="D41" s="1">
        <f>VLOOKUP(A41,'[1]MGM NS'!P:Q,2,FALSE)</f>
        <v>34616</v>
      </c>
      <c r="E41" s="1" t="b">
        <f t="shared" si="0"/>
        <v>1</v>
      </c>
      <c r="F41" s="1"/>
    </row>
    <row r="42" spans="1:6">
      <c r="A42" s="1" t="s">
        <v>47</v>
      </c>
      <c r="B42" s="1" t="s">
        <v>249</v>
      </c>
      <c r="C42" s="1" t="str">
        <f>VLOOKUP(A42,'[1]MGM Tally'!Q:S,3,FALSE)</f>
        <v>27392.32</v>
      </c>
      <c r="D42" s="1">
        <f>VLOOKUP(A42,'[1]MGM NS'!P:Q,2,FALSE)</f>
        <v>27392.32</v>
      </c>
      <c r="E42" s="1" t="b">
        <f t="shared" si="0"/>
        <v>1</v>
      </c>
      <c r="F42" s="1"/>
    </row>
    <row r="43" spans="1:6">
      <c r="A43" s="1" t="s">
        <v>48</v>
      </c>
      <c r="B43" s="1" t="s">
        <v>249</v>
      </c>
      <c r="C43" s="1">
        <f>VLOOKUP(A43,'[1]MGM Tally'!Q:S,3,FALSE)</f>
        <v>0</v>
      </c>
      <c r="D43" s="1">
        <f>VLOOKUP(A43,'[1]MGM NS'!P:Q,2,FALSE)</f>
        <v>0</v>
      </c>
      <c r="E43" s="1" t="b">
        <f t="shared" si="0"/>
        <v>1</v>
      </c>
      <c r="F43" s="1"/>
    </row>
    <row r="44" spans="1:6">
      <c r="A44" s="1" t="s">
        <v>49</v>
      </c>
      <c r="B44" s="1" t="s">
        <v>249</v>
      </c>
      <c r="C44" s="1" t="str">
        <f>VLOOKUP(A44,'[1]MGM Tally'!Q:S,3,FALSE)</f>
        <v>4760.88</v>
      </c>
      <c r="D44" s="1">
        <f>VLOOKUP(A44,'[1]MGM NS'!P:Q,2,FALSE)</f>
        <v>4760.88</v>
      </c>
      <c r="E44" s="1" t="b">
        <f t="shared" si="0"/>
        <v>1</v>
      </c>
      <c r="F44" s="1"/>
    </row>
    <row r="45" spans="1:6">
      <c r="A45" s="1" t="s">
        <v>50</v>
      </c>
      <c r="B45" s="1" t="s">
        <v>249</v>
      </c>
      <c r="C45" s="1" t="str">
        <f>VLOOKUP(A45,'[1]MGM Tally'!Q:S,3,FALSE)</f>
        <v>3981994.66</v>
      </c>
      <c r="D45" s="1">
        <f>VLOOKUP(A45,'[1]MGM NS'!P:Q,2,FALSE)</f>
        <v>3981994.66</v>
      </c>
      <c r="E45" s="1" t="b">
        <f t="shared" si="0"/>
        <v>1</v>
      </c>
      <c r="F45" s="1"/>
    </row>
    <row r="46" spans="1:6">
      <c r="A46" s="1" t="s">
        <v>51</v>
      </c>
      <c r="B46" s="1" t="s">
        <v>249</v>
      </c>
      <c r="C46" s="1" t="str">
        <f>VLOOKUP(A46,'[1]MGM Tally'!Q:S,3,FALSE)</f>
        <v>13450.00</v>
      </c>
      <c r="D46" s="1">
        <f>VLOOKUP(A46,'[1]MGM NS'!P:Q,2,FALSE)</f>
        <v>13450</v>
      </c>
      <c r="E46" s="1" t="b">
        <f t="shared" si="0"/>
        <v>1</v>
      </c>
      <c r="F46" s="1"/>
    </row>
    <row r="47" spans="1:6">
      <c r="A47" s="1" t="s">
        <v>52</v>
      </c>
      <c r="B47" s="1" t="s">
        <v>249</v>
      </c>
      <c r="C47" s="1">
        <f>VLOOKUP(A47,'[1]MGM Tally'!Q:S,3,FALSE)</f>
        <v>-59695</v>
      </c>
      <c r="D47" s="1">
        <f>VLOOKUP(A47,'[1]MGM NS'!P:Q,2,FALSE)</f>
        <v>-59695</v>
      </c>
      <c r="E47" s="1" t="b">
        <f t="shared" si="0"/>
        <v>1</v>
      </c>
      <c r="F47" s="1"/>
    </row>
    <row r="48" spans="1:6">
      <c r="A48" s="1" t="s">
        <v>53</v>
      </c>
      <c r="B48" s="1" t="s">
        <v>249</v>
      </c>
      <c r="C48" s="1">
        <f>VLOOKUP(A48,'[1]MGM Tally'!Q:S,3,FALSE)</f>
        <v>-6000</v>
      </c>
      <c r="D48" s="1">
        <f>VLOOKUP(A48,'[1]MGM NS'!P:Q,2,FALSE)</f>
        <v>-6000</v>
      </c>
      <c r="E48" s="1" t="b">
        <f t="shared" si="0"/>
        <v>1</v>
      </c>
      <c r="F48" s="1"/>
    </row>
    <row r="49" spans="1:6">
      <c r="A49" s="1" t="s">
        <v>54</v>
      </c>
      <c r="B49" s="1" t="s">
        <v>249</v>
      </c>
      <c r="C49" s="1">
        <f>VLOOKUP(A49,'[1]MGM Tally'!Q:S,3,FALSE)</f>
        <v>-779853.52</v>
      </c>
      <c r="D49" s="1">
        <f>VLOOKUP(A49,'[1]MGM NS'!P:Q,2,FALSE)</f>
        <v>-779853.52</v>
      </c>
      <c r="E49" s="1" t="b">
        <f t="shared" si="0"/>
        <v>1</v>
      </c>
      <c r="F49" s="1"/>
    </row>
    <row r="50" spans="1:6">
      <c r="A50" s="9" t="s">
        <v>55</v>
      </c>
      <c r="B50" s="9" t="s">
        <v>249</v>
      </c>
      <c r="C50" s="9">
        <f>VLOOKUP(A50,'[1]MGM Tally'!Q:S,3,FALSE)</f>
        <v>-434</v>
      </c>
      <c r="D50" s="9">
        <v>0</v>
      </c>
      <c r="E50" s="9" t="b">
        <f t="shared" si="0"/>
        <v>0</v>
      </c>
      <c r="F50" s="9" t="s">
        <v>252</v>
      </c>
    </row>
    <row r="51" spans="1:6">
      <c r="A51" s="1" t="s">
        <v>56</v>
      </c>
      <c r="B51" s="1" t="s">
        <v>249</v>
      </c>
      <c r="C51" s="1" t="str">
        <f>VLOOKUP(A51,'[1]MGM Tally'!Q:S,3,FALSE)</f>
        <v>14049.87</v>
      </c>
      <c r="D51" s="1">
        <f>VLOOKUP(A51,'[1]MGM NS'!P:Q,2,FALSE)</f>
        <v>14049.87</v>
      </c>
      <c r="E51" s="1" t="b">
        <f t="shared" si="0"/>
        <v>1</v>
      </c>
      <c r="F51" s="1"/>
    </row>
    <row r="52" spans="1:6">
      <c r="A52" s="1" t="s">
        <v>57</v>
      </c>
      <c r="B52" s="1" t="s">
        <v>249</v>
      </c>
      <c r="C52" s="1">
        <f>VLOOKUP(A52,'[1]MGM Tally'!Q:S,3,FALSE)</f>
        <v>0</v>
      </c>
      <c r="D52" s="1">
        <f>VLOOKUP(A52,'[1]MGM NS'!P:Q,2,FALSE)</f>
        <v>0</v>
      </c>
      <c r="E52" s="1" t="b">
        <f t="shared" si="0"/>
        <v>1</v>
      </c>
      <c r="F52" s="1"/>
    </row>
    <row r="53" spans="1:6">
      <c r="A53" s="1" t="s">
        <v>58</v>
      </c>
      <c r="B53" s="1" t="s">
        <v>249</v>
      </c>
      <c r="C53" s="1" t="str">
        <f>VLOOKUP(A53,'[1]MGM Tally'!Q:S,3,FALSE)</f>
        <v>1509376.00</v>
      </c>
      <c r="D53" s="1">
        <f>VLOOKUP(A53,'[1]MGM NS'!P:Q,2,FALSE)</f>
        <v>1509376</v>
      </c>
      <c r="E53" s="1" t="b">
        <f t="shared" si="0"/>
        <v>1</v>
      </c>
      <c r="F53" s="1"/>
    </row>
    <row r="54" spans="1:6">
      <c r="A54" s="1" t="s">
        <v>59</v>
      </c>
      <c r="B54" s="1" t="s">
        <v>249</v>
      </c>
      <c r="C54" s="1" t="str">
        <f>VLOOKUP(A54,'[1]MGM Tally'!Q:S,3,FALSE)</f>
        <v>170000.00</v>
      </c>
      <c r="D54" s="1">
        <f>VLOOKUP(A54,'[1]MGM NS'!P:Q,2,FALSE)</f>
        <v>170000</v>
      </c>
      <c r="E54" s="1" t="b">
        <f t="shared" si="0"/>
        <v>1</v>
      </c>
      <c r="F54" s="1"/>
    </row>
    <row r="55" spans="1:6">
      <c r="A55" s="1" t="s">
        <v>60</v>
      </c>
      <c r="B55" s="1" t="s">
        <v>249</v>
      </c>
      <c r="C55" s="1" t="str">
        <f>VLOOKUP(A55,'[1]MGM Tally'!Q:S,3,FALSE)</f>
        <v>176834.06</v>
      </c>
      <c r="D55" s="1">
        <f>VLOOKUP(A55,'[1]MGM NS'!P:Q,2,FALSE)</f>
        <v>176834.06</v>
      </c>
      <c r="E55" s="1" t="b">
        <f t="shared" si="0"/>
        <v>1</v>
      </c>
      <c r="F55" s="1"/>
    </row>
    <row r="56" spans="1:6">
      <c r="A56" s="1" t="s">
        <v>61</v>
      </c>
      <c r="B56" s="1" t="s">
        <v>249</v>
      </c>
      <c r="C56" s="1" t="str">
        <f>VLOOKUP(A56,'[1]MGM Tally'!Q:S,3,FALSE)</f>
        <v>45248.00</v>
      </c>
      <c r="D56" s="1">
        <f>VLOOKUP(A56,'[1]MGM NS'!P:Q,2,FALSE)</f>
        <v>45248</v>
      </c>
      <c r="E56" s="1" t="b">
        <f t="shared" si="0"/>
        <v>1</v>
      </c>
      <c r="F56" s="1"/>
    </row>
    <row r="57" spans="1:6">
      <c r="A57" s="1" t="s">
        <v>62</v>
      </c>
      <c r="B57" s="1" t="s">
        <v>249</v>
      </c>
      <c r="C57" s="1">
        <f>VLOOKUP(A57,'[1]MGM Tally'!Q:S,3,FALSE)</f>
        <v>0</v>
      </c>
      <c r="D57" s="1">
        <f>VLOOKUP(A57,'[1]MGM NS'!P:Q,2,FALSE)</f>
        <v>0</v>
      </c>
      <c r="E57" s="1" t="b">
        <f t="shared" si="0"/>
        <v>1</v>
      </c>
      <c r="F57" s="1"/>
    </row>
    <row r="58" spans="1:6">
      <c r="A58" s="1" t="s">
        <v>63</v>
      </c>
      <c r="B58" s="1" t="s">
        <v>249</v>
      </c>
      <c r="C58" s="1">
        <f>VLOOKUP(A58,'[1]MGM Tally'!Q:S,3,FALSE)</f>
        <v>0</v>
      </c>
      <c r="D58" s="1">
        <f>VLOOKUP(A58,'[1]MGM NS'!P:Q,2,FALSE)</f>
        <v>0</v>
      </c>
      <c r="E58" s="1" t="b">
        <f t="shared" si="0"/>
        <v>1</v>
      </c>
      <c r="F58" s="1"/>
    </row>
    <row r="59" spans="1:6">
      <c r="A59" s="1" t="s">
        <v>64</v>
      </c>
      <c r="B59" s="1" t="s">
        <v>249</v>
      </c>
      <c r="C59" s="1">
        <f>VLOOKUP(A59,'[1]MGM Tally'!Q:S,3,FALSE)</f>
        <v>-32000</v>
      </c>
      <c r="D59" s="1">
        <f>VLOOKUP(A59,'[1]MGM NS'!P:Q,2,FALSE)</f>
        <v>-32000</v>
      </c>
      <c r="E59" s="1" t="b">
        <f t="shared" si="0"/>
        <v>1</v>
      </c>
      <c r="F59" s="1"/>
    </row>
    <row r="60" spans="1:6">
      <c r="A60" s="1" t="s">
        <v>65</v>
      </c>
      <c r="B60" s="1" t="s">
        <v>249</v>
      </c>
      <c r="C60" s="1">
        <f>VLOOKUP(A60,'[1]MGM Tally'!Q:S,3,FALSE)</f>
        <v>-3500</v>
      </c>
      <c r="D60" s="1">
        <f>VLOOKUP(A60,'[1]MGM NS'!P:Q,2,FALSE)</f>
        <v>-3500</v>
      </c>
      <c r="E60" s="1" t="b">
        <f t="shared" si="0"/>
        <v>1</v>
      </c>
      <c r="F60" s="1"/>
    </row>
    <row r="61" spans="1:6">
      <c r="A61" s="1" t="s">
        <v>66</v>
      </c>
      <c r="B61" s="1" t="s">
        <v>249</v>
      </c>
      <c r="C61" s="1">
        <f>VLOOKUP(A61,'[1]MGM Tally'!Q:S,3,FALSE)</f>
        <v>-49700</v>
      </c>
      <c r="D61" s="1">
        <f>VLOOKUP(A61,'[1]MGM NS'!P:Q,2,FALSE)</f>
        <v>-49700</v>
      </c>
      <c r="E61" s="1" t="b">
        <f t="shared" si="0"/>
        <v>1</v>
      </c>
      <c r="F61" s="1"/>
    </row>
    <row r="62" spans="1:6">
      <c r="A62" s="1" t="s">
        <v>67</v>
      </c>
      <c r="B62" s="1" t="s">
        <v>249</v>
      </c>
      <c r="C62" s="1">
        <f>VLOOKUP(A62,'[1]MGM Tally'!Q:S,3,FALSE)</f>
        <v>-40000</v>
      </c>
      <c r="D62" s="1">
        <f>VLOOKUP(A62,'[1]MGM NS'!P:Q,2,FALSE)</f>
        <v>-40000</v>
      </c>
      <c r="E62" s="1" t="b">
        <f t="shared" si="0"/>
        <v>1</v>
      </c>
      <c r="F62" s="1"/>
    </row>
    <row r="63" spans="1:6">
      <c r="A63" s="1" t="s">
        <v>68</v>
      </c>
      <c r="B63" s="1" t="s">
        <v>249</v>
      </c>
      <c r="C63" s="1">
        <f>VLOOKUP(A63,'[1]MGM Tally'!Q:S,3,FALSE)</f>
        <v>-156000</v>
      </c>
      <c r="D63" s="1">
        <f>VLOOKUP(A63,'[1]MGM NS'!P:Q,2,FALSE)</f>
        <v>-156000</v>
      </c>
      <c r="E63" s="1" t="b">
        <f t="shared" si="0"/>
        <v>1</v>
      </c>
      <c r="F63" s="1"/>
    </row>
    <row r="64" spans="1:6">
      <c r="A64" s="1" t="s">
        <v>69</v>
      </c>
      <c r="B64" s="1" t="s">
        <v>249</v>
      </c>
      <c r="C64" s="1">
        <f>VLOOKUP(A64,'[1]MGM Tally'!Q:S,3,FALSE)</f>
        <v>-5959838.1900000004</v>
      </c>
      <c r="D64" s="1">
        <f>VLOOKUP(A64,'[1]MGM NS'!P:Q,2,FALSE)</f>
        <v>-5959838.1900000004</v>
      </c>
      <c r="E64" s="1" t="b">
        <f t="shared" si="0"/>
        <v>1</v>
      </c>
      <c r="F64" s="1"/>
    </row>
    <row r="65" spans="1:6">
      <c r="A65" s="1" t="s">
        <v>70</v>
      </c>
      <c r="B65" s="1" t="s">
        <v>249</v>
      </c>
      <c r="C65" s="1">
        <f>VLOOKUP(A65,'[1]MGM Tally'!Q:S,3,FALSE)</f>
        <v>-657910</v>
      </c>
      <c r="D65" s="1">
        <f>VLOOKUP(A65,'[1]MGM NS'!P:Q,2,FALSE)</f>
        <v>-657910</v>
      </c>
      <c r="E65" s="1" t="b">
        <f t="shared" si="0"/>
        <v>1</v>
      </c>
      <c r="F65" s="1"/>
    </row>
    <row r="66" spans="1:6">
      <c r="A66" s="1" t="s">
        <v>71</v>
      </c>
      <c r="B66" s="1" t="s">
        <v>249</v>
      </c>
      <c r="C66" s="1">
        <f>VLOOKUP(A66,'[1]MGM Tally'!Q:S,3,FALSE)</f>
        <v>-1100000</v>
      </c>
      <c r="D66" s="1">
        <f>VLOOKUP(A66,'[1]MGM NS'!P:Q,2,FALSE)</f>
        <v>-1100000</v>
      </c>
      <c r="E66" s="1" t="b">
        <f t="shared" ref="E66:E129" si="1">IF(ABS(C66)=ABS(D66),TRUE,FALSE)</f>
        <v>1</v>
      </c>
      <c r="F66" s="1"/>
    </row>
    <row r="67" spans="1:6">
      <c r="A67" s="1" t="s">
        <v>72</v>
      </c>
      <c r="B67" s="1" t="s">
        <v>249</v>
      </c>
      <c r="C67" s="1">
        <f>VLOOKUP(A67,'[1]MGM Tally'!Q:S,3,FALSE)</f>
        <v>-790000</v>
      </c>
      <c r="D67" s="1">
        <f>VLOOKUP(A67,'[1]MGM NS'!P:Q,2,FALSE)</f>
        <v>-790000</v>
      </c>
      <c r="E67" s="1" t="b">
        <f t="shared" si="1"/>
        <v>1</v>
      </c>
      <c r="F67" s="1"/>
    </row>
    <row r="68" spans="1:6">
      <c r="A68" s="1" t="s">
        <v>73</v>
      </c>
      <c r="B68" s="1" t="s">
        <v>249</v>
      </c>
      <c r="C68" s="1">
        <f>VLOOKUP(A68,'[1]MGM Tally'!Q:S,3,FALSE)</f>
        <v>-2877500</v>
      </c>
      <c r="D68" s="1">
        <f>VLOOKUP(A68,'[1]MGM NS'!P:Q,2,FALSE)</f>
        <v>-2877500</v>
      </c>
      <c r="E68" s="1" t="b">
        <f t="shared" si="1"/>
        <v>1</v>
      </c>
      <c r="F68" s="1"/>
    </row>
    <row r="69" spans="1:6">
      <c r="A69" s="1" t="s">
        <v>74</v>
      </c>
      <c r="B69" s="1" t="s">
        <v>249</v>
      </c>
      <c r="C69" s="1" t="str">
        <f>VLOOKUP(A69,'[1]MGM Tally'!Q:S,3,FALSE)</f>
        <v>377517.83</v>
      </c>
      <c r="D69" s="1">
        <f>VLOOKUP(A69,'[1]MGM NS'!P:Q,2,FALSE)</f>
        <v>377517.83</v>
      </c>
      <c r="E69" s="1" t="b">
        <f t="shared" si="1"/>
        <v>1</v>
      </c>
      <c r="F69" s="1"/>
    </row>
    <row r="70" spans="1:6">
      <c r="A70" s="1" t="s">
        <v>75</v>
      </c>
      <c r="B70" s="1" t="s">
        <v>249</v>
      </c>
      <c r="C70" s="1" t="str">
        <f>VLOOKUP(A70,'[1]MGM Tally'!Q:S,3,FALSE)</f>
        <v>103650.00</v>
      </c>
      <c r="D70" s="1">
        <f>VLOOKUP(A70,'[1]MGM NS'!P:Q,2,FALSE)</f>
        <v>103650</v>
      </c>
      <c r="E70" s="1" t="b">
        <f t="shared" si="1"/>
        <v>1</v>
      </c>
      <c r="F70" s="1"/>
    </row>
    <row r="71" spans="1:6">
      <c r="A71" s="1" t="s">
        <v>76</v>
      </c>
      <c r="B71" s="1" t="s">
        <v>249</v>
      </c>
      <c r="C71" s="1" t="str">
        <f>VLOOKUP(A71,'[1]MGM Tally'!Q:S,3,FALSE)</f>
        <v>2642015.00</v>
      </c>
      <c r="D71" s="1">
        <f>VLOOKUP(A71,'[1]MGM NS'!P:Q,2,FALSE)</f>
        <v>2642015</v>
      </c>
      <c r="E71" s="1" t="b">
        <f t="shared" si="1"/>
        <v>1</v>
      </c>
      <c r="F71" s="1"/>
    </row>
    <row r="72" spans="1:6">
      <c r="A72" s="1" t="s">
        <v>77</v>
      </c>
      <c r="B72" s="1" t="s">
        <v>249</v>
      </c>
      <c r="C72" s="1">
        <f>VLOOKUP(A72,'[1]MGM Tally'!Q:S,3,FALSE)</f>
        <v>-850000</v>
      </c>
      <c r="D72" s="1">
        <f>VLOOKUP(A72,'[1]MGM NS'!P:Q,2,FALSE)</f>
        <v>-850000</v>
      </c>
      <c r="E72" s="1" t="b">
        <f t="shared" si="1"/>
        <v>1</v>
      </c>
      <c r="F72" s="1"/>
    </row>
    <row r="73" spans="1:6">
      <c r="A73" s="1" t="s">
        <v>78</v>
      </c>
      <c r="B73" s="1" t="s">
        <v>249</v>
      </c>
      <c r="C73" s="1" t="str">
        <f>VLOOKUP(A73,'[1]MGM Tally'!Q:S,3,FALSE)</f>
        <v>503708.00</v>
      </c>
      <c r="D73" s="1">
        <f>VLOOKUP(A73,'[1]MGM NS'!P:Q,2,FALSE)</f>
        <v>503708</v>
      </c>
      <c r="E73" s="1" t="b">
        <f t="shared" si="1"/>
        <v>1</v>
      </c>
      <c r="F73" s="1"/>
    </row>
    <row r="74" spans="1:6">
      <c r="A74" s="1" t="s">
        <v>79</v>
      </c>
      <c r="B74" s="1" t="s">
        <v>249</v>
      </c>
      <c r="C74" s="1">
        <f>VLOOKUP(A74,'[1]MGM Tally'!Q:S,3,FALSE)</f>
        <v>0</v>
      </c>
      <c r="D74" s="1">
        <f>VLOOKUP(A74,'[1]MGM NS'!P:Q,2,FALSE)</f>
        <v>0</v>
      </c>
      <c r="E74" s="1" t="b">
        <f t="shared" si="1"/>
        <v>1</v>
      </c>
      <c r="F74" s="1"/>
    </row>
    <row r="75" spans="1:6">
      <c r="A75" s="1" t="s">
        <v>80</v>
      </c>
      <c r="B75" s="1" t="s">
        <v>249</v>
      </c>
      <c r="C75" s="1" t="str">
        <f>VLOOKUP(A75,'[1]MGM Tally'!Q:S,3,FALSE)</f>
        <v>318428.00</v>
      </c>
      <c r="D75" s="1">
        <f>VLOOKUP(A75,'[1]MGM NS'!P:Q,2,FALSE)</f>
        <v>318428</v>
      </c>
      <c r="E75" s="1" t="b">
        <f t="shared" si="1"/>
        <v>1</v>
      </c>
      <c r="F75" s="1"/>
    </row>
    <row r="76" spans="1:6">
      <c r="A76" s="1" t="s">
        <v>81</v>
      </c>
      <c r="B76" s="1" t="s">
        <v>249</v>
      </c>
      <c r="C76" s="1">
        <f>VLOOKUP(A76,'[1]MGM Tally'!Q:S,3,FALSE)</f>
        <v>-6000</v>
      </c>
      <c r="D76" s="1">
        <f>VLOOKUP(A76,'[1]MGM NS'!P:Q,2,FALSE)</f>
        <v>-6000</v>
      </c>
      <c r="E76" s="1" t="b">
        <f t="shared" si="1"/>
        <v>1</v>
      </c>
      <c r="F76" s="1"/>
    </row>
    <row r="77" spans="1:6">
      <c r="A77" s="1" t="s">
        <v>82</v>
      </c>
      <c r="B77" s="1" t="s">
        <v>249</v>
      </c>
      <c r="C77" s="1">
        <f>VLOOKUP(A77,'[1]MGM Tally'!Q:S,3,FALSE)</f>
        <v>-26000</v>
      </c>
      <c r="D77" s="1">
        <f>VLOOKUP(A77,'[1]MGM NS'!P:Q,2,FALSE)</f>
        <v>-26000</v>
      </c>
      <c r="E77" s="1" t="b">
        <f t="shared" si="1"/>
        <v>1</v>
      </c>
      <c r="F77" s="1"/>
    </row>
    <row r="78" spans="1:6">
      <c r="A78" s="1" t="s">
        <v>83</v>
      </c>
      <c r="B78" s="1" t="s">
        <v>249</v>
      </c>
      <c r="C78" s="1">
        <f>VLOOKUP(A78,'[1]MGM Tally'!Q:S,3,FALSE)</f>
        <v>-243675</v>
      </c>
      <c r="D78" s="1">
        <f>VLOOKUP(A78,'[1]MGM NS'!P:Q,2,FALSE)</f>
        <v>-243675</v>
      </c>
      <c r="E78" s="1" t="b">
        <f t="shared" si="1"/>
        <v>1</v>
      </c>
      <c r="F78" s="1"/>
    </row>
    <row r="79" spans="1:6">
      <c r="A79" s="1" t="s">
        <v>84</v>
      </c>
      <c r="B79" s="1" t="s">
        <v>249</v>
      </c>
      <c r="C79" s="1">
        <f>VLOOKUP(A79,'[1]MGM Tally'!Q:S,3,FALSE)</f>
        <v>-700</v>
      </c>
      <c r="D79" s="1">
        <f>VLOOKUP(A79,'[1]MGM NS'!P:Q,2,FALSE)</f>
        <v>-700</v>
      </c>
      <c r="E79" s="1" t="b">
        <f t="shared" si="1"/>
        <v>1</v>
      </c>
      <c r="F79" s="1"/>
    </row>
    <row r="80" spans="1:6">
      <c r="A80" s="1" t="s">
        <v>85</v>
      </c>
      <c r="B80" s="1" t="s">
        <v>249</v>
      </c>
      <c r="C80" s="1">
        <f>VLOOKUP(A80,'[1]MGM Tally'!Q:S,3,FALSE)</f>
        <v>-19848.91</v>
      </c>
      <c r="D80" s="1">
        <f>VLOOKUP(A80,'[1]MGM NS'!P:Q,2,FALSE)</f>
        <v>-19848.91</v>
      </c>
      <c r="E80" s="1" t="b">
        <f t="shared" si="1"/>
        <v>1</v>
      </c>
      <c r="F80" s="1"/>
    </row>
    <row r="81" spans="1:6">
      <c r="A81" s="1" t="s">
        <v>86</v>
      </c>
      <c r="B81" s="1" t="s">
        <v>249</v>
      </c>
      <c r="C81" s="1">
        <f>VLOOKUP(A81,'[1]MGM Tally'!Q:S,3,FALSE)</f>
        <v>-1258076.02</v>
      </c>
      <c r="D81" s="1">
        <f>VLOOKUP(A81,'[1]MGM NS'!P:Q,2,FALSE)</f>
        <v>-1258076.02</v>
      </c>
      <c r="E81" s="1" t="b">
        <f t="shared" si="1"/>
        <v>1</v>
      </c>
      <c r="F81" s="1"/>
    </row>
    <row r="82" spans="1:6">
      <c r="A82" s="1" t="s">
        <v>87</v>
      </c>
      <c r="B82" s="1" t="s">
        <v>249</v>
      </c>
      <c r="C82" s="1">
        <f>VLOOKUP(A82,'[1]MGM Tally'!Q:S,3,FALSE)</f>
        <v>-15793.06</v>
      </c>
      <c r="D82" s="1">
        <f>VLOOKUP(A82,'[1]MGM NS'!P:Q,2,FALSE)</f>
        <v>-15793.06</v>
      </c>
      <c r="E82" s="1" t="b">
        <f t="shared" si="1"/>
        <v>1</v>
      </c>
      <c r="F82" s="1"/>
    </row>
    <row r="83" spans="1:6">
      <c r="A83" s="1" t="s">
        <v>88</v>
      </c>
      <c r="B83" s="1" t="s">
        <v>249</v>
      </c>
      <c r="C83" s="1">
        <f>VLOOKUP(A83,'[1]MGM Tally'!Q:S,3,FALSE)</f>
        <v>-559134.47</v>
      </c>
      <c r="D83" s="1">
        <f>VLOOKUP(A83,'[1]MGM NS'!P:Q,2,FALSE)</f>
        <v>-559134.47</v>
      </c>
      <c r="E83" s="1" t="b">
        <f t="shared" si="1"/>
        <v>1</v>
      </c>
      <c r="F83" s="1"/>
    </row>
    <row r="84" spans="1:6">
      <c r="A84" s="1" t="s">
        <v>89</v>
      </c>
      <c r="B84" s="1" t="s">
        <v>249</v>
      </c>
      <c r="C84" s="1">
        <f>VLOOKUP(A84,'[1]MGM Tally'!Q:S,3,FALSE)</f>
        <v>-461394</v>
      </c>
      <c r="D84" s="1">
        <f>VLOOKUP(A84,'[1]MGM NS'!P:Q,2,FALSE)</f>
        <v>-461394</v>
      </c>
      <c r="E84" s="1" t="b">
        <f t="shared" si="1"/>
        <v>1</v>
      </c>
      <c r="F84" s="1"/>
    </row>
    <row r="85" spans="1:6">
      <c r="A85" s="1" t="s">
        <v>90</v>
      </c>
      <c r="B85" s="1" t="s">
        <v>249</v>
      </c>
      <c r="C85" s="1">
        <f>VLOOKUP(A85,'[1]MGM Tally'!Q:S,3,FALSE)</f>
        <v>0</v>
      </c>
      <c r="D85" s="1">
        <f>VLOOKUP(A85,'[1]MGM NS'!P:Q,2,FALSE)</f>
        <v>0</v>
      </c>
      <c r="E85" s="1" t="b">
        <f t="shared" si="1"/>
        <v>1</v>
      </c>
      <c r="F85" s="1"/>
    </row>
    <row r="86" spans="1:6">
      <c r="A86" s="1" t="s">
        <v>91</v>
      </c>
      <c r="B86" s="1" t="s">
        <v>249</v>
      </c>
      <c r="C86" s="1">
        <f>VLOOKUP(A86,'[1]MGM Tally'!Q:S,3,FALSE)</f>
        <v>-3500</v>
      </c>
      <c r="D86" s="1">
        <f>VLOOKUP(A86,'[1]MGM NS'!P:Q,2,FALSE)</f>
        <v>-3500</v>
      </c>
      <c r="E86" s="1" t="b">
        <f t="shared" si="1"/>
        <v>1</v>
      </c>
      <c r="F86" s="1"/>
    </row>
    <row r="87" spans="1:6">
      <c r="A87" s="1" t="s">
        <v>92</v>
      </c>
      <c r="B87" s="1" t="s">
        <v>249</v>
      </c>
      <c r="C87" s="1">
        <f>VLOOKUP(A87,'[1]MGM Tally'!Q:S,3,FALSE)</f>
        <v>-39500</v>
      </c>
      <c r="D87" s="1">
        <f>VLOOKUP(A87,'[1]MGM NS'!P:Q,2,FALSE)</f>
        <v>-39500</v>
      </c>
      <c r="E87" s="1" t="b">
        <f t="shared" si="1"/>
        <v>1</v>
      </c>
      <c r="F87" s="1"/>
    </row>
    <row r="88" spans="1:6">
      <c r="A88" s="1" t="s">
        <v>93</v>
      </c>
      <c r="B88" s="1" t="s">
        <v>249</v>
      </c>
      <c r="C88" s="1">
        <f>VLOOKUP(A88,'[1]MGM Tally'!Q:S,3,FALSE)</f>
        <v>0</v>
      </c>
      <c r="D88" s="1">
        <f>VLOOKUP(A88,'[1]MGM NS'!P:Q,2,FALSE)</f>
        <v>0</v>
      </c>
      <c r="E88" s="1" t="b">
        <f t="shared" si="1"/>
        <v>1</v>
      </c>
      <c r="F88" s="1"/>
    </row>
    <row r="89" spans="1:6">
      <c r="A89" s="1" t="s">
        <v>94</v>
      </c>
      <c r="B89" s="1" t="s">
        <v>249</v>
      </c>
      <c r="C89" s="1">
        <f>VLOOKUP(A89,'[1]MGM Tally'!Q:S,3,FALSE)</f>
        <v>-26000</v>
      </c>
      <c r="D89" s="1">
        <f>VLOOKUP(A89,'[1]MGM NS'!P:Q,2,FALSE)</f>
        <v>-26000</v>
      </c>
      <c r="E89" s="1" t="b">
        <f t="shared" si="1"/>
        <v>1</v>
      </c>
      <c r="F89" s="1"/>
    </row>
    <row r="90" spans="1:6">
      <c r="A90" s="1" t="s">
        <v>95</v>
      </c>
      <c r="B90" s="1" t="s">
        <v>249</v>
      </c>
      <c r="C90" s="1">
        <f>VLOOKUP(A90,'[1]MGM Tally'!Q:S,3,FALSE)</f>
        <v>-180000</v>
      </c>
      <c r="D90" s="1">
        <f>VLOOKUP(A90,'[1]MGM NS'!P:Q,2,FALSE)</f>
        <v>-180000</v>
      </c>
      <c r="E90" s="1" t="b">
        <f t="shared" si="1"/>
        <v>1</v>
      </c>
      <c r="F90" s="1"/>
    </row>
    <row r="91" spans="1:6">
      <c r="A91" s="1" t="s">
        <v>96</v>
      </c>
      <c r="B91" s="1" t="s">
        <v>249</v>
      </c>
      <c r="C91" s="1">
        <f>VLOOKUP(A91,'[1]MGM Tally'!Q:S,3,FALSE)</f>
        <v>-486500</v>
      </c>
      <c r="D91" s="1">
        <f>VLOOKUP(A91,'[1]MGM NS'!P:Q,2,FALSE)</f>
        <v>-486500</v>
      </c>
      <c r="E91" s="1" t="b">
        <f t="shared" si="1"/>
        <v>1</v>
      </c>
      <c r="F91" s="1"/>
    </row>
    <row r="92" spans="1:6">
      <c r="A92" s="1" t="s">
        <v>97</v>
      </c>
      <c r="B92" s="1" t="s">
        <v>249</v>
      </c>
      <c r="C92" s="1">
        <f>VLOOKUP(A92,'[1]MGM Tally'!Q:S,3,FALSE)</f>
        <v>-330000</v>
      </c>
      <c r="D92" s="1">
        <f>VLOOKUP(A92,'[1]MGM NS'!P:Q,2,FALSE)</f>
        <v>-330000</v>
      </c>
      <c r="E92" s="1" t="b">
        <f t="shared" si="1"/>
        <v>1</v>
      </c>
      <c r="F92" s="1"/>
    </row>
    <row r="93" spans="1:6">
      <c r="A93" s="1" t="s">
        <v>98</v>
      </c>
      <c r="B93" s="1" t="s">
        <v>249</v>
      </c>
      <c r="C93" s="1">
        <f>VLOOKUP(A93,'[1]MGM Tally'!Q:S,3,FALSE)</f>
        <v>-94000</v>
      </c>
      <c r="D93" s="1">
        <f>VLOOKUP(A93,'[1]MGM NS'!P:Q,2,FALSE)</f>
        <v>-94000</v>
      </c>
      <c r="E93" s="1" t="b">
        <f t="shared" si="1"/>
        <v>1</v>
      </c>
      <c r="F93" s="1"/>
    </row>
    <row r="94" spans="1:6">
      <c r="A94" s="1" t="s">
        <v>99</v>
      </c>
      <c r="B94" s="1" t="s">
        <v>249</v>
      </c>
      <c r="C94" s="1" t="str">
        <f>VLOOKUP(A94,'[1]MGM Tally'!Q:S,3,FALSE)</f>
        <v>1705846.95</v>
      </c>
      <c r="D94" s="1">
        <f>VLOOKUP(A94,'[1]MGM NS'!P:Q,2,FALSE)</f>
        <v>1705846.95</v>
      </c>
      <c r="E94" s="1" t="b">
        <f t="shared" si="1"/>
        <v>1</v>
      </c>
      <c r="F94" s="1"/>
    </row>
    <row r="95" spans="1:6">
      <c r="A95" s="1" t="s">
        <v>100</v>
      </c>
      <c r="B95" s="1" t="s">
        <v>249</v>
      </c>
      <c r="C95" s="1" t="str">
        <f>VLOOKUP(A95,'[1]MGM Tally'!Q:S,3,FALSE)</f>
        <v>185197.00</v>
      </c>
      <c r="D95" s="1">
        <f>VLOOKUP(A95,'[1]MGM NS'!P:Q,2,FALSE)</f>
        <v>185197</v>
      </c>
      <c r="E95" s="1" t="b">
        <f t="shared" si="1"/>
        <v>1</v>
      </c>
      <c r="F95" s="1"/>
    </row>
    <row r="96" spans="1:6">
      <c r="A96" s="1" t="s">
        <v>101</v>
      </c>
      <c r="B96" s="1" t="s">
        <v>249</v>
      </c>
      <c r="C96" s="1">
        <f>VLOOKUP(A96,'[1]MGM Tally'!Q:S,3,FALSE)</f>
        <v>0</v>
      </c>
      <c r="D96" s="1">
        <f>VLOOKUP(A96,'[1]MGM NS'!P:Q,2,FALSE)</f>
        <v>0</v>
      </c>
      <c r="E96" s="1" t="b">
        <f t="shared" si="1"/>
        <v>1</v>
      </c>
      <c r="F96" s="1"/>
    </row>
    <row r="97" spans="1:6">
      <c r="A97" s="1" t="s">
        <v>102</v>
      </c>
      <c r="B97" s="1" t="s">
        <v>249</v>
      </c>
      <c r="C97" s="1" t="str">
        <f>VLOOKUP(A97,'[1]MGM Tally'!Q:S,3,FALSE)</f>
        <v>275266.83</v>
      </c>
      <c r="D97" s="1">
        <f>VLOOKUP(A97,'[1]MGM NS'!P:Q,2,FALSE)</f>
        <v>275266.83</v>
      </c>
      <c r="E97" s="1" t="b">
        <f t="shared" si="1"/>
        <v>1</v>
      </c>
      <c r="F97" s="1"/>
    </row>
    <row r="98" spans="1:6">
      <c r="A98" s="1" t="s">
        <v>103</v>
      </c>
      <c r="B98" s="1" t="s">
        <v>249</v>
      </c>
      <c r="C98" s="1" t="str">
        <f>VLOOKUP(A98,'[1]MGM Tally'!Q:S,3,FALSE)</f>
        <v>852619.00</v>
      </c>
      <c r="D98" s="1">
        <f>VLOOKUP(A98,'[1]MGM NS'!P:Q,2,FALSE)</f>
        <v>852619</v>
      </c>
      <c r="E98" s="1" t="b">
        <f t="shared" si="1"/>
        <v>1</v>
      </c>
      <c r="F98" s="1"/>
    </row>
    <row r="99" spans="1:6">
      <c r="A99" s="1" t="s">
        <v>104</v>
      </c>
      <c r="B99" s="1" t="s">
        <v>249</v>
      </c>
      <c r="C99" s="1" t="str">
        <f>VLOOKUP(A99,'[1]MGM Tally'!Q:S,3,FALSE)</f>
        <v>89700.00</v>
      </c>
      <c r="D99" s="1">
        <f>VLOOKUP(A99,'[1]MGM NS'!P:Q,2,FALSE)</f>
        <v>89700</v>
      </c>
      <c r="E99" s="1" t="b">
        <f t="shared" si="1"/>
        <v>1</v>
      </c>
      <c r="F99" s="1"/>
    </row>
    <row r="100" spans="1:6">
      <c r="A100" s="1" t="s">
        <v>105</v>
      </c>
      <c r="B100" s="1" t="s">
        <v>249</v>
      </c>
      <c r="C100" s="1">
        <f>VLOOKUP(A100,'[1]MGM Tally'!Q:S,3,FALSE)</f>
        <v>0</v>
      </c>
      <c r="D100" s="1">
        <f>VLOOKUP(A100,'[1]MGM NS'!P:Q,2,FALSE)</f>
        <v>0</v>
      </c>
      <c r="E100" s="1" t="b">
        <f t="shared" si="1"/>
        <v>1</v>
      </c>
      <c r="F100" s="1"/>
    </row>
    <row r="101" spans="1:6">
      <c r="A101" s="1" t="s">
        <v>106</v>
      </c>
      <c r="B101" s="1" t="s">
        <v>249</v>
      </c>
      <c r="C101" s="1">
        <f>VLOOKUP(A101,'[1]MGM Tally'!Q:S,3,FALSE)</f>
        <v>-665511</v>
      </c>
      <c r="D101" s="1">
        <f>VLOOKUP(A101,'[1]MGM NS'!P:Q,2,FALSE)</f>
        <v>-665511</v>
      </c>
      <c r="E101" s="1" t="b">
        <f t="shared" si="1"/>
        <v>1</v>
      </c>
      <c r="F101" s="1"/>
    </row>
    <row r="102" spans="1:6">
      <c r="A102" s="1" t="s">
        <v>107</v>
      </c>
      <c r="B102" s="1" t="s">
        <v>249</v>
      </c>
      <c r="C102" s="1">
        <f>VLOOKUP(A102,'[1]MGM Tally'!Q:S,3,FALSE)</f>
        <v>-1691</v>
      </c>
      <c r="D102" s="1">
        <f>VLOOKUP(A102,'[1]MGM NS'!P:Q,2,FALSE)</f>
        <v>-1691</v>
      </c>
      <c r="E102" s="1" t="b">
        <f t="shared" si="1"/>
        <v>1</v>
      </c>
      <c r="F102" s="1"/>
    </row>
    <row r="103" spans="1:6">
      <c r="A103" s="1" t="s">
        <v>108</v>
      </c>
      <c r="B103" s="1" t="s">
        <v>249</v>
      </c>
      <c r="C103" s="1">
        <f>VLOOKUP(A103,'[1]MGM Tally'!Q:S,3,FALSE)</f>
        <v>-133500</v>
      </c>
      <c r="D103" s="1">
        <f>VLOOKUP(A103,'[1]MGM NS'!P:Q,2,FALSE)</f>
        <v>-133500</v>
      </c>
      <c r="E103" s="1" t="b">
        <f t="shared" si="1"/>
        <v>1</v>
      </c>
      <c r="F103" s="1"/>
    </row>
    <row r="104" spans="1:6">
      <c r="A104" s="1" t="s">
        <v>109</v>
      </c>
      <c r="B104" s="1" t="s">
        <v>249</v>
      </c>
      <c r="C104" s="1">
        <f>VLOOKUP(A104,'[1]MGM Tally'!Q:S,3,FALSE)</f>
        <v>-37050</v>
      </c>
      <c r="D104" s="1">
        <f>VLOOKUP(A104,'[1]MGM NS'!P:Q,2,FALSE)</f>
        <v>-37050</v>
      </c>
      <c r="E104" s="1" t="b">
        <f t="shared" si="1"/>
        <v>1</v>
      </c>
      <c r="F104" s="1"/>
    </row>
    <row r="105" spans="1:6">
      <c r="A105" s="1" t="s">
        <v>110</v>
      </c>
      <c r="B105" s="1" t="s">
        <v>249</v>
      </c>
      <c r="C105" s="1">
        <f>VLOOKUP(A105,'[1]MGM Tally'!Q:S,3,FALSE)</f>
        <v>-7552</v>
      </c>
      <c r="D105" s="1">
        <f>VLOOKUP(A105,'[1]MGM NS'!P:Q,2,FALSE)</f>
        <v>-7552</v>
      </c>
      <c r="E105" s="1" t="b">
        <f t="shared" si="1"/>
        <v>1</v>
      </c>
      <c r="F105" s="1"/>
    </row>
    <row r="106" spans="1:6">
      <c r="A106" s="1" t="s">
        <v>111</v>
      </c>
      <c r="B106" s="1" t="s">
        <v>249</v>
      </c>
      <c r="C106" s="1">
        <f>VLOOKUP(A106,'[1]MGM Tally'!Q:S,3,FALSE)</f>
        <v>-36830</v>
      </c>
      <c r="D106" s="1">
        <f>VLOOKUP(A106,'[1]MGM NS'!P:Q,2,FALSE)</f>
        <v>-36830</v>
      </c>
      <c r="E106" s="1" t="b">
        <f t="shared" si="1"/>
        <v>1</v>
      </c>
      <c r="F106" s="1"/>
    </row>
    <row r="107" spans="1:6">
      <c r="A107" s="1" t="s">
        <v>112</v>
      </c>
      <c r="B107" s="1" t="s">
        <v>249</v>
      </c>
      <c r="C107" s="1">
        <f>VLOOKUP(A107,'[1]MGM Tally'!Q:S,3,FALSE)</f>
        <v>-8391</v>
      </c>
      <c r="D107" s="1">
        <f>VLOOKUP(A107,'[1]MGM NS'!P:Q,2,FALSE)</f>
        <v>-8391</v>
      </c>
      <c r="E107" s="1" t="b">
        <f t="shared" si="1"/>
        <v>1</v>
      </c>
      <c r="F107" s="1"/>
    </row>
    <row r="108" spans="1:6">
      <c r="A108" s="1" t="s">
        <v>113</v>
      </c>
      <c r="B108" s="1" t="s">
        <v>249</v>
      </c>
      <c r="C108" s="1">
        <f>VLOOKUP(A108,'[1]MGM Tally'!Q:S,3,FALSE)</f>
        <v>-22800</v>
      </c>
      <c r="D108" s="1">
        <f>VLOOKUP(A108,'[1]MGM NS'!P:Q,2,FALSE)</f>
        <v>-22800</v>
      </c>
      <c r="E108" s="1" t="b">
        <f t="shared" si="1"/>
        <v>1</v>
      </c>
      <c r="F108" s="1"/>
    </row>
    <row r="109" spans="1:6">
      <c r="A109" s="1" t="s">
        <v>114</v>
      </c>
      <c r="B109" s="1" t="s">
        <v>249</v>
      </c>
      <c r="C109" s="1">
        <f>VLOOKUP(A109,'[1]MGM Tally'!Q:S,3,FALSE)</f>
        <v>-42110</v>
      </c>
      <c r="D109" s="1">
        <f>VLOOKUP(A109,'[1]MGM NS'!P:Q,2,FALSE)</f>
        <v>-42110</v>
      </c>
      <c r="E109" s="1" t="b">
        <f t="shared" si="1"/>
        <v>1</v>
      </c>
      <c r="F109" s="1"/>
    </row>
    <row r="110" spans="1:6">
      <c r="A110" s="1" t="s">
        <v>115</v>
      </c>
      <c r="B110" s="1" t="s">
        <v>249</v>
      </c>
      <c r="C110" s="1">
        <f>VLOOKUP(A110,'[1]MGM Tally'!Q:S,3,FALSE)</f>
        <v>-15000</v>
      </c>
      <c r="D110" s="1">
        <f>VLOOKUP(A110,'[1]MGM NS'!P:Q,2,FALSE)</f>
        <v>-15000</v>
      </c>
      <c r="E110" s="1" t="b">
        <f t="shared" si="1"/>
        <v>1</v>
      </c>
      <c r="F110" s="1"/>
    </row>
    <row r="111" spans="1:6">
      <c r="A111" s="1" t="s">
        <v>116</v>
      </c>
      <c r="B111" s="1" t="s">
        <v>249</v>
      </c>
      <c r="C111" s="1">
        <f>VLOOKUP(A111,'[1]MGM Tally'!Q:S,3,FALSE)</f>
        <v>-52056</v>
      </c>
      <c r="D111" s="1">
        <f>VLOOKUP(A111,'[1]MGM NS'!P:Q,2,FALSE)</f>
        <v>-52056</v>
      </c>
      <c r="E111" s="1" t="b">
        <f t="shared" si="1"/>
        <v>1</v>
      </c>
      <c r="F111" s="1"/>
    </row>
    <row r="112" spans="1:6">
      <c r="A112" s="1" t="s">
        <v>117</v>
      </c>
      <c r="B112" s="1" t="s">
        <v>249</v>
      </c>
      <c r="C112" s="1" t="str">
        <f>VLOOKUP(A112,'[1]MGM Tally'!Q:S,3,FALSE)</f>
        <v>20097.00</v>
      </c>
      <c r="D112" s="1">
        <f>VLOOKUP(A112,'[1]MGM NS'!P:Q,2,FALSE)</f>
        <v>20097</v>
      </c>
      <c r="E112" s="1" t="b">
        <f t="shared" si="1"/>
        <v>1</v>
      </c>
      <c r="F112" s="1"/>
    </row>
    <row r="113" spans="1:6">
      <c r="A113" s="1" t="s">
        <v>118</v>
      </c>
      <c r="B113" s="1" t="s">
        <v>249</v>
      </c>
      <c r="C113" s="1" t="str">
        <f>VLOOKUP(A113,'[1]MGM Tally'!Q:S,3,FALSE)</f>
        <v>23000.00</v>
      </c>
      <c r="D113" s="1">
        <f>VLOOKUP(A113,'[1]MGM NS'!P:Q,2,FALSE)</f>
        <v>23000</v>
      </c>
      <c r="E113" s="1" t="b">
        <f t="shared" si="1"/>
        <v>1</v>
      </c>
      <c r="F113" s="1"/>
    </row>
    <row r="114" spans="1:6">
      <c r="A114" s="1" t="s">
        <v>119</v>
      </c>
      <c r="B114" s="1" t="s">
        <v>249</v>
      </c>
      <c r="C114" s="1">
        <f>VLOOKUP(A114,'[1]MGM Tally'!Q:S,3,FALSE)</f>
        <v>0</v>
      </c>
      <c r="D114" s="1">
        <f>VLOOKUP(A114,'[1]MGM NS'!P:Q,2,FALSE)</f>
        <v>0</v>
      </c>
      <c r="E114" s="1" t="b">
        <f t="shared" si="1"/>
        <v>1</v>
      </c>
      <c r="F114" s="1"/>
    </row>
    <row r="115" spans="1:6">
      <c r="A115" s="1" t="s">
        <v>120</v>
      </c>
      <c r="B115" s="1" t="s">
        <v>249</v>
      </c>
      <c r="C115" s="1" t="str">
        <f>VLOOKUP(A115,'[1]MGM Tally'!Q:S,3,FALSE)</f>
        <v>40000.00</v>
      </c>
      <c r="D115" s="1">
        <f>VLOOKUP(A115,'[1]MGM NS'!P:Q,2,FALSE)</f>
        <v>40000</v>
      </c>
      <c r="E115" s="1" t="b">
        <f t="shared" si="1"/>
        <v>1</v>
      </c>
      <c r="F115" s="1"/>
    </row>
    <row r="116" spans="1:6">
      <c r="A116" s="1" t="s">
        <v>121</v>
      </c>
      <c r="B116" s="1" t="s">
        <v>249</v>
      </c>
      <c r="C116" s="1" t="str">
        <f>VLOOKUP(A116,'[1]MGM Tally'!Q:S,3,FALSE)</f>
        <v>120000.00</v>
      </c>
      <c r="D116" s="1">
        <f>VLOOKUP(A116,'[1]MGM NS'!P:Q,2,FALSE)</f>
        <v>120000</v>
      </c>
      <c r="E116" s="1" t="b">
        <f t="shared" si="1"/>
        <v>1</v>
      </c>
      <c r="F116" s="1"/>
    </row>
    <row r="117" spans="1:6">
      <c r="A117" s="1" t="s">
        <v>122</v>
      </c>
      <c r="B117" s="1" t="s">
        <v>249</v>
      </c>
      <c r="C117" s="1" t="str">
        <f>VLOOKUP(A117,'[1]MGM Tally'!Q:S,3,FALSE)</f>
        <v>55014.00</v>
      </c>
      <c r="D117" s="1">
        <f>VLOOKUP(A117,'[1]MGM NS'!P:Q,2,FALSE)</f>
        <v>55014</v>
      </c>
      <c r="E117" s="1" t="b">
        <f t="shared" si="1"/>
        <v>1</v>
      </c>
      <c r="F117" s="1"/>
    </row>
    <row r="118" spans="1:6">
      <c r="A118" s="1" t="s">
        <v>123</v>
      </c>
      <c r="B118" s="1" t="s">
        <v>249</v>
      </c>
      <c r="C118" s="1" t="str">
        <f>VLOOKUP(A118,'[1]MGM Tally'!Q:S,3,FALSE)</f>
        <v>310000.00</v>
      </c>
      <c r="D118" s="1">
        <f>VLOOKUP(A118,'[1]MGM NS'!P:Q,2,FALSE)</f>
        <v>310000</v>
      </c>
      <c r="E118" s="1" t="b">
        <f t="shared" si="1"/>
        <v>1</v>
      </c>
      <c r="F118" s="1"/>
    </row>
    <row r="119" spans="1:6">
      <c r="A119" s="1" t="s">
        <v>124</v>
      </c>
      <c r="B119" s="1" t="s">
        <v>249</v>
      </c>
      <c r="C119" s="1" t="str">
        <f>VLOOKUP(A119,'[1]MGM Tally'!Q:S,3,FALSE)</f>
        <v>7500.00</v>
      </c>
      <c r="D119" s="1">
        <f>VLOOKUP(A119,'[1]MGM NS'!P:Q,2,FALSE)</f>
        <v>7500</v>
      </c>
      <c r="E119" s="1" t="b">
        <f t="shared" si="1"/>
        <v>1</v>
      </c>
      <c r="F119" s="1"/>
    </row>
    <row r="120" spans="1:6">
      <c r="A120" s="1" t="s">
        <v>125</v>
      </c>
      <c r="B120" s="1" t="s">
        <v>249</v>
      </c>
      <c r="C120" s="1" t="str">
        <f>VLOOKUP(A120,'[1]MGM Tally'!Q:S,3,FALSE)</f>
        <v>150000.00</v>
      </c>
      <c r="D120" s="1">
        <f>VLOOKUP(A120,'[1]MGM NS'!P:Q,2,FALSE)</f>
        <v>150000</v>
      </c>
      <c r="E120" s="1" t="b">
        <f t="shared" si="1"/>
        <v>1</v>
      </c>
      <c r="F120" s="1"/>
    </row>
    <row r="121" spans="1:6">
      <c r="A121" s="1" t="s">
        <v>126</v>
      </c>
      <c r="B121" s="1" t="s">
        <v>249</v>
      </c>
      <c r="C121" s="1" t="str">
        <f>VLOOKUP(A121,'[1]MGM Tally'!Q:S,3,FALSE)</f>
        <v>140000.00</v>
      </c>
      <c r="D121" s="1">
        <f>VLOOKUP(A121,'[1]MGM NS'!P:Q,2,FALSE)</f>
        <v>140000</v>
      </c>
      <c r="E121" s="1" t="b">
        <f t="shared" si="1"/>
        <v>1</v>
      </c>
      <c r="F121" s="1"/>
    </row>
    <row r="122" spans="1:6">
      <c r="A122" s="1" t="s">
        <v>127</v>
      </c>
      <c r="B122" s="1" t="s">
        <v>249</v>
      </c>
      <c r="C122" s="1" t="str">
        <f>VLOOKUP(A122,'[1]MGM Tally'!Q:S,3,FALSE)</f>
        <v>1515043.00</v>
      </c>
      <c r="D122" s="1">
        <f>VLOOKUP(A122,'[1]MGM NS'!P:Q,2,FALSE)</f>
        <v>1515043</v>
      </c>
      <c r="E122" s="1" t="b">
        <f t="shared" si="1"/>
        <v>1</v>
      </c>
      <c r="F122" s="1"/>
    </row>
    <row r="123" spans="1:6">
      <c r="A123" s="1" t="s">
        <v>128</v>
      </c>
      <c r="B123" s="1" t="s">
        <v>249</v>
      </c>
      <c r="C123" s="1">
        <f>VLOOKUP(A123,'[1]MGM Tally'!Q:S,3,FALSE)</f>
        <v>0</v>
      </c>
      <c r="D123" s="1">
        <f>VLOOKUP(A123,'[1]MGM NS'!P:Q,2,FALSE)</f>
        <v>0</v>
      </c>
      <c r="E123" s="1" t="b">
        <f t="shared" si="1"/>
        <v>1</v>
      </c>
      <c r="F123" s="1"/>
    </row>
    <row r="124" spans="1:6">
      <c r="A124" s="1" t="s">
        <v>129</v>
      </c>
      <c r="B124" s="1" t="s">
        <v>249</v>
      </c>
      <c r="C124" s="1">
        <f>VLOOKUP(A124,'[1]MGM Tally'!Q:S,3,FALSE)</f>
        <v>-28800</v>
      </c>
      <c r="D124" s="1">
        <f>VLOOKUP(A124,'[1]MGM NS'!P:Q,2,FALSE)</f>
        <v>-28800</v>
      </c>
      <c r="E124" s="1" t="b">
        <f t="shared" si="1"/>
        <v>1</v>
      </c>
      <c r="F124" s="1"/>
    </row>
    <row r="125" spans="1:6">
      <c r="A125" s="1" t="s">
        <v>130</v>
      </c>
      <c r="B125" s="1" t="s">
        <v>249</v>
      </c>
      <c r="C125" s="1">
        <f>VLOOKUP(A125,'[1]MGM Tally'!Q:S,3,FALSE)</f>
        <v>-102685</v>
      </c>
      <c r="D125" s="1">
        <f>VLOOKUP(A125,'[1]MGM NS'!P:Q,2,FALSE)</f>
        <v>-102685</v>
      </c>
      <c r="E125" s="1" t="b">
        <f t="shared" si="1"/>
        <v>1</v>
      </c>
      <c r="F125" s="1"/>
    </row>
    <row r="126" spans="1:6">
      <c r="A126" s="1" t="s">
        <v>131</v>
      </c>
      <c r="B126" s="1" t="s">
        <v>249</v>
      </c>
      <c r="C126" s="1">
        <f>VLOOKUP(A126,'[1]MGM Tally'!Q:S,3,FALSE)</f>
        <v>-110000</v>
      </c>
      <c r="D126" s="1">
        <f>VLOOKUP(A126,'[1]MGM NS'!P:Q,2,FALSE)</f>
        <v>-110000</v>
      </c>
      <c r="E126" s="1" t="b">
        <f t="shared" si="1"/>
        <v>1</v>
      </c>
      <c r="F126" s="1"/>
    </row>
    <row r="127" spans="1:6">
      <c r="A127" s="1" t="s">
        <v>132</v>
      </c>
      <c r="B127" s="1" t="s">
        <v>249</v>
      </c>
      <c r="C127" s="1">
        <f>VLOOKUP(A127,'[1]MGM Tally'!Q:S,3,FALSE)</f>
        <v>-5660425</v>
      </c>
      <c r="D127" s="1">
        <f>VLOOKUP(A127,'[1]MGM NS'!P:Q,2,FALSE)</f>
        <v>-5660425</v>
      </c>
      <c r="E127" s="1" t="b">
        <f t="shared" si="1"/>
        <v>1</v>
      </c>
      <c r="F127" s="1"/>
    </row>
    <row r="128" spans="1:6">
      <c r="A128" s="1" t="s">
        <v>133</v>
      </c>
      <c r="B128" s="1" t="s">
        <v>249</v>
      </c>
      <c r="C128" s="1">
        <f>VLOOKUP(A128,'[1]MGM Tally'!Q:S,3,FALSE)</f>
        <v>-1942440</v>
      </c>
      <c r="D128" s="1">
        <f>VLOOKUP(A128,'[1]MGM NS'!P:Q,2,FALSE)</f>
        <v>-1942440</v>
      </c>
      <c r="E128" s="1" t="b">
        <f t="shared" si="1"/>
        <v>1</v>
      </c>
      <c r="F128" s="1"/>
    </row>
    <row r="129" spans="1:6">
      <c r="A129" s="1" t="s">
        <v>134</v>
      </c>
      <c r="B129" s="1" t="s">
        <v>249</v>
      </c>
      <c r="C129" s="1">
        <f>VLOOKUP(A129,'[1]MGM Tally'!Q:S,3,FALSE)</f>
        <v>-1021439</v>
      </c>
      <c r="D129" s="1">
        <f>VLOOKUP(A129,'[1]MGM NS'!P:Q,2,FALSE)</f>
        <v>-1021439</v>
      </c>
      <c r="E129" s="1" t="b">
        <f t="shared" si="1"/>
        <v>1</v>
      </c>
      <c r="F129" s="1"/>
    </row>
    <row r="130" spans="1:6">
      <c r="A130" s="1" t="s">
        <v>135</v>
      </c>
      <c r="B130" s="1" t="s">
        <v>249</v>
      </c>
      <c r="C130" s="1">
        <f>VLOOKUP(A130,'[1]MGM Tally'!Q:S,3,FALSE)</f>
        <v>0</v>
      </c>
      <c r="D130" s="1">
        <f>VLOOKUP(A130,'[1]MGM NS'!P:Q,2,FALSE)</f>
        <v>0</v>
      </c>
      <c r="E130" s="1" t="b">
        <f t="shared" ref="E130:E193" si="2">IF(ABS(C130)=ABS(D130),TRUE,FALSE)</f>
        <v>1</v>
      </c>
      <c r="F130" s="1"/>
    </row>
    <row r="131" spans="1:6">
      <c r="A131" s="1" t="s">
        <v>136</v>
      </c>
      <c r="B131" s="1" t="s">
        <v>249</v>
      </c>
      <c r="C131" s="1" t="str">
        <f>VLOOKUP(A131,'[1]MGM Tally'!Q:S,3,FALSE)</f>
        <v>16000.00</v>
      </c>
      <c r="D131" s="1">
        <f>VLOOKUP(A131,'[1]MGM NS'!P:Q,2,FALSE)</f>
        <v>16000</v>
      </c>
      <c r="E131" s="1" t="b">
        <f t="shared" si="2"/>
        <v>1</v>
      </c>
      <c r="F131" s="1"/>
    </row>
    <row r="132" spans="1:6">
      <c r="A132" s="1" t="s">
        <v>137</v>
      </c>
      <c r="B132" s="1" t="s">
        <v>249</v>
      </c>
      <c r="C132" s="1">
        <f>VLOOKUP(A132,'[1]MGM Tally'!Q:S,3,FALSE)</f>
        <v>-192445</v>
      </c>
      <c r="D132" s="1">
        <f>VLOOKUP(A132,'[1]MGM NS'!P:Q,2,FALSE)</f>
        <v>-192445</v>
      </c>
      <c r="E132" s="1" t="b">
        <f t="shared" si="2"/>
        <v>1</v>
      </c>
      <c r="F132" s="1"/>
    </row>
    <row r="133" spans="1:6">
      <c r="A133" s="1" t="s">
        <v>138</v>
      </c>
      <c r="B133" s="1" t="s">
        <v>249</v>
      </c>
      <c r="C133" s="1" t="str">
        <f>VLOOKUP(A133,'[1]MGM Tally'!Q:S,3,FALSE)</f>
        <v>65000.00</v>
      </c>
      <c r="D133" s="1">
        <f>VLOOKUP(A133,'[1]MGM NS'!P:Q,2,FALSE)</f>
        <v>65000</v>
      </c>
      <c r="E133" s="1" t="b">
        <f t="shared" si="2"/>
        <v>1</v>
      </c>
      <c r="F133" s="1"/>
    </row>
    <row r="134" spans="1:6">
      <c r="A134" s="1" t="s">
        <v>139</v>
      </c>
      <c r="B134" s="1" t="s">
        <v>249</v>
      </c>
      <c r="C134" s="1" t="str">
        <f>VLOOKUP(A134,'[1]MGM Tally'!Q:S,3,FALSE)</f>
        <v>131441.00</v>
      </c>
      <c r="D134" s="1">
        <f>VLOOKUP(A134,'[1]MGM NS'!P:Q,2,FALSE)</f>
        <v>131441</v>
      </c>
      <c r="E134" s="1" t="b">
        <f t="shared" si="2"/>
        <v>1</v>
      </c>
      <c r="F134" s="1"/>
    </row>
    <row r="135" spans="1:6">
      <c r="A135" s="1" t="s">
        <v>140</v>
      </c>
      <c r="B135" s="1" t="s">
        <v>249</v>
      </c>
      <c r="C135" s="1" t="str">
        <f>VLOOKUP(A135,'[1]MGM Tally'!Q:S,3,FALSE)</f>
        <v>961551.28</v>
      </c>
      <c r="D135" s="1">
        <f>VLOOKUP(A135,'[1]MGM NS'!P:Q,2,FALSE)</f>
        <v>961551.28</v>
      </c>
      <c r="E135" s="1" t="b">
        <f t="shared" si="2"/>
        <v>1</v>
      </c>
      <c r="F135" s="1"/>
    </row>
    <row r="136" spans="1:6">
      <c r="A136" s="1" t="s">
        <v>141</v>
      </c>
      <c r="B136" s="1" t="s">
        <v>249</v>
      </c>
      <c r="C136" s="1">
        <f>VLOOKUP(A136,'[1]MGM Tally'!Q:S,3,FALSE)</f>
        <v>-23884</v>
      </c>
      <c r="D136" s="1">
        <f>VLOOKUP(A136,'[1]MGM NS'!P:Q,2,FALSE)</f>
        <v>-23884</v>
      </c>
      <c r="E136" s="1" t="b">
        <f t="shared" si="2"/>
        <v>1</v>
      </c>
      <c r="F136" s="1"/>
    </row>
    <row r="137" spans="1:6">
      <c r="A137" s="1" t="s">
        <v>142</v>
      </c>
      <c r="B137" s="1" t="s">
        <v>249</v>
      </c>
      <c r="C137" s="1">
        <f>VLOOKUP(A137,'[1]MGM Tally'!Q:S,3,FALSE)</f>
        <v>0</v>
      </c>
      <c r="D137" s="1">
        <f>VLOOKUP(A137,'[1]MGM NS'!P:Q,2,FALSE)</f>
        <v>0</v>
      </c>
      <c r="E137" s="1" t="b">
        <f t="shared" si="2"/>
        <v>1</v>
      </c>
      <c r="F137" s="1"/>
    </row>
    <row r="138" spans="1:6">
      <c r="A138" s="1" t="s">
        <v>143</v>
      </c>
      <c r="B138" s="1" t="s">
        <v>249</v>
      </c>
      <c r="C138" s="1">
        <f>VLOOKUP(A138,'[1]MGM Tally'!Q:S,3,FALSE)</f>
        <v>0</v>
      </c>
      <c r="D138" s="1">
        <f>VLOOKUP(A138,'[1]MGM NS'!P:Q,2,FALSE)</f>
        <v>0</v>
      </c>
      <c r="E138" s="1" t="b">
        <f t="shared" si="2"/>
        <v>1</v>
      </c>
      <c r="F138" s="1"/>
    </row>
    <row r="139" spans="1:6">
      <c r="A139" s="1" t="s">
        <v>144</v>
      </c>
      <c r="B139" s="1" t="s">
        <v>249</v>
      </c>
      <c r="C139" s="1">
        <f>VLOOKUP(A139,'[1]MGM Tally'!Q:S,3,FALSE)</f>
        <v>-33353</v>
      </c>
      <c r="D139" s="1">
        <f>VLOOKUP(A139,'[1]MGM NS'!P:Q,2,FALSE)</f>
        <v>-33353</v>
      </c>
      <c r="E139" s="1" t="b">
        <f t="shared" si="2"/>
        <v>1</v>
      </c>
      <c r="F139" s="1"/>
    </row>
    <row r="140" spans="1:6">
      <c r="A140" s="1" t="s">
        <v>145</v>
      </c>
      <c r="B140" s="1" t="s">
        <v>249</v>
      </c>
      <c r="C140" s="1" t="str">
        <f>VLOOKUP(A140,'[1]MGM Tally'!Q:S,3,FALSE)</f>
        <v>24000.00</v>
      </c>
      <c r="D140" s="1">
        <f>VLOOKUP(A140,'[1]MGM NS'!P:Q,2,FALSE)</f>
        <v>24000</v>
      </c>
      <c r="E140" s="1" t="b">
        <f t="shared" si="2"/>
        <v>1</v>
      </c>
      <c r="F140" s="1"/>
    </row>
    <row r="141" spans="1:6">
      <c r="A141" s="1" t="s">
        <v>146</v>
      </c>
      <c r="B141" s="1" t="s">
        <v>249</v>
      </c>
      <c r="C141" s="1" t="str">
        <f>VLOOKUP(A141,'[1]MGM Tally'!Q:S,3,FALSE)</f>
        <v>25000.00</v>
      </c>
      <c r="D141" s="1">
        <f>VLOOKUP(A141,'[1]MGM NS'!P:Q,2,FALSE)</f>
        <v>25000</v>
      </c>
      <c r="E141" s="1" t="b">
        <f t="shared" si="2"/>
        <v>1</v>
      </c>
      <c r="F141" s="1"/>
    </row>
    <row r="142" spans="1:6">
      <c r="A142" s="1" t="s">
        <v>147</v>
      </c>
      <c r="B142" s="1" t="s">
        <v>249</v>
      </c>
      <c r="C142" s="1">
        <f>VLOOKUP(A142,'[1]MGM Tally'!Q:S,3,FALSE)</f>
        <v>-4000</v>
      </c>
      <c r="D142" s="1">
        <f>VLOOKUP(A142,'[1]MGM NS'!P:Q,2,FALSE)</f>
        <v>-4000</v>
      </c>
      <c r="E142" s="1" t="b">
        <f t="shared" si="2"/>
        <v>1</v>
      </c>
      <c r="F142" s="1"/>
    </row>
    <row r="143" spans="1:6">
      <c r="A143" s="1" t="s">
        <v>148</v>
      </c>
      <c r="B143" s="1" t="s">
        <v>249</v>
      </c>
      <c r="C143" s="1">
        <f>VLOOKUP(A143,'[1]MGM Tally'!Q:S,3,FALSE)</f>
        <v>-585000.79</v>
      </c>
      <c r="D143" s="1">
        <f>VLOOKUP(A143,'[1]MGM NS'!P:Q,2,FALSE)</f>
        <v>-585000.79</v>
      </c>
      <c r="E143" s="1" t="b">
        <f t="shared" si="2"/>
        <v>1</v>
      </c>
      <c r="F143" s="1"/>
    </row>
    <row r="144" spans="1:6">
      <c r="A144" s="1" t="s">
        <v>149</v>
      </c>
      <c r="B144" s="1" t="s">
        <v>249</v>
      </c>
      <c r="C144" s="1" t="str">
        <f>VLOOKUP(A144,'[1]MGM Tally'!Q:S,3,FALSE)</f>
        <v>179044.00</v>
      </c>
      <c r="D144" s="1">
        <f>VLOOKUP(A144,'[1]MGM NS'!P:Q,2,FALSE)</f>
        <v>179044</v>
      </c>
      <c r="E144" s="1" t="b">
        <f t="shared" si="2"/>
        <v>1</v>
      </c>
      <c r="F144" s="1"/>
    </row>
    <row r="145" spans="1:6">
      <c r="A145" s="1" t="s">
        <v>150</v>
      </c>
      <c r="B145" s="1" t="s">
        <v>249</v>
      </c>
      <c r="C145" s="1">
        <f>VLOOKUP(A145,'[1]MGM Tally'!Q:S,3,FALSE)</f>
        <v>-4350</v>
      </c>
      <c r="D145" s="1">
        <f>VLOOKUP(A145,'[1]MGM NS'!P:Q,2,FALSE)</f>
        <v>-4350</v>
      </c>
      <c r="E145" s="1" t="b">
        <f t="shared" si="2"/>
        <v>1</v>
      </c>
      <c r="F145" s="1"/>
    </row>
    <row r="146" spans="1:6">
      <c r="A146" s="1" t="s">
        <v>151</v>
      </c>
      <c r="B146" s="1" t="s">
        <v>249</v>
      </c>
      <c r="C146" s="1">
        <f>VLOOKUP(A146,'[1]MGM Tally'!Q:S,3,FALSE)</f>
        <v>-58820</v>
      </c>
      <c r="D146" s="1">
        <f>VLOOKUP(A146,'[1]MGM NS'!P:Q,2,FALSE)</f>
        <v>-58820</v>
      </c>
      <c r="E146" s="1" t="b">
        <f t="shared" si="2"/>
        <v>1</v>
      </c>
      <c r="F146" s="1"/>
    </row>
    <row r="147" spans="1:6">
      <c r="A147" s="1" t="s">
        <v>152</v>
      </c>
      <c r="B147" s="1" t="s">
        <v>249</v>
      </c>
      <c r="C147" s="1">
        <f>VLOOKUP(A147,'[1]MGM Tally'!Q:S,3,FALSE)</f>
        <v>-70000</v>
      </c>
      <c r="D147" s="1">
        <f>VLOOKUP(A147,'[1]MGM NS'!P:Q,2,FALSE)</f>
        <v>-70000</v>
      </c>
      <c r="E147" s="1" t="b">
        <f t="shared" si="2"/>
        <v>1</v>
      </c>
      <c r="F147" s="1"/>
    </row>
    <row r="148" spans="1:6">
      <c r="A148" s="1" t="s">
        <v>153</v>
      </c>
      <c r="B148" s="1" t="s">
        <v>249</v>
      </c>
      <c r="C148" s="1" t="str">
        <f>VLOOKUP(A148,'[1]MGM Tally'!Q:S,3,FALSE)</f>
        <v>1068006.00</v>
      </c>
      <c r="D148" s="1">
        <f>VLOOKUP(A148,'[1]MGM NS'!P:Q,2,FALSE)</f>
        <v>1068006</v>
      </c>
      <c r="E148" s="1" t="b">
        <f t="shared" si="2"/>
        <v>1</v>
      </c>
      <c r="F148" s="1"/>
    </row>
    <row r="149" spans="1:6">
      <c r="A149" s="1" t="s">
        <v>154</v>
      </c>
      <c r="B149" s="1" t="s">
        <v>249</v>
      </c>
      <c r="C149" s="1" t="str">
        <f>VLOOKUP(A149,'[1]MGM Tally'!Q:S,3,FALSE)</f>
        <v>485900.00</v>
      </c>
      <c r="D149" s="1">
        <f>VLOOKUP(A149,'[1]MGM NS'!P:Q,2,FALSE)</f>
        <v>485900</v>
      </c>
      <c r="E149" s="1" t="b">
        <f t="shared" si="2"/>
        <v>1</v>
      </c>
      <c r="F149" s="1"/>
    </row>
    <row r="150" spans="1:6">
      <c r="A150" s="1" t="s">
        <v>155</v>
      </c>
      <c r="B150" s="1" t="s">
        <v>249</v>
      </c>
      <c r="C150" s="1">
        <f>VLOOKUP(A150,'[1]MGM Tally'!Q:S,3,FALSE)</f>
        <v>-58437.5</v>
      </c>
      <c r="D150" s="1">
        <f>VLOOKUP(A150,'[1]MGM NS'!P:Q,2,FALSE)</f>
        <v>-58437.5</v>
      </c>
      <c r="E150" s="1" t="b">
        <f t="shared" si="2"/>
        <v>1</v>
      </c>
      <c r="F150" s="1"/>
    </row>
    <row r="151" spans="1:6">
      <c r="A151" s="1" t="s">
        <v>156</v>
      </c>
      <c r="B151" s="1" t="s">
        <v>249</v>
      </c>
      <c r="C151" s="1">
        <f>VLOOKUP(A151,'[1]MGM Tally'!Q:S,3,FALSE)</f>
        <v>-4000</v>
      </c>
      <c r="D151" s="1">
        <f>VLOOKUP(A151,'[1]MGM NS'!P:Q,2,FALSE)</f>
        <v>-4000</v>
      </c>
      <c r="E151" s="1" t="b">
        <f t="shared" si="2"/>
        <v>1</v>
      </c>
      <c r="F151" s="1"/>
    </row>
    <row r="152" spans="1:6">
      <c r="A152" s="1" t="s">
        <v>157</v>
      </c>
      <c r="B152" s="1" t="s">
        <v>249</v>
      </c>
      <c r="C152" s="1" t="str">
        <f>VLOOKUP(A152,'[1]MGM Tally'!Q:S,3,FALSE)</f>
        <v>349312.10</v>
      </c>
      <c r="D152" s="1">
        <f>VLOOKUP(A152,'[1]MGM NS'!P:Q,2,FALSE)</f>
        <v>349312.1</v>
      </c>
      <c r="E152" s="1" t="b">
        <f t="shared" si="2"/>
        <v>1</v>
      </c>
      <c r="F152" s="1"/>
    </row>
    <row r="153" spans="1:6">
      <c r="A153" s="1" t="s">
        <v>158</v>
      </c>
      <c r="B153" s="1" t="s">
        <v>249</v>
      </c>
      <c r="C153" s="1" t="str">
        <f>VLOOKUP(A153,'[1]MGM Tally'!Q:S,3,FALSE)</f>
        <v>2299340.00</v>
      </c>
      <c r="D153" s="1">
        <f>VLOOKUP(A153,'[1]MGM NS'!P:Q,2,FALSE)</f>
        <v>2299340</v>
      </c>
      <c r="E153" s="1" t="b">
        <f t="shared" si="2"/>
        <v>1</v>
      </c>
      <c r="F153" s="1"/>
    </row>
    <row r="154" spans="1:6">
      <c r="A154" s="1" t="s">
        <v>159</v>
      </c>
      <c r="B154" s="1" t="s">
        <v>249</v>
      </c>
      <c r="C154" s="1" t="str">
        <f>VLOOKUP(A154,'[1]MGM Tally'!Q:S,3,FALSE)</f>
        <v>425700.00</v>
      </c>
      <c r="D154" s="1">
        <f>VLOOKUP(A154,'[1]MGM NS'!P:Q,2,FALSE)</f>
        <v>425700</v>
      </c>
      <c r="E154" s="1" t="b">
        <f t="shared" si="2"/>
        <v>1</v>
      </c>
      <c r="F154" s="1"/>
    </row>
    <row r="155" spans="1:6">
      <c r="A155" s="1" t="s">
        <v>160</v>
      </c>
      <c r="B155" s="1" t="s">
        <v>249</v>
      </c>
      <c r="C155" s="1" t="str">
        <f>VLOOKUP(A155,'[1]MGM Tally'!Q:S,3,FALSE)</f>
        <v>1418704.00</v>
      </c>
      <c r="D155" s="1">
        <f>VLOOKUP(A155,'[1]MGM NS'!P:Q,2,FALSE)</f>
        <v>1418704</v>
      </c>
      <c r="E155" s="1" t="b">
        <f t="shared" si="2"/>
        <v>1</v>
      </c>
      <c r="F155" s="1"/>
    </row>
    <row r="156" spans="1:6">
      <c r="A156" s="1" t="s">
        <v>161</v>
      </c>
      <c r="B156" s="1" t="s">
        <v>249</v>
      </c>
      <c r="C156" s="1" t="str">
        <f>VLOOKUP(A156,'[1]MGM Tally'!Q:S,3,FALSE)</f>
        <v>33072.00</v>
      </c>
      <c r="D156" s="1">
        <f>VLOOKUP(A156,'[1]MGM NS'!P:Q,2,FALSE)</f>
        <v>33072</v>
      </c>
      <c r="E156" s="1" t="b">
        <f t="shared" si="2"/>
        <v>1</v>
      </c>
      <c r="F156" s="1"/>
    </row>
    <row r="157" spans="1:6">
      <c r="A157" s="1" t="s">
        <v>162</v>
      </c>
      <c r="B157" s="1" t="s">
        <v>249</v>
      </c>
      <c r="C157" s="1">
        <f>VLOOKUP(A157,'[1]MGM Tally'!Q:S,3,FALSE)</f>
        <v>-11500</v>
      </c>
      <c r="D157" s="1">
        <f>VLOOKUP(A157,'[1]MGM NS'!P:Q,2,FALSE)</f>
        <v>-11500</v>
      </c>
      <c r="E157" s="1" t="b">
        <f t="shared" si="2"/>
        <v>1</v>
      </c>
      <c r="F157" s="1"/>
    </row>
    <row r="158" spans="1:6">
      <c r="A158" s="1" t="s">
        <v>163</v>
      </c>
      <c r="B158" s="1" t="s">
        <v>249</v>
      </c>
      <c r="C158" s="1" t="str">
        <f>VLOOKUP(A158,'[1]MGM Tally'!Q:S,3,FALSE)</f>
        <v>34233.00</v>
      </c>
      <c r="D158" s="1">
        <f>VLOOKUP(A158,'[1]MGM NS'!P:Q,2,FALSE)</f>
        <v>34233</v>
      </c>
      <c r="E158" s="1" t="b">
        <f t="shared" si="2"/>
        <v>1</v>
      </c>
      <c r="F158" s="1"/>
    </row>
    <row r="159" spans="1:6">
      <c r="A159" s="1" t="s">
        <v>164</v>
      </c>
      <c r="B159" s="1" t="s">
        <v>249</v>
      </c>
      <c r="C159" s="1">
        <f>VLOOKUP(A159,'[1]MGM Tally'!Q:S,3,FALSE)</f>
        <v>0</v>
      </c>
      <c r="D159" s="1">
        <f>VLOOKUP(A159,'[1]MGM NS'!P:Q,2,FALSE)</f>
        <v>0</v>
      </c>
      <c r="E159" s="1" t="b">
        <f t="shared" si="2"/>
        <v>1</v>
      </c>
      <c r="F159" s="1"/>
    </row>
    <row r="160" spans="1:6" ht="72.599999999999994">
      <c r="A160" s="9" t="s">
        <v>165</v>
      </c>
      <c r="B160" s="9" t="s">
        <v>249</v>
      </c>
      <c r="C160" s="9">
        <f>VLOOKUP(A160,'[1]MGM Tally'!Q:S,3,FALSE)</f>
        <v>-2261631</v>
      </c>
      <c r="D160" s="9">
        <f>VLOOKUP(A160,'[1]MGM NS'!P:Q,2,FALSE)</f>
        <v>-3090870.27</v>
      </c>
      <c r="E160" s="9" t="b">
        <f t="shared" si="2"/>
        <v>0</v>
      </c>
      <c r="F160" s="10" t="s">
        <v>253</v>
      </c>
    </row>
    <row r="161" spans="1:6">
      <c r="A161" s="1" t="s">
        <v>166</v>
      </c>
      <c r="B161" s="1" t="s">
        <v>249</v>
      </c>
      <c r="C161" s="1">
        <f>VLOOKUP(A161,'[1]MGM Tally'!Q:S,3,FALSE)</f>
        <v>-490814</v>
      </c>
      <c r="D161" s="1">
        <f>VLOOKUP(A161,'[1]MGM NS'!P:Q,2,FALSE)</f>
        <v>-490814</v>
      </c>
      <c r="E161" s="1" t="b">
        <f t="shared" si="2"/>
        <v>1</v>
      </c>
      <c r="F161" s="1"/>
    </row>
    <row r="162" spans="1:6">
      <c r="A162" s="1" t="s">
        <v>167</v>
      </c>
      <c r="B162" s="1" t="s">
        <v>249</v>
      </c>
      <c r="C162" s="1" t="str">
        <f>VLOOKUP(A162,'[1]MGM Tally'!Q:S,3,FALSE)</f>
        <v>110540.00</v>
      </c>
      <c r="D162" s="1">
        <f>VLOOKUP(A162,'[1]MGM NS'!P:Q,2,FALSE)</f>
        <v>110540</v>
      </c>
      <c r="E162" s="1" t="b">
        <f t="shared" si="2"/>
        <v>1</v>
      </c>
      <c r="F162" s="1"/>
    </row>
    <row r="163" spans="1:6">
      <c r="A163" s="1" t="s">
        <v>168</v>
      </c>
      <c r="B163" s="1" t="s">
        <v>249</v>
      </c>
      <c r="C163" s="1">
        <f>VLOOKUP(A163,'[1]MGM Tally'!Q:S,3,FALSE)</f>
        <v>-330740</v>
      </c>
      <c r="D163" s="1">
        <f>VLOOKUP(A163,'[1]MGM NS'!P:Q,2,FALSE)</f>
        <v>-330740</v>
      </c>
      <c r="E163" s="1" t="b">
        <f t="shared" si="2"/>
        <v>1</v>
      </c>
      <c r="F163" s="1"/>
    </row>
    <row r="164" spans="1:6">
      <c r="A164" s="1" t="s">
        <v>169</v>
      </c>
      <c r="B164" s="1" t="s">
        <v>249</v>
      </c>
      <c r="C164" s="1">
        <f>VLOOKUP(A164,'[1]MGM Tally'!Q:S,3,FALSE)</f>
        <v>0</v>
      </c>
      <c r="D164" s="1">
        <f>VLOOKUP(A164,'[1]MGM NS'!P:Q,2,FALSE)</f>
        <v>0</v>
      </c>
      <c r="E164" s="1" t="b">
        <f t="shared" si="2"/>
        <v>1</v>
      </c>
      <c r="F164" s="1"/>
    </row>
    <row r="165" spans="1:6">
      <c r="A165" s="1" t="s">
        <v>170</v>
      </c>
      <c r="B165" s="1" t="s">
        <v>249</v>
      </c>
      <c r="C165" s="1">
        <f>VLOOKUP(A165,'[1]MGM Tally'!Q:S,3,FALSE)</f>
        <v>0</v>
      </c>
      <c r="D165" s="1">
        <f>VLOOKUP(A165,'[1]MGM NS'!P:Q,2,FALSE)</f>
        <v>0</v>
      </c>
      <c r="E165" s="1" t="b">
        <f t="shared" si="2"/>
        <v>1</v>
      </c>
      <c r="F165" s="1"/>
    </row>
    <row r="166" spans="1:6">
      <c r="A166" s="1" t="s">
        <v>171</v>
      </c>
      <c r="B166" s="1" t="s">
        <v>249</v>
      </c>
      <c r="C166" s="1">
        <f>VLOOKUP(A166,'[1]MGM Tally'!Q:S,3,FALSE)</f>
        <v>0</v>
      </c>
      <c r="D166" s="1">
        <f>VLOOKUP(A166,'[1]MGM NS'!P:Q,2,FALSE)</f>
        <v>0</v>
      </c>
      <c r="E166" s="1" t="b">
        <f t="shared" si="2"/>
        <v>1</v>
      </c>
      <c r="F166" s="1"/>
    </row>
    <row r="167" spans="1:6">
      <c r="A167" s="1" t="s">
        <v>172</v>
      </c>
      <c r="B167" s="1" t="s">
        <v>249</v>
      </c>
      <c r="C167" s="1" t="str">
        <f>VLOOKUP(A167,'[1]MGM Tally'!Q:S,3,FALSE)</f>
        <v>1734.00</v>
      </c>
      <c r="D167" s="1">
        <f>VLOOKUP(A167,'[1]MGM NS'!P:Q,2,FALSE)</f>
        <v>1734</v>
      </c>
      <c r="E167" s="1" t="b">
        <f t="shared" si="2"/>
        <v>1</v>
      </c>
      <c r="F167" s="1"/>
    </row>
    <row r="168" spans="1:6">
      <c r="A168" s="1" t="s">
        <v>173</v>
      </c>
      <c r="B168" s="1" t="s">
        <v>249</v>
      </c>
      <c r="C168" s="1" t="str">
        <f>VLOOKUP(A168,'[1]MGM Tally'!Q:S,3,FALSE)</f>
        <v>85000.00</v>
      </c>
      <c r="D168" s="1">
        <f>VLOOKUP(A168,'[1]MGM NS'!P:Q,2,FALSE)</f>
        <v>85000</v>
      </c>
      <c r="E168" s="1" t="b">
        <f t="shared" si="2"/>
        <v>1</v>
      </c>
      <c r="F168" s="1"/>
    </row>
    <row r="169" spans="1:6">
      <c r="A169" s="1" t="s">
        <v>174</v>
      </c>
      <c r="B169" s="1" t="s">
        <v>249</v>
      </c>
      <c r="C169" s="1">
        <f>VLOOKUP(A169,'[1]MGM Tally'!Q:S,3,FALSE)</f>
        <v>0</v>
      </c>
      <c r="D169" s="1">
        <f>VLOOKUP(A169,'[1]MGM NS'!P:Q,2,FALSE)</f>
        <v>0</v>
      </c>
      <c r="E169" s="1" t="b">
        <f t="shared" si="2"/>
        <v>1</v>
      </c>
      <c r="F169" s="1"/>
    </row>
    <row r="170" spans="1:6">
      <c r="A170" s="1" t="s">
        <v>175</v>
      </c>
      <c r="B170" s="1" t="s">
        <v>249</v>
      </c>
      <c r="C170" s="1">
        <f>VLOOKUP(A170,'[1]MGM Tally'!Q:S,3,FALSE)</f>
        <v>-255000</v>
      </c>
      <c r="D170" s="1">
        <f>VLOOKUP(A170,'[1]MGM NS'!P:Q,2,FALSE)</f>
        <v>-255000</v>
      </c>
      <c r="E170" s="1" t="b">
        <f t="shared" si="2"/>
        <v>1</v>
      </c>
      <c r="F170" s="1"/>
    </row>
    <row r="171" spans="1:6">
      <c r="A171" s="1" t="s">
        <v>176</v>
      </c>
      <c r="B171" s="1" t="s">
        <v>249</v>
      </c>
      <c r="C171" s="1" t="str">
        <f>VLOOKUP(A171,'[1]MGM Tally'!Q:S,3,FALSE)</f>
        <v>275886.00</v>
      </c>
      <c r="D171" s="1">
        <f>VLOOKUP(A171,'[1]MGM NS'!P:Q,2,FALSE)</f>
        <v>275886</v>
      </c>
      <c r="E171" s="1" t="b">
        <f t="shared" si="2"/>
        <v>1</v>
      </c>
      <c r="F171" s="1"/>
    </row>
    <row r="172" spans="1:6">
      <c r="A172" s="1" t="s">
        <v>177</v>
      </c>
      <c r="B172" s="1" t="s">
        <v>249</v>
      </c>
      <c r="C172" s="1" t="str">
        <f>VLOOKUP(A172,'[1]MGM Tally'!Q:S,3,FALSE)</f>
        <v>191630.00</v>
      </c>
      <c r="D172" s="1">
        <f>VLOOKUP(A172,'[1]MGM NS'!P:Q,2,FALSE)</f>
        <v>191630</v>
      </c>
      <c r="E172" s="1" t="b">
        <f t="shared" si="2"/>
        <v>1</v>
      </c>
      <c r="F172" s="1"/>
    </row>
    <row r="173" spans="1:6">
      <c r="A173" s="1" t="s">
        <v>178</v>
      </c>
      <c r="B173" s="1" t="s">
        <v>249</v>
      </c>
      <c r="C173" s="1">
        <f>VLOOKUP(A173,'[1]MGM Tally'!Q:S,3,FALSE)</f>
        <v>-81200</v>
      </c>
      <c r="D173" s="1">
        <f>VLOOKUP(A173,'[1]MGM NS'!P:Q,2,FALSE)</f>
        <v>-81200</v>
      </c>
      <c r="E173" s="1" t="b">
        <f t="shared" si="2"/>
        <v>1</v>
      </c>
      <c r="F173" s="1"/>
    </row>
    <row r="174" spans="1:6">
      <c r="A174" s="1" t="s">
        <v>179</v>
      </c>
      <c r="B174" s="1" t="s">
        <v>249</v>
      </c>
      <c r="C174" s="1">
        <f>VLOOKUP(A174,'[1]MGM Tally'!Q:S,3,FALSE)</f>
        <v>-15000</v>
      </c>
      <c r="D174" s="1">
        <f>VLOOKUP(A174,'[1]MGM NS'!P:Q,2,FALSE)</f>
        <v>-15000</v>
      </c>
      <c r="E174" s="1" t="b">
        <f t="shared" si="2"/>
        <v>1</v>
      </c>
      <c r="F174" s="1"/>
    </row>
    <row r="175" spans="1:6">
      <c r="A175" s="1" t="s">
        <v>180</v>
      </c>
      <c r="B175" s="1" t="s">
        <v>249</v>
      </c>
      <c r="C175" s="1" t="str">
        <f>VLOOKUP(A175,'[1]MGM Tally'!Q:S,3,FALSE)</f>
        <v>59045.97</v>
      </c>
      <c r="D175" s="1">
        <f>VLOOKUP(A175,'[1]MGM NS'!P:Q,2,FALSE)</f>
        <v>59045.97</v>
      </c>
      <c r="E175" s="1" t="b">
        <f t="shared" si="2"/>
        <v>1</v>
      </c>
      <c r="F175" s="1"/>
    </row>
    <row r="176" spans="1:6">
      <c r="A176" s="1" t="s">
        <v>181</v>
      </c>
      <c r="B176" s="1" t="s">
        <v>249</v>
      </c>
      <c r="C176" s="1">
        <f>VLOOKUP(A176,'[1]MGM Tally'!Q:S,3,FALSE)</f>
        <v>-15407</v>
      </c>
      <c r="D176" s="1">
        <f>VLOOKUP(A176,'[1]MGM NS'!P:Q,2,FALSE)</f>
        <v>-15407</v>
      </c>
      <c r="E176" s="1" t="b">
        <f t="shared" si="2"/>
        <v>1</v>
      </c>
      <c r="F176" s="1"/>
    </row>
    <row r="177" spans="1:6">
      <c r="A177" s="1" t="s">
        <v>182</v>
      </c>
      <c r="B177" s="1" t="s">
        <v>249</v>
      </c>
      <c r="C177" s="1">
        <f>VLOOKUP(A177,'[1]MGM Tally'!Q:S,3,FALSE)</f>
        <v>0</v>
      </c>
      <c r="D177" s="1">
        <f>VLOOKUP(A177,'[1]MGM NS'!P:Q,2,FALSE)</f>
        <v>0</v>
      </c>
      <c r="E177" s="1" t="b">
        <f t="shared" si="2"/>
        <v>1</v>
      </c>
      <c r="F177" s="1"/>
    </row>
    <row r="178" spans="1:6">
      <c r="A178" s="1" t="s">
        <v>183</v>
      </c>
      <c r="B178" s="1" t="s">
        <v>249</v>
      </c>
      <c r="C178" s="1" t="str">
        <f>VLOOKUP(A178,'[1]MGM Tally'!Q:S,3,FALSE)</f>
        <v>129173.94</v>
      </c>
      <c r="D178" s="1">
        <f>VLOOKUP(A178,'[1]MGM NS'!P:Q,2,FALSE)</f>
        <v>129173.94</v>
      </c>
      <c r="E178" s="1" t="b">
        <f t="shared" si="2"/>
        <v>1</v>
      </c>
      <c r="F178" s="1"/>
    </row>
    <row r="179" spans="1:6">
      <c r="A179" s="1" t="s">
        <v>184</v>
      </c>
      <c r="B179" s="1" t="s">
        <v>249</v>
      </c>
      <c r="C179" s="1">
        <f>VLOOKUP(A179,'[1]MGM Tally'!Q:S,3,FALSE)</f>
        <v>-3154806</v>
      </c>
      <c r="D179" s="1">
        <f>VLOOKUP(A179,'[1]MGM NS'!P:Q,2,FALSE)</f>
        <v>-3154806</v>
      </c>
      <c r="E179" s="1" t="b">
        <f t="shared" si="2"/>
        <v>1</v>
      </c>
      <c r="F179" s="1"/>
    </row>
    <row r="180" spans="1:6">
      <c r="A180" s="1" t="s">
        <v>185</v>
      </c>
      <c r="B180" s="1" t="s">
        <v>249</v>
      </c>
      <c r="C180" s="1">
        <f>VLOOKUP(A180,'[1]MGM Tally'!Q:S,3,FALSE)</f>
        <v>0</v>
      </c>
      <c r="D180" s="1">
        <f>VLOOKUP(A180,'[1]MGM NS'!P:Q,2,FALSE)</f>
        <v>0</v>
      </c>
      <c r="E180" s="1" t="b">
        <f t="shared" si="2"/>
        <v>1</v>
      </c>
      <c r="F180" s="1"/>
    </row>
    <row r="181" spans="1:6">
      <c r="A181" s="1" t="s">
        <v>186</v>
      </c>
      <c r="B181" s="1" t="s">
        <v>249</v>
      </c>
      <c r="C181" s="1">
        <f>VLOOKUP(A181,'[1]MGM Tally'!Q:S,3,FALSE)</f>
        <v>-219954.19</v>
      </c>
      <c r="D181" s="1">
        <f>VLOOKUP(A181,'[1]MGM NS'!P:Q,2,FALSE)</f>
        <v>-219954.19</v>
      </c>
      <c r="E181" s="1" t="b">
        <f t="shared" si="2"/>
        <v>1</v>
      </c>
      <c r="F181" s="1"/>
    </row>
    <row r="182" spans="1:6">
      <c r="A182" s="1" t="s">
        <v>187</v>
      </c>
      <c r="B182" s="1" t="s">
        <v>249</v>
      </c>
      <c r="C182" s="1">
        <f>VLOOKUP(A182,'[1]MGM Tally'!Q:S,3,FALSE)</f>
        <v>0</v>
      </c>
      <c r="D182" s="1">
        <f>VLOOKUP(A182,'[1]MGM NS'!P:Q,2,FALSE)</f>
        <v>0</v>
      </c>
      <c r="E182" s="1" t="b">
        <f t="shared" si="2"/>
        <v>1</v>
      </c>
      <c r="F182" s="1"/>
    </row>
    <row r="183" spans="1:6">
      <c r="A183" s="1" t="s">
        <v>188</v>
      </c>
      <c r="B183" s="1" t="s">
        <v>249</v>
      </c>
      <c r="C183" s="1" t="str">
        <f>VLOOKUP(A183,'[1]MGM Tally'!Q:S,3,FALSE)</f>
        <v>2932529.94</v>
      </c>
      <c r="D183" s="1">
        <f>VLOOKUP(A183,'[1]MGM NS'!P:Q,2,FALSE)</f>
        <v>2932529.94</v>
      </c>
      <c r="E183" s="1" t="b">
        <f t="shared" si="2"/>
        <v>1</v>
      </c>
      <c r="F183" s="1"/>
    </row>
    <row r="184" spans="1:6">
      <c r="A184" s="1" t="s">
        <v>189</v>
      </c>
      <c r="B184" s="1" t="s">
        <v>249</v>
      </c>
      <c r="C184" s="1">
        <f>VLOOKUP(A184,'[1]MGM Tally'!Q:S,3,FALSE)</f>
        <v>0</v>
      </c>
      <c r="D184" s="1">
        <f>VLOOKUP(A184,'[1]MGM NS'!P:Q,2,FALSE)</f>
        <v>0</v>
      </c>
      <c r="E184" s="1" t="b">
        <f t="shared" si="2"/>
        <v>1</v>
      </c>
      <c r="F184" s="1"/>
    </row>
    <row r="185" spans="1:6">
      <c r="A185" s="1" t="s">
        <v>190</v>
      </c>
      <c r="B185" s="1" t="s">
        <v>249</v>
      </c>
      <c r="C185" s="1" t="str">
        <f>VLOOKUP(A185,'[1]MGM Tally'!Q:S,3,FALSE)</f>
        <v>3761666.49</v>
      </c>
      <c r="D185" s="1">
        <f>VLOOKUP(A185,'[1]MGM NS'!P:Q,2,FALSE)</f>
        <v>3761666.49</v>
      </c>
      <c r="E185" s="1" t="b">
        <f t="shared" si="2"/>
        <v>1</v>
      </c>
      <c r="F185" s="1"/>
    </row>
    <row r="186" spans="1:6" ht="43.5">
      <c r="A186" s="9" t="s">
        <v>191</v>
      </c>
      <c r="B186" s="9" t="s">
        <v>249</v>
      </c>
      <c r="C186" s="9">
        <f>VLOOKUP(A186,'[1]MGM Tally'!Q:S,3,FALSE)</f>
        <v>-1799034.76</v>
      </c>
      <c r="D186" s="9">
        <f>VLOOKUP(A186,'[1]MGM NS'!P:Q,2,FALSE)</f>
        <v>-1728084.76</v>
      </c>
      <c r="E186" s="9" t="b">
        <f t="shared" si="2"/>
        <v>0</v>
      </c>
      <c r="F186" s="11" t="s">
        <v>254</v>
      </c>
    </row>
    <row r="187" spans="1:6">
      <c r="A187" s="1" t="s">
        <v>192</v>
      </c>
      <c r="B187" s="1" t="s">
        <v>249</v>
      </c>
      <c r="C187" s="1">
        <f>VLOOKUP(A187,'[1]MGM Tally'!Q:S,3,FALSE)</f>
        <v>-329500</v>
      </c>
      <c r="D187" s="1">
        <f>VLOOKUP(A187,'[1]MGM NS'!P:Q,2,FALSE)</f>
        <v>-329500</v>
      </c>
      <c r="E187" s="1" t="b">
        <f t="shared" si="2"/>
        <v>1</v>
      </c>
      <c r="F187" s="4"/>
    </row>
    <row r="188" spans="1:6">
      <c r="A188" s="1" t="s">
        <v>193</v>
      </c>
      <c r="B188" s="1" t="s">
        <v>249</v>
      </c>
      <c r="C188" s="1">
        <f>VLOOKUP(A188,'[1]MGM Tally'!Q:S,3,FALSE)</f>
        <v>-1930784.5</v>
      </c>
      <c r="D188" s="1">
        <f>VLOOKUP(A188,'[1]MGM NS'!P:Q,2,FALSE)</f>
        <v>-1930784.5</v>
      </c>
      <c r="E188" s="1" t="b">
        <f t="shared" si="2"/>
        <v>1</v>
      </c>
      <c r="F188" s="1"/>
    </row>
    <row r="189" spans="1:6">
      <c r="A189" s="1" t="s">
        <v>194</v>
      </c>
      <c r="B189" s="1" t="s">
        <v>249</v>
      </c>
      <c r="C189" s="1" t="str">
        <f>VLOOKUP(A189,'[1]MGM Tally'!Q:S,3,FALSE)</f>
        <v>3846672.00</v>
      </c>
      <c r="D189" s="1">
        <f>VLOOKUP(A189,'[1]MGM NS'!P:Q,2,FALSE)</f>
        <v>3846672</v>
      </c>
      <c r="E189" s="1" t="b">
        <f t="shared" si="2"/>
        <v>1</v>
      </c>
      <c r="F189" s="1"/>
    </row>
    <row r="190" spans="1:6">
      <c r="A190" s="1" t="s">
        <v>195</v>
      </c>
      <c r="B190" s="1" t="s">
        <v>249</v>
      </c>
      <c r="C190" s="1">
        <f>VLOOKUP(A190,'[1]MGM Tally'!Q:S,3,FALSE)</f>
        <v>-2721802</v>
      </c>
      <c r="D190" s="1">
        <f>VLOOKUP(A190,'[1]MGM NS'!P:Q,2,FALSE)</f>
        <v>-2721802</v>
      </c>
      <c r="E190" s="1" t="b">
        <f t="shared" si="2"/>
        <v>1</v>
      </c>
      <c r="F190" s="1"/>
    </row>
    <row r="191" spans="1:6">
      <c r="A191" s="1" t="s">
        <v>196</v>
      </c>
      <c r="B191" s="1" t="s">
        <v>249</v>
      </c>
      <c r="C191" s="1">
        <f>VLOOKUP(A191,'[1]MGM Tally'!Q:S,3,FALSE)</f>
        <v>0</v>
      </c>
      <c r="D191" s="1">
        <f>VLOOKUP(A191,'[1]MGM NS'!P:Q,2,FALSE)</f>
        <v>0</v>
      </c>
      <c r="E191" s="1" t="b">
        <f t="shared" si="2"/>
        <v>1</v>
      </c>
      <c r="F191" s="1"/>
    </row>
    <row r="192" spans="1:6">
      <c r="A192" s="1" t="s">
        <v>197</v>
      </c>
      <c r="B192" s="1" t="s">
        <v>249</v>
      </c>
      <c r="C192" s="1">
        <f>VLOOKUP(A192,'[1]MGM Tally'!Q:S,3,FALSE)</f>
        <v>0</v>
      </c>
      <c r="D192" s="1">
        <f>VLOOKUP(A192,'[1]MGM NS'!P:Q,2,FALSE)</f>
        <v>0</v>
      </c>
      <c r="E192" s="1" t="b">
        <f t="shared" si="2"/>
        <v>1</v>
      </c>
      <c r="F192" s="1"/>
    </row>
    <row r="193" spans="1:6">
      <c r="A193" s="1" t="s">
        <v>198</v>
      </c>
      <c r="B193" s="1" t="s">
        <v>249</v>
      </c>
      <c r="C193" s="1">
        <f>VLOOKUP(A193,'[1]MGM Tally'!Q:S,3,FALSE)</f>
        <v>0</v>
      </c>
      <c r="D193" s="1">
        <f>VLOOKUP(A193,'[1]MGM NS'!P:Q,2,FALSE)</f>
        <v>0</v>
      </c>
      <c r="E193" s="1" t="b">
        <f t="shared" si="2"/>
        <v>1</v>
      </c>
      <c r="F193" s="1"/>
    </row>
    <row r="194" spans="1:6">
      <c r="A194" s="1" t="s">
        <v>199</v>
      </c>
      <c r="B194" s="1" t="s">
        <v>249</v>
      </c>
      <c r="C194" s="1">
        <f>VLOOKUP(A194,'[1]MGM Tally'!Q:S,3,FALSE)</f>
        <v>0</v>
      </c>
      <c r="D194" s="1">
        <f>VLOOKUP(A194,'[1]MGM NS'!P:Q,2,FALSE)</f>
        <v>0</v>
      </c>
      <c r="E194" s="1" t="b">
        <f t="shared" ref="E194:E240" si="3">IF(ABS(C194)=ABS(D194),TRUE,FALSE)</f>
        <v>1</v>
      </c>
      <c r="F194" s="1"/>
    </row>
    <row r="195" spans="1:6">
      <c r="A195" s="1" t="s">
        <v>200</v>
      </c>
      <c r="B195" s="1" t="s">
        <v>249</v>
      </c>
      <c r="C195" s="1">
        <f>VLOOKUP(A195,'[1]MGM Tally'!Q:S,3,FALSE)</f>
        <v>0</v>
      </c>
      <c r="D195" s="1">
        <f>VLOOKUP(A195,'[1]MGM NS'!P:Q,2,FALSE)</f>
        <v>0</v>
      </c>
      <c r="E195" s="1" t="b">
        <f t="shared" si="3"/>
        <v>1</v>
      </c>
      <c r="F195" s="1"/>
    </row>
    <row r="196" spans="1:6">
      <c r="A196" s="1" t="s">
        <v>201</v>
      </c>
      <c r="B196" s="1" t="s">
        <v>249</v>
      </c>
      <c r="C196" s="1">
        <f>VLOOKUP(A196,'[1]MGM Tally'!Q:S,3,FALSE)</f>
        <v>-191040</v>
      </c>
      <c r="D196" s="1">
        <f>VLOOKUP(A196,'[1]MGM NS'!P:Q,2,FALSE)</f>
        <v>-191040</v>
      </c>
      <c r="E196" s="1" t="b">
        <f t="shared" si="3"/>
        <v>1</v>
      </c>
      <c r="F196" s="1"/>
    </row>
    <row r="197" spans="1:6">
      <c r="A197" s="1" t="s">
        <v>202</v>
      </c>
      <c r="B197" s="1" t="s">
        <v>249</v>
      </c>
      <c r="C197" s="1" t="str">
        <f>VLOOKUP(A197,'[1]MGM Tally'!Q:S,3,FALSE)</f>
        <v>4987863.00</v>
      </c>
      <c r="D197" s="1">
        <f>VLOOKUP(A197,'[1]MGM NS'!P:Q,2,FALSE)</f>
        <v>4987863</v>
      </c>
      <c r="E197" s="1" t="b">
        <f t="shared" si="3"/>
        <v>1</v>
      </c>
      <c r="F197" s="1"/>
    </row>
    <row r="198" spans="1:6">
      <c r="A198" s="1" t="s">
        <v>203</v>
      </c>
      <c r="B198" s="1" t="s">
        <v>249</v>
      </c>
      <c r="C198" s="1">
        <f>VLOOKUP(A198,'[1]MGM Tally'!Q:S,3,FALSE)</f>
        <v>-10725</v>
      </c>
      <c r="D198" s="1">
        <f>VLOOKUP(A198,'[1]MGM NS'!P:Q,2,FALSE)</f>
        <v>-10725</v>
      </c>
      <c r="E198" s="1" t="b">
        <f t="shared" si="3"/>
        <v>1</v>
      </c>
      <c r="F198" s="1"/>
    </row>
    <row r="199" spans="1:6">
      <c r="A199" s="1" t="s">
        <v>204</v>
      </c>
      <c r="B199" s="1" t="s">
        <v>249</v>
      </c>
      <c r="C199" s="1">
        <f>VLOOKUP(A199,'[1]MGM Tally'!Q:S,3,FALSE)</f>
        <v>0</v>
      </c>
      <c r="D199" s="1">
        <f>VLOOKUP(A199,'[1]MGM NS'!P:Q,2,FALSE)</f>
        <v>0</v>
      </c>
      <c r="E199" s="1" t="b">
        <f t="shared" si="3"/>
        <v>1</v>
      </c>
      <c r="F199" s="1"/>
    </row>
    <row r="200" spans="1:6">
      <c r="A200" s="1" t="s">
        <v>205</v>
      </c>
      <c r="B200" s="1" t="s">
        <v>249</v>
      </c>
      <c r="C200" s="1" t="str">
        <f>VLOOKUP(A200,'[1]MGM Tally'!Q:S,3,FALSE)</f>
        <v>52459.00</v>
      </c>
      <c r="D200" s="1">
        <f>VLOOKUP(A200,'[1]MGM NS'!P:Q,2,FALSE)</f>
        <v>52459</v>
      </c>
      <c r="E200" s="1" t="b">
        <f t="shared" si="3"/>
        <v>1</v>
      </c>
      <c r="F200" s="1"/>
    </row>
    <row r="201" spans="1:6">
      <c r="A201" s="1" t="s">
        <v>206</v>
      </c>
      <c r="B201" s="1" t="s">
        <v>249</v>
      </c>
      <c r="C201" s="1">
        <f>VLOOKUP(A201,'[1]MGM Tally'!Q:S,3,FALSE)</f>
        <v>-30000</v>
      </c>
      <c r="D201" s="1">
        <f>VLOOKUP(A201,'[1]MGM NS'!P:Q,2,FALSE)</f>
        <v>-30000</v>
      </c>
      <c r="E201" s="1" t="b">
        <f t="shared" si="3"/>
        <v>1</v>
      </c>
      <c r="F201" s="1"/>
    </row>
    <row r="202" spans="1:6">
      <c r="A202" s="1" t="s">
        <v>207</v>
      </c>
      <c r="B202" s="1" t="s">
        <v>249</v>
      </c>
      <c r="C202" s="1">
        <f>VLOOKUP(A202,'[1]MGM Tally'!Q:S,3,FALSE)</f>
        <v>-1553200</v>
      </c>
      <c r="D202" s="1">
        <f>VLOOKUP(A202,'[1]MGM NS'!P:Q,2,FALSE)</f>
        <v>-1553200</v>
      </c>
      <c r="E202" s="1" t="b">
        <f t="shared" si="3"/>
        <v>1</v>
      </c>
      <c r="F202" s="1"/>
    </row>
    <row r="203" spans="1:6">
      <c r="A203" s="1" t="s">
        <v>208</v>
      </c>
      <c r="B203" s="1" t="s">
        <v>249</v>
      </c>
      <c r="C203" s="1">
        <f>VLOOKUP(A203,'[1]MGM Tally'!Q:S,3,FALSE)</f>
        <v>0</v>
      </c>
      <c r="D203" s="1">
        <f>VLOOKUP(A203,'[1]MGM NS'!P:Q,2,FALSE)</f>
        <v>0</v>
      </c>
      <c r="E203" s="1" t="b">
        <f t="shared" si="3"/>
        <v>1</v>
      </c>
      <c r="F203" s="1"/>
    </row>
    <row r="204" spans="1:6">
      <c r="A204" s="1" t="s">
        <v>209</v>
      </c>
      <c r="B204" s="1" t="s">
        <v>249</v>
      </c>
      <c r="C204" s="1" t="str">
        <f>VLOOKUP(A204,'[1]MGM Tally'!Q:S,3,FALSE)</f>
        <v>337265.00</v>
      </c>
      <c r="D204" s="1">
        <f>VLOOKUP(A204,'[1]MGM NS'!P:Q,2,FALSE)</f>
        <v>337265</v>
      </c>
      <c r="E204" s="1" t="b">
        <f t="shared" si="3"/>
        <v>1</v>
      </c>
      <c r="F204" s="1"/>
    </row>
    <row r="205" spans="1:6" ht="29.1">
      <c r="A205" s="9" t="s">
        <v>210</v>
      </c>
      <c r="B205" s="9" t="s">
        <v>249</v>
      </c>
      <c r="C205" s="9">
        <f>VLOOKUP(A205,'[1]MGM Tally'!Q:S,3,FALSE)</f>
        <v>-692150</v>
      </c>
      <c r="D205" s="9">
        <f>VLOOKUP(A205,'[1]MGM NS'!P:Q,2,FALSE)</f>
        <v>-181650</v>
      </c>
      <c r="E205" s="9" t="b">
        <f t="shared" si="3"/>
        <v>0</v>
      </c>
      <c r="F205" s="11" t="s">
        <v>255</v>
      </c>
    </row>
    <row r="206" spans="1:6">
      <c r="A206" s="1" t="s">
        <v>211</v>
      </c>
      <c r="B206" s="1" t="s">
        <v>249</v>
      </c>
      <c r="C206" s="1">
        <f>VLOOKUP(A206,'[1]MGM Tally'!Q:S,3,FALSE)</f>
        <v>-3075000</v>
      </c>
      <c r="D206" s="1">
        <f>VLOOKUP(A206,'[1]MGM NS'!P:Q,2,FALSE)</f>
        <v>-3075000</v>
      </c>
      <c r="E206" s="1" t="b">
        <f t="shared" si="3"/>
        <v>1</v>
      </c>
      <c r="F206" s="4"/>
    </row>
    <row r="207" spans="1:6">
      <c r="A207" s="1" t="s">
        <v>212</v>
      </c>
      <c r="B207" s="1" t="s">
        <v>249</v>
      </c>
      <c r="C207" s="1">
        <f>VLOOKUP(A207,'[1]MGM Tally'!Q:S,3,FALSE)</f>
        <v>-119741</v>
      </c>
      <c r="D207" s="1">
        <f>VLOOKUP(A207,'[1]MGM NS'!P:Q,2,FALSE)</f>
        <v>-119741</v>
      </c>
      <c r="E207" s="1" t="b">
        <f t="shared" si="3"/>
        <v>1</v>
      </c>
      <c r="F207" s="1"/>
    </row>
    <row r="208" spans="1:6">
      <c r="A208" s="1" t="s">
        <v>213</v>
      </c>
      <c r="B208" s="1" t="s">
        <v>249</v>
      </c>
      <c r="C208" s="1">
        <f>VLOOKUP(A208,'[1]MGM Tally'!Q:S,3,FALSE)</f>
        <v>-303120</v>
      </c>
      <c r="D208" s="1">
        <f>VLOOKUP(A208,'[1]MGM NS'!P:Q,2,FALSE)</f>
        <v>-303120</v>
      </c>
      <c r="E208" s="1" t="b">
        <f t="shared" si="3"/>
        <v>1</v>
      </c>
      <c r="F208" s="1"/>
    </row>
    <row r="209" spans="1:6">
      <c r="A209" s="1" t="s">
        <v>214</v>
      </c>
      <c r="B209" s="1" t="s">
        <v>249</v>
      </c>
      <c r="C209" s="1">
        <f>VLOOKUP(A209,'[1]MGM Tally'!Q:S,3,FALSE)</f>
        <v>-138700</v>
      </c>
      <c r="D209" s="1">
        <f>VLOOKUP(A209,'[1]MGM NS'!P:Q,2,FALSE)</f>
        <v>-138700</v>
      </c>
      <c r="E209" s="1" t="b">
        <f t="shared" si="3"/>
        <v>1</v>
      </c>
      <c r="F209" s="1"/>
    </row>
    <row r="210" spans="1:6">
      <c r="A210" s="1" t="s">
        <v>215</v>
      </c>
      <c r="B210" s="1" t="s">
        <v>249</v>
      </c>
      <c r="C210" s="1" t="str">
        <f>VLOOKUP(A210,'[1]MGM Tally'!Q:S,3,FALSE)</f>
        <v>582989.25</v>
      </c>
      <c r="D210" s="1">
        <f>VLOOKUP(A210,'[1]MGM NS'!P:Q,2,FALSE)</f>
        <v>582989.25</v>
      </c>
      <c r="E210" s="1" t="b">
        <f t="shared" si="3"/>
        <v>1</v>
      </c>
      <c r="F210" s="1"/>
    </row>
    <row r="211" spans="1:6">
      <c r="A211" s="1" t="s">
        <v>216</v>
      </c>
      <c r="B211" s="1" t="s">
        <v>249</v>
      </c>
      <c r="C211" s="1" t="str">
        <f>VLOOKUP(A211,'[1]MGM Tally'!Q:S,3,FALSE)</f>
        <v>575537.00</v>
      </c>
      <c r="D211" s="1">
        <f>VLOOKUP(A211,'[1]MGM NS'!P:Q,2,FALSE)</f>
        <v>575537</v>
      </c>
      <c r="E211" s="1" t="b">
        <f t="shared" si="3"/>
        <v>1</v>
      </c>
      <c r="F211" s="1"/>
    </row>
    <row r="212" spans="1:6">
      <c r="A212" s="1" t="s">
        <v>217</v>
      </c>
      <c r="B212" s="1" t="s">
        <v>249</v>
      </c>
      <c r="C212" s="1">
        <f>VLOOKUP(A212,'[1]MGM Tally'!Q:S,3,FALSE)</f>
        <v>-45000</v>
      </c>
      <c r="D212" s="1">
        <f>VLOOKUP(A212,'[1]MGM NS'!P:Q,2,FALSE)</f>
        <v>-45000</v>
      </c>
      <c r="E212" s="1" t="b">
        <f t="shared" si="3"/>
        <v>1</v>
      </c>
      <c r="F212" s="1"/>
    </row>
    <row r="213" spans="1:6">
      <c r="A213" s="1" t="s">
        <v>218</v>
      </c>
      <c r="B213" s="1" t="s">
        <v>249</v>
      </c>
      <c r="C213" s="1">
        <f>VLOOKUP(A213,'[1]MGM Tally'!Q:S,3,FALSE)</f>
        <v>-541000</v>
      </c>
      <c r="D213" s="1">
        <f>VLOOKUP(A213,'[1]MGM NS'!P:Q,2,FALSE)</f>
        <v>-541000</v>
      </c>
      <c r="E213" s="1" t="b">
        <f t="shared" si="3"/>
        <v>1</v>
      </c>
      <c r="F213" s="1"/>
    </row>
    <row r="214" spans="1:6">
      <c r="A214" s="1" t="s">
        <v>219</v>
      </c>
      <c r="B214" s="1" t="s">
        <v>249</v>
      </c>
      <c r="C214" s="1">
        <f>VLOOKUP(A214,'[1]MGM Tally'!Q:S,3,FALSE)</f>
        <v>-8898</v>
      </c>
      <c r="D214" s="1">
        <f>VLOOKUP(A214,'[1]MGM NS'!P:Q,2,FALSE)</f>
        <v>-8898</v>
      </c>
      <c r="E214" s="1" t="b">
        <f t="shared" si="3"/>
        <v>1</v>
      </c>
      <c r="F214" s="1"/>
    </row>
    <row r="215" spans="1:6">
      <c r="A215" s="1" t="s">
        <v>220</v>
      </c>
      <c r="B215" s="1" t="s">
        <v>249</v>
      </c>
      <c r="C215" s="1">
        <f>VLOOKUP(A215,'[1]MGM Tally'!Q:S,3,FALSE)</f>
        <v>0</v>
      </c>
      <c r="D215" s="1">
        <f>VLOOKUP(A215,'[1]MGM NS'!P:Q,2,FALSE)</f>
        <v>0</v>
      </c>
      <c r="E215" s="1" t="b">
        <f t="shared" si="3"/>
        <v>1</v>
      </c>
      <c r="F215" s="1"/>
    </row>
    <row r="216" spans="1:6">
      <c r="A216" s="1" t="s">
        <v>221</v>
      </c>
      <c r="B216" s="1" t="s">
        <v>249</v>
      </c>
      <c r="C216" s="1">
        <f>VLOOKUP(A216,'[1]MGM Tally'!Q:S,3,FALSE)</f>
        <v>-55000</v>
      </c>
      <c r="D216" s="1">
        <f>VLOOKUP(A216,'[1]MGM NS'!P:Q,2,FALSE)</f>
        <v>-55000</v>
      </c>
      <c r="E216" s="1" t="b">
        <f t="shared" si="3"/>
        <v>1</v>
      </c>
      <c r="F216" s="1"/>
    </row>
    <row r="217" spans="1:6">
      <c r="A217" s="1" t="s">
        <v>222</v>
      </c>
      <c r="B217" s="1" t="s">
        <v>249</v>
      </c>
      <c r="C217" s="1">
        <f>VLOOKUP(A217,'[1]MGM Tally'!Q:S,3,FALSE)</f>
        <v>-8867050.75</v>
      </c>
      <c r="D217" s="1">
        <f>VLOOKUP(A217,'[1]MGM NS'!P:Q,2,FALSE)</f>
        <v>-8867050.75</v>
      </c>
      <c r="E217" s="1" t="b">
        <f t="shared" si="3"/>
        <v>1</v>
      </c>
      <c r="F217" s="1"/>
    </row>
    <row r="218" spans="1:6">
      <c r="A218" s="1" t="s">
        <v>223</v>
      </c>
      <c r="B218" s="1" t="s">
        <v>249</v>
      </c>
      <c r="C218" s="1" t="str">
        <f>VLOOKUP(A218,'[1]MGM Tally'!Q:S,3,FALSE)</f>
        <v>2810770.00</v>
      </c>
      <c r="D218" s="1">
        <f>VLOOKUP(A218,'[1]MGM NS'!P:Q,2,FALSE)</f>
        <v>2810770</v>
      </c>
      <c r="E218" s="1" t="b">
        <f t="shared" si="3"/>
        <v>1</v>
      </c>
      <c r="F218" s="1"/>
    </row>
    <row r="219" spans="1:6">
      <c r="A219" s="1" t="s">
        <v>224</v>
      </c>
      <c r="B219" s="1" t="s">
        <v>249</v>
      </c>
      <c r="C219" s="1">
        <f>VLOOKUP(A219,'[1]MGM Tally'!Q:S,3,FALSE)</f>
        <v>-1139500</v>
      </c>
      <c r="D219" s="1">
        <f>VLOOKUP(A219,'[1]MGM NS'!P:Q,2,FALSE)</f>
        <v>-1139500</v>
      </c>
      <c r="E219" s="1" t="b">
        <f t="shared" si="3"/>
        <v>1</v>
      </c>
      <c r="F219" s="1"/>
    </row>
    <row r="220" spans="1:6">
      <c r="A220" s="1" t="s">
        <v>225</v>
      </c>
      <c r="B220" s="1" t="s">
        <v>249</v>
      </c>
      <c r="C220" s="1">
        <f>VLOOKUP(A220,'[1]MGM Tally'!Q:S,3,FALSE)</f>
        <v>0</v>
      </c>
      <c r="D220" s="1">
        <f>VLOOKUP(A220,'[1]MGM NS'!P:Q,2,FALSE)</f>
        <v>0</v>
      </c>
      <c r="E220" s="1" t="b">
        <f t="shared" si="3"/>
        <v>1</v>
      </c>
      <c r="F220" s="1"/>
    </row>
    <row r="221" spans="1:6">
      <c r="A221" s="1" t="s">
        <v>226</v>
      </c>
      <c r="B221" s="1" t="s">
        <v>249</v>
      </c>
      <c r="C221" s="1" t="str">
        <f>VLOOKUP(A221,'[1]MGM Tally'!Q:S,3,FALSE)</f>
        <v>1550770.00</v>
      </c>
      <c r="D221" s="1">
        <f>VLOOKUP(A221,'[1]MGM NS'!P:Q,2,FALSE)</f>
        <v>1550770</v>
      </c>
      <c r="E221" s="1" t="b">
        <f t="shared" si="3"/>
        <v>1</v>
      </c>
      <c r="F221" s="1"/>
    </row>
    <row r="222" spans="1:6">
      <c r="A222" s="1" t="s">
        <v>227</v>
      </c>
      <c r="B222" s="1" t="s">
        <v>249</v>
      </c>
      <c r="C222" s="1" t="str">
        <f>VLOOKUP(A222,'[1]MGM Tally'!Q:S,3,FALSE)</f>
        <v>481036.01</v>
      </c>
      <c r="D222" s="1">
        <f>VLOOKUP(A222,'[1]MGM NS'!P:Q,2,FALSE)</f>
        <v>481036.01</v>
      </c>
      <c r="E222" s="1" t="b">
        <f t="shared" si="3"/>
        <v>1</v>
      </c>
      <c r="F222" s="1"/>
    </row>
    <row r="223" spans="1:6">
      <c r="A223" s="1" t="s">
        <v>228</v>
      </c>
      <c r="B223" s="1" t="s">
        <v>249</v>
      </c>
      <c r="C223" s="1" t="str">
        <f>VLOOKUP(A223,'[1]MGM Tally'!Q:S,3,FALSE)</f>
        <v>1412610.00</v>
      </c>
      <c r="D223" s="1">
        <f>VLOOKUP(A223,'[1]MGM NS'!P:Q,2,FALSE)</f>
        <v>1412610</v>
      </c>
      <c r="E223" s="1" t="b">
        <f t="shared" si="3"/>
        <v>1</v>
      </c>
      <c r="F223" s="1"/>
    </row>
    <row r="224" spans="1:6">
      <c r="A224" s="1" t="s">
        <v>229</v>
      </c>
      <c r="B224" s="1" t="s">
        <v>249</v>
      </c>
      <c r="C224" s="1">
        <f>VLOOKUP(A224,'[1]MGM Tally'!Q:S,3,FALSE)</f>
        <v>0</v>
      </c>
      <c r="D224" s="1">
        <f>VLOOKUP(A224,'[1]MGM NS'!P:Q,2,FALSE)</f>
        <v>0</v>
      </c>
      <c r="E224" s="1" t="b">
        <f t="shared" si="3"/>
        <v>1</v>
      </c>
      <c r="F224" s="1"/>
    </row>
    <row r="225" spans="1:6">
      <c r="A225" s="1" t="s">
        <v>230</v>
      </c>
      <c r="B225" s="1" t="s">
        <v>249</v>
      </c>
      <c r="C225" s="1" t="str">
        <f>VLOOKUP(A225,'[1]MGM Tally'!Q:S,3,FALSE)</f>
        <v>2077155.40</v>
      </c>
      <c r="D225" s="1">
        <f>VLOOKUP(A225,'[1]MGM NS'!P:Q,2,FALSE)</f>
        <v>2077155.4</v>
      </c>
      <c r="E225" s="1" t="b">
        <f t="shared" si="3"/>
        <v>1</v>
      </c>
      <c r="F225" s="1"/>
    </row>
    <row r="226" spans="1:6">
      <c r="A226" s="1" t="s">
        <v>231</v>
      </c>
      <c r="B226" s="1" t="s">
        <v>249</v>
      </c>
      <c r="C226" s="1">
        <f>VLOOKUP(A226,'[1]MGM Tally'!Q:S,3,FALSE)</f>
        <v>-1211650</v>
      </c>
      <c r="D226" s="1">
        <f>VLOOKUP(A226,'[1]MGM NS'!P:Q,2,FALSE)</f>
        <v>-1211650</v>
      </c>
      <c r="E226" s="1" t="b">
        <f t="shared" si="3"/>
        <v>1</v>
      </c>
      <c r="F226" s="1"/>
    </row>
    <row r="227" spans="1:6">
      <c r="A227" s="1" t="s">
        <v>232</v>
      </c>
      <c r="B227" s="1" t="s">
        <v>249</v>
      </c>
      <c r="C227" s="1">
        <f>VLOOKUP(A227,'[1]MGM Tally'!Q:S,3,FALSE)</f>
        <v>0</v>
      </c>
      <c r="D227" s="1">
        <f>VLOOKUP(A227,'[1]MGM NS'!P:Q,2,FALSE)</f>
        <v>0</v>
      </c>
      <c r="E227" s="1" t="b">
        <f t="shared" si="3"/>
        <v>1</v>
      </c>
      <c r="F227" s="1"/>
    </row>
    <row r="228" spans="1:6">
      <c r="A228" s="1" t="s">
        <v>233</v>
      </c>
      <c r="B228" s="1" t="s">
        <v>249</v>
      </c>
      <c r="C228" s="1">
        <f>VLOOKUP(A228,'[1]MGM Tally'!Q:S,3,FALSE)</f>
        <v>0</v>
      </c>
      <c r="D228" s="1">
        <f>VLOOKUP(A228,'[1]MGM NS'!P:Q,2,FALSE)</f>
        <v>0</v>
      </c>
      <c r="E228" s="1" t="b">
        <f t="shared" si="3"/>
        <v>1</v>
      </c>
      <c r="F228" s="1"/>
    </row>
    <row r="229" spans="1:6">
      <c r="A229" s="1" t="s">
        <v>234</v>
      </c>
      <c r="B229" s="1" t="s">
        <v>249</v>
      </c>
      <c r="C229" s="1">
        <f>VLOOKUP(A229,'[1]MGM Tally'!Q:S,3,FALSE)</f>
        <v>-1312055</v>
      </c>
      <c r="D229" s="1">
        <f>VLOOKUP(A229,'[1]MGM NS'!P:Q,2,FALSE)</f>
        <v>-1312055</v>
      </c>
      <c r="E229" s="1" t="b">
        <f t="shared" si="3"/>
        <v>1</v>
      </c>
      <c r="F229" s="1"/>
    </row>
    <row r="230" spans="1:6">
      <c r="A230" s="1" t="s">
        <v>235</v>
      </c>
      <c r="B230" s="1" t="s">
        <v>249</v>
      </c>
      <c r="C230" s="1">
        <f>VLOOKUP(A230,'[1]MGM Tally'!Q:S,3,FALSE)</f>
        <v>-187950</v>
      </c>
      <c r="D230" s="1">
        <f>VLOOKUP(A230,'[1]MGM NS'!P:Q,2,FALSE)</f>
        <v>-187950</v>
      </c>
      <c r="E230" s="1" t="b">
        <f t="shared" si="3"/>
        <v>1</v>
      </c>
      <c r="F230" s="1"/>
    </row>
    <row r="231" spans="1:6">
      <c r="A231" s="1" t="s">
        <v>236</v>
      </c>
      <c r="B231" s="1" t="s">
        <v>249</v>
      </c>
      <c r="C231" s="1" t="str">
        <f>VLOOKUP(A231,'[1]MGM Tally'!Q:S,3,FALSE)</f>
        <v>569066.50</v>
      </c>
      <c r="D231" s="1">
        <f>VLOOKUP(A231,'[1]MGM NS'!P:Q,2,FALSE)</f>
        <v>569066.5</v>
      </c>
      <c r="E231" s="1" t="b">
        <f t="shared" si="3"/>
        <v>1</v>
      </c>
      <c r="F231" s="1"/>
    </row>
    <row r="232" spans="1:6">
      <c r="A232" s="1" t="s">
        <v>237</v>
      </c>
      <c r="B232" s="1" t="s">
        <v>249</v>
      </c>
      <c r="C232" s="1" t="str">
        <f>VLOOKUP(A232,'[1]MGM Tally'!Q:S,3,FALSE)</f>
        <v>555000.00</v>
      </c>
      <c r="D232" s="1">
        <f>VLOOKUP(A232,'[1]MGM NS'!P:Q,2,FALSE)</f>
        <v>555000</v>
      </c>
      <c r="E232" s="1" t="b">
        <f t="shared" si="3"/>
        <v>1</v>
      </c>
      <c r="F232" s="1"/>
    </row>
    <row r="233" spans="1:6">
      <c r="A233" s="1" t="s">
        <v>238</v>
      </c>
      <c r="B233" s="1" t="s">
        <v>249</v>
      </c>
      <c r="C233" s="1" t="str">
        <f>VLOOKUP(A233,'[1]MGM Tally'!Q:S,3,FALSE)</f>
        <v>994812.00</v>
      </c>
      <c r="D233" s="1">
        <f>VLOOKUP(A233,'[1]MGM NS'!P:Q,2,FALSE)</f>
        <v>994812</v>
      </c>
      <c r="E233" s="1" t="b">
        <f t="shared" si="3"/>
        <v>1</v>
      </c>
      <c r="F233" s="1"/>
    </row>
    <row r="234" spans="1:6">
      <c r="A234" s="1" t="s">
        <v>239</v>
      </c>
      <c r="B234" s="1" t="s">
        <v>249</v>
      </c>
      <c r="C234" s="1">
        <f>VLOOKUP(A234,'[1]MGM Tally'!Q:S,3,FALSE)</f>
        <v>-4735048.76</v>
      </c>
      <c r="D234" s="1">
        <f>VLOOKUP(A234,'[1]MGM NS'!P:Q,2,FALSE)</f>
        <v>-4735048.76</v>
      </c>
      <c r="E234" s="1" t="b">
        <f t="shared" si="3"/>
        <v>1</v>
      </c>
      <c r="F234" s="1"/>
    </row>
    <row r="235" spans="1:6">
      <c r="A235" s="1" t="s">
        <v>240</v>
      </c>
      <c r="B235" s="1" t="s">
        <v>249</v>
      </c>
      <c r="C235" s="1">
        <f>VLOOKUP(A235,'[1]MGM Tally'!Q:S,3,FALSE)</f>
        <v>0</v>
      </c>
      <c r="D235" s="1">
        <f>VLOOKUP(A235,'[1]MGM NS'!P:Q,2,FALSE)</f>
        <v>0</v>
      </c>
      <c r="E235" s="1" t="b">
        <f t="shared" si="3"/>
        <v>1</v>
      </c>
      <c r="F235" s="1"/>
    </row>
    <row r="236" spans="1:6">
      <c r="A236" s="1" t="s">
        <v>241</v>
      </c>
      <c r="B236" s="1" t="s">
        <v>249</v>
      </c>
      <c r="C236" s="1">
        <f>VLOOKUP(A236,'[1]MGM Tally'!Q:S,3,FALSE)</f>
        <v>0</v>
      </c>
      <c r="D236" s="1">
        <f>VLOOKUP(A236,'[1]MGM NS'!P:Q,2,FALSE)</f>
        <v>0</v>
      </c>
      <c r="E236" s="1" t="b">
        <f t="shared" si="3"/>
        <v>1</v>
      </c>
      <c r="F236" s="1"/>
    </row>
    <row r="237" spans="1:6">
      <c r="A237" s="1" t="s">
        <v>242</v>
      </c>
      <c r="B237" s="1" t="s">
        <v>249</v>
      </c>
      <c r="C237" s="1" t="str">
        <f>VLOOKUP(A237,'[1]MGM Tally'!Q:S,3,FALSE)</f>
        <v>6873500.00</v>
      </c>
      <c r="D237" s="1">
        <f>VLOOKUP(A237,'[1]MGM NS'!P:Q,2,FALSE)</f>
        <v>6873500</v>
      </c>
      <c r="E237" s="1" t="b">
        <f t="shared" si="3"/>
        <v>1</v>
      </c>
      <c r="F237" s="1"/>
    </row>
    <row r="238" spans="1:6">
      <c r="A238" s="1" t="s">
        <v>243</v>
      </c>
      <c r="B238" s="1" t="s">
        <v>249</v>
      </c>
      <c r="C238" s="1">
        <f>VLOOKUP(A238,'[1]MGM Tally'!Q:S,3,FALSE)</f>
        <v>-3294032</v>
      </c>
      <c r="D238" s="1">
        <f>VLOOKUP(A238,'[1]MGM NS'!P:Q,2,FALSE)</f>
        <v>-3294032</v>
      </c>
      <c r="E238" s="1" t="b">
        <f t="shared" si="3"/>
        <v>1</v>
      </c>
      <c r="F238" s="1"/>
    </row>
    <row r="239" spans="1:6">
      <c r="A239" s="1" t="s">
        <v>244</v>
      </c>
      <c r="B239" s="1" t="s">
        <v>249</v>
      </c>
      <c r="C239" s="1" t="str">
        <f>VLOOKUP(A239,'[1]MGM Tally'!Q:S,3,FALSE)</f>
        <v>9834682.66</v>
      </c>
      <c r="D239" s="1">
        <f>VLOOKUP(A239,'[1]MGM NS'!P:Q,2,FALSE)</f>
        <v>9834682.6600000001</v>
      </c>
      <c r="E239" s="1" t="b">
        <f t="shared" si="3"/>
        <v>1</v>
      </c>
      <c r="F239" s="1"/>
    </row>
    <row r="240" spans="1:6">
      <c r="A240" s="1" t="s">
        <v>245</v>
      </c>
      <c r="B240" s="1" t="s">
        <v>249</v>
      </c>
      <c r="C240" s="1">
        <f>VLOOKUP(A240,'[1]MGM Tally'!Q:S,3,FALSE)</f>
        <v>0</v>
      </c>
      <c r="D240" s="1">
        <v>0</v>
      </c>
      <c r="E240" s="1" t="b">
        <f t="shared" si="3"/>
        <v>1</v>
      </c>
      <c r="F240" s="1"/>
    </row>
    <row r="241" spans="1:4">
      <c r="A241" s="8" t="s">
        <v>246</v>
      </c>
      <c r="B241" s="8"/>
      <c r="C241" s="5">
        <v>24769230.649999999</v>
      </c>
      <c r="D241" s="3">
        <f>SUM(D2:D240)</f>
        <v>24453493.170000002</v>
      </c>
    </row>
  </sheetData>
  <mergeCells count="1">
    <mergeCell ref="A241:B24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41"/>
  <sheetViews>
    <sheetView tabSelected="1" workbookViewId="0">
      <selection activeCell="G10" sqref="G10"/>
    </sheetView>
  </sheetViews>
  <sheetFormatPr defaultColWidth="8.75" defaultRowHeight="14.45"/>
  <cols>
    <col min="1" max="1" width="12" customWidth="1"/>
    <col min="2" max="2" width="13.875" customWidth="1"/>
    <col min="3" max="3" width="12.875" customWidth="1"/>
    <col min="4" max="4" width="18.375" customWidth="1"/>
    <col min="5" max="5" width="10.75" customWidth="1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 t="s">
        <v>6</v>
      </c>
      <c r="B2" s="1" t="s">
        <v>256</v>
      </c>
      <c r="C2" s="1">
        <f>VLOOKUP(A2,'[1]MGM Tally'!T:V,3,FALSE)</f>
        <v>0</v>
      </c>
      <c r="D2" s="1">
        <f>VLOOKUP(A2,'[1]MGM NS'!R:S,2,FALSE)</f>
        <v>0</v>
      </c>
      <c r="E2" s="1" t="b">
        <f t="shared" ref="E2:E65" si="0">IF(ABS(C2)=ABS(D2),TRUE,FALSE)</f>
        <v>1</v>
      </c>
    </row>
    <row r="3" spans="1:5">
      <c r="A3" s="1" t="s">
        <v>8</v>
      </c>
      <c r="B3" s="1" t="s">
        <v>256</v>
      </c>
      <c r="C3" s="1">
        <f>VLOOKUP(A3,'[1]MGM Tally'!T:V,3,FALSE)</f>
        <v>0</v>
      </c>
      <c r="D3" s="1">
        <f>VLOOKUP(A3,'[1]MGM NS'!R:S,2,FALSE)</f>
        <v>0</v>
      </c>
      <c r="E3" s="1" t="b">
        <f t="shared" si="0"/>
        <v>1</v>
      </c>
    </row>
    <row r="4" spans="1:5">
      <c r="A4" s="1" t="s">
        <v>9</v>
      </c>
      <c r="B4" s="1" t="s">
        <v>256</v>
      </c>
      <c r="C4" s="1">
        <f>VLOOKUP(A4,'[1]MGM Tally'!T:V,3,FALSE)</f>
        <v>0</v>
      </c>
      <c r="D4" s="1">
        <f>VLOOKUP(A4,'[1]MGM NS'!R:S,2,FALSE)</f>
        <v>0</v>
      </c>
      <c r="E4" s="1" t="b">
        <f t="shared" si="0"/>
        <v>1</v>
      </c>
    </row>
    <row r="5" spans="1:5">
      <c r="A5" s="1" t="s">
        <v>10</v>
      </c>
      <c r="B5" s="1" t="s">
        <v>256</v>
      </c>
      <c r="C5" s="1">
        <f>VLOOKUP(A5,'[1]MGM Tally'!T:V,3,FALSE)</f>
        <v>0</v>
      </c>
      <c r="D5" s="1">
        <f>VLOOKUP(A5,'[1]MGM NS'!R:S,2,FALSE)</f>
        <v>0</v>
      </c>
      <c r="E5" s="1" t="b">
        <f t="shared" si="0"/>
        <v>1</v>
      </c>
    </row>
    <row r="6" spans="1:5">
      <c r="A6" s="1" t="s">
        <v>11</v>
      </c>
      <c r="B6" s="1" t="s">
        <v>256</v>
      </c>
      <c r="C6" s="1">
        <f>VLOOKUP(A6,'[1]MGM Tally'!T:V,3,FALSE)</f>
        <v>0</v>
      </c>
      <c r="D6" s="1">
        <f>VLOOKUP(A6,'[1]MGM NS'!R:S,2,FALSE)</f>
        <v>0</v>
      </c>
      <c r="E6" s="1" t="b">
        <f t="shared" si="0"/>
        <v>1</v>
      </c>
    </row>
    <row r="7" spans="1:5">
      <c r="A7" s="1" t="s">
        <v>12</v>
      </c>
      <c r="B7" s="1" t="s">
        <v>256</v>
      </c>
      <c r="C7" s="1">
        <f>VLOOKUP(A7,'[1]MGM Tally'!T:V,3,FALSE)</f>
        <v>0</v>
      </c>
      <c r="D7" s="1">
        <f>VLOOKUP(A7,'[1]MGM NS'!R:S,2,FALSE)</f>
        <v>0</v>
      </c>
      <c r="E7" s="1" t="b">
        <f t="shared" si="0"/>
        <v>1</v>
      </c>
    </row>
    <row r="8" spans="1:5">
      <c r="A8" s="1" t="s">
        <v>13</v>
      </c>
      <c r="B8" s="1" t="s">
        <v>256</v>
      </c>
      <c r="C8" s="1">
        <f>VLOOKUP(A8,'[1]MGM Tally'!T:V,3,FALSE)</f>
        <v>0</v>
      </c>
      <c r="D8" s="1">
        <f>VLOOKUP(A8,'[1]MGM NS'!R:S,2,FALSE)</f>
        <v>0</v>
      </c>
      <c r="E8" s="1" t="b">
        <f t="shared" si="0"/>
        <v>1</v>
      </c>
    </row>
    <row r="9" spans="1:5">
      <c r="A9" s="1" t="s">
        <v>14</v>
      </c>
      <c r="B9" s="1" t="s">
        <v>256</v>
      </c>
      <c r="C9" s="1">
        <f>VLOOKUP(A9,'[1]MGM Tally'!T:V,3,FALSE)</f>
        <v>0</v>
      </c>
      <c r="D9" s="1">
        <f>VLOOKUP(A9,'[1]MGM NS'!R:S,2,FALSE)</f>
        <v>0</v>
      </c>
      <c r="E9" s="1" t="b">
        <f t="shared" si="0"/>
        <v>1</v>
      </c>
    </row>
    <row r="10" spans="1:5">
      <c r="A10" s="1" t="s">
        <v>15</v>
      </c>
      <c r="B10" s="1" t="s">
        <v>256</v>
      </c>
      <c r="C10" s="1">
        <f>VLOOKUP(A10,'[1]MGM Tally'!T:V,3,FALSE)</f>
        <v>0</v>
      </c>
      <c r="D10" s="1">
        <f>VLOOKUP(A10,'[1]MGM NS'!R:S,2,FALSE)</f>
        <v>0</v>
      </c>
      <c r="E10" s="1" t="b">
        <f t="shared" si="0"/>
        <v>1</v>
      </c>
    </row>
    <row r="11" spans="1:5">
      <c r="A11" s="1" t="s">
        <v>16</v>
      </c>
      <c r="B11" s="1" t="s">
        <v>256</v>
      </c>
      <c r="C11" s="1">
        <f>VLOOKUP(A11,'[1]MGM Tally'!T:V,3,FALSE)</f>
        <v>0</v>
      </c>
      <c r="D11" s="1">
        <f>VLOOKUP(A11,'[1]MGM NS'!R:S,2,FALSE)</f>
        <v>0</v>
      </c>
      <c r="E11" s="1" t="b">
        <f t="shared" si="0"/>
        <v>1</v>
      </c>
    </row>
    <row r="12" spans="1:5">
      <c r="A12" s="1" t="s">
        <v>17</v>
      </c>
      <c r="B12" s="1" t="s">
        <v>256</v>
      </c>
      <c r="C12" s="1">
        <f>VLOOKUP(A12,'[1]MGM Tally'!T:V,3,FALSE)</f>
        <v>0</v>
      </c>
      <c r="D12" s="1">
        <f>VLOOKUP(A12,'[1]MGM NS'!R:S,2,FALSE)</f>
        <v>0</v>
      </c>
      <c r="E12" s="1" t="b">
        <f t="shared" si="0"/>
        <v>1</v>
      </c>
    </row>
    <row r="13" spans="1:5">
      <c r="A13" s="1" t="s">
        <v>18</v>
      </c>
      <c r="B13" s="1" t="s">
        <v>256</v>
      </c>
      <c r="C13" s="1">
        <f>VLOOKUP(A13,'[1]MGM Tally'!T:V,3,FALSE)</f>
        <v>0</v>
      </c>
      <c r="D13" s="1">
        <f>VLOOKUP(A13,'[1]MGM NS'!R:S,2,FALSE)</f>
        <v>0</v>
      </c>
      <c r="E13" s="1" t="b">
        <f t="shared" si="0"/>
        <v>1</v>
      </c>
    </row>
    <row r="14" spans="1:5">
      <c r="A14" s="1" t="s">
        <v>19</v>
      </c>
      <c r="B14" s="1" t="s">
        <v>256</v>
      </c>
      <c r="C14" s="1">
        <f>VLOOKUP(A14,'[1]MGM Tally'!T:V,3,FALSE)</f>
        <v>-4535000</v>
      </c>
      <c r="D14" s="1">
        <f>VLOOKUP(A14,'[1]MGM NS'!R:S,2,FALSE)</f>
        <v>-4535000</v>
      </c>
      <c r="E14" s="1" t="b">
        <f t="shared" si="0"/>
        <v>1</v>
      </c>
    </row>
    <row r="15" spans="1:5">
      <c r="A15" s="1" t="s">
        <v>20</v>
      </c>
      <c r="B15" s="1" t="s">
        <v>256</v>
      </c>
      <c r="C15" s="1">
        <f>VLOOKUP(A15,'[1]MGM Tally'!T:V,3,FALSE)</f>
        <v>0</v>
      </c>
      <c r="D15" s="1">
        <f>VLOOKUP(A15,'[1]MGM NS'!R:S,2,FALSE)</f>
        <v>0</v>
      </c>
      <c r="E15" s="1" t="b">
        <f t="shared" si="0"/>
        <v>1</v>
      </c>
    </row>
    <row r="16" spans="1:5">
      <c r="A16" s="1" t="s">
        <v>21</v>
      </c>
      <c r="B16" s="1" t="s">
        <v>256</v>
      </c>
      <c r="C16" s="1">
        <f>VLOOKUP(A16,'[1]MGM Tally'!T:V,3,FALSE)</f>
        <v>0</v>
      </c>
      <c r="D16" s="1">
        <f>VLOOKUP(A16,'[1]MGM NS'!R:S,2,FALSE)</f>
        <v>0</v>
      </c>
      <c r="E16" s="1" t="b">
        <f t="shared" si="0"/>
        <v>1</v>
      </c>
    </row>
    <row r="17" spans="1:5">
      <c r="A17" s="1" t="s">
        <v>22</v>
      </c>
      <c r="B17" s="1" t="s">
        <v>256</v>
      </c>
      <c r="C17" s="1">
        <f>VLOOKUP(A17,'[1]MGM Tally'!T:V,3,FALSE)</f>
        <v>0</v>
      </c>
      <c r="D17" s="1">
        <f>VLOOKUP(A17,'[1]MGM NS'!R:S,2,FALSE)</f>
        <v>0</v>
      </c>
      <c r="E17" s="1" t="b">
        <f t="shared" si="0"/>
        <v>1</v>
      </c>
    </row>
    <row r="18" spans="1:5">
      <c r="A18" s="1" t="s">
        <v>23</v>
      </c>
      <c r="B18" s="1" t="s">
        <v>256</v>
      </c>
      <c r="C18" s="1">
        <f>VLOOKUP(A18,'[1]MGM Tally'!T:V,3,FALSE)</f>
        <v>0</v>
      </c>
      <c r="D18" s="1">
        <f>VLOOKUP(A18,'[1]MGM NS'!R:S,2,FALSE)</f>
        <v>0</v>
      </c>
      <c r="E18" s="1" t="b">
        <f t="shared" si="0"/>
        <v>1</v>
      </c>
    </row>
    <row r="19" spans="1:5">
      <c r="A19" s="1" t="s">
        <v>24</v>
      </c>
      <c r="B19" s="1" t="s">
        <v>256</v>
      </c>
      <c r="C19" s="1">
        <f>VLOOKUP(A19,'[1]MGM Tally'!T:V,3,FALSE)</f>
        <v>0</v>
      </c>
      <c r="D19" s="1">
        <f>VLOOKUP(A19,'[1]MGM NS'!R:S,2,FALSE)</f>
        <v>0</v>
      </c>
      <c r="E19" s="1" t="b">
        <f t="shared" si="0"/>
        <v>1</v>
      </c>
    </row>
    <row r="20" spans="1:5">
      <c r="A20" s="1" t="s">
        <v>25</v>
      </c>
      <c r="B20" s="1" t="s">
        <v>256</v>
      </c>
      <c r="C20" s="1">
        <f>VLOOKUP(A20,'[1]MGM Tally'!T:V,3,FALSE)</f>
        <v>0</v>
      </c>
      <c r="D20" s="1">
        <f>VLOOKUP(A20,'[1]MGM NS'!R:S,2,FALSE)</f>
        <v>0</v>
      </c>
      <c r="E20" s="1" t="b">
        <f t="shared" si="0"/>
        <v>1</v>
      </c>
    </row>
    <row r="21" spans="1:5">
      <c r="A21" s="1" t="s">
        <v>26</v>
      </c>
      <c r="B21" s="1" t="s">
        <v>256</v>
      </c>
      <c r="C21" s="1">
        <f>VLOOKUP(A21,'[1]MGM Tally'!T:V,3,FALSE)</f>
        <v>0</v>
      </c>
      <c r="D21" s="1">
        <f>VLOOKUP(A21,'[1]MGM NS'!R:S,2,FALSE)</f>
        <v>0</v>
      </c>
      <c r="E21" s="1" t="b">
        <f t="shared" si="0"/>
        <v>1</v>
      </c>
    </row>
    <row r="22" spans="1:5">
      <c r="A22" s="1" t="s">
        <v>27</v>
      </c>
      <c r="B22" s="1" t="s">
        <v>256</v>
      </c>
      <c r="C22" s="1">
        <f>VLOOKUP(A22,'[1]MGM Tally'!T:V,3,FALSE)</f>
        <v>0</v>
      </c>
      <c r="D22" s="1">
        <f>VLOOKUP(A22,'[1]MGM NS'!R:S,2,FALSE)</f>
        <v>0</v>
      </c>
      <c r="E22" s="1" t="b">
        <f t="shared" si="0"/>
        <v>1</v>
      </c>
    </row>
    <row r="23" spans="1:5">
      <c r="A23" s="1" t="s">
        <v>28</v>
      </c>
      <c r="B23" s="1" t="s">
        <v>256</v>
      </c>
      <c r="C23" s="1">
        <f>VLOOKUP(A23,'[1]MGM Tally'!T:V,3,FALSE)</f>
        <v>0</v>
      </c>
      <c r="D23" s="1">
        <f>VLOOKUP(A23,'[1]MGM NS'!R:S,2,FALSE)</f>
        <v>0</v>
      </c>
      <c r="E23" s="1" t="b">
        <f t="shared" si="0"/>
        <v>1</v>
      </c>
    </row>
    <row r="24" spans="1:5">
      <c r="A24" s="1" t="s">
        <v>29</v>
      </c>
      <c r="B24" s="1" t="s">
        <v>256</v>
      </c>
      <c r="C24" s="1">
        <f>VLOOKUP(A24,'[1]MGM Tally'!T:V,3,FALSE)</f>
        <v>0</v>
      </c>
      <c r="D24" s="1">
        <f>VLOOKUP(A24,'[1]MGM NS'!R:S,2,FALSE)</f>
        <v>0</v>
      </c>
      <c r="E24" s="1" t="b">
        <f t="shared" si="0"/>
        <v>1</v>
      </c>
    </row>
    <row r="25" spans="1:5">
      <c r="A25" s="1" t="s">
        <v>30</v>
      </c>
      <c r="B25" s="1" t="s">
        <v>256</v>
      </c>
      <c r="C25" s="1">
        <f>VLOOKUP(A25,'[1]MGM Tally'!T:V,3,FALSE)</f>
        <v>-21000</v>
      </c>
      <c r="D25" s="1">
        <f>VLOOKUP(A25,'[1]MGM NS'!R:S,2,FALSE)</f>
        <v>-21000</v>
      </c>
      <c r="E25" s="1" t="b">
        <f t="shared" si="0"/>
        <v>1</v>
      </c>
    </row>
    <row r="26" spans="1:5">
      <c r="A26" s="1" t="s">
        <v>31</v>
      </c>
      <c r="B26" s="1" t="s">
        <v>256</v>
      </c>
      <c r="C26" s="1">
        <f>VLOOKUP(A26,'[1]MGM Tally'!T:V,3,FALSE)</f>
        <v>-11800</v>
      </c>
      <c r="D26" s="1">
        <f>VLOOKUP(A26,'[1]MGM NS'!R:S,2,FALSE)</f>
        <v>-11800</v>
      </c>
      <c r="E26" s="1" t="b">
        <f t="shared" si="0"/>
        <v>1</v>
      </c>
    </row>
    <row r="27" spans="1:5">
      <c r="A27" s="1" t="s">
        <v>32</v>
      </c>
      <c r="B27" s="1" t="s">
        <v>256</v>
      </c>
      <c r="C27" s="1">
        <f>VLOOKUP(A27,'[1]MGM Tally'!T:V,3,FALSE)</f>
        <v>0</v>
      </c>
      <c r="D27" s="1">
        <f>VLOOKUP(A27,'[1]MGM NS'!R:S,2,FALSE)</f>
        <v>0</v>
      </c>
      <c r="E27" s="1" t="b">
        <f t="shared" si="0"/>
        <v>1</v>
      </c>
    </row>
    <row r="28" spans="1:5">
      <c r="A28" s="1" t="s">
        <v>33</v>
      </c>
      <c r="B28" s="1" t="s">
        <v>256</v>
      </c>
      <c r="C28" s="1">
        <f>VLOOKUP(A28,'[1]MGM Tally'!T:V,3,FALSE)</f>
        <v>0</v>
      </c>
      <c r="D28" s="1">
        <f>VLOOKUP(A28,'[1]MGM NS'!R:S,2,FALSE)</f>
        <v>0</v>
      </c>
      <c r="E28" s="1" t="b">
        <f t="shared" si="0"/>
        <v>1</v>
      </c>
    </row>
    <row r="29" spans="1:5">
      <c r="A29" s="1" t="s">
        <v>34</v>
      </c>
      <c r="B29" s="1" t="s">
        <v>256</v>
      </c>
      <c r="C29" s="1">
        <f>VLOOKUP(A29,'[1]MGM Tally'!T:V,3,FALSE)</f>
        <v>0</v>
      </c>
      <c r="D29" s="1">
        <f>VLOOKUP(A29,'[1]MGM NS'!R:S,2,FALSE)</f>
        <v>0</v>
      </c>
      <c r="E29" s="1" t="b">
        <f t="shared" si="0"/>
        <v>1</v>
      </c>
    </row>
    <row r="30" spans="1:5">
      <c r="A30" s="1" t="s">
        <v>35</v>
      </c>
      <c r="B30" s="1" t="s">
        <v>256</v>
      </c>
      <c r="C30" s="1">
        <f>VLOOKUP(A30,'[1]MGM Tally'!T:V,3,FALSE)</f>
        <v>0</v>
      </c>
      <c r="D30" s="1">
        <f>VLOOKUP(A30,'[1]MGM NS'!R:S,2,FALSE)</f>
        <v>0</v>
      </c>
      <c r="E30" s="1" t="b">
        <f t="shared" si="0"/>
        <v>1</v>
      </c>
    </row>
    <row r="31" spans="1:5">
      <c r="A31" s="1" t="s">
        <v>36</v>
      </c>
      <c r="B31" s="1" t="s">
        <v>256</v>
      </c>
      <c r="C31" s="1">
        <f>VLOOKUP(A31,'[1]MGM Tally'!T:V,3,FALSE)</f>
        <v>0</v>
      </c>
      <c r="D31" s="1">
        <f>VLOOKUP(A31,'[1]MGM NS'!R:S,2,FALSE)</f>
        <v>0</v>
      </c>
      <c r="E31" s="1" t="b">
        <f t="shared" si="0"/>
        <v>1</v>
      </c>
    </row>
    <row r="32" spans="1:5">
      <c r="A32" s="1" t="s">
        <v>37</v>
      </c>
      <c r="B32" s="1" t="s">
        <v>256</v>
      </c>
      <c r="C32" s="1">
        <f>VLOOKUP(A32,'[1]MGM Tally'!T:V,3,FALSE)</f>
        <v>0</v>
      </c>
      <c r="D32" s="1">
        <f>VLOOKUP(A32,'[1]MGM NS'!R:S,2,FALSE)</f>
        <v>0</v>
      </c>
      <c r="E32" s="1" t="b">
        <f t="shared" si="0"/>
        <v>1</v>
      </c>
    </row>
    <row r="33" spans="1:5">
      <c r="A33" s="1" t="s">
        <v>38</v>
      </c>
      <c r="B33" s="1" t="s">
        <v>256</v>
      </c>
      <c r="C33" s="1">
        <f>VLOOKUP(A33,'[1]MGM Tally'!T:V,3,FALSE)</f>
        <v>0</v>
      </c>
      <c r="D33" s="1">
        <f>VLOOKUP(A33,'[1]MGM NS'!R:S,2,FALSE)</f>
        <v>0</v>
      </c>
      <c r="E33" s="1" t="b">
        <f t="shared" si="0"/>
        <v>1</v>
      </c>
    </row>
    <row r="34" spans="1:5">
      <c r="A34" s="1" t="s">
        <v>39</v>
      </c>
      <c r="B34" s="1" t="s">
        <v>256</v>
      </c>
      <c r="C34" s="1">
        <f>VLOOKUP(A34,'[1]MGM Tally'!T:V,3,FALSE)</f>
        <v>0</v>
      </c>
      <c r="D34" s="1">
        <f>VLOOKUP(A34,'[1]MGM NS'!R:S,2,FALSE)</f>
        <v>0</v>
      </c>
      <c r="E34" s="1" t="b">
        <f t="shared" si="0"/>
        <v>1</v>
      </c>
    </row>
    <row r="35" spans="1:5">
      <c r="A35" s="1" t="s">
        <v>40</v>
      </c>
      <c r="B35" s="1" t="s">
        <v>256</v>
      </c>
      <c r="C35" s="1">
        <f>VLOOKUP(A35,'[1]MGM Tally'!T:V,3,FALSE)</f>
        <v>0</v>
      </c>
      <c r="D35" s="1">
        <f>VLOOKUP(A35,'[1]MGM NS'!R:S,2,FALSE)</f>
        <v>0</v>
      </c>
      <c r="E35" s="1" t="b">
        <f t="shared" si="0"/>
        <v>1</v>
      </c>
    </row>
    <row r="36" spans="1:5">
      <c r="A36" s="1" t="s">
        <v>41</v>
      </c>
      <c r="B36" s="1" t="s">
        <v>256</v>
      </c>
      <c r="C36" s="1">
        <f>VLOOKUP(A36,'[1]MGM Tally'!T:V,3,FALSE)</f>
        <v>0</v>
      </c>
      <c r="D36" s="1">
        <f>VLOOKUP(A36,'[1]MGM NS'!R:S,2,FALSE)</f>
        <v>0</v>
      </c>
      <c r="E36" s="1" t="b">
        <f t="shared" si="0"/>
        <v>1</v>
      </c>
    </row>
    <row r="37" spans="1:5">
      <c r="A37" s="1" t="s">
        <v>42</v>
      </c>
      <c r="B37" s="1" t="s">
        <v>256</v>
      </c>
      <c r="C37" s="1">
        <f>VLOOKUP(A37,'[1]MGM Tally'!T:V,3,FALSE)</f>
        <v>0</v>
      </c>
      <c r="D37" s="1">
        <f>VLOOKUP(A37,'[1]MGM NS'!R:S,2,FALSE)</f>
        <v>0</v>
      </c>
      <c r="E37" s="1" t="b">
        <f t="shared" si="0"/>
        <v>1</v>
      </c>
    </row>
    <row r="38" spans="1:5">
      <c r="A38" s="1" t="s">
        <v>43</v>
      </c>
      <c r="B38" s="1" t="s">
        <v>256</v>
      </c>
      <c r="C38" s="1">
        <f>VLOOKUP(A38,'[1]MGM Tally'!T:V,3,FALSE)</f>
        <v>0</v>
      </c>
      <c r="D38" s="1">
        <f>VLOOKUP(A38,'[1]MGM NS'!R:S,2,FALSE)</f>
        <v>0</v>
      </c>
      <c r="E38" s="1" t="b">
        <f t="shared" si="0"/>
        <v>1</v>
      </c>
    </row>
    <row r="39" spans="1:5">
      <c r="A39" s="1" t="s">
        <v>44</v>
      </c>
      <c r="B39" s="1" t="s">
        <v>256</v>
      </c>
      <c r="C39" s="1">
        <f>VLOOKUP(A39,'[1]MGM Tally'!T:V,3,FALSE)</f>
        <v>0</v>
      </c>
      <c r="D39" s="1">
        <f>VLOOKUP(A39,'[1]MGM NS'!R:S,2,FALSE)</f>
        <v>0</v>
      </c>
      <c r="E39" s="1" t="b">
        <f t="shared" si="0"/>
        <v>1</v>
      </c>
    </row>
    <row r="40" spans="1:5">
      <c r="A40" s="1" t="s">
        <v>45</v>
      </c>
      <c r="B40" s="1" t="s">
        <v>256</v>
      </c>
      <c r="C40" s="1">
        <f>VLOOKUP(A40,'[1]MGM Tally'!T:V,3,FALSE)</f>
        <v>0</v>
      </c>
      <c r="D40" s="1">
        <f>VLOOKUP(A40,'[1]MGM NS'!R:S,2,FALSE)</f>
        <v>0</v>
      </c>
      <c r="E40" s="1" t="b">
        <f t="shared" si="0"/>
        <v>1</v>
      </c>
    </row>
    <row r="41" spans="1:5">
      <c r="A41" s="1" t="s">
        <v>46</v>
      </c>
      <c r="B41" s="1" t="s">
        <v>256</v>
      </c>
      <c r="C41" s="1">
        <f>VLOOKUP(A41,'[1]MGM Tally'!T:V,3,FALSE)</f>
        <v>0</v>
      </c>
      <c r="D41" s="1">
        <f>VLOOKUP(A41,'[1]MGM NS'!R:S,2,FALSE)</f>
        <v>0</v>
      </c>
      <c r="E41" s="1" t="b">
        <f t="shared" si="0"/>
        <v>1</v>
      </c>
    </row>
    <row r="42" spans="1:5">
      <c r="A42" s="1" t="s">
        <v>47</v>
      </c>
      <c r="B42" s="1" t="s">
        <v>256</v>
      </c>
      <c r="C42" s="1">
        <f>VLOOKUP(A42,'[1]MGM Tally'!T:V,3,FALSE)</f>
        <v>0</v>
      </c>
      <c r="D42" s="1">
        <f>VLOOKUP(A42,'[1]MGM NS'!R:S,2,FALSE)</f>
        <v>0</v>
      </c>
      <c r="E42" s="1" t="b">
        <f t="shared" si="0"/>
        <v>1</v>
      </c>
    </row>
    <row r="43" spans="1:5">
      <c r="A43" s="1" t="s">
        <v>48</v>
      </c>
      <c r="B43" s="1" t="s">
        <v>256</v>
      </c>
      <c r="C43" s="1">
        <f>VLOOKUP(A43,'[1]MGM Tally'!T:V,3,FALSE)</f>
        <v>0</v>
      </c>
      <c r="D43" s="1">
        <f>VLOOKUP(A43,'[1]MGM NS'!R:S,2,FALSE)</f>
        <v>0</v>
      </c>
      <c r="E43" s="1" t="b">
        <f t="shared" si="0"/>
        <v>1</v>
      </c>
    </row>
    <row r="44" spans="1:5">
      <c r="A44" s="1" t="s">
        <v>49</v>
      </c>
      <c r="B44" s="1" t="s">
        <v>256</v>
      </c>
      <c r="C44" s="1">
        <f>VLOOKUP(A44,'[1]MGM Tally'!T:V,3,FALSE)</f>
        <v>0</v>
      </c>
      <c r="D44" s="1">
        <f>VLOOKUP(A44,'[1]MGM NS'!R:S,2,FALSE)</f>
        <v>0</v>
      </c>
      <c r="E44" s="1" t="b">
        <f t="shared" si="0"/>
        <v>1</v>
      </c>
    </row>
    <row r="45" spans="1:5">
      <c r="A45" s="1" t="s">
        <v>50</v>
      </c>
      <c r="B45" s="1" t="s">
        <v>256</v>
      </c>
      <c r="C45" s="1">
        <f>VLOOKUP(A45,'[1]MGM Tally'!T:V,3,FALSE)</f>
        <v>0</v>
      </c>
      <c r="D45" s="1">
        <f>VLOOKUP(A45,'[1]MGM NS'!R:S,2,FALSE)</f>
        <v>0</v>
      </c>
      <c r="E45" s="1" t="b">
        <f t="shared" si="0"/>
        <v>1</v>
      </c>
    </row>
    <row r="46" spans="1:5">
      <c r="A46" s="1" t="s">
        <v>51</v>
      </c>
      <c r="B46" s="1" t="s">
        <v>256</v>
      </c>
      <c r="C46" s="1">
        <f>VLOOKUP(A46,'[1]MGM Tally'!T:V,3,FALSE)</f>
        <v>0</v>
      </c>
      <c r="D46" s="1">
        <f>VLOOKUP(A46,'[1]MGM NS'!R:S,2,FALSE)</f>
        <v>0</v>
      </c>
      <c r="E46" s="1" t="b">
        <f t="shared" si="0"/>
        <v>1</v>
      </c>
    </row>
    <row r="47" spans="1:5">
      <c r="A47" s="1" t="s">
        <v>52</v>
      </c>
      <c r="B47" s="1" t="s">
        <v>256</v>
      </c>
      <c r="C47" s="1">
        <f>VLOOKUP(A47,'[1]MGM Tally'!T:V,3,FALSE)</f>
        <v>0</v>
      </c>
      <c r="D47" s="1">
        <f>VLOOKUP(A47,'[1]MGM NS'!R:S,2,FALSE)</f>
        <v>0</v>
      </c>
      <c r="E47" s="1" t="b">
        <f t="shared" si="0"/>
        <v>1</v>
      </c>
    </row>
    <row r="48" spans="1:5">
      <c r="A48" s="1" t="s">
        <v>53</v>
      </c>
      <c r="B48" s="1" t="s">
        <v>256</v>
      </c>
      <c r="C48" s="1">
        <f>VLOOKUP(A48,'[1]MGM Tally'!T:V,3,FALSE)</f>
        <v>0</v>
      </c>
      <c r="D48" s="1">
        <f>VLOOKUP(A48,'[1]MGM NS'!R:S,2,FALSE)</f>
        <v>0</v>
      </c>
      <c r="E48" s="1" t="b">
        <f t="shared" si="0"/>
        <v>1</v>
      </c>
    </row>
    <row r="49" spans="1:5">
      <c r="A49" s="1" t="s">
        <v>54</v>
      </c>
      <c r="B49" s="1" t="s">
        <v>256</v>
      </c>
      <c r="C49" s="1">
        <f>VLOOKUP(A49,'[1]MGM Tally'!T:V,3,FALSE)</f>
        <v>-200000</v>
      </c>
      <c r="D49" s="1">
        <f>VLOOKUP(A49,'[1]MGM NS'!R:S,2,FALSE)</f>
        <v>-200000</v>
      </c>
      <c r="E49" s="1" t="b">
        <f t="shared" si="0"/>
        <v>1</v>
      </c>
    </row>
    <row r="50" spans="1:5">
      <c r="A50" s="1" t="s">
        <v>55</v>
      </c>
      <c r="B50" s="1" t="s">
        <v>256</v>
      </c>
      <c r="C50" s="1">
        <f>VLOOKUP(A50,'[1]MGM Tally'!T:V,3,FALSE)</f>
        <v>0</v>
      </c>
      <c r="D50" s="1">
        <v>0</v>
      </c>
      <c r="E50" s="1" t="b">
        <f t="shared" si="0"/>
        <v>1</v>
      </c>
    </row>
    <row r="51" spans="1:5">
      <c r="A51" s="1" t="s">
        <v>56</v>
      </c>
      <c r="B51" s="1" t="s">
        <v>256</v>
      </c>
      <c r="C51" s="1">
        <f>VLOOKUP(A51,'[1]MGM Tally'!T:V,3,FALSE)</f>
        <v>0</v>
      </c>
      <c r="D51" s="1">
        <f>VLOOKUP(A51,'[1]MGM NS'!R:S,2,FALSE)</f>
        <v>0</v>
      </c>
      <c r="E51" s="1" t="b">
        <f t="shared" si="0"/>
        <v>1</v>
      </c>
    </row>
    <row r="52" spans="1:5">
      <c r="A52" s="1" t="s">
        <v>57</v>
      </c>
      <c r="B52" s="1" t="s">
        <v>256</v>
      </c>
      <c r="C52" s="1">
        <f>VLOOKUP(A52,'[1]MGM Tally'!T:V,3,FALSE)</f>
        <v>0</v>
      </c>
      <c r="D52" s="1">
        <f>VLOOKUP(A52,'[1]MGM NS'!R:S,2,FALSE)</f>
        <v>0</v>
      </c>
      <c r="E52" s="1" t="b">
        <f t="shared" si="0"/>
        <v>1</v>
      </c>
    </row>
    <row r="53" spans="1:5">
      <c r="A53" s="1" t="s">
        <v>58</v>
      </c>
      <c r="B53" s="1" t="s">
        <v>256</v>
      </c>
      <c r="C53" s="1">
        <f>VLOOKUP(A53,'[1]MGM Tally'!T:V,3,FALSE)</f>
        <v>-6872</v>
      </c>
      <c r="D53" s="1">
        <f>VLOOKUP(A53,'[1]MGM NS'!R:S,2,FALSE)</f>
        <v>-6872</v>
      </c>
      <c r="E53" s="1" t="b">
        <f t="shared" si="0"/>
        <v>1</v>
      </c>
    </row>
    <row r="54" spans="1:5">
      <c r="A54" s="1" t="s">
        <v>59</v>
      </c>
      <c r="B54" s="1" t="s">
        <v>256</v>
      </c>
      <c r="C54" s="1">
        <f>VLOOKUP(A54,'[1]MGM Tally'!T:V,3,FALSE)</f>
        <v>0</v>
      </c>
      <c r="D54" s="1">
        <f>VLOOKUP(A54,'[1]MGM NS'!R:S,2,FALSE)</f>
        <v>0</v>
      </c>
      <c r="E54" s="1" t="b">
        <f t="shared" si="0"/>
        <v>1</v>
      </c>
    </row>
    <row r="55" spans="1:5">
      <c r="A55" s="1" t="s">
        <v>60</v>
      </c>
      <c r="B55" s="1" t="s">
        <v>256</v>
      </c>
      <c r="C55" s="1">
        <f>VLOOKUP(A55,'[1]MGM Tally'!T:V,3,FALSE)</f>
        <v>0</v>
      </c>
      <c r="D55" s="1">
        <f>VLOOKUP(A55,'[1]MGM NS'!R:S,2,FALSE)</f>
        <v>0</v>
      </c>
      <c r="E55" s="1" t="b">
        <f t="shared" si="0"/>
        <v>1</v>
      </c>
    </row>
    <row r="56" spans="1:5">
      <c r="A56" s="1" t="s">
        <v>61</v>
      </c>
      <c r="B56" s="1" t="s">
        <v>256</v>
      </c>
      <c r="C56" s="1">
        <f>VLOOKUP(A56,'[1]MGM Tally'!T:V,3,FALSE)</f>
        <v>0</v>
      </c>
      <c r="D56" s="1">
        <f>VLOOKUP(A56,'[1]MGM NS'!R:S,2,FALSE)</f>
        <v>0</v>
      </c>
      <c r="E56" s="1" t="b">
        <f t="shared" si="0"/>
        <v>1</v>
      </c>
    </row>
    <row r="57" spans="1:5">
      <c r="A57" s="1" t="s">
        <v>62</v>
      </c>
      <c r="B57" s="1" t="s">
        <v>256</v>
      </c>
      <c r="C57" s="1">
        <f>VLOOKUP(A57,'[1]MGM Tally'!T:V,3,FALSE)</f>
        <v>0</v>
      </c>
      <c r="D57" s="1">
        <f>VLOOKUP(A57,'[1]MGM NS'!R:S,2,FALSE)</f>
        <v>0</v>
      </c>
      <c r="E57" s="1" t="b">
        <f t="shared" si="0"/>
        <v>1</v>
      </c>
    </row>
    <row r="58" spans="1:5">
      <c r="A58" s="1" t="s">
        <v>63</v>
      </c>
      <c r="B58" s="1" t="s">
        <v>256</v>
      </c>
      <c r="C58" s="1">
        <f>VLOOKUP(A58,'[1]MGM Tally'!T:V,3,FALSE)</f>
        <v>0</v>
      </c>
      <c r="D58" s="1">
        <f>VLOOKUP(A58,'[1]MGM NS'!R:S,2,FALSE)</f>
        <v>0</v>
      </c>
      <c r="E58" s="1" t="b">
        <f t="shared" si="0"/>
        <v>1</v>
      </c>
    </row>
    <row r="59" spans="1:5">
      <c r="A59" s="1" t="s">
        <v>64</v>
      </c>
      <c r="B59" s="1" t="s">
        <v>256</v>
      </c>
      <c r="C59" s="1">
        <f>VLOOKUP(A59,'[1]MGM Tally'!T:V,3,FALSE)</f>
        <v>0</v>
      </c>
      <c r="D59" s="1">
        <f>VLOOKUP(A59,'[1]MGM NS'!R:S,2,FALSE)</f>
        <v>0</v>
      </c>
      <c r="E59" s="1" t="b">
        <f t="shared" si="0"/>
        <v>1</v>
      </c>
    </row>
    <row r="60" spans="1:5">
      <c r="A60" s="1" t="s">
        <v>65</v>
      </c>
      <c r="B60" s="1" t="s">
        <v>256</v>
      </c>
      <c r="C60" s="1">
        <f>VLOOKUP(A60,'[1]MGM Tally'!T:V,3,FALSE)</f>
        <v>0</v>
      </c>
      <c r="D60" s="1">
        <f>VLOOKUP(A60,'[1]MGM NS'!R:S,2,FALSE)</f>
        <v>0</v>
      </c>
      <c r="E60" s="1" t="b">
        <f t="shared" si="0"/>
        <v>1</v>
      </c>
    </row>
    <row r="61" spans="1:5">
      <c r="A61" s="1" t="s">
        <v>66</v>
      </c>
      <c r="B61" s="1" t="s">
        <v>256</v>
      </c>
      <c r="C61" s="1">
        <f>VLOOKUP(A61,'[1]MGM Tally'!T:V,3,FALSE)</f>
        <v>0</v>
      </c>
      <c r="D61" s="1">
        <f>VLOOKUP(A61,'[1]MGM NS'!R:S,2,FALSE)</f>
        <v>0</v>
      </c>
      <c r="E61" s="1" t="b">
        <f t="shared" si="0"/>
        <v>1</v>
      </c>
    </row>
    <row r="62" spans="1:5">
      <c r="A62" s="1" t="s">
        <v>67</v>
      </c>
      <c r="B62" s="1" t="s">
        <v>256</v>
      </c>
      <c r="C62" s="1">
        <f>VLOOKUP(A62,'[1]MGM Tally'!T:V,3,FALSE)</f>
        <v>0</v>
      </c>
      <c r="D62" s="1">
        <f>VLOOKUP(A62,'[1]MGM NS'!R:S,2,FALSE)</f>
        <v>0</v>
      </c>
      <c r="E62" s="1" t="b">
        <f t="shared" si="0"/>
        <v>1</v>
      </c>
    </row>
    <row r="63" spans="1:5">
      <c r="A63" s="1" t="s">
        <v>68</v>
      </c>
      <c r="B63" s="1" t="s">
        <v>256</v>
      </c>
      <c r="C63" s="1">
        <f>VLOOKUP(A63,'[1]MGM Tally'!T:V,3,FALSE)</f>
        <v>0</v>
      </c>
      <c r="D63" s="1">
        <f>VLOOKUP(A63,'[1]MGM NS'!R:S,2,FALSE)</f>
        <v>0</v>
      </c>
      <c r="E63" s="1" t="b">
        <f t="shared" si="0"/>
        <v>1</v>
      </c>
    </row>
    <row r="64" spans="1:5">
      <c r="A64" s="1" t="s">
        <v>69</v>
      </c>
      <c r="B64" s="1" t="s">
        <v>256</v>
      </c>
      <c r="C64" s="1">
        <f>VLOOKUP(A64,'[1]MGM Tally'!T:V,3,FALSE)</f>
        <v>0</v>
      </c>
      <c r="D64" s="1">
        <f>VLOOKUP(A64,'[1]MGM NS'!R:S,2,FALSE)</f>
        <v>0</v>
      </c>
      <c r="E64" s="1" t="b">
        <f t="shared" si="0"/>
        <v>1</v>
      </c>
    </row>
    <row r="65" spans="1:5">
      <c r="A65" s="1" t="s">
        <v>70</v>
      </c>
      <c r="B65" s="1" t="s">
        <v>256</v>
      </c>
      <c r="C65" s="1">
        <f>VLOOKUP(A65,'[1]MGM Tally'!T:V,3,FALSE)</f>
        <v>0</v>
      </c>
      <c r="D65" s="1">
        <f>VLOOKUP(A65,'[1]MGM NS'!R:S,2,FALSE)</f>
        <v>0</v>
      </c>
      <c r="E65" s="1" t="b">
        <f t="shared" si="0"/>
        <v>1</v>
      </c>
    </row>
    <row r="66" spans="1:5">
      <c r="A66" s="1" t="s">
        <v>71</v>
      </c>
      <c r="B66" s="1" t="s">
        <v>256</v>
      </c>
      <c r="C66" s="1">
        <f>VLOOKUP(A66,'[1]MGM Tally'!T:V,3,FALSE)</f>
        <v>0</v>
      </c>
      <c r="D66" s="1">
        <f>VLOOKUP(A66,'[1]MGM NS'!R:S,2,FALSE)</f>
        <v>0</v>
      </c>
      <c r="E66" s="1" t="b">
        <f t="shared" ref="E66:E129" si="1">IF(ABS(C66)=ABS(D66),TRUE,FALSE)</f>
        <v>1</v>
      </c>
    </row>
    <row r="67" spans="1:5">
      <c r="A67" s="1" t="s">
        <v>72</v>
      </c>
      <c r="B67" s="1" t="s">
        <v>256</v>
      </c>
      <c r="C67" s="1">
        <f>VLOOKUP(A67,'[1]MGM Tally'!T:V,3,FALSE)</f>
        <v>0</v>
      </c>
      <c r="D67" s="1">
        <f>VLOOKUP(A67,'[1]MGM NS'!R:S,2,FALSE)</f>
        <v>0</v>
      </c>
      <c r="E67" s="1" t="b">
        <f t="shared" si="1"/>
        <v>1</v>
      </c>
    </row>
    <row r="68" spans="1:5">
      <c r="A68" s="1" t="s">
        <v>73</v>
      </c>
      <c r="B68" s="1" t="s">
        <v>256</v>
      </c>
      <c r="C68" s="1">
        <f>VLOOKUP(A68,'[1]MGM Tally'!T:V,3,FALSE)</f>
        <v>0</v>
      </c>
      <c r="D68" s="1">
        <f>VLOOKUP(A68,'[1]MGM NS'!R:S,2,FALSE)</f>
        <v>0</v>
      </c>
      <c r="E68" s="1" t="b">
        <f t="shared" si="1"/>
        <v>1</v>
      </c>
    </row>
    <row r="69" spans="1:5">
      <c r="A69" s="1" t="s">
        <v>74</v>
      </c>
      <c r="B69" s="1" t="s">
        <v>256</v>
      </c>
      <c r="C69" s="1">
        <f>VLOOKUP(A69,'[1]MGM Tally'!T:V,3,FALSE)</f>
        <v>0</v>
      </c>
      <c r="D69" s="1">
        <f>VLOOKUP(A69,'[1]MGM NS'!R:S,2,FALSE)</f>
        <v>0</v>
      </c>
      <c r="E69" s="1" t="b">
        <f t="shared" si="1"/>
        <v>1</v>
      </c>
    </row>
    <row r="70" spans="1:5">
      <c r="A70" s="1" t="s">
        <v>75</v>
      </c>
      <c r="B70" s="1" t="s">
        <v>256</v>
      </c>
      <c r="C70" s="1">
        <f>VLOOKUP(A70,'[1]MGM Tally'!T:V,3,FALSE)</f>
        <v>0</v>
      </c>
      <c r="D70" s="1">
        <f>VLOOKUP(A70,'[1]MGM NS'!R:S,2,FALSE)</f>
        <v>0</v>
      </c>
      <c r="E70" s="1" t="b">
        <f t="shared" si="1"/>
        <v>1</v>
      </c>
    </row>
    <row r="71" spans="1:5">
      <c r="A71" s="1" t="s">
        <v>76</v>
      </c>
      <c r="B71" s="1" t="s">
        <v>256</v>
      </c>
      <c r="C71" s="1">
        <f>VLOOKUP(A71,'[1]MGM Tally'!T:V,3,FALSE)</f>
        <v>0</v>
      </c>
      <c r="D71" s="1">
        <f>VLOOKUP(A71,'[1]MGM NS'!R:S,2,FALSE)</f>
        <v>0</v>
      </c>
      <c r="E71" s="1" t="b">
        <f t="shared" si="1"/>
        <v>1</v>
      </c>
    </row>
    <row r="72" spans="1:5">
      <c r="A72" s="1" t="s">
        <v>77</v>
      </c>
      <c r="B72" s="1" t="s">
        <v>256</v>
      </c>
      <c r="C72" s="1">
        <f>VLOOKUP(A72,'[1]MGM Tally'!T:V,3,FALSE)</f>
        <v>0</v>
      </c>
      <c r="D72" s="1">
        <f>VLOOKUP(A72,'[1]MGM NS'!R:S,2,FALSE)</f>
        <v>0</v>
      </c>
      <c r="E72" s="1" t="b">
        <f t="shared" si="1"/>
        <v>1</v>
      </c>
    </row>
    <row r="73" spans="1:5">
      <c r="A73" s="1" t="s">
        <v>78</v>
      </c>
      <c r="B73" s="1" t="s">
        <v>256</v>
      </c>
      <c r="C73" s="1">
        <f>VLOOKUP(A73,'[1]MGM Tally'!T:V,3,FALSE)</f>
        <v>0</v>
      </c>
      <c r="D73" s="1">
        <f>VLOOKUP(A73,'[1]MGM NS'!R:S,2,FALSE)</f>
        <v>0</v>
      </c>
      <c r="E73" s="1" t="b">
        <f t="shared" si="1"/>
        <v>1</v>
      </c>
    </row>
    <row r="74" spans="1:5">
      <c r="A74" s="1" t="s">
        <v>79</v>
      </c>
      <c r="B74" s="1" t="s">
        <v>256</v>
      </c>
      <c r="C74" s="1">
        <f>VLOOKUP(A74,'[1]MGM Tally'!T:V,3,FALSE)</f>
        <v>0</v>
      </c>
      <c r="D74" s="1">
        <f>VLOOKUP(A74,'[1]MGM NS'!R:S,2,FALSE)</f>
        <v>0</v>
      </c>
      <c r="E74" s="1" t="b">
        <f t="shared" si="1"/>
        <v>1</v>
      </c>
    </row>
    <row r="75" spans="1:5">
      <c r="A75" s="1" t="s">
        <v>80</v>
      </c>
      <c r="B75" s="1" t="s">
        <v>256</v>
      </c>
      <c r="C75" s="1">
        <f>VLOOKUP(A75,'[1]MGM Tally'!T:V,3,FALSE)</f>
        <v>0</v>
      </c>
      <c r="D75" s="1">
        <f>VLOOKUP(A75,'[1]MGM NS'!R:S,2,FALSE)</f>
        <v>0</v>
      </c>
      <c r="E75" s="1" t="b">
        <f t="shared" si="1"/>
        <v>1</v>
      </c>
    </row>
    <row r="76" spans="1:5">
      <c r="A76" s="1" t="s">
        <v>81</v>
      </c>
      <c r="B76" s="1" t="s">
        <v>256</v>
      </c>
      <c r="C76" s="1">
        <f>VLOOKUP(A76,'[1]MGM Tally'!T:V,3,FALSE)</f>
        <v>0</v>
      </c>
      <c r="D76" s="1">
        <f>VLOOKUP(A76,'[1]MGM NS'!R:S,2,FALSE)</f>
        <v>0</v>
      </c>
      <c r="E76" s="1" t="b">
        <f t="shared" si="1"/>
        <v>1</v>
      </c>
    </row>
    <row r="77" spans="1:5">
      <c r="A77" s="1" t="s">
        <v>82</v>
      </c>
      <c r="B77" s="1" t="s">
        <v>256</v>
      </c>
      <c r="C77" s="1">
        <f>VLOOKUP(A77,'[1]MGM Tally'!T:V,3,FALSE)</f>
        <v>0</v>
      </c>
      <c r="D77" s="1">
        <f>VLOOKUP(A77,'[1]MGM NS'!R:S,2,FALSE)</f>
        <v>0</v>
      </c>
      <c r="E77" s="1" t="b">
        <f t="shared" si="1"/>
        <v>1</v>
      </c>
    </row>
    <row r="78" spans="1:5">
      <c r="A78" s="1" t="s">
        <v>83</v>
      </c>
      <c r="B78" s="1" t="s">
        <v>256</v>
      </c>
      <c r="C78" s="1">
        <f>VLOOKUP(A78,'[1]MGM Tally'!T:V,3,FALSE)</f>
        <v>0</v>
      </c>
      <c r="D78" s="1">
        <f>VLOOKUP(A78,'[1]MGM NS'!R:S,2,FALSE)</f>
        <v>0</v>
      </c>
      <c r="E78" s="1" t="b">
        <f t="shared" si="1"/>
        <v>1</v>
      </c>
    </row>
    <row r="79" spans="1:5">
      <c r="A79" s="1" t="s">
        <v>84</v>
      </c>
      <c r="B79" s="1" t="s">
        <v>256</v>
      </c>
      <c r="C79" s="1">
        <f>VLOOKUP(A79,'[1]MGM Tally'!T:V,3,FALSE)</f>
        <v>0</v>
      </c>
      <c r="D79" s="1">
        <f>VLOOKUP(A79,'[1]MGM NS'!R:S,2,FALSE)</f>
        <v>0</v>
      </c>
      <c r="E79" s="1" t="b">
        <f t="shared" si="1"/>
        <v>1</v>
      </c>
    </row>
    <row r="80" spans="1:5">
      <c r="A80" s="1" t="s">
        <v>85</v>
      </c>
      <c r="B80" s="1" t="s">
        <v>256</v>
      </c>
      <c r="C80" s="1">
        <f>VLOOKUP(A80,'[1]MGM Tally'!T:V,3,FALSE)</f>
        <v>0</v>
      </c>
      <c r="D80" s="1">
        <f>VLOOKUP(A80,'[1]MGM NS'!R:S,2,FALSE)</f>
        <v>0</v>
      </c>
      <c r="E80" s="1" t="b">
        <f t="shared" si="1"/>
        <v>1</v>
      </c>
    </row>
    <row r="81" spans="1:5">
      <c r="A81" s="1" t="s">
        <v>86</v>
      </c>
      <c r="B81" s="1" t="s">
        <v>256</v>
      </c>
      <c r="C81" s="1">
        <f>VLOOKUP(A81,'[1]MGM Tally'!T:V,3,FALSE)</f>
        <v>-2429</v>
      </c>
      <c r="D81" s="1">
        <f>VLOOKUP(A81,'[1]MGM NS'!R:S,2,FALSE)</f>
        <v>-2429</v>
      </c>
      <c r="E81" s="1" t="b">
        <f t="shared" si="1"/>
        <v>1</v>
      </c>
    </row>
    <row r="82" spans="1:5">
      <c r="A82" s="1" t="s">
        <v>87</v>
      </c>
      <c r="B82" s="1" t="s">
        <v>256</v>
      </c>
      <c r="C82" s="1">
        <f>VLOOKUP(A82,'[1]MGM Tally'!T:V,3,FALSE)</f>
        <v>0</v>
      </c>
      <c r="D82" s="1">
        <f>VLOOKUP(A82,'[1]MGM NS'!R:S,2,FALSE)</f>
        <v>0</v>
      </c>
      <c r="E82" s="1" t="b">
        <f t="shared" si="1"/>
        <v>1</v>
      </c>
    </row>
    <row r="83" spans="1:5">
      <c r="A83" s="1" t="s">
        <v>88</v>
      </c>
      <c r="B83" s="1" t="s">
        <v>256</v>
      </c>
      <c r="C83" s="1">
        <f>VLOOKUP(A83,'[1]MGM Tally'!T:V,3,FALSE)</f>
        <v>0</v>
      </c>
      <c r="D83" s="1">
        <f>VLOOKUP(A83,'[1]MGM NS'!R:S,2,FALSE)</f>
        <v>0</v>
      </c>
      <c r="E83" s="1" t="b">
        <f t="shared" si="1"/>
        <v>1</v>
      </c>
    </row>
    <row r="84" spans="1:5">
      <c r="A84" s="1" t="s">
        <v>89</v>
      </c>
      <c r="B84" s="1" t="s">
        <v>256</v>
      </c>
      <c r="C84" s="1">
        <f>VLOOKUP(A84,'[1]MGM Tally'!T:V,3,FALSE)</f>
        <v>0</v>
      </c>
      <c r="D84" s="1">
        <f>VLOOKUP(A84,'[1]MGM NS'!R:S,2,FALSE)</f>
        <v>0</v>
      </c>
      <c r="E84" s="1" t="b">
        <f t="shared" si="1"/>
        <v>1</v>
      </c>
    </row>
    <row r="85" spans="1:5">
      <c r="A85" s="1" t="s">
        <v>90</v>
      </c>
      <c r="B85" s="1" t="s">
        <v>256</v>
      </c>
      <c r="C85" s="1">
        <f>VLOOKUP(A85,'[1]MGM Tally'!T:V,3,FALSE)</f>
        <v>0</v>
      </c>
      <c r="D85" s="1">
        <f>VLOOKUP(A85,'[1]MGM NS'!R:S,2,FALSE)</f>
        <v>0</v>
      </c>
      <c r="E85" s="1" t="b">
        <f t="shared" si="1"/>
        <v>1</v>
      </c>
    </row>
    <row r="86" spans="1:5">
      <c r="A86" s="1" t="s">
        <v>91</v>
      </c>
      <c r="B86" s="1" t="s">
        <v>256</v>
      </c>
      <c r="C86" s="1">
        <f>VLOOKUP(A86,'[1]MGM Tally'!T:V,3,FALSE)</f>
        <v>0</v>
      </c>
      <c r="D86" s="1">
        <f>VLOOKUP(A86,'[1]MGM NS'!R:S,2,FALSE)</f>
        <v>0</v>
      </c>
      <c r="E86" s="1" t="b">
        <f t="shared" si="1"/>
        <v>1</v>
      </c>
    </row>
    <row r="87" spans="1:5">
      <c r="A87" s="1" t="s">
        <v>92</v>
      </c>
      <c r="B87" s="1" t="s">
        <v>256</v>
      </c>
      <c r="C87" s="1">
        <f>VLOOKUP(A87,'[1]MGM Tally'!T:V,3,FALSE)</f>
        <v>0</v>
      </c>
      <c r="D87" s="1">
        <f>VLOOKUP(A87,'[1]MGM NS'!R:S,2,FALSE)</f>
        <v>0</v>
      </c>
      <c r="E87" s="1" t="b">
        <f t="shared" si="1"/>
        <v>1</v>
      </c>
    </row>
    <row r="88" spans="1:5">
      <c r="A88" s="1" t="s">
        <v>93</v>
      </c>
      <c r="B88" s="1" t="s">
        <v>256</v>
      </c>
      <c r="C88" s="1">
        <f>VLOOKUP(A88,'[1]MGM Tally'!T:V,3,FALSE)</f>
        <v>0</v>
      </c>
      <c r="D88" s="1">
        <f>VLOOKUP(A88,'[1]MGM NS'!R:S,2,FALSE)</f>
        <v>0</v>
      </c>
      <c r="E88" s="1" t="b">
        <f t="shared" si="1"/>
        <v>1</v>
      </c>
    </row>
    <row r="89" spans="1:5">
      <c r="A89" s="1" t="s">
        <v>94</v>
      </c>
      <c r="B89" s="1" t="s">
        <v>256</v>
      </c>
      <c r="C89" s="1">
        <f>VLOOKUP(A89,'[1]MGM Tally'!T:V,3,FALSE)</f>
        <v>0</v>
      </c>
      <c r="D89" s="1">
        <f>VLOOKUP(A89,'[1]MGM NS'!R:S,2,FALSE)</f>
        <v>0</v>
      </c>
      <c r="E89" s="1" t="b">
        <f t="shared" si="1"/>
        <v>1</v>
      </c>
    </row>
    <row r="90" spans="1:5">
      <c r="A90" s="1" t="s">
        <v>95</v>
      </c>
      <c r="B90" s="1" t="s">
        <v>256</v>
      </c>
      <c r="C90" s="1">
        <f>VLOOKUP(A90,'[1]MGM Tally'!T:V,3,FALSE)</f>
        <v>0</v>
      </c>
      <c r="D90" s="1">
        <f>VLOOKUP(A90,'[1]MGM NS'!R:S,2,FALSE)</f>
        <v>0</v>
      </c>
      <c r="E90" s="1" t="b">
        <f t="shared" si="1"/>
        <v>1</v>
      </c>
    </row>
    <row r="91" spans="1:5">
      <c r="A91" s="1" t="s">
        <v>96</v>
      </c>
      <c r="B91" s="1" t="s">
        <v>256</v>
      </c>
      <c r="C91" s="1">
        <f>VLOOKUP(A91,'[1]MGM Tally'!T:V,3,FALSE)</f>
        <v>0</v>
      </c>
      <c r="D91" s="1">
        <f>VLOOKUP(A91,'[1]MGM NS'!R:S,2,FALSE)</f>
        <v>0</v>
      </c>
      <c r="E91" s="1" t="b">
        <f t="shared" si="1"/>
        <v>1</v>
      </c>
    </row>
    <row r="92" spans="1:5">
      <c r="A92" s="1" t="s">
        <v>97</v>
      </c>
      <c r="B92" s="1" t="s">
        <v>256</v>
      </c>
      <c r="C92" s="1">
        <f>VLOOKUP(A92,'[1]MGM Tally'!T:V,3,FALSE)</f>
        <v>0</v>
      </c>
      <c r="D92" s="1">
        <f>VLOOKUP(A92,'[1]MGM NS'!R:S,2,FALSE)</f>
        <v>0</v>
      </c>
      <c r="E92" s="1" t="b">
        <f t="shared" si="1"/>
        <v>1</v>
      </c>
    </row>
    <row r="93" spans="1:5">
      <c r="A93" s="1" t="s">
        <v>98</v>
      </c>
      <c r="B93" s="1" t="s">
        <v>256</v>
      </c>
      <c r="C93" s="1">
        <f>VLOOKUP(A93,'[1]MGM Tally'!T:V,3,FALSE)</f>
        <v>0</v>
      </c>
      <c r="D93" s="1">
        <f>VLOOKUP(A93,'[1]MGM NS'!R:S,2,FALSE)</f>
        <v>0</v>
      </c>
      <c r="E93" s="1" t="b">
        <f t="shared" si="1"/>
        <v>1</v>
      </c>
    </row>
    <row r="94" spans="1:5">
      <c r="A94" s="1" t="s">
        <v>99</v>
      </c>
      <c r="B94" s="1" t="s">
        <v>256</v>
      </c>
      <c r="C94" s="1">
        <f>VLOOKUP(A94,'[1]MGM Tally'!T:V,3,FALSE)</f>
        <v>0</v>
      </c>
      <c r="D94" s="1">
        <f>VLOOKUP(A94,'[1]MGM NS'!R:S,2,FALSE)</f>
        <v>0</v>
      </c>
      <c r="E94" s="1" t="b">
        <f t="shared" si="1"/>
        <v>1</v>
      </c>
    </row>
    <row r="95" spans="1:5">
      <c r="A95" s="1" t="s">
        <v>100</v>
      </c>
      <c r="B95" s="1" t="s">
        <v>256</v>
      </c>
      <c r="C95" s="1">
        <f>VLOOKUP(A95,'[1]MGM Tally'!T:V,3,FALSE)</f>
        <v>0</v>
      </c>
      <c r="D95" s="1">
        <f>VLOOKUP(A95,'[1]MGM NS'!R:S,2,FALSE)</f>
        <v>0</v>
      </c>
      <c r="E95" s="1" t="b">
        <f t="shared" si="1"/>
        <v>1</v>
      </c>
    </row>
    <row r="96" spans="1:5">
      <c r="A96" s="1" t="s">
        <v>101</v>
      </c>
      <c r="B96" s="1" t="s">
        <v>256</v>
      </c>
      <c r="C96" s="1">
        <f>VLOOKUP(A96,'[1]MGM Tally'!T:V,3,FALSE)</f>
        <v>0</v>
      </c>
      <c r="D96" s="1">
        <f>VLOOKUP(A96,'[1]MGM NS'!R:S,2,FALSE)</f>
        <v>0</v>
      </c>
      <c r="E96" s="1" t="b">
        <f t="shared" si="1"/>
        <v>1</v>
      </c>
    </row>
    <row r="97" spans="1:5">
      <c r="A97" s="1" t="s">
        <v>102</v>
      </c>
      <c r="B97" s="1" t="s">
        <v>256</v>
      </c>
      <c r="C97" s="1">
        <f>VLOOKUP(A97,'[1]MGM Tally'!T:V,3,FALSE)</f>
        <v>0</v>
      </c>
      <c r="D97" s="1">
        <f>VLOOKUP(A97,'[1]MGM NS'!R:S,2,FALSE)</f>
        <v>0</v>
      </c>
      <c r="E97" s="1" t="b">
        <f t="shared" si="1"/>
        <v>1</v>
      </c>
    </row>
    <row r="98" spans="1:5">
      <c r="A98" s="1" t="s">
        <v>103</v>
      </c>
      <c r="B98" s="1" t="s">
        <v>256</v>
      </c>
      <c r="C98" s="1">
        <f>VLOOKUP(A98,'[1]MGM Tally'!T:V,3,FALSE)</f>
        <v>0</v>
      </c>
      <c r="D98" s="1">
        <f>VLOOKUP(A98,'[1]MGM NS'!R:S,2,FALSE)</f>
        <v>0</v>
      </c>
      <c r="E98" s="1" t="b">
        <f t="shared" si="1"/>
        <v>1</v>
      </c>
    </row>
    <row r="99" spans="1:5">
      <c r="A99" s="1" t="s">
        <v>104</v>
      </c>
      <c r="B99" s="1" t="s">
        <v>256</v>
      </c>
      <c r="C99" s="1">
        <f>VLOOKUP(A99,'[1]MGM Tally'!T:V,3,FALSE)</f>
        <v>0</v>
      </c>
      <c r="D99" s="1">
        <f>VLOOKUP(A99,'[1]MGM NS'!R:S,2,FALSE)</f>
        <v>0</v>
      </c>
      <c r="E99" s="1" t="b">
        <f t="shared" si="1"/>
        <v>1</v>
      </c>
    </row>
    <row r="100" spans="1:5">
      <c r="A100" s="1" t="s">
        <v>105</v>
      </c>
      <c r="B100" s="1" t="s">
        <v>256</v>
      </c>
      <c r="C100" s="1">
        <f>VLOOKUP(A100,'[1]MGM Tally'!T:V,3,FALSE)</f>
        <v>-89000</v>
      </c>
      <c r="D100" s="1">
        <f>VLOOKUP(A100,'[1]MGM NS'!R:S,2,FALSE)</f>
        <v>-89000</v>
      </c>
      <c r="E100" s="1" t="b">
        <f t="shared" si="1"/>
        <v>1</v>
      </c>
    </row>
    <row r="101" spans="1:5">
      <c r="A101" s="1" t="s">
        <v>106</v>
      </c>
      <c r="B101" s="1" t="s">
        <v>256</v>
      </c>
      <c r="C101" s="1">
        <f>VLOOKUP(A101,'[1]MGM Tally'!T:V,3,FALSE)</f>
        <v>0</v>
      </c>
      <c r="D101" s="1">
        <f>VLOOKUP(A101,'[1]MGM NS'!R:S,2,FALSE)</f>
        <v>0</v>
      </c>
      <c r="E101" s="1" t="b">
        <f t="shared" si="1"/>
        <v>1</v>
      </c>
    </row>
    <row r="102" spans="1:5">
      <c r="A102" s="1" t="s">
        <v>107</v>
      </c>
      <c r="B102" s="1" t="s">
        <v>256</v>
      </c>
      <c r="C102" s="1">
        <f>VLOOKUP(A102,'[1]MGM Tally'!T:V,3,FALSE)</f>
        <v>0</v>
      </c>
      <c r="D102" s="1">
        <f>VLOOKUP(A102,'[1]MGM NS'!R:S,2,FALSE)</f>
        <v>0</v>
      </c>
      <c r="E102" s="1" t="b">
        <f t="shared" si="1"/>
        <v>1</v>
      </c>
    </row>
    <row r="103" spans="1:5">
      <c r="A103" s="1" t="s">
        <v>108</v>
      </c>
      <c r="B103" s="1" t="s">
        <v>256</v>
      </c>
      <c r="C103" s="1">
        <f>VLOOKUP(A103,'[1]MGM Tally'!T:V,3,FALSE)</f>
        <v>0</v>
      </c>
      <c r="D103" s="1">
        <f>VLOOKUP(A103,'[1]MGM NS'!R:S,2,FALSE)</f>
        <v>0</v>
      </c>
      <c r="E103" s="1" t="b">
        <f t="shared" si="1"/>
        <v>1</v>
      </c>
    </row>
    <row r="104" spans="1:5">
      <c r="A104" s="1" t="s">
        <v>109</v>
      </c>
      <c r="B104" s="1" t="s">
        <v>256</v>
      </c>
      <c r="C104" s="1">
        <f>VLOOKUP(A104,'[1]MGM Tally'!T:V,3,FALSE)</f>
        <v>0</v>
      </c>
      <c r="D104" s="1">
        <f>VLOOKUP(A104,'[1]MGM NS'!R:S,2,FALSE)</f>
        <v>0</v>
      </c>
      <c r="E104" s="1" t="b">
        <f t="shared" si="1"/>
        <v>1</v>
      </c>
    </row>
    <row r="105" spans="1:5">
      <c r="A105" s="1" t="s">
        <v>110</v>
      </c>
      <c r="B105" s="1" t="s">
        <v>256</v>
      </c>
      <c r="C105" s="1">
        <f>VLOOKUP(A105,'[1]MGM Tally'!T:V,3,FALSE)</f>
        <v>0</v>
      </c>
      <c r="D105" s="1">
        <f>VLOOKUP(A105,'[1]MGM NS'!R:S,2,FALSE)</f>
        <v>0</v>
      </c>
      <c r="E105" s="1" t="b">
        <f t="shared" si="1"/>
        <v>1</v>
      </c>
    </row>
    <row r="106" spans="1:5">
      <c r="A106" s="1" t="s">
        <v>111</v>
      </c>
      <c r="B106" s="1" t="s">
        <v>256</v>
      </c>
      <c r="C106" s="1">
        <f>VLOOKUP(A106,'[1]MGM Tally'!T:V,3,FALSE)</f>
        <v>0</v>
      </c>
      <c r="D106" s="1">
        <f>VLOOKUP(A106,'[1]MGM NS'!R:S,2,FALSE)</f>
        <v>0</v>
      </c>
      <c r="E106" s="1" t="b">
        <f t="shared" si="1"/>
        <v>1</v>
      </c>
    </row>
    <row r="107" spans="1:5">
      <c r="A107" s="1" t="s">
        <v>112</v>
      </c>
      <c r="B107" s="1" t="s">
        <v>256</v>
      </c>
      <c r="C107" s="1">
        <f>VLOOKUP(A107,'[1]MGM Tally'!T:V,3,FALSE)</f>
        <v>0</v>
      </c>
      <c r="D107" s="1">
        <f>VLOOKUP(A107,'[1]MGM NS'!R:S,2,FALSE)</f>
        <v>0</v>
      </c>
      <c r="E107" s="1" t="b">
        <f t="shared" si="1"/>
        <v>1</v>
      </c>
    </row>
    <row r="108" spans="1:5">
      <c r="A108" s="1" t="s">
        <v>113</v>
      </c>
      <c r="B108" s="1" t="s">
        <v>256</v>
      </c>
      <c r="C108" s="1">
        <f>VLOOKUP(A108,'[1]MGM Tally'!T:V,3,FALSE)</f>
        <v>0</v>
      </c>
      <c r="D108" s="1">
        <f>VLOOKUP(A108,'[1]MGM NS'!R:S,2,FALSE)</f>
        <v>0</v>
      </c>
      <c r="E108" s="1" t="b">
        <f t="shared" si="1"/>
        <v>1</v>
      </c>
    </row>
    <row r="109" spans="1:5">
      <c r="A109" s="1" t="s">
        <v>114</v>
      </c>
      <c r="B109" s="1" t="s">
        <v>256</v>
      </c>
      <c r="C109" s="1">
        <f>VLOOKUP(A109,'[1]MGM Tally'!T:V,3,FALSE)</f>
        <v>0</v>
      </c>
      <c r="D109" s="1">
        <f>VLOOKUP(A109,'[1]MGM NS'!R:S,2,FALSE)</f>
        <v>0</v>
      </c>
      <c r="E109" s="1" t="b">
        <f t="shared" si="1"/>
        <v>1</v>
      </c>
    </row>
    <row r="110" spans="1:5">
      <c r="A110" s="1" t="s">
        <v>115</v>
      </c>
      <c r="B110" s="1" t="s">
        <v>256</v>
      </c>
      <c r="C110" s="1">
        <f>VLOOKUP(A110,'[1]MGM Tally'!T:V,3,FALSE)</f>
        <v>0</v>
      </c>
      <c r="D110" s="1">
        <f>VLOOKUP(A110,'[1]MGM NS'!R:S,2,FALSE)</f>
        <v>0</v>
      </c>
      <c r="E110" s="1" t="b">
        <f t="shared" si="1"/>
        <v>1</v>
      </c>
    </row>
    <row r="111" spans="1:5">
      <c r="A111" s="1" t="s">
        <v>116</v>
      </c>
      <c r="B111" s="1" t="s">
        <v>256</v>
      </c>
      <c r="C111" s="1">
        <f>VLOOKUP(A111,'[1]MGM Tally'!T:V,3,FALSE)</f>
        <v>0</v>
      </c>
      <c r="D111" s="1">
        <f>VLOOKUP(A111,'[1]MGM NS'!R:S,2,FALSE)</f>
        <v>0</v>
      </c>
      <c r="E111" s="1" t="b">
        <f t="shared" si="1"/>
        <v>1</v>
      </c>
    </row>
    <row r="112" spans="1:5">
      <c r="A112" s="1" t="s">
        <v>117</v>
      </c>
      <c r="B112" s="1" t="s">
        <v>256</v>
      </c>
      <c r="C112" s="1">
        <f>VLOOKUP(A112,'[1]MGM Tally'!T:V,3,FALSE)</f>
        <v>0</v>
      </c>
      <c r="D112" s="1">
        <f>VLOOKUP(A112,'[1]MGM NS'!R:S,2,FALSE)</f>
        <v>0</v>
      </c>
      <c r="E112" s="1" t="b">
        <f t="shared" si="1"/>
        <v>1</v>
      </c>
    </row>
    <row r="113" spans="1:5">
      <c r="A113" s="1" t="s">
        <v>118</v>
      </c>
      <c r="B113" s="1" t="s">
        <v>256</v>
      </c>
      <c r="C113" s="1">
        <f>VLOOKUP(A113,'[1]MGM Tally'!T:V,3,FALSE)</f>
        <v>0</v>
      </c>
      <c r="D113" s="1">
        <f>VLOOKUP(A113,'[1]MGM NS'!R:S,2,FALSE)</f>
        <v>0</v>
      </c>
      <c r="E113" s="1" t="b">
        <f t="shared" si="1"/>
        <v>1</v>
      </c>
    </row>
    <row r="114" spans="1:5">
      <c r="A114" s="1" t="s">
        <v>119</v>
      </c>
      <c r="B114" s="1" t="s">
        <v>256</v>
      </c>
      <c r="C114" s="1">
        <f>VLOOKUP(A114,'[1]MGM Tally'!T:V,3,FALSE)</f>
        <v>0</v>
      </c>
      <c r="D114" s="1">
        <f>VLOOKUP(A114,'[1]MGM NS'!R:S,2,FALSE)</f>
        <v>0</v>
      </c>
      <c r="E114" s="1" t="b">
        <f t="shared" si="1"/>
        <v>1</v>
      </c>
    </row>
    <row r="115" spans="1:5">
      <c r="A115" s="1" t="s">
        <v>120</v>
      </c>
      <c r="B115" s="1" t="s">
        <v>256</v>
      </c>
      <c r="C115" s="1">
        <f>VLOOKUP(A115,'[1]MGM Tally'!T:V,3,FALSE)</f>
        <v>0</v>
      </c>
      <c r="D115" s="1">
        <f>VLOOKUP(A115,'[1]MGM NS'!R:S,2,FALSE)</f>
        <v>0</v>
      </c>
      <c r="E115" s="1" t="b">
        <f t="shared" si="1"/>
        <v>1</v>
      </c>
    </row>
    <row r="116" spans="1:5">
      <c r="A116" s="1" t="s">
        <v>121</v>
      </c>
      <c r="B116" s="1" t="s">
        <v>256</v>
      </c>
      <c r="C116" s="1">
        <f>VLOOKUP(A116,'[1]MGM Tally'!T:V,3,FALSE)</f>
        <v>0</v>
      </c>
      <c r="D116" s="1">
        <f>VLOOKUP(A116,'[1]MGM NS'!R:S,2,FALSE)</f>
        <v>0</v>
      </c>
      <c r="E116" s="1" t="b">
        <f t="shared" si="1"/>
        <v>1</v>
      </c>
    </row>
    <row r="117" spans="1:5">
      <c r="A117" s="1" t="s">
        <v>122</v>
      </c>
      <c r="B117" s="1" t="s">
        <v>256</v>
      </c>
      <c r="C117" s="1">
        <f>VLOOKUP(A117,'[1]MGM Tally'!T:V,3,FALSE)</f>
        <v>0</v>
      </c>
      <c r="D117" s="1">
        <f>VLOOKUP(A117,'[1]MGM NS'!R:S,2,FALSE)</f>
        <v>0</v>
      </c>
      <c r="E117" s="1" t="b">
        <f t="shared" si="1"/>
        <v>1</v>
      </c>
    </row>
    <row r="118" spans="1:5">
      <c r="A118" s="1" t="s">
        <v>123</v>
      </c>
      <c r="B118" s="1" t="s">
        <v>256</v>
      </c>
      <c r="C118" s="1">
        <f>VLOOKUP(A118,'[1]MGM Tally'!T:V,3,FALSE)</f>
        <v>0</v>
      </c>
      <c r="D118" s="1">
        <f>VLOOKUP(A118,'[1]MGM NS'!R:S,2,FALSE)</f>
        <v>0</v>
      </c>
      <c r="E118" s="1" t="b">
        <f t="shared" si="1"/>
        <v>1</v>
      </c>
    </row>
    <row r="119" spans="1:5">
      <c r="A119" s="1" t="s">
        <v>124</v>
      </c>
      <c r="B119" s="1" t="s">
        <v>256</v>
      </c>
      <c r="C119" s="1">
        <f>VLOOKUP(A119,'[1]MGM Tally'!T:V,3,FALSE)</f>
        <v>0</v>
      </c>
      <c r="D119" s="1">
        <f>VLOOKUP(A119,'[1]MGM NS'!R:S,2,FALSE)</f>
        <v>0</v>
      </c>
      <c r="E119" s="1" t="b">
        <f t="shared" si="1"/>
        <v>1</v>
      </c>
    </row>
    <row r="120" spans="1:5">
      <c r="A120" s="1" t="s">
        <v>125</v>
      </c>
      <c r="B120" s="1" t="s">
        <v>256</v>
      </c>
      <c r="C120" s="1">
        <f>VLOOKUP(A120,'[1]MGM Tally'!T:V,3,FALSE)</f>
        <v>0</v>
      </c>
      <c r="D120" s="1">
        <f>VLOOKUP(A120,'[1]MGM NS'!R:S,2,FALSE)</f>
        <v>0</v>
      </c>
      <c r="E120" s="1" t="b">
        <f t="shared" si="1"/>
        <v>1</v>
      </c>
    </row>
    <row r="121" spans="1:5">
      <c r="A121" s="1" t="s">
        <v>126</v>
      </c>
      <c r="B121" s="1" t="s">
        <v>256</v>
      </c>
      <c r="C121" s="1">
        <f>VLOOKUP(A121,'[1]MGM Tally'!T:V,3,FALSE)</f>
        <v>0</v>
      </c>
      <c r="D121" s="1">
        <f>VLOOKUP(A121,'[1]MGM NS'!R:S,2,FALSE)</f>
        <v>0</v>
      </c>
      <c r="E121" s="1" t="b">
        <f t="shared" si="1"/>
        <v>1</v>
      </c>
    </row>
    <row r="122" spans="1:5">
      <c r="A122" s="1" t="s">
        <v>127</v>
      </c>
      <c r="B122" s="1" t="s">
        <v>256</v>
      </c>
      <c r="C122" s="1">
        <f>VLOOKUP(A122,'[1]MGM Tally'!T:V,3,FALSE)</f>
        <v>-11315</v>
      </c>
      <c r="D122" s="1">
        <f>VLOOKUP(A122,'[1]MGM NS'!R:S,2,FALSE)</f>
        <v>-11315</v>
      </c>
      <c r="E122" s="1" t="b">
        <f t="shared" si="1"/>
        <v>1</v>
      </c>
    </row>
    <row r="123" spans="1:5">
      <c r="A123" s="1" t="s">
        <v>128</v>
      </c>
      <c r="B123" s="1" t="s">
        <v>256</v>
      </c>
      <c r="C123" s="1">
        <f>VLOOKUP(A123,'[1]MGM Tally'!T:V,3,FALSE)</f>
        <v>0</v>
      </c>
      <c r="D123" s="1">
        <f>VLOOKUP(A123,'[1]MGM NS'!R:S,2,FALSE)</f>
        <v>0</v>
      </c>
      <c r="E123" s="1" t="b">
        <f t="shared" si="1"/>
        <v>1</v>
      </c>
    </row>
    <row r="124" spans="1:5">
      <c r="A124" s="1" t="s">
        <v>129</v>
      </c>
      <c r="B124" s="1" t="s">
        <v>256</v>
      </c>
      <c r="C124" s="1">
        <f>VLOOKUP(A124,'[1]MGM Tally'!T:V,3,FALSE)</f>
        <v>0</v>
      </c>
      <c r="D124" s="1">
        <f>VLOOKUP(A124,'[1]MGM NS'!R:S,2,FALSE)</f>
        <v>0</v>
      </c>
      <c r="E124" s="1" t="b">
        <f t="shared" si="1"/>
        <v>1</v>
      </c>
    </row>
    <row r="125" spans="1:5">
      <c r="A125" s="1" t="s">
        <v>130</v>
      </c>
      <c r="B125" s="1" t="s">
        <v>256</v>
      </c>
      <c r="C125" s="1">
        <f>VLOOKUP(A125,'[1]MGM Tally'!T:V,3,FALSE)</f>
        <v>0</v>
      </c>
      <c r="D125" s="1">
        <f>VLOOKUP(A125,'[1]MGM NS'!R:S,2,FALSE)</f>
        <v>0</v>
      </c>
      <c r="E125" s="1" t="b">
        <f t="shared" si="1"/>
        <v>1</v>
      </c>
    </row>
    <row r="126" spans="1:5">
      <c r="A126" s="1" t="s">
        <v>131</v>
      </c>
      <c r="B126" s="1" t="s">
        <v>256</v>
      </c>
      <c r="C126" s="1">
        <f>VLOOKUP(A126,'[1]MGM Tally'!T:V,3,FALSE)</f>
        <v>0</v>
      </c>
      <c r="D126" s="1">
        <f>VLOOKUP(A126,'[1]MGM NS'!R:S,2,FALSE)</f>
        <v>0</v>
      </c>
      <c r="E126" s="1" t="b">
        <f t="shared" si="1"/>
        <v>1</v>
      </c>
    </row>
    <row r="127" spans="1:5">
      <c r="A127" s="1" t="s">
        <v>132</v>
      </c>
      <c r="B127" s="1" t="s">
        <v>256</v>
      </c>
      <c r="C127" s="1">
        <f>VLOOKUP(A127,'[1]MGM Tally'!T:V,3,FALSE)</f>
        <v>-6500</v>
      </c>
      <c r="D127" s="1">
        <f>VLOOKUP(A127,'[1]MGM NS'!R:S,2,FALSE)</f>
        <v>-6500</v>
      </c>
      <c r="E127" s="1" t="b">
        <f t="shared" si="1"/>
        <v>1</v>
      </c>
    </row>
    <row r="128" spans="1:5">
      <c r="A128" s="1" t="s">
        <v>133</v>
      </c>
      <c r="B128" s="1" t="s">
        <v>256</v>
      </c>
      <c r="C128" s="1">
        <f>VLOOKUP(A128,'[1]MGM Tally'!T:V,3,FALSE)</f>
        <v>0</v>
      </c>
      <c r="D128" s="1">
        <f>VLOOKUP(A128,'[1]MGM NS'!R:S,2,FALSE)</f>
        <v>0</v>
      </c>
      <c r="E128" s="1" t="b">
        <f t="shared" si="1"/>
        <v>1</v>
      </c>
    </row>
    <row r="129" spans="1:5">
      <c r="A129" s="1" t="s">
        <v>134</v>
      </c>
      <c r="B129" s="1" t="s">
        <v>256</v>
      </c>
      <c r="C129" s="1">
        <f>VLOOKUP(A129,'[1]MGM Tally'!T:V,3,FALSE)</f>
        <v>0</v>
      </c>
      <c r="D129" s="1">
        <f>VLOOKUP(A129,'[1]MGM NS'!R:S,2,FALSE)</f>
        <v>0</v>
      </c>
      <c r="E129" s="1" t="b">
        <f t="shared" si="1"/>
        <v>1</v>
      </c>
    </row>
    <row r="130" spans="1:5">
      <c r="A130" s="1" t="s">
        <v>135</v>
      </c>
      <c r="B130" s="1" t="s">
        <v>256</v>
      </c>
      <c r="C130" s="1">
        <f>VLOOKUP(A130,'[1]MGM Tally'!T:V,3,FALSE)</f>
        <v>0</v>
      </c>
      <c r="D130" s="1">
        <f>VLOOKUP(A130,'[1]MGM NS'!R:S,2,FALSE)</f>
        <v>0</v>
      </c>
      <c r="E130" s="1" t="b">
        <f t="shared" ref="E130:E193" si="2">IF(ABS(C130)=ABS(D130),TRUE,FALSE)</f>
        <v>1</v>
      </c>
    </row>
    <row r="131" spans="1:5">
      <c r="A131" s="1" t="s">
        <v>136</v>
      </c>
      <c r="B131" s="1" t="s">
        <v>256</v>
      </c>
      <c r="C131" s="1">
        <f>VLOOKUP(A131,'[1]MGM Tally'!T:V,3,FALSE)</f>
        <v>0</v>
      </c>
      <c r="D131" s="1">
        <f>VLOOKUP(A131,'[1]MGM NS'!R:S,2,FALSE)</f>
        <v>0</v>
      </c>
      <c r="E131" s="1" t="b">
        <f t="shared" si="2"/>
        <v>1</v>
      </c>
    </row>
    <row r="132" spans="1:5">
      <c r="A132" s="1" t="s">
        <v>137</v>
      </c>
      <c r="B132" s="1" t="s">
        <v>256</v>
      </c>
      <c r="C132" s="1">
        <f>VLOOKUP(A132,'[1]MGM Tally'!T:V,3,FALSE)</f>
        <v>0</v>
      </c>
      <c r="D132" s="1">
        <f>VLOOKUP(A132,'[1]MGM NS'!R:S,2,FALSE)</f>
        <v>0</v>
      </c>
      <c r="E132" s="1" t="b">
        <f t="shared" si="2"/>
        <v>1</v>
      </c>
    </row>
    <row r="133" spans="1:5">
      <c r="A133" s="1" t="s">
        <v>138</v>
      </c>
      <c r="B133" s="1" t="s">
        <v>256</v>
      </c>
      <c r="C133" s="1">
        <f>VLOOKUP(A133,'[1]MGM Tally'!T:V,3,FALSE)</f>
        <v>0</v>
      </c>
      <c r="D133" s="1">
        <f>VLOOKUP(A133,'[1]MGM NS'!R:S,2,FALSE)</f>
        <v>0</v>
      </c>
      <c r="E133" s="1" t="b">
        <f t="shared" si="2"/>
        <v>1</v>
      </c>
    </row>
    <row r="134" spans="1:5">
      <c r="A134" s="1" t="s">
        <v>139</v>
      </c>
      <c r="B134" s="1" t="s">
        <v>256</v>
      </c>
      <c r="C134" s="1">
        <f>VLOOKUP(A134,'[1]MGM Tally'!T:V,3,FALSE)</f>
        <v>0</v>
      </c>
      <c r="D134" s="1">
        <f>VLOOKUP(A134,'[1]MGM NS'!R:S,2,FALSE)</f>
        <v>0</v>
      </c>
      <c r="E134" s="1" t="b">
        <f t="shared" si="2"/>
        <v>1</v>
      </c>
    </row>
    <row r="135" spans="1:5">
      <c r="A135" s="1" t="s">
        <v>140</v>
      </c>
      <c r="B135" s="1" t="s">
        <v>256</v>
      </c>
      <c r="C135" s="1">
        <f>VLOOKUP(A135,'[1]MGM Tally'!T:V,3,FALSE)</f>
        <v>0</v>
      </c>
      <c r="D135" s="1">
        <f>VLOOKUP(A135,'[1]MGM NS'!R:S,2,FALSE)</f>
        <v>0</v>
      </c>
      <c r="E135" s="1" t="b">
        <f t="shared" si="2"/>
        <v>1</v>
      </c>
    </row>
    <row r="136" spans="1:5">
      <c r="A136" s="1" t="s">
        <v>141</v>
      </c>
      <c r="B136" s="1" t="s">
        <v>256</v>
      </c>
      <c r="C136" s="1">
        <f>VLOOKUP(A136,'[1]MGM Tally'!T:V,3,FALSE)</f>
        <v>0</v>
      </c>
      <c r="D136" s="1">
        <f>VLOOKUP(A136,'[1]MGM NS'!R:S,2,FALSE)</f>
        <v>0</v>
      </c>
      <c r="E136" s="1" t="b">
        <f t="shared" si="2"/>
        <v>1</v>
      </c>
    </row>
    <row r="137" spans="1:5">
      <c r="A137" s="1" t="s">
        <v>142</v>
      </c>
      <c r="B137" s="1" t="s">
        <v>256</v>
      </c>
      <c r="C137" s="1">
        <f>VLOOKUP(A137,'[1]MGM Tally'!T:V,3,FALSE)</f>
        <v>0</v>
      </c>
      <c r="D137" s="1">
        <f>VLOOKUP(A137,'[1]MGM NS'!R:S,2,FALSE)</f>
        <v>0</v>
      </c>
      <c r="E137" s="1" t="b">
        <f t="shared" si="2"/>
        <v>1</v>
      </c>
    </row>
    <row r="138" spans="1:5">
      <c r="A138" s="1" t="s">
        <v>143</v>
      </c>
      <c r="B138" s="1" t="s">
        <v>256</v>
      </c>
      <c r="C138" s="1">
        <f>VLOOKUP(A138,'[1]MGM Tally'!T:V,3,FALSE)</f>
        <v>0</v>
      </c>
      <c r="D138" s="1">
        <f>VLOOKUP(A138,'[1]MGM NS'!R:S,2,FALSE)</f>
        <v>0</v>
      </c>
      <c r="E138" s="1" t="b">
        <f t="shared" si="2"/>
        <v>1</v>
      </c>
    </row>
    <row r="139" spans="1:5">
      <c r="A139" s="1" t="s">
        <v>144</v>
      </c>
      <c r="B139" s="1" t="s">
        <v>256</v>
      </c>
      <c r="C139" s="1">
        <f>VLOOKUP(A139,'[1]MGM Tally'!T:V,3,FALSE)</f>
        <v>0</v>
      </c>
      <c r="D139" s="1">
        <f>VLOOKUP(A139,'[1]MGM NS'!R:S,2,FALSE)</f>
        <v>0</v>
      </c>
      <c r="E139" s="1" t="b">
        <f t="shared" si="2"/>
        <v>1</v>
      </c>
    </row>
    <row r="140" spans="1:5">
      <c r="A140" s="1" t="s">
        <v>145</v>
      </c>
      <c r="B140" s="1" t="s">
        <v>256</v>
      </c>
      <c r="C140" s="1">
        <f>VLOOKUP(A140,'[1]MGM Tally'!T:V,3,FALSE)</f>
        <v>0</v>
      </c>
      <c r="D140" s="1">
        <f>VLOOKUP(A140,'[1]MGM NS'!R:S,2,FALSE)</f>
        <v>0</v>
      </c>
      <c r="E140" s="1" t="b">
        <f t="shared" si="2"/>
        <v>1</v>
      </c>
    </row>
    <row r="141" spans="1:5">
      <c r="A141" s="1" t="s">
        <v>146</v>
      </c>
      <c r="B141" s="1" t="s">
        <v>256</v>
      </c>
      <c r="C141" s="1">
        <f>VLOOKUP(A141,'[1]MGM Tally'!T:V,3,FALSE)</f>
        <v>0</v>
      </c>
      <c r="D141" s="1">
        <f>VLOOKUP(A141,'[1]MGM NS'!R:S,2,FALSE)</f>
        <v>0</v>
      </c>
      <c r="E141" s="1" t="b">
        <f t="shared" si="2"/>
        <v>1</v>
      </c>
    </row>
    <row r="142" spans="1:5">
      <c r="A142" s="1" t="s">
        <v>147</v>
      </c>
      <c r="B142" s="1" t="s">
        <v>256</v>
      </c>
      <c r="C142" s="1">
        <f>VLOOKUP(A142,'[1]MGM Tally'!T:V,3,FALSE)</f>
        <v>0</v>
      </c>
      <c r="D142" s="1">
        <f>VLOOKUP(A142,'[1]MGM NS'!R:S,2,FALSE)</f>
        <v>0</v>
      </c>
      <c r="E142" s="1" t="b">
        <f t="shared" si="2"/>
        <v>1</v>
      </c>
    </row>
    <row r="143" spans="1:5">
      <c r="A143" s="1" t="s">
        <v>148</v>
      </c>
      <c r="B143" s="1" t="s">
        <v>256</v>
      </c>
      <c r="C143" s="1">
        <f>VLOOKUP(A143,'[1]MGM Tally'!T:V,3,FALSE)</f>
        <v>0</v>
      </c>
      <c r="D143" s="1">
        <f>VLOOKUP(A143,'[1]MGM NS'!R:S,2,FALSE)</f>
        <v>0</v>
      </c>
      <c r="E143" s="1" t="b">
        <f t="shared" si="2"/>
        <v>1</v>
      </c>
    </row>
    <row r="144" spans="1:5">
      <c r="A144" s="1" t="s">
        <v>149</v>
      </c>
      <c r="B144" s="1" t="s">
        <v>256</v>
      </c>
      <c r="C144" s="1">
        <f>VLOOKUP(A144,'[1]MGM Tally'!T:V,3,FALSE)</f>
        <v>0</v>
      </c>
      <c r="D144" s="1">
        <f>VLOOKUP(A144,'[1]MGM NS'!R:S,2,FALSE)</f>
        <v>0</v>
      </c>
      <c r="E144" s="1" t="b">
        <f t="shared" si="2"/>
        <v>1</v>
      </c>
    </row>
    <row r="145" spans="1:5">
      <c r="A145" s="1" t="s">
        <v>150</v>
      </c>
      <c r="B145" s="1" t="s">
        <v>256</v>
      </c>
      <c r="C145" s="1">
        <f>VLOOKUP(A145,'[1]MGM Tally'!T:V,3,FALSE)</f>
        <v>0</v>
      </c>
      <c r="D145" s="1">
        <f>VLOOKUP(A145,'[1]MGM NS'!R:S,2,FALSE)</f>
        <v>0</v>
      </c>
      <c r="E145" s="1" t="b">
        <f t="shared" si="2"/>
        <v>1</v>
      </c>
    </row>
    <row r="146" spans="1:5">
      <c r="A146" s="1" t="s">
        <v>151</v>
      </c>
      <c r="B146" s="1" t="s">
        <v>256</v>
      </c>
      <c r="C146" s="1">
        <f>VLOOKUP(A146,'[1]MGM Tally'!T:V,3,FALSE)</f>
        <v>0</v>
      </c>
      <c r="D146" s="1">
        <f>VLOOKUP(A146,'[1]MGM NS'!R:S,2,FALSE)</f>
        <v>0</v>
      </c>
      <c r="E146" s="1" t="b">
        <f t="shared" si="2"/>
        <v>1</v>
      </c>
    </row>
    <row r="147" spans="1:5">
      <c r="A147" s="1" t="s">
        <v>152</v>
      </c>
      <c r="B147" s="1" t="s">
        <v>256</v>
      </c>
      <c r="C147" s="1">
        <f>VLOOKUP(A147,'[1]MGM Tally'!T:V,3,FALSE)</f>
        <v>0</v>
      </c>
      <c r="D147" s="1">
        <f>VLOOKUP(A147,'[1]MGM NS'!R:S,2,FALSE)</f>
        <v>0</v>
      </c>
      <c r="E147" s="1" t="b">
        <f t="shared" si="2"/>
        <v>1</v>
      </c>
    </row>
    <row r="148" spans="1:5">
      <c r="A148" s="1" t="s">
        <v>153</v>
      </c>
      <c r="B148" s="1" t="s">
        <v>256</v>
      </c>
      <c r="C148" s="1">
        <f>VLOOKUP(A148,'[1]MGM Tally'!T:V,3,FALSE)</f>
        <v>0</v>
      </c>
      <c r="D148" s="1">
        <f>VLOOKUP(A148,'[1]MGM NS'!R:S,2,FALSE)</f>
        <v>0</v>
      </c>
      <c r="E148" s="1" t="b">
        <f t="shared" si="2"/>
        <v>1</v>
      </c>
    </row>
    <row r="149" spans="1:5">
      <c r="A149" s="1" t="s">
        <v>154</v>
      </c>
      <c r="B149" s="1" t="s">
        <v>256</v>
      </c>
      <c r="C149" s="1">
        <f>VLOOKUP(A149,'[1]MGM Tally'!T:V,3,FALSE)</f>
        <v>0</v>
      </c>
      <c r="D149" s="1">
        <f>VLOOKUP(A149,'[1]MGM NS'!R:S,2,FALSE)</f>
        <v>0</v>
      </c>
      <c r="E149" s="1" t="b">
        <f t="shared" si="2"/>
        <v>1</v>
      </c>
    </row>
    <row r="150" spans="1:5">
      <c r="A150" s="1" t="s">
        <v>155</v>
      </c>
      <c r="B150" s="1" t="s">
        <v>256</v>
      </c>
      <c r="C150" s="1">
        <f>VLOOKUP(A150,'[1]MGM Tally'!T:V,3,FALSE)</f>
        <v>0</v>
      </c>
      <c r="D150" s="1">
        <f>VLOOKUP(A150,'[1]MGM NS'!R:S,2,FALSE)</f>
        <v>0</v>
      </c>
      <c r="E150" s="1" t="b">
        <f t="shared" si="2"/>
        <v>1</v>
      </c>
    </row>
    <row r="151" spans="1:5">
      <c r="A151" s="1" t="s">
        <v>156</v>
      </c>
      <c r="B151" s="1" t="s">
        <v>256</v>
      </c>
      <c r="C151" s="1">
        <f>VLOOKUP(A151,'[1]MGM Tally'!T:V,3,FALSE)</f>
        <v>0</v>
      </c>
      <c r="D151" s="1">
        <f>VLOOKUP(A151,'[1]MGM NS'!R:S,2,FALSE)</f>
        <v>0</v>
      </c>
      <c r="E151" s="1" t="b">
        <f t="shared" si="2"/>
        <v>1</v>
      </c>
    </row>
    <row r="152" spans="1:5">
      <c r="A152" s="1" t="s">
        <v>157</v>
      </c>
      <c r="B152" s="1" t="s">
        <v>256</v>
      </c>
      <c r="C152" s="1">
        <f>VLOOKUP(A152,'[1]MGM Tally'!T:V,3,FALSE)</f>
        <v>0</v>
      </c>
      <c r="D152" s="1">
        <f>VLOOKUP(A152,'[1]MGM NS'!R:S,2,FALSE)</f>
        <v>0</v>
      </c>
      <c r="E152" s="1" t="b">
        <f t="shared" si="2"/>
        <v>1</v>
      </c>
    </row>
    <row r="153" spans="1:5">
      <c r="A153" s="1" t="s">
        <v>158</v>
      </c>
      <c r="B153" s="1" t="s">
        <v>256</v>
      </c>
      <c r="C153" s="1">
        <f>VLOOKUP(A153,'[1]MGM Tally'!T:V,3,FALSE)</f>
        <v>0</v>
      </c>
      <c r="D153" s="1">
        <f>VLOOKUP(A153,'[1]MGM NS'!R:S,2,FALSE)</f>
        <v>0</v>
      </c>
      <c r="E153" s="1" t="b">
        <f t="shared" si="2"/>
        <v>1</v>
      </c>
    </row>
    <row r="154" spans="1:5">
      <c r="A154" s="1" t="s">
        <v>159</v>
      </c>
      <c r="B154" s="1" t="s">
        <v>256</v>
      </c>
      <c r="C154" s="1">
        <f>VLOOKUP(A154,'[1]MGM Tally'!T:V,3,FALSE)</f>
        <v>0</v>
      </c>
      <c r="D154" s="1">
        <f>VLOOKUP(A154,'[1]MGM NS'!R:S,2,FALSE)</f>
        <v>0</v>
      </c>
      <c r="E154" s="1" t="b">
        <f t="shared" si="2"/>
        <v>1</v>
      </c>
    </row>
    <row r="155" spans="1:5">
      <c r="A155" s="1" t="s">
        <v>160</v>
      </c>
      <c r="B155" s="1" t="s">
        <v>256</v>
      </c>
      <c r="C155" s="1">
        <f>VLOOKUP(A155,'[1]MGM Tally'!T:V,3,FALSE)</f>
        <v>0</v>
      </c>
      <c r="D155" s="1">
        <f>VLOOKUP(A155,'[1]MGM NS'!R:S,2,FALSE)</f>
        <v>0</v>
      </c>
      <c r="E155" s="1" t="b">
        <f t="shared" si="2"/>
        <v>1</v>
      </c>
    </row>
    <row r="156" spans="1:5">
      <c r="A156" s="1" t="s">
        <v>161</v>
      </c>
      <c r="B156" s="1" t="s">
        <v>256</v>
      </c>
      <c r="C156" s="1">
        <f>VLOOKUP(A156,'[1]MGM Tally'!T:V,3,FALSE)</f>
        <v>0</v>
      </c>
      <c r="D156" s="1">
        <f>VLOOKUP(A156,'[1]MGM NS'!R:S,2,FALSE)</f>
        <v>0</v>
      </c>
      <c r="E156" s="1" t="b">
        <f t="shared" si="2"/>
        <v>1</v>
      </c>
    </row>
    <row r="157" spans="1:5">
      <c r="A157" s="1" t="s">
        <v>162</v>
      </c>
      <c r="B157" s="1" t="s">
        <v>256</v>
      </c>
      <c r="C157" s="1">
        <f>VLOOKUP(A157,'[1]MGM Tally'!T:V,3,FALSE)</f>
        <v>0</v>
      </c>
      <c r="D157" s="1">
        <f>VLOOKUP(A157,'[1]MGM NS'!R:S,2,FALSE)</f>
        <v>0</v>
      </c>
      <c r="E157" s="1" t="b">
        <f t="shared" si="2"/>
        <v>1</v>
      </c>
    </row>
    <row r="158" spans="1:5">
      <c r="A158" s="1" t="s">
        <v>163</v>
      </c>
      <c r="B158" s="1" t="s">
        <v>256</v>
      </c>
      <c r="C158" s="1">
        <f>VLOOKUP(A158,'[1]MGM Tally'!T:V,3,FALSE)</f>
        <v>-126649</v>
      </c>
      <c r="D158" s="1">
        <f>VLOOKUP(A158,'[1]MGM NS'!R:S,2,FALSE)</f>
        <v>-126649</v>
      </c>
      <c r="E158" s="1" t="b">
        <f t="shared" si="2"/>
        <v>1</v>
      </c>
    </row>
    <row r="159" spans="1:5">
      <c r="A159" s="1" t="s">
        <v>164</v>
      </c>
      <c r="B159" s="1" t="s">
        <v>256</v>
      </c>
      <c r="C159" s="1">
        <f>VLOOKUP(A159,'[1]MGM Tally'!T:V,3,FALSE)</f>
        <v>0</v>
      </c>
      <c r="D159" s="1">
        <f>VLOOKUP(A159,'[1]MGM NS'!R:S,2,FALSE)</f>
        <v>0</v>
      </c>
      <c r="E159" s="1" t="b">
        <f t="shared" si="2"/>
        <v>1</v>
      </c>
    </row>
    <row r="160" spans="1:5">
      <c r="A160" s="1" t="s">
        <v>165</v>
      </c>
      <c r="B160" s="1" t="s">
        <v>256</v>
      </c>
      <c r="C160" s="1">
        <f>VLOOKUP(A160,'[1]MGM Tally'!T:V,3,FALSE)</f>
        <v>0</v>
      </c>
      <c r="D160" s="1">
        <f>VLOOKUP(A160,'[1]MGM NS'!R:S,2,FALSE)</f>
        <v>0</v>
      </c>
      <c r="E160" s="1" t="b">
        <f t="shared" si="2"/>
        <v>1</v>
      </c>
    </row>
    <row r="161" spans="1:5">
      <c r="A161" s="1" t="s">
        <v>166</v>
      </c>
      <c r="B161" s="1" t="s">
        <v>256</v>
      </c>
      <c r="C161" s="1">
        <f>VLOOKUP(A161,'[1]MGM Tally'!T:V,3,FALSE)</f>
        <v>0</v>
      </c>
      <c r="D161" s="1">
        <f>VLOOKUP(A161,'[1]MGM NS'!R:S,2,FALSE)</f>
        <v>0</v>
      </c>
      <c r="E161" s="1" t="b">
        <f t="shared" si="2"/>
        <v>1</v>
      </c>
    </row>
    <row r="162" spans="1:5">
      <c r="A162" s="1" t="s">
        <v>167</v>
      </c>
      <c r="B162" s="1" t="s">
        <v>256</v>
      </c>
      <c r="C162" s="1">
        <f>VLOOKUP(A162,'[1]MGM Tally'!T:V,3,FALSE)</f>
        <v>0</v>
      </c>
      <c r="D162" s="1">
        <f>VLOOKUP(A162,'[1]MGM NS'!R:S,2,FALSE)</f>
        <v>0</v>
      </c>
      <c r="E162" s="1" t="b">
        <f t="shared" si="2"/>
        <v>1</v>
      </c>
    </row>
    <row r="163" spans="1:5">
      <c r="A163" s="1" t="s">
        <v>168</v>
      </c>
      <c r="B163" s="1" t="s">
        <v>256</v>
      </c>
      <c r="C163" s="1">
        <f>VLOOKUP(A163,'[1]MGM Tally'!T:V,3,FALSE)</f>
        <v>0</v>
      </c>
      <c r="D163" s="1">
        <f>VLOOKUP(A163,'[1]MGM NS'!R:S,2,FALSE)</f>
        <v>0</v>
      </c>
      <c r="E163" s="1" t="b">
        <f t="shared" si="2"/>
        <v>1</v>
      </c>
    </row>
    <row r="164" spans="1:5">
      <c r="A164" s="1" t="s">
        <v>169</v>
      </c>
      <c r="B164" s="1" t="s">
        <v>256</v>
      </c>
      <c r="C164" s="1">
        <f>VLOOKUP(A164,'[1]MGM Tally'!T:V,3,FALSE)</f>
        <v>0</v>
      </c>
      <c r="D164" s="1">
        <f>VLOOKUP(A164,'[1]MGM NS'!R:S,2,FALSE)</f>
        <v>0</v>
      </c>
      <c r="E164" s="1" t="b">
        <f t="shared" si="2"/>
        <v>1</v>
      </c>
    </row>
    <row r="165" spans="1:5">
      <c r="A165" s="1" t="s">
        <v>170</v>
      </c>
      <c r="B165" s="1" t="s">
        <v>256</v>
      </c>
      <c r="C165" s="1">
        <f>VLOOKUP(A165,'[1]MGM Tally'!T:V,3,FALSE)</f>
        <v>0</v>
      </c>
      <c r="D165" s="1">
        <f>VLOOKUP(A165,'[1]MGM NS'!R:S,2,FALSE)</f>
        <v>0</v>
      </c>
      <c r="E165" s="1" t="b">
        <f t="shared" si="2"/>
        <v>1</v>
      </c>
    </row>
    <row r="166" spans="1:5">
      <c r="A166" s="1" t="s">
        <v>171</v>
      </c>
      <c r="B166" s="1" t="s">
        <v>256</v>
      </c>
      <c r="C166" s="1">
        <f>VLOOKUP(A166,'[1]MGM Tally'!T:V,3,FALSE)</f>
        <v>0</v>
      </c>
      <c r="D166" s="1">
        <f>VLOOKUP(A166,'[1]MGM NS'!R:S,2,FALSE)</f>
        <v>0</v>
      </c>
      <c r="E166" s="1" t="b">
        <f t="shared" si="2"/>
        <v>1</v>
      </c>
    </row>
    <row r="167" spans="1:5">
      <c r="A167" s="1" t="s">
        <v>172</v>
      </c>
      <c r="B167" s="1" t="s">
        <v>256</v>
      </c>
      <c r="C167" s="1">
        <f>VLOOKUP(A167,'[1]MGM Tally'!T:V,3,FALSE)</f>
        <v>0</v>
      </c>
      <c r="D167" s="1">
        <f>VLOOKUP(A167,'[1]MGM NS'!R:S,2,FALSE)</f>
        <v>0</v>
      </c>
      <c r="E167" s="1" t="b">
        <f t="shared" si="2"/>
        <v>1</v>
      </c>
    </row>
    <row r="168" spans="1:5">
      <c r="A168" s="1" t="s">
        <v>173</v>
      </c>
      <c r="B168" s="1" t="s">
        <v>256</v>
      </c>
      <c r="C168" s="1">
        <f>VLOOKUP(A168,'[1]MGM Tally'!T:V,3,FALSE)</f>
        <v>0</v>
      </c>
      <c r="D168" s="1">
        <f>VLOOKUP(A168,'[1]MGM NS'!R:S,2,FALSE)</f>
        <v>0</v>
      </c>
      <c r="E168" s="1" t="b">
        <f t="shared" si="2"/>
        <v>1</v>
      </c>
    </row>
    <row r="169" spans="1:5">
      <c r="A169" s="1" t="s">
        <v>174</v>
      </c>
      <c r="B169" s="1" t="s">
        <v>256</v>
      </c>
      <c r="C169" s="1">
        <f>VLOOKUP(A169,'[1]MGM Tally'!T:V,3,FALSE)</f>
        <v>0</v>
      </c>
      <c r="D169" s="1">
        <f>VLOOKUP(A169,'[1]MGM NS'!R:S,2,FALSE)</f>
        <v>0</v>
      </c>
      <c r="E169" s="1" t="b">
        <f t="shared" si="2"/>
        <v>1</v>
      </c>
    </row>
    <row r="170" spans="1:5">
      <c r="A170" s="1" t="s">
        <v>175</v>
      </c>
      <c r="B170" s="1" t="s">
        <v>256</v>
      </c>
      <c r="C170" s="1">
        <f>VLOOKUP(A170,'[1]MGM Tally'!T:V,3,FALSE)</f>
        <v>0</v>
      </c>
      <c r="D170" s="1">
        <f>VLOOKUP(A170,'[1]MGM NS'!R:S,2,FALSE)</f>
        <v>0</v>
      </c>
      <c r="E170" s="1" t="b">
        <f t="shared" si="2"/>
        <v>1</v>
      </c>
    </row>
    <row r="171" spans="1:5">
      <c r="A171" s="1" t="s">
        <v>176</v>
      </c>
      <c r="B171" s="1" t="s">
        <v>256</v>
      </c>
      <c r="C171" s="1">
        <f>VLOOKUP(A171,'[1]MGM Tally'!T:V,3,FALSE)</f>
        <v>0</v>
      </c>
      <c r="D171" s="1">
        <f>VLOOKUP(A171,'[1]MGM NS'!R:S,2,FALSE)</f>
        <v>0</v>
      </c>
      <c r="E171" s="1" t="b">
        <f t="shared" si="2"/>
        <v>1</v>
      </c>
    </row>
    <row r="172" spans="1:5">
      <c r="A172" s="1" t="s">
        <v>177</v>
      </c>
      <c r="B172" s="1" t="s">
        <v>256</v>
      </c>
      <c r="C172" s="1">
        <f>VLOOKUP(A172,'[1]MGM Tally'!T:V,3,FALSE)</f>
        <v>0</v>
      </c>
      <c r="D172" s="1">
        <f>VLOOKUP(A172,'[1]MGM NS'!R:S,2,FALSE)</f>
        <v>0</v>
      </c>
      <c r="E172" s="1" t="b">
        <f t="shared" si="2"/>
        <v>1</v>
      </c>
    </row>
    <row r="173" spans="1:5">
      <c r="A173" s="1" t="s">
        <v>178</v>
      </c>
      <c r="B173" s="1" t="s">
        <v>256</v>
      </c>
      <c r="C173" s="1">
        <f>VLOOKUP(A173,'[1]MGM Tally'!T:V,3,FALSE)</f>
        <v>0</v>
      </c>
      <c r="D173" s="1">
        <f>VLOOKUP(A173,'[1]MGM NS'!R:S,2,FALSE)</f>
        <v>0</v>
      </c>
      <c r="E173" s="1" t="b">
        <f t="shared" si="2"/>
        <v>1</v>
      </c>
    </row>
    <row r="174" spans="1:5">
      <c r="A174" s="1" t="s">
        <v>179</v>
      </c>
      <c r="B174" s="1" t="s">
        <v>256</v>
      </c>
      <c r="C174" s="1">
        <f>VLOOKUP(A174,'[1]MGM Tally'!T:V,3,FALSE)</f>
        <v>0</v>
      </c>
      <c r="D174" s="1">
        <f>VLOOKUP(A174,'[1]MGM NS'!R:S,2,FALSE)</f>
        <v>0</v>
      </c>
      <c r="E174" s="1" t="b">
        <f t="shared" si="2"/>
        <v>1</v>
      </c>
    </row>
    <row r="175" spans="1:5">
      <c r="A175" s="1" t="s">
        <v>180</v>
      </c>
      <c r="B175" s="1" t="s">
        <v>256</v>
      </c>
      <c r="C175" s="1">
        <f>VLOOKUP(A175,'[1]MGM Tally'!T:V,3,FALSE)</f>
        <v>0</v>
      </c>
      <c r="D175" s="1">
        <f>VLOOKUP(A175,'[1]MGM NS'!R:S,2,FALSE)</f>
        <v>0</v>
      </c>
      <c r="E175" s="1" t="b">
        <f t="shared" si="2"/>
        <v>1</v>
      </c>
    </row>
    <row r="176" spans="1:5">
      <c r="A176" s="1" t="s">
        <v>181</v>
      </c>
      <c r="B176" s="1" t="s">
        <v>256</v>
      </c>
      <c r="C176" s="1">
        <f>VLOOKUP(A176,'[1]MGM Tally'!T:V,3,FALSE)</f>
        <v>0</v>
      </c>
      <c r="D176" s="1">
        <f>VLOOKUP(A176,'[1]MGM NS'!R:S,2,FALSE)</f>
        <v>0</v>
      </c>
      <c r="E176" s="1" t="b">
        <f t="shared" si="2"/>
        <v>1</v>
      </c>
    </row>
    <row r="177" spans="1:5">
      <c r="A177" s="1" t="s">
        <v>182</v>
      </c>
      <c r="B177" s="1" t="s">
        <v>256</v>
      </c>
      <c r="C177" s="1">
        <f>VLOOKUP(A177,'[1]MGM Tally'!T:V,3,FALSE)</f>
        <v>0</v>
      </c>
      <c r="D177" s="1">
        <f>VLOOKUP(A177,'[1]MGM NS'!R:S,2,FALSE)</f>
        <v>0</v>
      </c>
      <c r="E177" s="1" t="b">
        <f t="shared" si="2"/>
        <v>1</v>
      </c>
    </row>
    <row r="178" spans="1:5">
      <c r="A178" s="1" t="s">
        <v>183</v>
      </c>
      <c r="B178" s="1" t="s">
        <v>256</v>
      </c>
      <c r="C178" s="1">
        <f>VLOOKUP(A178,'[1]MGM Tally'!T:V,3,FALSE)</f>
        <v>0</v>
      </c>
      <c r="D178" s="1">
        <f>VLOOKUP(A178,'[1]MGM NS'!R:S,2,FALSE)</f>
        <v>0</v>
      </c>
      <c r="E178" s="1" t="b">
        <f t="shared" si="2"/>
        <v>1</v>
      </c>
    </row>
    <row r="179" spans="1:5">
      <c r="A179" s="1" t="s">
        <v>184</v>
      </c>
      <c r="B179" s="1" t="s">
        <v>256</v>
      </c>
      <c r="C179" s="1">
        <f>VLOOKUP(A179,'[1]MGM Tally'!T:V,3,FALSE)</f>
        <v>0</v>
      </c>
      <c r="D179" s="1">
        <f>VLOOKUP(A179,'[1]MGM NS'!R:S,2,FALSE)</f>
        <v>0</v>
      </c>
      <c r="E179" s="1" t="b">
        <f t="shared" si="2"/>
        <v>1</v>
      </c>
    </row>
    <row r="180" spans="1:5">
      <c r="A180" s="1" t="s">
        <v>185</v>
      </c>
      <c r="B180" s="1" t="s">
        <v>256</v>
      </c>
      <c r="C180" s="1">
        <f>VLOOKUP(A180,'[1]MGM Tally'!T:V,3,FALSE)</f>
        <v>0</v>
      </c>
      <c r="D180" s="1">
        <f>VLOOKUP(A180,'[1]MGM NS'!R:S,2,FALSE)</f>
        <v>0</v>
      </c>
      <c r="E180" s="1" t="b">
        <f t="shared" si="2"/>
        <v>1</v>
      </c>
    </row>
    <row r="181" spans="1:5">
      <c r="A181" s="1" t="s">
        <v>186</v>
      </c>
      <c r="B181" s="1" t="s">
        <v>256</v>
      </c>
      <c r="C181" s="1">
        <f>VLOOKUP(A181,'[1]MGM Tally'!T:V,3,FALSE)</f>
        <v>-6450</v>
      </c>
      <c r="D181" s="1">
        <f>VLOOKUP(A181,'[1]MGM NS'!R:S,2,FALSE)</f>
        <v>-6450</v>
      </c>
      <c r="E181" s="1" t="b">
        <f t="shared" si="2"/>
        <v>1</v>
      </c>
    </row>
    <row r="182" spans="1:5">
      <c r="A182" s="1" t="s">
        <v>187</v>
      </c>
      <c r="B182" s="1" t="s">
        <v>256</v>
      </c>
      <c r="C182" s="1">
        <f>VLOOKUP(A182,'[1]MGM Tally'!T:V,3,FALSE)</f>
        <v>0</v>
      </c>
      <c r="D182" s="1">
        <f>VLOOKUP(A182,'[1]MGM NS'!R:S,2,FALSE)</f>
        <v>0</v>
      </c>
      <c r="E182" s="1" t="b">
        <f t="shared" si="2"/>
        <v>1</v>
      </c>
    </row>
    <row r="183" spans="1:5">
      <c r="A183" s="1" t="s">
        <v>188</v>
      </c>
      <c r="B183" s="1" t="s">
        <v>256</v>
      </c>
      <c r="C183" s="1">
        <f>VLOOKUP(A183,'[1]MGM Tally'!T:V,3,FALSE)</f>
        <v>-6150</v>
      </c>
      <c r="D183" s="1">
        <f>VLOOKUP(A183,'[1]MGM NS'!R:S,2,FALSE)</f>
        <v>-6150</v>
      </c>
      <c r="E183" s="1" t="b">
        <f t="shared" si="2"/>
        <v>1</v>
      </c>
    </row>
    <row r="184" spans="1:5">
      <c r="A184" s="1" t="s">
        <v>189</v>
      </c>
      <c r="B184" s="1" t="s">
        <v>256</v>
      </c>
      <c r="C184" s="1">
        <f>VLOOKUP(A184,'[1]MGM Tally'!T:V,3,FALSE)</f>
        <v>0</v>
      </c>
      <c r="D184" s="1">
        <f>VLOOKUP(A184,'[1]MGM NS'!R:S,2,FALSE)</f>
        <v>0</v>
      </c>
      <c r="E184" s="1" t="b">
        <f t="shared" si="2"/>
        <v>1</v>
      </c>
    </row>
    <row r="185" spans="1:5">
      <c r="A185" s="1" t="s">
        <v>190</v>
      </c>
      <c r="B185" s="1" t="s">
        <v>256</v>
      </c>
      <c r="C185" s="1">
        <f>VLOOKUP(A185,'[1]MGM Tally'!T:V,3,FALSE)</f>
        <v>-12618</v>
      </c>
      <c r="D185" s="1">
        <f>VLOOKUP(A185,'[1]MGM NS'!R:S,2,FALSE)</f>
        <v>-12618</v>
      </c>
      <c r="E185" s="1" t="b">
        <f t="shared" si="2"/>
        <v>1</v>
      </c>
    </row>
    <row r="186" spans="1:5">
      <c r="A186" s="1" t="s">
        <v>191</v>
      </c>
      <c r="B186" s="1" t="s">
        <v>256</v>
      </c>
      <c r="C186" s="1">
        <f>VLOOKUP(A186,'[1]MGM Tally'!T:V,3,FALSE)</f>
        <v>0</v>
      </c>
      <c r="D186" s="1">
        <f>VLOOKUP(A186,'[1]MGM NS'!R:S,2,FALSE)</f>
        <v>0</v>
      </c>
      <c r="E186" s="1" t="b">
        <f t="shared" si="2"/>
        <v>1</v>
      </c>
    </row>
    <row r="187" spans="1:5">
      <c r="A187" s="1" t="s">
        <v>192</v>
      </c>
      <c r="B187" s="1" t="s">
        <v>256</v>
      </c>
      <c r="C187" s="1">
        <f>VLOOKUP(A187,'[1]MGM Tally'!T:V,3,FALSE)</f>
        <v>0</v>
      </c>
      <c r="D187" s="1">
        <f>VLOOKUP(A187,'[1]MGM NS'!R:S,2,FALSE)</f>
        <v>0</v>
      </c>
      <c r="E187" s="1" t="b">
        <f t="shared" si="2"/>
        <v>1</v>
      </c>
    </row>
    <row r="188" spans="1:5">
      <c r="A188" s="1" t="s">
        <v>193</v>
      </c>
      <c r="B188" s="1" t="s">
        <v>256</v>
      </c>
      <c r="C188" s="1">
        <f>VLOOKUP(A188,'[1]MGM Tally'!T:V,3,FALSE)</f>
        <v>0</v>
      </c>
      <c r="D188" s="1">
        <f>VLOOKUP(A188,'[1]MGM NS'!R:S,2,FALSE)</f>
        <v>0</v>
      </c>
      <c r="E188" s="1" t="b">
        <f t="shared" si="2"/>
        <v>1</v>
      </c>
    </row>
    <row r="189" spans="1:5">
      <c r="A189" s="1" t="s">
        <v>194</v>
      </c>
      <c r="B189" s="1" t="s">
        <v>256</v>
      </c>
      <c r="C189" s="1">
        <f>VLOOKUP(A189,'[1]MGM Tally'!T:V,3,FALSE)</f>
        <v>0</v>
      </c>
      <c r="D189" s="1">
        <f>VLOOKUP(A189,'[1]MGM NS'!R:S,2,FALSE)</f>
        <v>0</v>
      </c>
      <c r="E189" s="1" t="b">
        <f t="shared" si="2"/>
        <v>1</v>
      </c>
    </row>
    <row r="190" spans="1:5">
      <c r="A190" s="1" t="s">
        <v>195</v>
      </c>
      <c r="B190" s="1" t="s">
        <v>256</v>
      </c>
      <c r="C190" s="1">
        <f>VLOOKUP(A190,'[1]MGM Tally'!T:V,3,FALSE)</f>
        <v>0</v>
      </c>
      <c r="D190" s="1">
        <f>VLOOKUP(A190,'[1]MGM NS'!R:S,2,FALSE)</f>
        <v>0</v>
      </c>
      <c r="E190" s="1" t="b">
        <f t="shared" si="2"/>
        <v>1</v>
      </c>
    </row>
    <row r="191" spans="1:5">
      <c r="A191" s="1" t="s">
        <v>196</v>
      </c>
      <c r="B191" s="1" t="s">
        <v>256</v>
      </c>
      <c r="C191" s="1">
        <f>VLOOKUP(A191,'[1]MGM Tally'!T:V,3,FALSE)</f>
        <v>0</v>
      </c>
      <c r="D191" s="1">
        <f>VLOOKUP(A191,'[1]MGM NS'!R:S,2,FALSE)</f>
        <v>0</v>
      </c>
      <c r="E191" s="1" t="b">
        <f t="shared" si="2"/>
        <v>1</v>
      </c>
    </row>
    <row r="192" spans="1:5">
      <c r="A192" s="1" t="s">
        <v>197</v>
      </c>
      <c r="B192" s="1" t="s">
        <v>256</v>
      </c>
      <c r="C192" s="1">
        <f>VLOOKUP(A192,'[1]MGM Tally'!T:V,3,FALSE)</f>
        <v>0</v>
      </c>
      <c r="D192" s="1">
        <f>VLOOKUP(A192,'[1]MGM NS'!R:S,2,FALSE)</f>
        <v>0</v>
      </c>
      <c r="E192" s="1" t="b">
        <f t="shared" si="2"/>
        <v>1</v>
      </c>
    </row>
    <row r="193" spans="1:5">
      <c r="A193" s="1" t="s">
        <v>198</v>
      </c>
      <c r="B193" s="1" t="s">
        <v>256</v>
      </c>
      <c r="C193" s="1">
        <f>VLOOKUP(A193,'[1]MGM Tally'!T:V,3,FALSE)</f>
        <v>0</v>
      </c>
      <c r="D193" s="1">
        <f>VLOOKUP(A193,'[1]MGM NS'!R:S,2,FALSE)</f>
        <v>0</v>
      </c>
      <c r="E193" s="1" t="b">
        <f t="shared" si="2"/>
        <v>1</v>
      </c>
    </row>
    <row r="194" spans="1:5">
      <c r="A194" s="1" t="s">
        <v>199</v>
      </c>
      <c r="B194" s="1" t="s">
        <v>256</v>
      </c>
      <c r="C194" s="1">
        <f>VLOOKUP(A194,'[1]MGM Tally'!T:V,3,FALSE)</f>
        <v>0</v>
      </c>
      <c r="D194" s="1">
        <f>VLOOKUP(A194,'[1]MGM NS'!R:S,2,FALSE)</f>
        <v>0</v>
      </c>
      <c r="E194" s="1" t="b">
        <f t="shared" ref="E194:E240" si="3">IF(ABS(C194)=ABS(D194),TRUE,FALSE)</f>
        <v>1</v>
      </c>
    </row>
    <row r="195" spans="1:5">
      <c r="A195" s="1" t="s">
        <v>200</v>
      </c>
      <c r="B195" s="1" t="s">
        <v>256</v>
      </c>
      <c r="C195" s="1">
        <f>VLOOKUP(A195,'[1]MGM Tally'!T:V,3,FALSE)</f>
        <v>0</v>
      </c>
      <c r="D195" s="1">
        <f>VLOOKUP(A195,'[1]MGM NS'!R:S,2,FALSE)</f>
        <v>0</v>
      </c>
      <c r="E195" s="1" t="b">
        <f t="shared" si="3"/>
        <v>1</v>
      </c>
    </row>
    <row r="196" spans="1:5">
      <c r="A196" s="1" t="s">
        <v>201</v>
      </c>
      <c r="B196" s="1" t="s">
        <v>256</v>
      </c>
      <c r="C196" s="1">
        <f>VLOOKUP(A196,'[1]MGM Tally'!T:V,3,FALSE)</f>
        <v>0</v>
      </c>
      <c r="D196" s="1">
        <f>VLOOKUP(A196,'[1]MGM NS'!R:S,2,FALSE)</f>
        <v>0</v>
      </c>
      <c r="E196" s="1" t="b">
        <f t="shared" si="3"/>
        <v>1</v>
      </c>
    </row>
    <row r="197" spans="1:5">
      <c r="A197" s="1" t="s">
        <v>202</v>
      </c>
      <c r="B197" s="1" t="s">
        <v>256</v>
      </c>
      <c r="C197" s="1">
        <f>VLOOKUP(A197,'[1]MGM Tally'!T:V,3,FALSE)</f>
        <v>-37403</v>
      </c>
      <c r="D197" s="1">
        <f>VLOOKUP(A197,'[1]MGM NS'!R:S,2,FALSE)</f>
        <v>-37403</v>
      </c>
      <c r="E197" s="1" t="b">
        <f t="shared" si="3"/>
        <v>1</v>
      </c>
    </row>
    <row r="198" spans="1:5">
      <c r="A198" s="1" t="s">
        <v>203</v>
      </c>
      <c r="B198" s="1" t="s">
        <v>256</v>
      </c>
      <c r="C198" s="1">
        <f>VLOOKUP(A198,'[1]MGM Tally'!T:V,3,FALSE)</f>
        <v>0</v>
      </c>
      <c r="D198" s="1">
        <f>VLOOKUP(A198,'[1]MGM NS'!R:S,2,FALSE)</f>
        <v>0</v>
      </c>
      <c r="E198" s="1" t="b">
        <f t="shared" si="3"/>
        <v>1</v>
      </c>
    </row>
    <row r="199" spans="1:5">
      <c r="A199" s="1" t="s">
        <v>204</v>
      </c>
      <c r="B199" s="1" t="s">
        <v>256</v>
      </c>
      <c r="C199" s="1">
        <f>VLOOKUP(A199,'[1]MGM Tally'!T:V,3,FALSE)</f>
        <v>0</v>
      </c>
      <c r="D199" s="1">
        <f>VLOOKUP(A199,'[1]MGM NS'!R:S,2,FALSE)</f>
        <v>0</v>
      </c>
      <c r="E199" s="1" t="b">
        <f t="shared" si="3"/>
        <v>1</v>
      </c>
    </row>
    <row r="200" spans="1:5">
      <c r="A200" s="1" t="s">
        <v>205</v>
      </c>
      <c r="B200" s="1" t="s">
        <v>256</v>
      </c>
      <c r="C200" s="1">
        <f>VLOOKUP(A200,'[1]MGM Tally'!T:V,3,FALSE)</f>
        <v>0</v>
      </c>
      <c r="D200" s="1">
        <f>VLOOKUP(A200,'[1]MGM NS'!R:S,2,FALSE)</f>
        <v>0</v>
      </c>
      <c r="E200" s="1" t="b">
        <f t="shared" si="3"/>
        <v>1</v>
      </c>
    </row>
    <row r="201" spans="1:5">
      <c r="A201" s="1" t="s">
        <v>206</v>
      </c>
      <c r="B201" s="1" t="s">
        <v>256</v>
      </c>
      <c r="C201" s="1">
        <f>VLOOKUP(A201,'[1]MGM Tally'!T:V,3,FALSE)</f>
        <v>0</v>
      </c>
      <c r="D201" s="1">
        <f>VLOOKUP(A201,'[1]MGM NS'!R:S,2,FALSE)</f>
        <v>0</v>
      </c>
      <c r="E201" s="1" t="b">
        <f t="shared" si="3"/>
        <v>1</v>
      </c>
    </row>
    <row r="202" spans="1:5">
      <c r="A202" s="1" t="s">
        <v>207</v>
      </c>
      <c r="B202" s="1" t="s">
        <v>256</v>
      </c>
      <c r="C202" s="1">
        <f>VLOOKUP(A202,'[1]MGM Tally'!T:V,3,FALSE)</f>
        <v>0</v>
      </c>
      <c r="D202" s="1">
        <f>VLOOKUP(A202,'[1]MGM NS'!R:S,2,FALSE)</f>
        <v>0</v>
      </c>
      <c r="E202" s="1" t="b">
        <f t="shared" si="3"/>
        <v>1</v>
      </c>
    </row>
    <row r="203" spans="1:5">
      <c r="A203" s="1" t="s">
        <v>208</v>
      </c>
      <c r="B203" s="1" t="s">
        <v>256</v>
      </c>
      <c r="C203" s="1">
        <f>VLOOKUP(A203,'[1]MGM Tally'!T:V,3,FALSE)</f>
        <v>0</v>
      </c>
      <c r="D203" s="1">
        <f>VLOOKUP(A203,'[1]MGM NS'!R:S,2,FALSE)</f>
        <v>0</v>
      </c>
      <c r="E203" s="1" t="b">
        <f t="shared" si="3"/>
        <v>1</v>
      </c>
    </row>
    <row r="204" spans="1:5">
      <c r="A204" s="1" t="s">
        <v>209</v>
      </c>
      <c r="B204" s="1" t="s">
        <v>256</v>
      </c>
      <c r="C204" s="1">
        <f>VLOOKUP(A204,'[1]MGM Tally'!T:V,3,FALSE)</f>
        <v>0</v>
      </c>
      <c r="D204" s="1">
        <f>VLOOKUP(A204,'[1]MGM NS'!R:S,2,FALSE)</f>
        <v>0</v>
      </c>
      <c r="E204" s="1" t="b">
        <f t="shared" si="3"/>
        <v>1</v>
      </c>
    </row>
    <row r="205" spans="1:5">
      <c r="A205" s="1" t="s">
        <v>210</v>
      </c>
      <c r="B205" s="1" t="s">
        <v>256</v>
      </c>
      <c r="C205" s="1">
        <f>VLOOKUP(A205,'[1]MGM Tally'!T:V,3,FALSE)</f>
        <v>0</v>
      </c>
      <c r="D205" s="1">
        <f>VLOOKUP(A205,'[1]MGM NS'!R:S,2,FALSE)</f>
        <v>0</v>
      </c>
      <c r="E205" s="1" t="b">
        <f t="shared" si="3"/>
        <v>1</v>
      </c>
    </row>
    <row r="206" spans="1:5">
      <c r="A206" s="1" t="s">
        <v>211</v>
      </c>
      <c r="B206" s="1" t="s">
        <v>256</v>
      </c>
      <c r="C206" s="1">
        <f>VLOOKUP(A206,'[1]MGM Tally'!T:V,3,FALSE)</f>
        <v>0</v>
      </c>
      <c r="D206" s="1">
        <f>VLOOKUP(A206,'[1]MGM NS'!R:S,2,FALSE)</f>
        <v>0</v>
      </c>
      <c r="E206" s="1" t="b">
        <f t="shared" si="3"/>
        <v>1</v>
      </c>
    </row>
    <row r="207" spans="1:5">
      <c r="A207" s="1" t="s">
        <v>212</v>
      </c>
      <c r="B207" s="1" t="s">
        <v>256</v>
      </c>
      <c r="C207" s="1">
        <f>VLOOKUP(A207,'[1]MGM Tally'!T:V,3,FALSE)</f>
        <v>0</v>
      </c>
      <c r="D207" s="1">
        <f>VLOOKUP(A207,'[1]MGM NS'!R:S,2,FALSE)</f>
        <v>0</v>
      </c>
      <c r="E207" s="1" t="b">
        <f t="shared" si="3"/>
        <v>1</v>
      </c>
    </row>
    <row r="208" spans="1:5">
      <c r="A208" s="1" t="s">
        <v>213</v>
      </c>
      <c r="B208" s="1" t="s">
        <v>256</v>
      </c>
      <c r="C208" s="1">
        <f>VLOOKUP(A208,'[1]MGM Tally'!T:V,3,FALSE)</f>
        <v>0</v>
      </c>
      <c r="D208" s="1">
        <f>VLOOKUP(A208,'[1]MGM NS'!R:S,2,FALSE)</f>
        <v>0</v>
      </c>
      <c r="E208" s="1" t="b">
        <f t="shared" si="3"/>
        <v>1</v>
      </c>
    </row>
    <row r="209" spans="1:5">
      <c r="A209" s="1" t="s">
        <v>214</v>
      </c>
      <c r="B209" s="1" t="s">
        <v>256</v>
      </c>
      <c r="C209" s="1">
        <f>VLOOKUP(A209,'[1]MGM Tally'!T:V,3,FALSE)</f>
        <v>0</v>
      </c>
      <c r="D209" s="1">
        <f>VLOOKUP(A209,'[1]MGM NS'!R:S,2,FALSE)</f>
        <v>0</v>
      </c>
      <c r="E209" s="1" t="b">
        <f t="shared" si="3"/>
        <v>1</v>
      </c>
    </row>
    <row r="210" spans="1:5">
      <c r="A210" s="1" t="s">
        <v>215</v>
      </c>
      <c r="B210" s="1" t="s">
        <v>256</v>
      </c>
      <c r="C210" s="1">
        <f>VLOOKUP(A210,'[1]MGM Tally'!T:V,3,FALSE)</f>
        <v>0</v>
      </c>
      <c r="D210" s="1">
        <f>VLOOKUP(A210,'[1]MGM NS'!R:S,2,FALSE)</f>
        <v>0</v>
      </c>
      <c r="E210" s="1" t="b">
        <f t="shared" si="3"/>
        <v>1</v>
      </c>
    </row>
    <row r="211" spans="1:5">
      <c r="A211" s="1" t="s">
        <v>216</v>
      </c>
      <c r="B211" s="1" t="s">
        <v>256</v>
      </c>
      <c r="C211" s="1">
        <f>VLOOKUP(A211,'[1]MGM Tally'!T:V,3,FALSE)</f>
        <v>0</v>
      </c>
      <c r="D211" s="1">
        <f>VLOOKUP(A211,'[1]MGM NS'!R:S,2,FALSE)</f>
        <v>0</v>
      </c>
      <c r="E211" s="1" t="b">
        <f t="shared" si="3"/>
        <v>1</v>
      </c>
    </row>
    <row r="212" spans="1:5">
      <c r="A212" s="1" t="s">
        <v>217</v>
      </c>
      <c r="B212" s="1" t="s">
        <v>256</v>
      </c>
      <c r="C212" s="1">
        <f>VLOOKUP(A212,'[1]MGM Tally'!T:V,3,FALSE)</f>
        <v>0</v>
      </c>
      <c r="D212" s="1">
        <f>VLOOKUP(A212,'[1]MGM NS'!R:S,2,FALSE)</f>
        <v>0</v>
      </c>
      <c r="E212" s="1" t="b">
        <f t="shared" si="3"/>
        <v>1</v>
      </c>
    </row>
    <row r="213" spans="1:5">
      <c r="A213" s="1" t="s">
        <v>218</v>
      </c>
      <c r="B213" s="1" t="s">
        <v>256</v>
      </c>
      <c r="C213" s="1">
        <f>VLOOKUP(A213,'[1]MGM Tally'!T:V,3,FALSE)</f>
        <v>0</v>
      </c>
      <c r="D213" s="1">
        <f>VLOOKUP(A213,'[1]MGM NS'!R:S,2,FALSE)</f>
        <v>0</v>
      </c>
      <c r="E213" s="1" t="b">
        <f t="shared" si="3"/>
        <v>1</v>
      </c>
    </row>
    <row r="214" spans="1:5">
      <c r="A214" s="1" t="s">
        <v>219</v>
      </c>
      <c r="B214" s="1" t="s">
        <v>256</v>
      </c>
      <c r="C214" s="1">
        <f>VLOOKUP(A214,'[1]MGM Tally'!T:V,3,FALSE)</f>
        <v>0</v>
      </c>
      <c r="D214" s="1">
        <f>VLOOKUP(A214,'[1]MGM NS'!R:S,2,FALSE)</f>
        <v>0</v>
      </c>
      <c r="E214" s="1" t="b">
        <f t="shared" si="3"/>
        <v>1</v>
      </c>
    </row>
    <row r="215" spans="1:5">
      <c r="A215" s="1" t="s">
        <v>220</v>
      </c>
      <c r="B215" s="1" t="s">
        <v>256</v>
      </c>
      <c r="C215" s="1">
        <f>VLOOKUP(A215,'[1]MGM Tally'!T:V,3,FALSE)</f>
        <v>0</v>
      </c>
      <c r="D215" s="1">
        <f>VLOOKUP(A215,'[1]MGM NS'!R:S,2,FALSE)</f>
        <v>0</v>
      </c>
      <c r="E215" s="1" t="b">
        <f t="shared" si="3"/>
        <v>1</v>
      </c>
    </row>
    <row r="216" spans="1:5">
      <c r="A216" s="1" t="s">
        <v>221</v>
      </c>
      <c r="B216" s="1" t="s">
        <v>256</v>
      </c>
      <c r="C216" s="1">
        <f>VLOOKUP(A216,'[1]MGM Tally'!T:V,3,FALSE)</f>
        <v>0</v>
      </c>
      <c r="D216" s="1">
        <f>VLOOKUP(A216,'[1]MGM NS'!R:S,2,FALSE)</f>
        <v>0</v>
      </c>
      <c r="E216" s="1" t="b">
        <f t="shared" si="3"/>
        <v>1</v>
      </c>
    </row>
    <row r="217" spans="1:5">
      <c r="A217" s="1" t="s">
        <v>222</v>
      </c>
      <c r="B217" s="1" t="s">
        <v>256</v>
      </c>
      <c r="C217" s="1">
        <f>VLOOKUP(A217,'[1]MGM Tally'!T:V,3,FALSE)</f>
        <v>0</v>
      </c>
      <c r="D217" s="1">
        <f>VLOOKUP(A217,'[1]MGM NS'!R:S,2,FALSE)</f>
        <v>0</v>
      </c>
      <c r="E217" s="1" t="b">
        <f t="shared" si="3"/>
        <v>1</v>
      </c>
    </row>
    <row r="218" spans="1:5">
      <c r="A218" s="1" t="s">
        <v>223</v>
      </c>
      <c r="B218" s="1" t="s">
        <v>256</v>
      </c>
      <c r="C218" s="1">
        <f>VLOOKUP(A218,'[1]MGM Tally'!T:V,3,FALSE)</f>
        <v>0</v>
      </c>
      <c r="D218" s="1">
        <f>VLOOKUP(A218,'[1]MGM NS'!R:S,2,FALSE)</f>
        <v>0</v>
      </c>
      <c r="E218" s="1" t="b">
        <f t="shared" si="3"/>
        <v>1</v>
      </c>
    </row>
    <row r="219" spans="1:5">
      <c r="A219" s="1" t="s">
        <v>224</v>
      </c>
      <c r="B219" s="1" t="s">
        <v>256</v>
      </c>
      <c r="C219" s="1">
        <f>VLOOKUP(A219,'[1]MGM Tally'!T:V,3,FALSE)</f>
        <v>0</v>
      </c>
      <c r="D219" s="1">
        <f>VLOOKUP(A219,'[1]MGM NS'!R:S,2,FALSE)</f>
        <v>0</v>
      </c>
      <c r="E219" s="1" t="b">
        <f t="shared" si="3"/>
        <v>1</v>
      </c>
    </row>
    <row r="220" spans="1:5">
      <c r="A220" s="1" t="s">
        <v>225</v>
      </c>
      <c r="B220" s="1" t="s">
        <v>256</v>
      </c>
      <c r="C220" s="1">
        <f>VLOOKUP(A220,'[1]MGM Tally'!T:V,3,FALSE)</f>
        <v>0</v>
      </c>
      <c r="D220" s="1">
        <f>VLOOKUP(A220,'[1]MGM NS'!R:S,2,FALSE)</f>
        <v>0</v>
      </c>
      <c r="E220" s="1" t="b">
        <f t="shared" si="3"/>
        <v>1</v>
      </c>
    </row>
    <row r="221" spans="1:5">
      <c r="A221" s="1" t="s">
        <v>226</v>
      </c>
      <c r="B221" s="1" t="s">
        <v>256</v>
      </c>
      <c r="C221" s="1">
        <f>VLOOKUP(A221,'[1]MGM Tally'!T:V,3,FALSE)</f>
        <v>0</v>
      </c>
      <c r="D221" s="1">
        <f>VLOOKUP(A221,'[1]MGM NS'!R:S,2,FALSE)</f>
        <v>0</v>
      </c>
      <c r="E221" s="1" t="b">
        <f t="shared" si="3"/>
        <v>1</v>
      </c>
    </row>
    <row r="222" spans="1:5">
      <c r="A222" s="1" t="s">
        <v>227</v>
      </c>
      <c r="B222" s="1" t="s">
        <v>256</v>
      </c>
      <c r="C222" s="1">
        <f>VLOOKUP(A222,'[1]MGM Tally'!T:V,3,FALSE)</f>
        <v>0</v>
      </c>
      <c r="D222" s="1">
        <f>VLOOKUP(A222,'[1]MGM NS'!R:S,2,FALSE)</f>
        <v>0</v>
      </c>
      <c r="E222" s="1" t="b">
        <f t="shared" si="3"/>
        <v>1</v>
      </c>
    </row>
    <row r="223" spans="1:5">
      <c r="A223" s="1" t="s">
        <v>228</v>
      </c>
      <c r="B223" s="1" t="s">
        <v>256</v>
      </c>
      <c r="C223" s="1">
        <f>VLOOKUP(A223,'[1]MGM Tally'!T:V,3,FALSE)</f>
        <v>0</v>
      </c>
      <c r="D223" s="1">
        <f>VLOOKUP(A223,'[1]MGM NS'!R:S,2,FALSE)</f>
        <v>0</v>
      </c>
      <c r="E223" s="1" t="b">
        <f t="shared" si="3"/>
        <v>1</v>
      </c>
    </row>
    <row r="224" spans="1:5">
      <c r="A224" s="1" t="s">
        <v>229</v>
      </c>
      <c r="B224" s="1" t="s">
        <v>256</v>
      </c>
      <c r="C224" s="1">
        <f>VLOOKUP(A224,'[1]MGM Tally'!T:V,3,FALSE)</f>
        <v>0</v>
      </c>
      <c r="D224" s="1">
        <f>VLOOKUP(A224,'[1]MGM NS'!R:S,2,FALSE)</f>
        <v>0</v>
      </c>
      <c r="E224" s="1" t="b">
        <f t="shared" si="3"/>
        <v>1</v>
      </c>
    </row>
    <row r="225" spans="1:5">
      <c r="A225" s="1" t="s">
        <v>230</v>
      </c>
      <c r="B225" s="1" t="s">
        <v>256</v>
      </c>
      <c r="C225" s="1">
        <f>VLOOKUP(A225,'[1]MGM Tally'!T:V,3,FALSE)</f>
        <v>0</v>
      </c>
      <c r="D225" s="1">
        <f>VLOOKUP(A225,'[1]MGM NS'!R:S,2,FALSE)</f>
        <v>0</v>
      </c>
      <c r="E225" s="1" t="b">
        <f t="shared" si="3"/>
        <v>1</v>
      </c>
    </row>
    <row r="226" spans="1:5">
      <c r="A226" s="1" t="s">
        <v>231</v>
      </c>
      <c r="B226" s="1" t="s">
        <v>256</v>
      </c>
      <c r="C226" s="1">
        <f>VLOOKUP(A226,'[1]MGM Tally'!T:V,3,FALSE)</f>
        <v>0</v>
      </c>
      <c r="D226" s="1">
        <f>VLOOKUP(A226,'[1]MGM NS'!R:S,2,FALSE)</f>
        <v>0</v>
      </c>
      <c r="E226" s="1" t="b">
        <f t="shared" si="3"/>
        <v>1</v>
      </c>
    </row>
    <row r="227" spans="1:5">
      <c r="A227" s="1" t="s">
        <v>232</v>
      </c>
      <c r="B227" s="1" t="s">
        <v>256</v>
      </c>
      <c r="C227" s="1">
        <f>VLOOKUP(A227,'[1]MGM Tally'!T:V,3,FALSE)</f>
        <v>0</v>
      </c>
      <c r="D227" s="1">
        <f>VLOOKUP(A227,'[1]MGM NS'!R:S,2,FALSE)</f>
        <v>0</v>
      </c>
      <c r="E227" s="1" t="b">
        <f t="shared" si="3"/>
        <v>1</v>
      </c>
    </row>
    <row r="228" spans="1:5">
      <c r="A228" s="1" t="s">
        <v>233</v>
      </c>
      <c r="B228" s="1" t="s">
        <v>256</v>
      </c>
      <c r="C228" s="1">
        <f>VLOOKUP(A228,'[1]MGM Tally'!T:V,3,FALSE)</f>
        <v>0</v>
      </c>
      <c r="D228" s="1">
        <f>VLOOKUP(A228,'[1]MGM NS'!R:S,2,FALSE)</f>
        <v>0</v>
      </c>
      <c r="E228" s="1" t="b">
        <f t="shared" si="3"/>
        <v>1</v>
      </c>
    </row>
    <row r="229" spans="1:5">
      <c r="A229" s="1" t="s">
        <v>234</v>
      </c>
      <c r="B229" s="1" t="s">
        <v>256</v>
      </c>
      <c r="C229" s="1">
        <f>VLOOKUP(A229,'[1]MGM Tally'!T:V,3,FALSE)</f>
        <v>0</v>
      </c>
      <c r="D229" s="1">
        <f>VLOOKUP(A229,'[1]MGM NS'!R:S,2,FALSE)</f>
        <v>0</v>
      </c>
      <c r="E229" s="1" t="b">
        <f t="shared" si="3"/>
        <v>1</v>
      </c>
    </row>
    <row r="230" spans="1:5">
      <c r="A230" s="1" t="s">
        <v>235</v>
      </c>
      <c r="B230" s="1" t="s">
        <v>256</v>
      </c>
      <c r="C230" s="1">
        <f>VLOOKUP(A230,'[1]MGM Tally'!T:V,3,FALSE)</f>
        <v>0</v>
      </c>
      <c r="D230" s="1">
        <f>VLOOKUP(A230,'[1]MGM NS'!R:S,2,FALSE)</f>
        <v>0</v>
      </c>
      <c r="E230" s="1" t="b">
        <f t="shared" si="3"/>
        <v>1</v>
      </c>
    </row>
    <row r="231" spans="1:5">
      <c r="A231" s="1" t="s">
        <v>236</v>
      </c>
      <c r="B231" s="1" t="s">
        <v>256</v>
      </c>
      <c r="C231" s="1">
        <f>VLOOKUP(A231,'[1]MGM Tally'!T:V,3,FALSE)</f>
        <v>0</v>
      </c>
      <c r="D231" s="1">
        <f>VLOOKUP(A231,'[1]MGM NS'!R:S,2,FALSE)</f>
        <v>0</v>
      </c>
      <c r="E231" s="1" t="b">
        <f t="shared" si="3"/>
        <v>1</v>
      </c>
    </row>
    <row r="232" spans="1:5">
      <c r="A232" s="1" t="s">
        <v>237</v>
      </c>
      <c r="B232" s="1" t="s">
        <v>256</v>
      </c>
      <c r="C232" s="1">
        <f>VLOOKUP(A232,'[1]MGM Tally'!T:V,3,FALSE)</f>
        <v>0</v>
      </c>
      <c r="D232" s="1">
        <f>VLOOKUP(A232,'[1]MGM NS'!R:S,2,FALSE)</f>
        <v>0</v>
      </c>
      <c r="E232" s="1" t="b">
        <f t="shared" si="3"/>
        <v>1</v>
      </c>
    </row>
    <row r="233" spans="1:5">
      <c r="A233" s="1" t="s">
        <v>238</v>
      </c>
      <c r="B233" s="1" t="s">
        <v>256</v>
      </c>
      <c r="C233" s="1">
        <f>VLOOKUP(A233,'[1]MGM Tally'!T:V,3,FALSE)</f>
        <v>0</v>
      </c>
      <c r="D233" s="1">
        <f>VLOOKUP(A233,'[1]MGM NS'!R:S,2,FALSE)</f>
        <v>0</v>
      </c>
      <c r="E233" s="1" t="b">
        <f t="shared" si="3"/>
        <v>1</v>
      </c>
    </row>
    <row r="234" spans="1:5">
      <c r="A234" s="1" t="s">
        <v>239</v>
      </c>
      <c r="B234" s="1" t="s">
        <v>256</v>
      </c>
      <c r="C234" s="1">
        <f>VLOOKUP(A234,'[1]MGM Tally'!T:V,3,FALSE)</f>
        <v>-50000</v>
      </c>
      <c r="D234" s="1">
        <f>VLOOKUP(A234,'[1]MGM NS'!R:S,2,FALSE)</f>
        <v>-50000</v>
      </c>
      <c r="E234" s="1" t="b">
        <f t="shared" si="3"/>
        <v>1</v>
      </c>
    </row>
    <row r="235" spans="1:5">
      <c r="A235" s="1" t="s">
        <v>240</v>
      </c>
      <c r="B235" s="1" t="s">
        <v>256</v>
      </c>
      <c r="C235" s="1">
        <f>VLOOKUP(A235,'[1]MGM Tally'!T:V,3,FALSE)</f>
        <v>0</v>
      </c>
      <c r="D235" s="1">
        <f>VLOOKUP(A235,'[1]MGM NS'!R:S,2,FALSE)</f>
        <v>0</v>
      </c>
      <c r="E235" s="1" t="b">
        <f t="shared" si="3"/>
        <v>1</v>
      </c>
    </row>
    <row r="236" spans="1:5">
      <c r="A236" s="1" t="s">
        <v>241</v>
      </c>
      <c r="B236" s="1" t="s">
        <v>256</v>
      </c>
      <c r="C236" s="1">
        <f>VLOOKUP(A236,'[1]MGM Tally'!T:V,3,FALSE)</f>
        <v>0</v>
      </c>
      <c r="D236" s="1">
        <f>VLOOKUP(A236,'[1]MGM NS'!R:S,2,FALSE)</f>
        <v>0</v>
      </c>
      <c r="E236" s="1" t="b">
        <f t="shared" si="3"/>
        <v>1</v>
      </c>
    </row>
    <row r="237" spans="1:5">
      <c r="A237" s="1" t="s">
        <v>242</v>
      </c>
      <c r="B237" s="1" t="s">
        <v>256</v>
      </c>
      <c r="C237" s="1">
        <f>VLOOKUP(A237,'[1]MGM Tally'!T:V,3,FALSE)</f>
        <v>0</v>
      </c>
      <c r="D237" s="1">
        <f>VLOOKUP(A237,'[1]MGM NS'!R:S,2,FALSE)</f>
        <v>0</v>
      </c>
      <c r="E237" s="1" t="b">
        <f t="shared" si="3"/>
        <v>1</v>
      </c>
    </row>
    <row r="238" spans="1:5">
      <c r="A238" s="1" t="s">
        <v>243</v>
      </c>
      <c r="B238" s="1" t="s">
        <v>256</v>
      </c>
      <c r="C238" s="1">
        <f>VLOOKUP(A238,'[1]MGM Tally'!T:V,3,FALSE)</f>
        <v>0</v>
      </c>
      <c r="D238" s="1">
        <f>VLOOKUP(A238,'[1]MGM NS'!R:S,2,FALSE)</f>
        <v>0</v>
      </c>
      <c r="E238" s="1" t="b">
        <f t="shared" si="3"/>
        <v>1</v>
      </c>
    </row>
    <row r="239" spans="1:5">
      <c r="A239" s="1" t="s">
        <v>244</v>
      </c>
      <c r="B239" s="1" t="s">
        <v>256</v>
      </c>
      <c r="C239" s="1">
        <f>VLOOKUP(A239,'[1]MGM Tally'!T:V,3,FALSE)</f>
        <v>0</v>
      </c>
      <c r="D239" s="1">
        <f>VLOOKUP(A239,'[1]MGM NS'!R:S,2,FALSE)</f>
        <v>0</v>
      </c>
      <c r="E239" s="1" t="b">
        <f t="shared" si="3"/>
        <v>1</v>
      </c>
    </row>
    <row r="240" spans="1:5">
      <c r="A240" s="1" t="s">
        <v>245</v>
      </c>
      <c r="B240" s="1" t="s">
        <v>256</v>
      </c>
      <c r="C240" s="1">
        <f>VLOOKUP(A240,'[1]MGM Tally'!T:V,3,FALSE)</f>
        <v>0</v>
      </c>
      <c r="D240" s="1">
        <v>0</v>
      </c>
      <c r="E240" s="1" t="b">
        <f t="shared" si="3"/>
        <v>1</v>
      </c>
    </row>
    <row r="241" spans="1:4">
      <c r="A241" s="8" t="s">
        <v>246</v>
      </c>
      <c r="B241" s="8"/>
      <c r="C241" s="3">
        <f>SUM(C2:C240)</f>
        <v>-5123186</v>
      </c>
      <c r="D241" s="3">
        <f>SUM(D2:D240)</f>
        <v>-5123186</v>
      </c>
    </row>
  </sheetData>
  <mergeCells count="1">
    <mergeCell ref="A241:B2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ShailyKushwaha</dc:creator>
  <cp:keywords/>
  <dc:description/>
  <cp:lastModifiedBy>Kalyani Chaudhari</cp:lastModifiedBy>
  <cp:revision/>
  <dcterms:created xsi:type="dcterms:W3CDTF">2025-09-11T12:10:00Z</dcterms:created>
  <dcterms:modified xsi:type="dcterms:W3CDTF">2025-09-11T12:20:37Z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8DEDB5A0D3954B23B3D6CDC3FEA08A39_11</vt:lpwstr>
  </property>
  <property fmtid="{D5CDD505-2E9C-101B-9397-08002B2CF9AE}" pid="3" name="KSOProductBuildVer">
    <vt:lpwstr>1033-12.2.0.22549</vt:lpwstr>
  </property>
</Properties>
</file>