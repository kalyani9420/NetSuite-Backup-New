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docProps/custom.xml" ContentType="application/vnd.openxmlformats-officedocument.custom-properties+xml"/>
  <Override PartName="/xl/sharedStrings.xml" ContentType="application/vnd.openxmlformats-officedocument.spreadsheetml.sharedString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</Types>
</file>

<file path=_rels/.rels><?xml version="1.0" encoding="UTF-8" standalone="yes"?>
<Relationships xmlns="http://schemas.openxmlformats.org/package/2006/relationships"><Relationship Id="rId1" Type="http://schemas.openxmlformats.org/officeDocument/2006/relationships/officeDocument" Target="xl/workbook.xml"/><Relationship Id="rId3" Type="http://schemas.openxmlformats.org/package/2006/relationships/metadata/core-properties" Target="docProps/core.xml"/><Relationship Id="rId2" Type="http://schemas.openxmlformats.org/officeDocument/2006/relationships/extended-properties" Target="docProps/app.xml"/><Relationship Id="rId4" Type="http://schemas.openxmlformats.org/officeDocument/2006/relationships/custom-properties" Target="docProps/custom.xml"/></Relationships>
</file>

<file path=xl/workbook.xml><?xml version="1.0" encoding="utf-8"?>
<workbook xmlns="http://schemas.openxmlformats.org/spreadsheetml/2006/main" xmlns:r="http://schemas.openxmlformats.org/officeDocument/2006/relationships" xmlns:dbsheet="http://web.wps.cn/et/2021/dbsheet">
  <fileVersion appName="xl" lastEdited="3" lowestEdited="5" rupBuild="9302"/>
  <workbookPr/>
  <bookViews>
    <workbookView windowWidth="19200" windowHeight="6800" activeTab="1"/>
  </bookViews>
  <sheets>
    <sheet name="Sales Order" sheetId="1" r:id="rId1"/>
    <sheet name="Sales bill" sheetId="2" r:id="rId2"/>
    <sheet name="JV Sales" sheetId="3" r:id="rId3"/>
    <sheet name="Credit Note" sheetId="4" r:id="rId4"/>
    <sheet name="Purchase Order" sheetId="6" r:id="rId5"/>
    <sheet name="Purchase Bill" sheetId="7" r:id="rId6"/>
    <sheet name="JV Purchase" sheetId="8" r:id="rId7"/>
  </sheets>
  <calcPr calcId="191029"/>
  <extLs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sharedStrings.xml><?xml version="1.0" encoding="utf-8"?>
<sst xmlns="http://schemas.openxmlformats.org/spreadsheetml/2006/main" count="192" uniqueCount="129">
  <si>
    <t>SB Code</t>
  </si>
  <si>
    <t>SO Value (NS)</t>
  </si>
  <si>
    <t>SO Value Tally</t>
  </si>
  <si>
    <t>SB22664</t>
  </si>
  <si>
    <t>SB22662</t>
  </si>
  <si>
    <t>SB22655</t>
  </si>
  <si>
    <t>SB22650</t>
  </si>
  <si>
    <t>SB22639</t>
  </si>
  <si>
    <t>SB22641</t>
  </si>
  <si>
    <t>SB22634</t>
  </si>
  <si>
    <t>SB22620</t>
  </si>
  <si>
    <t>SB22618</t>
  </si>
  <si>
    <t>SB22610</t>
  </si>
  <si>
    <t>SB22579</t>
  </si>
  <si>
    <t>SB22603</t>
  </si>
  <si>
    <t>SB22604</t>
  </si>
  <si>
    <t>SB22596</t>
  </si>
  <si>
    <t>SB22595</t>
  </si>
  <si>
    <t>SB22591</t>
  </si>
  <si>
    <t>SB22584</t>
  </si>
  <si>
    <t>SB22586</t>
  </si>
  <si>
    <t>SB22580</t>
  </si>
  <si>
    <t>SB22578</t>
  </si>
  <si>
    <t>SB22575</t>
  </si>
  <si>
    <t>SB22571</t>
  </si>
  <si>
    <t>SB22572</t>
  </si>
  <si>
    <t>SB22570</t>
  </si>
  <si>
    <t>SB22563</t>
  </si>
  <si>
    <t>SB22562</t>
  </si>
  <si>
    <t>SB22561</t>
  </si>
  <si>
    <t>SB22545</t>
  </si>
  <si>
    <t>SB22543</t>
  </si>
  <si>
    <t>SB22461</t>
  </si>
  <si>
    <t>SB22437</t>
  </si>
  <si>
    <t>SB22190</t>
  </si>
  <si>
    <t>SB Value (NS)</t>
  </si>
  <si>
    <t>SB Value Tally</t>
  </si>
  <si>
    <t>SB22599</t>
  </si>
  <si>
    <t>SB22536</t>
  </si>
  <si>
    <t>SB22500</t>
  </si>
  <si>
    <t>SB22479</t>
  </si>
  <si>
    <t>SB22477</t>
  </si>
  <si>
    <t>SB22448</t>
  </si>
  <si>
    <t>SB22363</t>
  </si>
  <si>
    <t>SB22320</t>
  </si>
  <si>
    <t>SB22305</t>
  </si>
  <si>
    <t>JVValue(S) (NS)</t>
  </si>
  <si>
    <t>JV Value Tally</t>
  </si>
  <si>
    <t>SB22606</t>
  </si>
  <si>
    <t>SB22504</t>
  </si>
  <si>
    <t>SB22469</t>
  </si>
  <si>
    <t>SB22381</t>
  </si>
  <si>
    <t>SB22344</t>
  </si>
  <si>
    <t>SB22319</t>
  </si>
  <si>
    <t>Credit Note (NS)</t>
  </si>
  <si>
    <t>Credit Note Tally</t>
  </si>
  <si>
    <t>PO Value (NS)</t>
  </si>
  <si>
    <t>PO Value Tally</t>
  </si>
  <si>
    <t>SB22611</t>
  </si>
  <si>
    <t>SB22666</t>
  </si>
  <si>
    <t>SB22657</t>
  </si>
  <si>
    <t>SB22645</t>
  </si>
  <si>
    <t>SB22637</t>
  </si>
  <si>
    <t>SB22632</t>
  </si>
  <si>
    <t>SB22627</t>
  </si>
  <si>
    <t>SB22624</t>
  </si>
  <si>
    <t>SB22626</t>
  </si>
  <si>
    <t>SB22623</t>
  </si>
  <si>
    <t>SB22617</t>
  </si>
  <si>
    <t>SB22619</t>
  </si>
  <si>
    <t>SB22616</t>
  </si>
  <si>
    <t>SB22615</t>
  </si>
  <si>
    <t>SB22612</t>
  </si>
  <si>
    <t>SB22588</t>
  </si>
  <si>
    <t>SB22485</t>
  </si>
  <si>
    <t>SB22609</t>
  </si>
  <si>
    <t>SB22608</t>
  </si>
  <si>
    <t>SB22602</t>
  </si>
  <si>
    <t>SB22594</t>
  </si>
  <si>
    <t>SB22592</t>
  </si>
  <si>
    <t>SB22585</t>
  </si>
  <si>
    <t>SB22583</t>
  </si>
  <si>
    <t>SB22581</t>
  </si>
  <si>
    <t>SB22576</t>
  </si>
  <si>
    <t>SB22577</t>
  </si>
  <si>
    <t>SB22574</t>
  </si>
  <si>
    <t>SB22573</t>
  </si>
  <si>
    <t>SB22567</t>
  </si>
  <si>
    <t>SB22569</t>
  </si>
  <si>
    <t>SB22566</t>
  </si>
  <si>
    <t>SB22565</t>
  </si>
  <si>
    <t>SB22564</t>
  </si>
  <si>
    <t>SB22560</t>
  </si>
  <si>
    <t>SB22559</t>
  </si>
  <si>
    <t>SB22552</t>
  </si>
  <si>
    <t>SB22551</t>
  </si>
  <si>
    <t>SB22550</t>
  </si>
  <si>
    <t>SB22540</t>
  </si>
  <si>
    <t>SB22539</t>
  </si>
  <si>
    <t>SB22534</t>
  </si>
  <si>
    <t>SB22513</t>
  </si>
  <si>
    <t>SB22512</t>
  </si>
  <si>
    <t>SB22508</t>
  </si>
  <si>
    <t>SB22511</t>
  </si>
  <si>
    <t>SB22502</t>
  </si>
  <si>
    <t>SB22492</t>
  </si>
  <si>
    <t>SB22491</t>
  </si>
  <si>
    <t>SB22471</t>
  </si>
  <si>
    <t>SB22455</t>
  </si>
  <si>
    <t>SB22396</t>
  </si>
  <si>
    <t>SB22374</t>
  </si>
  <si>
    <t>SB22338</t>
  </si>
  <si>
    <t>SB22306</t>
  </si>
  <si>
    <t>SB22268</t>
  </si>
  <si>
    <t>SB22263</t>
  </si>
  <si>
    <t>PB Value (NS)</t>
  </si>
  <si>
    <t>PB Value Tally</t>
  </si>
  <si>
    <t>SB21992</t>
  </si>
  <si>
    <t>SB22646</t>
  </si>
  <si>
    <t>SB22384</t>
  </si>
  <si>
    <t>SB22593</t>
  </si>
  <si>
    <t>SB22538</t>
  </si>
  <si>
    <t>SB22465</t>
  </si>
  <si>
    <t>SB22318</t>
  </si>
  <si>
    <t>SB22205</t>
  </si>
  <si>
    <t>JVP (NS)</t>
  </si>
  <si>
    <t>JVP Tally</t>
  </si>
  <si>
    <t>SB22326</t>
  </si>
  <si>
    <t>SB22158</t>
  </si>
</sst>
</file>

<file path=xl/styles.xml><?xml version="1.0" encoding="utf-8"?>
<styleSheet xmlns="http://schemas.openxmlformats.org/spreadsheetml/2006/main" xmlns:mc="http://schemas.openxmlformats.org/markup-compatibility/2006" xmlns:xr9="http://schemas.microsoft.com/office/spreadsheetml/2016/revision9" mc:Ignorable="xr9">
  <numFmts count="4">
    <numFmt numFmtId="176" formatCode="_ * #,##0.00_ ;_ * \-#,##0.00_ ;_ * &quot;-&quot;??_ ;_ @_ "/>
    <numFmt numFmtId="177" formatCode="_ &quot;₹&quot;* #,##0.00_ ;_ &quot;₹&quot;* \-#,##0.00_ ;_ &quot;₹&quot;* &quot;-&quot;??_ ;_ @_ "/>
    <numFmt numFmtId="178" formatCode="_ * #,##0_ ;_ * \-#,##0_ ;_ * &quot;-&quot;_ ;_ @_ "/>
    <numFmt numFmtId="179" formatCode="_ &quot;₹&quot;* #,##0_ ;_ &quot;₹&quot;* \-#,##0_ ;_ &quot;₹&quot;* &quot;-&quot;_ ;_ @_ "/>
  </numFmts>
  <fonts count="20">
    <font>
      <sz val="11"/>
      <color theme="1"/>
      <name val="Calibri"/>
      <charset val="134"/>
      <scheme val="minor"/>
    </font>
    <font>
      <u/>
      <sz val="11"/>
      <color rgb="FF0000FF"/>
      <name val="Calibri"/>
      <charset val="0"/>
      <scheme val="minor"/>
    </font>
    <font>
      <u/>
      <sz val="11"/>
      <color rgb="FF800080"/>
      <name val="Calibri"/>
      <charset val="0"/>
      <scheme val="minor"/>
    </font>
    <font>
      <sz val="11"/>
      <color rgb="FFFF0000"/>
      <name val="Calibri"/>
      <charset val="0"/>
      <scheme val="minor"/>
    </font>
    <font>
      <b/>
      <sz val="18"/>
      <color theme="3"/>
      <name val="Calibri"/>
      <charset val="134"/>
      <scheme val="minor"/>
    </font>
    <font>
      <i/>
      <sz val="11"/>
      <color rgb="FF7F7F7F"/>
      <name val="Calibri"/>
      <charset val="0"/>
      <scheme val="minor"/>
    </font>
    <font>
      <b/>
      <sz val="15"/>
      <color theme="3"/>
      <name val="Calibri"/>
      <charset val="134"/>
      <scheme val="minor"/>
    </font>
    <font>
      <b/>
      <sz val="13"/>
      <color theme="3"/>
      <name val="Calibri"/>
      <charset val="134"/>
      <scheme val="minor"/>
    </font>
    <font>
      <b/>
      <sz val="11"/>
      <color theme="3"/>
      <name val="Calibri"/>
      <charset val="134"/>
      <scheme val="minor"/>
    </font>
    <font>
      <sz val="11"/>
      <color rgb="FF3F3F76"/>
      <name val="Calibri"/>
      <charset val="0"/>
      <scheme val="minor"/>
    </font>
    <font>
      <b/>
      <sz val="11"/>
      <color rgb="FF3F3F3F"/>
      <name val="Calibri"/>
      <charset val="0"/>
      <scheme val="minor"/>
    </font>
    <font>
      <b/>
      <sz val="11"/>
      <color rgb="FFFA7D00"/>
      <name val="Calibri"/>
      <charset val="0"/>
      <scheme val="minor"/>
    </font>
    <font>
      <b/>
      <sz val="11"/>
      <color rgb="FFFFFFFF"/>
      <name val="Calibri"/>
      <charset val="0"/>
      <scheme val="minor"/>
    </font>
    <font>
      <sz val="11"/>
      <color rgb="FFFA7D00"/>
      <name val="Calibri"/>
      <charset val="0"/>
      <scheme val="minor"/>
    </font>
    <font>
      <b/>
      <sz val="11"/>
      <color theme="1"/>
      <name val="Calibri"/>
      <charset val="0"/>
      <scheme val="minor"/>
    </font>
    <font>
      <sz val="11"/>
      <color rgb="FF006100"/>
      <name val="Calibri"/>
      <charset val="0"/>
      <scheme val="minor"/>
    </font>
    <font>
      <sz val="11"/>
      <color rgb="FF9C0006"/>
      <name val="Calibri"/>
      <charset val="0"/>
      <scheme val="minor"/>
    </font>
    <font>
      <sz val="11"/>
      <color rgb="FF9C6500"/>
      <name val="Calibri"/>
      <charset val="0"/>
      <scheme val="minor"/>
    </font>
    <font>
      <sz val="11"/>
      <color theme="0"/>
      <name val="Calibri"/>
      <charset val="0"/>
      <scheme val="minor"/>
    </font>
    <font>
      <sz val="11"/>
      <color theme="1"/>
      <name val="Calibri"/>
      <charset val="0"/>
      <scheme val="minor"/>
    </font>
  </fonts>
  <fills count="33">
    <fill>
      <patternFill patternType="none"/>
    </fill>
    <fill>
      <patternFill patternType="gray125"/>
    </fill>
    <fill>
      <patternFill patternType="solid">
        <fgColor rgb="FFFFFFCC"/>
        <bgColor indexed="64"/>
      </patternFill>
    </fill>
    <fill>
      <patternFill patternType="solid">
        <fgColor rgb="FFFFCC99"/>
        <bgColor indexed="64"/>
      </patternFill>
    </fill>
    <fill>
      <patternFill patternType="solid">
        <fgColor rgb="FFF2F2F2"/>
        <bgColor indexed="64"/>
      </patternFill>
    </fill>
    <fill>
      <patternFill patternType="solid">
        <fgColor rgb="FFA5A5A5"/>
        <bgColor indexed="64"/>
      </patternFill>
    </fill>
    <fill>
      <patternFill patternType="solid">
        <fgColor rgb="FFC6EFCE"/>
        <bgColor indexed="64"/>
      </patternFill>
    </fill>
    <fill>
      <patternFill patternType="solid">
        <fgColor rgb="FFFFC7CE"/>
        <bgColor indexed="64"/>
      </patternFill>
    </fill>
    <fill>
      <patternFill patternType="solid">
        <fgColor rgb="FFFFEB9C"/>
        <bgColor indexed="64"/>
      </patternFill>
    </fill>
    <fill>
      <patternFill patternType="solid">
        <fgColor theme="4"/>
        <bgColor indexed="64"/>
      </patternFill>
    </fill>
    <fill>
      <patternFill patternType="solid">
        <fgColor theme="4" tint="0.799981688894314"/>
        <bgColor indexed="64"/>
      </patternFill>
    </fill>
    <fill>
      <patternFill patternType="solid">
        <fgColor theme="4" tint="0.599993896298105"/>
        <bgColor indexed="64"/>
      </patternFill>
    </fill>
    <fill>
      <patternFill patternType="solid">
        <fgColor theme="4" tint="0.399975585192419"/>
        <bgColor indexed="64"/>
      </patternFill>
    </fill>
    <fill>
      <patternFill patternType="solid">
        <fgColor theme="5"/>
        <bgColor indexed="64"/>
      </patternFill>
    </fill>
    <fill>
      <patternFill patternType="solid">
        <fgColor theme="5" tint="0.799981688894314"/>
        <bgColor indexed="64"/>
      </patternFill>
    </fill>
    <fill>
      <patternFill patternType="solid">
        <fgColor theme="5" tint="0.599993896298105"/>
        <bgColor indexed="64"/>
      </patternFill>
    </fill>
    <fill>
      <patternFill patternType="solid">
        <fgColor theme="5" tint="0.399975585192419"/>
        <bgColor indexed="64"/>
      </patternFill>
    </fill>
    <fill>
      <patternFill patternType="solid">
        <fgColor theme="6"/>
        <bgColor indexed="64"/>
      </patternFill>
    </fill>
    <fill>
      <patternFill patternType="solid">
        <fgColor theme="6" tint="0.799981688894314"/>
        <bgColor indexed="64"/>
      </patternFill>
    </fill>
    <fill>
      <patternFill patternType="solid">
        <fgColor theme="6" tint="0.599993896298105"/>
        <bgColor indexed="64"/>
      </patternFill>
    </fill>
    <fill>
      <patternFill patternType="solid">
        <fgColor theme="6" tint="0.399975585192419"/>
        <bgColor indexed="64"/>
      </patternFill>
    </fill>
    <fill>
      <patternFill patternType="solid">
        <fgColor theme="7"/>
        <bgColor indexed="64"/>
      </patternFill>
    </fill>
    <fill>
      <patternFill patternType="solid">
        <fgColor theme="7" tint="0.799981688894314"/>
        <bgColor indexed="64"/>
      </patternFill>
    </fill>
    <fill>
      <patternFill patternType="solid">
        <fgColor theme="7" tint="0.599993896298105"/>
        <bgColor indexed="64"/>
      </patternFill>
    </fill>
    <fill>
      <patternFill patternType="solid">
        <fgColor theme="7" tint="0.399975585192419"/>
        <bgColor indexed="64"/>
      </patternFill>
    </fill>
    <fill>
      <patternFill patternType="solid">
        <fgColor theme="8"/>
        <bgColor indexed="64"/>
      </patternFill>
    </fill>
    <fill>
      <patternFill patternType="solid">
        <fgColor theme="8" tint="0.799981688894314"/>
        <bgColor indexed="64"/>
      </patternFill>
    </fill>
    <fill>
      <patternFill patternType="solid">
        <fgColor theme="8" tint="0.599993896298105"/>
        <bgColor indexed="64"/>
      </patternFill>
    </fill>
    <fill>
      <patternFill patternType="solid">
        <fgColor theme="8" tint="0.399975585192419"/>
        <bgColor indexed="64"/>
      </patternFill>
    </fill>
    <fill>
      <patternFill patternType="solid">
        <fgColor theme="9"/>
        <bgColor indexed="64"/>
      </patternFill>
    </fill>
    <fill>
      <patternFill patternType="solid">
        <fgColor theme="9" tint="0.799981688894314"/>
        <bgColor indexed="64"/>
      </patternFill>
    </fill>
    <fill>
      <patternFill patternType="solid">
        <fgColor theme="9" tint="0.599993896298105"/>
        <bgColor indexed="64"/>
      </patternFill>
    </fill>
    <fill>
      <patternFill patternType="solid">
        <fgColor theme="9" tint="0.399975585192419"/>
        <bgColor indexed="64"/>
      </patternFill>
    </fill>
  </fills>
  <borders count="9">
    <border>
      <left/>
      <right/>
      <top/>
      <bottom/>
      <diagonal/>
    </border>
    <border>
      <left style="thin">
        <color rgb="FFB2B2B2"/>
      </left>
      <right style="thin">
        <color rgb="FFB2B2B2"/>
      </right>
      <top style="thin">
        <color rgb="FFB2B2B2"/>
      </top>
      <bottom style="thin">
        <color rgb="FFB2B2B2"/>
      </bottom>
      <diagonal/>
    </border>
    <border>
      <left/>
      <right/>
      <top/>
      <bottom style="medium">
        <color theme="4"/>
      </bottom>
      <diagonal/>
    </border>
    <border>
      <left/>
      <right/>
      <top/>
      <bottom style="medium">
        <color theme="4" tint="0.499984740745262"/>
      </bottom>
      <diagonal/>
    </border>
    <border>
      <left style="thin">
        <color rgb="FF7F7F7F"/>
      </left>
      <right style="thin">
        <color rgb="FF7F7F7F"/>
      </right>
      <top style="thin">
        <color rgb="FF7F7F7F"/>
      </top>
      <bottom style="thin">
        <color rgb="FF7F7F7F"/>
      </bottom>
      <diagonal/>
    </border>
    <border>
      <left style="thin">
        <color rgb="FF3F3F3F"/>
      </left>
      <right style="thin">
        <color rgb="FF3F3F3F"/>
      </right>
      <top style="thin">
        <color rgb="FF3F3F3F"/>
      </top>
      <bottom style="thin">
        <color rgb="FF3F3F3F"/>
      </bottom>
      <diagonal/>
    </border>
    <border>
      <left style="double">
        <color rgb="FF3F3F3F"/>
      </left>
      <right style="double">
        <color rgb="FF3F3F3F"/>
      </right>
      <top style="double">
        <color rgb="FF3F3F3F"/>
      </top>
      <bottom style="double">
        <color rgb="FF3F3F3F"/>
      </bottom>
      <diagonal/>
    </border>
    <border>
      <left/>
      <right/>
      <top/>
      <bottom style="double">
        <color rgb="FFFF8001"/>
      </bottom>
      <diagonal/>
    </border>
    <border>
      <left/>
      <right/>
      <top style="thin">
        <color theme="4"/>
      </top>
      <bottom style="double">
        <color theme="4"/>
      </bottom>
      <diagonal/>
    </border>
  </borders>
  <cellStyleXfs count="49">
    <xf numFmtId="0" fontId="0" fillId="0" borderId="0">
      <alignment vertical="center"/>
    </xf>
    <xf numFmtId="176" fontId="0" fillId="0" borderId="0" applyFont="0" applyFill="0" applyBorder="0" applyAlignment="0" applyProtection="0">
      <alignment vertical="center"/>
    </xf>
    <xf numFmtId="177" fontId="0" fillId="0" borderId="0" applyFont="0" applyFill="0" applyBorder="0" applyAlignment="0" applyProtection="0">
      <alignment vertical="center"/>
    </xf>
    <xf numFmtId="9" fontId="0" fillId="0" borderId="0" applyFont="0" applyFill="0" applyBorder="0" applyAlignment="0" applyProtection="0">
      <alignment vertical="center"/>
    </xf>
    <xf numFmtId="178" fontId="0" fillId="0" borderId="0" applyFont="0" applyFill="0" applyBorder="0" applyAlignment="0" applyProtection="0">
      <alignment vertical="center"/>
    </xf>
    <xf numFmtId="179" fontId="0" fillId="0" borderId="0" applyFont="0" applyFill="0" applyBorder="0" applyAlignment="0" applyProtection="0">
      <alignment vertical="center"/>
    </xf>
    <xf numFmtId="0" fontId="1" fillId="0" borderId="0" applyNumberFormat="0" applyFill="0" applyBorder="0" applyAlignment="0" applyProtection="0">
      <alignment vertical="center"/>
    </xf>
    <xf numFmtId="0" fontId="2" fillId="0" borderId="0" applyNumberFormat="0" applyFill="0" applyBorder="0" applyAlignment="0" applyProtection="0">
      <alignment vertical="center"/>
    </xf>
    <xf numFmtId="0" fontId="0" fillId="2" borderId="1" applyNumberFormat="0" applyFont="0" applyAlignment="0" applyProtection="0">
      <alignment vertical="center"/>
    </xf>
    <xf numFmtId="0" fontId="3" fillId="0" borderId="0" applyNumberFormat="0" applyFill="0" applyBorder="0" applyAlignment="0" applyProtection="0">
      <alignment vertical="center"/>
    </xf>
    <xf numFmtId="0" fontId="4" fillId="0" borderId="0" applyNumberFormat="0" applyFill="0" applyBorder="0" applyAlignment="0" applyProtection="0">
      <alignment vertical="center"/>
    </xf>
    <xf numFmtId="0" fontId="5" fillId="0" borderId="0" applyNumberFormat="0" applyFill="0" applyBorder="0" applyAlignment="0" applyProtection="0">
      <alignment vertical="center"/>
    </xf>
    <xf numFmtId="0" fontId="6" fillId="0" borderId="2" applyNumberFormat="0" applyFill="0" applyAlignment="0" applyProtection="0">
      <alignment vertical="center"/>
    </xf>
    <xf numFmtId="0" fontId="7" fillId="0" borderId="2" applyNumberFormat="0" applyFill="0" applyAlignment="0" applyProtection="0">
      <alignment vertical="center"/>
    </xf>
    <xf numFmtId="0" fontId="8" fillId="0" borderId="3" applyNumberFormat="0" applyFill="0" applyAlignment="0" applyProtection="0">
      <alignment vertical="center"/>
    </xf>
    <xf numFmtId="0" fontId="8" fillId="0" borderId="0" applyNumberFormat="0" applyFill="0" applyBorder="0" applyAlignment="0" applyProtection="0">
      <alignment vertical="center"/>
    </xf>
    <xf numFmtId="0" fontId="9" fillId="3" borderId="4" applyNumberFormat="0" applyAlignment="0" applyProtection="0">
      <alignment vertical="center"/>
    </xf>
    <xf numFmtId="0" fontId="10" fillId="4" borderId="5" applyNumberFormat="0" applyAlignment="0" applyProtection="0">
      <alignment vertical="center"/>
    </xf>
    <xf numFmtId="0" fontId="11" fillId="4" borderId="4" applyNumberFormat="0" applyAlignment="0" applyProtection="0">
      <alignment vertical="center"/>
    </xf>
    <xf numFmtId="0" fontId="12" fillId="5" borderId="6" applyNumberFormat="0" applyAlignment="0" applyProtection="0">
      <alignment vertical="center"/>
    </xf>
    <xf numFmtId="0" fontId="13" fillId="0" borderId="7" applyNumberFormat="0" applyFill="0" applyAlignment="0" applyProtection="0">
      <alignment vertical="center"/>
    </xf>
    <xf numFmtId="0" fontId="14" fillId="0" borderId="8" applyNumberFormat="0" applyFill="0" applyAlignment="0" applyProtection="0">
      <alignment vertical="center"/>
    </xf>
    <xf numFmtId="0" fontId="15" fillId="6" borderId="0" applyNumberFormat="0" applyBorder="0" applyAlignment="0" applyProtection="0">
      <alignment vertical="center"/>
    </xf>
    <xf numFmtId="0" fontId="16" fillId="7" borderId="0" applyNumberFormat="0" applyBorder="0" applyAlignment="0" applyProtection="0">
      <alignment vertical="center"/>
    </xf>
    <xf numFmtId="0" fontId="17" fillId="8" borderId="0" applyNumberFormat="0" applyBorder="0" applyAlignment="0" applyProtection="0">
      <alignment vertical="center"/>
    </xf>
    <xf numFmtId="0" fontId="18" fillId="9" borderId="0" applyNumberFormat="0" applyBorder="0" applyAlignment="0" applyProtection="0">
      <alignment vertical="center"/>
    </xf>
    <xf numFmtId="0" fontId="19" fillId="10" borderId="0" applyNumberFormat="0" applyBorder="0" applyAlignment="0" applyProtection="0">
      <alignment vertical="center"/>
    </xf>
    <xf numFmtId="0" fontId="19" fillId="11" borderId="0" applyNumberFormat="0" applyBorder="0" applyAlignment="0" applyProtection="0">
      <alignment vertical="center"/>
    </xf>
    <xf numFmtId="0" fontId="18" fillId="12" borderId="0" applyNumberFormat="0" applyBorder="0" applyAlignment="0" applyProtection="0">
      <alignment vertical="center"/>
    </xf>
    <xf numFmtId="0" fontId="18" fillId="13" borderId="0" applyNumberFormat="0" applyBorder="0" applyAlignment="0" applyProtection="0">
      <alignment vertical="center"/>
    </xf>
    <xf numFmtId="0" fontId="19" fillId="14" borderId="0" applyNumberFormat="0" applyBorder="0" applyAlignment="0" applyProtection="0">
      <alignment vertical="center"/>
    </xf>
    <xf numFmtId="0" fontId="19" fillId="15" borderId="0" applyNumberFormat="0" applyBorder="0" applyAlignment="0" applyProtection="0">
      <alignment vertical="center"/>
    </xf>
    <xf numFmtId="0" fontId="18" fillId="16" borderId="0" applyNumberFormat="0" applyBorder="0" applyAlignment="0" applyProtection="0">
      <alignment vertical="center"/>
    </xf>
    <xf numFmtId="0" fontId="18" fillId="17" borderId="0" applyNumberFormat="0" applyBorder="0" applyAlignment="0" applyProtection="0">
      <alignment vertical="center"/>
    </xf>
    <xf numFmtId="0" fontId="19" fillId="18" borderId="0" applyNumberFormat="0" applyBorder="0" applyAlignment="0" applyProtection="0">
      <alignment vertical="center"/>
    </xf>
    <xf numFmtId="0" fontId="19" fillId="19" borderId="0" applyNumberFormat="0" applyBorder="0" applyAlignment="0" applyProtection="0">
      <alignment vertical="center"/>
    </xf>
    <xf numFmtId="0" fontId="18" fillId="20" borderId="0" applyNumberFormat="0" applyBorder="0" applyAlignment="0" applyProtection="0">
      <alignment vertical="center"/>
    </xf>
    <xf numFmtId="0" fontId="18" fillId="21" borderId="0" applyNumberFormat="0" applyBorder="0" applyAlignment="0" applyProtection="0">
      <alignment vertical="center"/>
    </xf>
    <xf numFmtId="0" fontId="19" fillId="22" borderId="0" applyNumberFormat="0" applyBorder="0" applyAlignment="0" applyProtection="0">
      <alignment vertical="center"/>
    </xf>
    <xf numFmtId="0" fontId="19" fillId="23" borderId="0" applyNumberFormat="0" applyBorder="0" applyAlignment="0" applyProtection="0">
      <alignment vertical="center"/>
    </xf>
    <xf numFmtId="0" fontId="18" fillId="24" borderId="0" applyNumberFormat="0" applyBorder="0" applyAlignment="0" applyProtection="0">
      <alignment vertical="center"/>
    </xf>
    <xf numFmtId="0" fontId="18" fillId="25" borderId="0" applyNumberFormat="0" applyBorder="0" applyAlignment="0" applyProtection="0">
      <alignment vertical="center"/>
    </xf>
    <xf numFmtId="0" fontId="19" fillId="26" borderId="0" applyNumberFormat="0" applyBorder="0" applyAlignment="0" applyProtection="0">
      <alignment vertical="center"/>
    </xf>
    <xf numFmtId="0" fontId="19" fillId="27" borderId="0" applyNumberFormat="0" applyBorder="0" applyAlignment="0" applyProtection="0">
      <alignment vertical="center"/>
    </xf>
    <xf numFmtId="0" fontId="18" fillId="28" borderId="0" applyNumberFormat="0" applyBorder="0" applyAlignment="0" applyProtection="0">
      <alignment vertical="center"/>
    </xf>
    <xf numFmtId="0" fontId="18" fillId="29" borderId="0" applyNumberFormat="0" applyBorder="0" applyAlignment="0" applyProtection="0">
      <alignment vertical="center"/>
    </xf>
    <xf numFmtId="0" fontId="19" fillId="30" borderId="0" applyNumberFormat="0" applyBorder="0" applyAlignment="0" applyProtection="0">
      <alignment vertical="center"/>
    </xf>
    <xf numFmtId="0" fontId="19" fillId="31" borderId="0" applyNumberFormat="0" applyBorder="0" applyAlignment="0" applyProtection="0">
      <alignment vertical="center"/>
    </xf>
    <xf numFmtId="0" fontId="18" fillId="32" borderId="0" applyNumberFormat="0" applyBorder="0" applyAlignment="0" applyProtection="0">
      <alignment vertical="center"/>
    </xf>
  </cellStyleXfs>
  <cellXfs count="1">
    <xf numFmtId="0" fontId="0" fillId="0" borderId="0" xfId="0">
      <alignment vertical="center"/>
    </xf>
  </cellXfs>
  <cellStyles count="49">
    <cellStyle name="Normal" xfId="0" builtinId="0"/>
    <cellStyle name="Comma" xfId="1" builtinId="3"/>
    <cellStyle name="Currency" xfId="2" builtinId="4"/>
    <cellStyle name="Percent" xfId="3" builtinId="5"/>
    <cellStyle name="Comma [0]" xfId="4" builtinId="6"/>
    <cellStyle name="Currency [0]" xfId="5" builtinId="7"/>
    <cellStyle name="Hyperlink" xfId="6" builtinId="8"/>
    <cellStyle name="Followed Hyperlink" xfId="7" builtinId="9"/>
    <cellStyle name="Note" xfId="8" builtinId="10"/>
    <cellStyle name="Warning Text" xfId="9" builtinId="11"/>
    <cellStyle name="Title" xfId="10" builtinId="15"/>
    <cellStyle name="CExplanatory Text" xfId="11" builtinId="53"/>
    <cellStyle name="Heading 1" xfId="12" builtinId="16"/>
    <cellStyle name="Heading 2" xfId="13" builtinId="17"/>
    <cellStyle name="Heading 3" xfId="14" builtinId="18"/>
    <cellStyle name="Heading 4" xfId="15" builtinId="19"/>
    <cellStyle name="Input" xfId="16" builtinId="20"/>
    <cellStyle name="Output" xfId="17" builtinId="21"/>
    <cellStyle name="Calculation" xfId="18" builtinId="22"/>
    <cellStyle name="Check Cell" xfId="19" builtinId="23"/>
    <cellStyle name="Linked Cell" xfId="20" builtinId="24"/>
    <cellStyle name="Total" xfId="21" builtinId="25"/>
    <cellStyle name="Good" xfId="22" builtinId="26"/>
    <cellStyle name="Bad" xfId="23" builtinId="27"/>
    <cellStyle name="Neutral" xfId="24" builtinId="28"/>
    <cellStyle name="Accent1" xfId="25" builtinId="29"/>
    <cellStyle name="20% - Accent1" xfId="26" builtinId="30"/>
    <cellStyle name="40% - Accent1" xfId="27" builtinId="31"/>
    <cellStyle name="60% - Accent1" xfId="28" builtinId="32"/>
    <cellStyle name="Accent2" xfId="29" builtinId="33"/>
    <cellStyle name="20% - Accent2" xfId="30" builtinId="34"/>
    <cellStyle name="40% - Accent2" xfId="31" builtinId="35"/>
    <cellStyle name="60% - Accent2" xfId="32" builtinId="36"/>
    <cellStyle name="Accent3" xfId="33" builtinId="37"/>
    <cellStyle name="20% - Accent3" xfId="34" builtinId="38"/>
    <cellStyle name="40% - Accent3" xfId="35" builtinId="39"/>
    <cellStyle name="60% - Accent3" xfId="36" builtinId="40"/>
    <cellStyle name="Accent4" xfId="37" builtinId="41"/>
    <cellStyle name="20% - Accent4" xfId="38" builtinId="42"/>
    <cellStyle name="40% - Accent4" xfId="39" builtinId="43"/>
    <cellStyle name="60% - Accent4" xfId="40" builtinId="44"/>
    <cellStyle name="Accent5" xfId="41" builtinId="45"/>
    <cellStyle name="20% - Accent5" xfId="42" builtinId="46"/>
    <cellStyle name="40% - Accent5" xfId="43" builtinId="47"/>
    <cellStyle name="60% - Accent5" xfId="44" builtinId="48"/>
    <cellStyle name="Accent6" xfId="45" builtinId="49"/>
    <cellStyle name="20% - Accent6" xfId="46" builtinId="50"/>
    <cellStyle name="40% - Accent6" xfId="47" builtinId="51"/>
    <cellStyle name="60% - Accent6" xfId="48" builtinId="52"/>
  </cellStyles>
  <dxfs count="17">
    <dxf>
      <fill>
        <patternFill patternType="solid">
          <fgColor theme="4" tint="0.799981688894314"/>
          <bgColor theme="4" tint="0.799981688894314"/>
        </patternFill>
      </fill>
    </dxf>
    <dxf>
      <fill>
        <patternFill patternType="solid">
          <fgColor theme="4" tint="0.799981688894314"/>
          <bgColor theme="4" tint="0.799981688894314"/>
        </patternFill>
      </fill>
    </dxf>
    <dxf>
      <font>
        <b val="1"/>
        <color theme="1"/>
      </font>
    </dxf>
    <dxf>
      <font>
        <b val="1"/>
        <color theme="1"/>
      </font>
    </dxf>
    <dxf>
      <font>
        <b val="1"/>
        <color theme="1"/>
      </font>
      <border>
        <top style="double">
          <color theme="4"/>
        </top>
      </border>
    </dxf>
    <dxf>
      <font>
        <b val="1"/>
        <color theme="0"/>
      </font>
      <fill>
        <patternFill patternType="solid">
          <fgColor theme="4"/>
          <bgColor theme="4"/>
        </patternFill>
      </fill>
    </dxf>
    <dxf>
      <font>
        <color theme="1"/>
      </font>
      <border>
        <left style="thin">
          <color theme="4"/>
        </left>
        <right style="thin">
          <color theme="4"/>
        </right>
        <top style="thin">
          <color theme="4"/>
        </top>
        <bottom style="thin">
          <color theme="4"/>
        </bottom>
        <horizontal style="thin">
          <color theme="4" tint="0.399975585192419"/>
        </horizontal>
      </border>
    </dxf>
    <dxf>
      <fill>
        <patternFill patternType="solid">
          <fgColor theme="4" tint="0.799981688894314"/>
          <bgColor theme="4" tint="0.799981688894314"/>
        </patternFill>
      </fill>
      <border>
        <bottom style="thin">
          <color theme="4" tint="0.399975585192419"/>
        </bottom>
      </border>
    </dxf>
    <dxf>
      <font>
        <b val="1"/>
      </font>
      <fill>
        <patternFill patternType="solid">
          <fgColor theme="4" tint="0.799981688894314"/>
          <bgColor theme="4" tint="0.799981688894314"/>
        </patternFill>
      </fill>
      <border>
        <bottom style="thin">
          <color theme="4" tint="0.399975585192419"/>
        </bottom>
      </border>
    </dxf>
    <dxf>
      <font>
        <color theme="1"/>
      </font>
    </dxf>
    <dxf>
      <font>
        <color theme="1"/>
      </font>
      <border>
        <bottom style="thin">
          <color theme="4" tint="0.399975585192419"/>
        </bottom>
      </border>
    </dxf>
    <dxf>
      <font>
        <b val="1"/>
        <color theme="1"/>
      </font>
    </dxf>
    <dxf>
      <font>
        <b val="1"/>
        <color theme="1"/>
      </font>
      <border>
        <top style="thin">
          <color theme="4"/>
        </top>
        <bottom style="thin">
          <color theme="4"/>
        </bottom>
      </border>
    </dxf>
    <dxf>
      <fill>
        <patternFill patternType="solid">
          <fgColor theme="4" tint="0.799981688894314"/>
          <bgColor theme="4" tint="0.799981688894314"/>
        </patternFill>
      </fill>
    </dxf>
    <dxf>
      <fill>
        <patternFill patternType="solid">
          <fgColor theme="4" tint="0.799981688894314"/>
          <bgColor theme="4" tint="0.799981688894314"/>
        </patternFill>
      </fill>
    </dxf>
    <dxf>
      <font>
        <b val="1"/>
        <color theme="1"/>
      </font>
      <fill>
        <patternFill patternType="solid">
          <fgColor theme="4" tint="0.799981688894314"/>
          <bgColor theme="4" tint="0.799981688894314"/>
        </patternFill>
      </fill>
      <border>
        <top style="thin">
          <color theme="4" tint="0.399975585192419"/>
        </top>
        <bottom style="thin">
          <color theme="4" tint="0.399975585192419"/>
        </bottom>
      </border>
    </dxf>
    <dxf>
      <font>
        <b val="1"/>
        <color theme="1"/>
      </font>
      <fill>
        <patternFill patternType="solid">
          <fgColor theme="4" tint="0.799981688894314"/>
          <bgColor theme="4" tint="0.799981688894314"/>
        </patternFill>
      </fill>
      <border>
        <bottom style="thin">
          <color theme="4" tint="0.399975585192419"/>
        </bottom>
      </border>
    </dxf>
  </dxfs>
  <tableStyles count="2" defaultTableStyle="TableStylePreset3_Accent1" defaultPivotStyle="PivotStylePreset2_Accent1">
    <tableStyle name="TableStylePreset3_Accent1" pivot="0" count="7" xr9:uid="{59DB682C-5494-4EDE-A608-00C9E5F0F923}">
      <tableStyleElement type="wholeTable" dxfId="6"/>
      <tableStyleElement type="headerRow" dxfId="5"/>
      <tableStyleElement type="totalRow" dxfId="4"/>
      <tableStyleElement type="firstColumn" dxfId="3"/>
      <tableStyleElement type="lastColumn" dxfId="2"/>
      <tableStyleElement type="firstRowStripe" dxfId="1"/>
      <tableStyleElement type="firstColumnStripe" dxfId="0"/>
    </tableStyle>
    <tableStyle name="PivotStylePreset2_Accent1" table="0" count="10" xr9:uid="{267968C8-6FFD-4C36-ACC1-9EA1FD1885CA}">
      <tableStyleElement type="headerRow" dxfId="16"/>
      <tableStyleElement type="totalRow" dxfId="15"/>
      <tableStyleElement type="firstRowStripe" dxfId="14"/>
      <tableStyleElement type="firstColumnStripe" dxfId="13"/>
      <tableStyleElement type="firstSubtotalRow" dxfId="12"/>
      <tableStyleElement type="secondSubtotalRow" dxfId="11"/>
      <tableStyleElement type="firstRowSubheading" dxfId="10"/>
      <tableStyleElement type="secondRowSubheading" dxfId="9"/>
      <tableStyleElement type="pageFieldLabels" dxfId="8"/>
      <tableStyleElement type="pageFieldValues" dxfId="7"/>
    </tableStyle>
  </tableStyles>
  <extLst>
    <ext xmlns:x14="http://schemas.microsoft.com/office/spreadsheetml/2009/9/main" uri="{EB79DEF2-80B8-43e5-95BD-54CBDDF9020C}">
      <x14:slicerStyles defaultSlicerStyle="SlicerStyleLight1"/>
    </ext>
  </extLst>
</styleSheet>
</file>

<file path=xl/_rels/workbook.xml.rels><?xml version="1.0" encoding="UTF-8" standalone="yes"?>
<Relationships xmlns="http://schemas.openxmlformats.org/package/2006/relationships"><Relationship Id="rId9" Type="http://schemas.openxmlformats.org/officeDocument/2006/relationships/sharedStrings" Target="sharedStrings.xml"/><Relationship Id="rId8" Type="http://schemas.openxmlformats.org/officeDocument/2006/relationships/theme" Target="theme/theme1.xml"/><Relationship Id="rId7" Type="http://schemas.openxmlformats.org/officeDocument/2006/relationships/worksheet" Target="worksheets/sheet7.xml"/><Relationship Id="rId6" Type="http://schemas.openxmlformats.org/officeDocument/2006/relationships/worksheet" Target="worksheets/sheet6.xml"/><Relationship Id="rId5" Type="http://schemas.openxmlformats.org/officeDocument/2006/relationships/worksheet" Target="worksheets/sheet5.xml"/><Relationship Id="rId4" Type="http://schemas.openxmlformats.org/officeDocument/2006/relationships/worksheet" Target="worksheets/sheet4.xml"/><Relationship Id="rId3" Type="http://schemas.openxmlformats.org/officeDocument/2006/relationships/worksheet" Target="worksheets/sheet3.xml"/><Relationship Id="rId2" Type="http://schemas.openxmlformats.org/officeDocument/2006/relationships/worksheet" Target="worksheets/sheet2.xml"/><Relationship Id="rId10" Type="http://schemas.openxmlformats.org/officeDocument/2006/relationships/styles" Target="styles.xml"/><Relationship Id="rId1" Type="http://schemas.openxmlformats.org/officeDocument/2006/relationships/worksheet" Target="worksheets/sheet1.xml"/></Relationships>
</file>

<file path=xl/theme/theme1.xml><?xml version="1.0" encoding="utf-8"?>
<a:theme xmlns:a="http://schemas.openxmlformats.org/drawingml/2006/main" name="Offic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</a:theme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etc="http://www.wps.cn/officeDocument/2017/etCustomData">
  <sheetPr/>
  <dimension ref="A1:C33"/>
  <sheetViews>
    <sheetView topLeftCell="A6" workbookViewId="0">
      <selection activeCell="A23" sqref="A23"/>
    </sheetView>
  </sheetViews>
  <sheetFormatPr defaultColWidth="8.72727272727273" defaultRowHeight="14.5" outlineLevelCol="2"/>
  <cols>
    <col min="1" max="1" width="8.54545454545454" customWidth="1"/>
    <col min="2" max="2" width="14" customWidth="1"/>
    <col min="3" max="3" width="13.6363636363636" customWidth="1"/>
  </cols>
  <sheetData>
    <row r="1" spans="1:3">
      <c r="A1" t="s">
        <v>0</v>
      </c>
      <c r="B1" t="s">
        <v>1</v>
      </c>
      <c r="C1" t="s">
        <v>2</v>
      </c>
    </row>
    <row r="2" spans="1:3">
      <c r="A2" t="s">
        <v>3</v>
      </c>
      <c r="B2">
        <v>4000000</v>
      </c>
      <c r="C2">
        <v>12525656</v>
      </c>
    </row>
    <row r="3" spans="1:3">
      <c r="A3" t="s">
        <v>4</v>
      </c>
      <c r="B3">
        <v>0</v>
      </c>
      <c r="C3">
        <v>3031200</v>
      </c>
    </row>
    <row r="4" spans="1:3">
      <c r="A4" t="s">
        <v>5</v>
      </c>
      <c r="B4">
        <v>822946.97</v>
      </c>
      <c r="C4">
        <v>823500</v>
      </c>
    </row>
    <row r="5" spans="1:3">
      <c r="A5" t="s">
        <v>6</v>
      </c>
      <c r="B5">
        <v>1478362</v>
      </c>
      <c r="C5">
        <v>1478362.5</v>
      </c>
    </row>
    <row r="6" spans="1:3">
      <c r="A6" t="s">
        <v>7</v>
      </c>
      <c r="B6">
        <v>0</v>
      </c>
      <c r="C6">
        <v>440000</v>
      </c>
    </row>
    <row r="7" spans="1:3">
      <c r="A7" t="s">
        <v>8</v>
      </c>
      <c r="B7">
        <v>0</v>
      </c>
      <c r="C7">
        <v>100000</v>
      </c>
    </row>
    <row r="8" spans="1:3">
      <c r="A8" t="s">
        <v>9</v>
      </c>
      <c r="B8">
        <v>870929</v>
      </c>
      <c r="C8">
        <v>870929.47</v>
      </c>
    </row>
    <row r="9" spans="1:3">
      <c r="A9" t="s">
        <v>10</v>
      </c>
      <c r="B9">
        <v>11532500</v>
      </c>
      <c r="C9">
        <v>15498045</v>
      </c>
    </row>
    <row r="10" spans="1:3">
      <c r="A10" t="s">
        <v>11</v>
      </c>
      <c r="B10">
        <v>0</v>
      </c>
      <c r="C10">
        <v>4235</v>
      </c>
    </row>
    <row r="11" spans="1:3">
      <c r="A11" t="s">
        <v>12</v>
      </c>
      <c r="B11">
        <v>0</v>
      </c>
      <c r="C11">
        <v>71500</v>
      </c>
    </row>
    <row r="12" spans="1:3">
      <c r="A12" t="s">
        <v>13</v>
      </c>
      <c r="B12">
        <v>0</v>
      </c>
      <c r="C12">
        <v>873718</v>
      </c>
    </row>
    <row r="13" spans="1:3">
      <c r="A13" t="s">
        <v>14</v>
      </c>
      <c r="B13">
        <v>52557</v>
      </c>
      <c r="C13">
        <v>105114</v>
      </c>
    </row>
    <row r="14" spans="1:3">
      <c r="A14" t="s">
        <v>15</v>
      </c>
      <c r="B14">
        <v>0</v>
      </c>
      <c r="C14">
        <v>1014046</v>
      </c>
    </row>
    <row r="15" spans="1:3">
      <c r="A15" t="s">
        <v>16</v>
      </c>
      <c r="B15">
        <v>3705921</v>
      </c>
      <c r="C15">
        <v>3701171.45</v>
      </c>
    </row>
    <row r="16" spans="1:3">
      <c r="A16" t="s">
        <v>17</v>
      </c>
      <c r="B16">
        <v>0</v>
      </c>
      <c r="C16">
        <v>2580160</v>
      </c>
    </row>
    <row r="17" spans="1:3">
      <c r="A17" t="s">
        <v>18</v>
      </c>
      <c r="B17">
        <v>13936040</v>
      </c>
      <c r="C17">
        <v>10725200</v>
      </c>
    </row>
    <row r="18" spans="1:3">
      <c r="A18" t="s">
        <v>19</v>
      </c>
      <c r="B18">
        <v>2600192</v>
      </c>
      <c r="C18">
        <v>2751197.6</v>
      </c>
    </row>
    <row r="19" spans="1:3">
      <c r="A19" t="s">
        <v>20</v>
      </c>
      <c r="B19">
        <v>2728972.4</v>
      </c>
      <c r="C19">
        <v>2778994.9</v>
      </c>
    </row>
    <row r="20" spans="1:3">
      <c r="A20" t="s">
        <v>21</v>
      </c>
      <c r="B20">
        <v>650000</v>
      </c>
      <c r="C20">
        <v>680000</v>
      </c>
    </row>
    <row r="21" spans="1:3">
      <c r="A21" t="s">
        <v>22</v>
      </c>
      <c r="B21">
        <v>5333936</v>
      </c>
      <c r="C21">
        <v>10667872.81</v>
      </c>
    </row>
    <row r="22" spans="1:3">
      <c r="A22" t="s">
        <v>23</v>
      </c>
      <c r="B22">
        <v>0</v>
      </c>
      <c r="C22">
        <v>835524</v>
      </c>
    </row>
    <row r="23" spans="1:3">
      <c r="A23" t="s">
        <v>24</v>
      </c>
      <c r="B23">
        <v>0</v>
      </c>
      <c r="C23">
        <v>1721092.49</v>
      </c>
    </row>
    <row r="24" spans="1:3">
      <c r="A24" t="s">
        <v>25</v>
      </c>
      <c r="B24">
        <v>94071.96</v>
      </c>
      <c r="C24">
        <v>94072</v>
      </c>
    </row>
    <row r="25" spans="1:3">
      <c r="A25" t="s">
        <v>26</v>
      </c>
      <c r="B25">
        <v>375100</v>
      </c>
      <c r="C25">
        <v>342650</v>
      </c>
    </row>
    <row r="26" spans="1:3">
      <c r="A26" t="s">
        <v>27</v>
      </c>
      <c r="B26">
        <v>0</v>
      </c>
      <c r="C26">
        <v>12000000</v>
      </c>
    </row>
    <row r="27" spans="1:3">
      <c r="A27" t="s">
        <v>28</v>
      </c>
      <c r="B27">
        <v>0</v>
      </c>
      <c r="C27">
        <v>12000000</v>
      </c>
    </row>
    <row r="28" spans="1:3">
      <c r="A28" t="s">
        <v>29</v>
      </c>
      <c r="B28">
        <v>0</v>
      </c>
      <c r="C28">
        <v>15300000</v>
      </c>
    </row>
    <row r="29" spans="1:3">
      <c r="A29" t="s">
        <v>30</v>
      </c>
      <c r="B29">
        <v>3500020</v>
      </c>
      <c r="C29">
        <v>4180020</v>
      </c>
    </row>
    <row r="30" spans="1:3">
      <c r="A30" t="s">
        <v>31</v>
      </c>
      <c r="B30">
        <v>0</v>
      </c>
      <c r="C30">
        <v>1372057.5</v>
      </c>
    </row>
    <row r="31" spans="1:3">
      <c r="A31" t="s">
        <v>32</v>
      </c>
      <c r="B31">
        <v>0</v>
      </c>
      <c r="C31">
        <v>3011623.2</v>
      </c>
    </row>
    <row r="32" spans="1:3">
      <c r="A32" t="s">
        <v>33</v>
      </c>
      <c r="B32">
        <v>0</v>
      </c>
      <c r="C32">
        <v>1197840</v>
      </c>
    </row>
    <row r="33" spans="1:3">
      <c r="A33" t="s">
        <v>34</v>
      </c>
      <c r="B33">
        <v>0</v>
      </c>
      <c r="C33">
        <v>660000</v>
      </c>
    </row>
  </sheetData>
  <pageMargins left="0.75" right="0.75" top="1" bottom="1" header="0.5" footer="0.5"/>
  <headerFooter/>
</worksheet>
</file>

<file path=xl/worksheets/sheet2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etc="http://www.wps.cn/officeDocument/2017/etCustomData">
  <sheetPr/>
  <dimension ref="A1:C20"/>
  <sheetViews>
    <sheetView tabSelected="1" workbookViewId="0">
      <selection activeCell="I11" sqref="I11"/>
    </sheetView>
  </sheetViews>
  <sheetFormatPr defaultColWidth="8.72727272727273" defaultRowHeight="14.5" outlineLevelCol="2"/>
  <cols>
    <col min="2" max="2" width="17.5454545454545" customWidth="1"/>
    <col min="3" max="3" width="11.7272727272727"/>
  </cols>
  <sheetData>
    <row r="1" spans="1:3">
      <c r="A1" t="s">
        <v>0</v>
      </c>
      <c r="B1" t="s">
        <v>35</v>
      </c>
      <c r="C1" t="s">
        <v>36</v>
      </c>
    </row>
    <row r="2" spans="1:3">
      <c r="A2" t="s">
        <v>11</v>
      </c>
      <c r="B2">
        <v>0</v>
      </c>
      <c r="C2">
        <v>4235</v>
      </c>
    </row>
    <row r="3" spans="1:3">
      <c r="A3" t="s">
        <v>13</v>
      </c>
      <c r="B3">
        <v>0</v>
      </c>
      <c r="C3">
        <v>873718</v>
      </c>
    </row>
    <row r="4" spans="1:3">
      <c r="A4" t="s">
        <v>37</v>
      </c>
      <c r="B4">
        <v>0</v>
      </c>
      <c r="C4">
        <v>644498</v>
      </c>
    </row>
    <row r="5" spans="1:3">
      <c r="A5" t="s">
        <v>19</v>
      </c>
      <c r="B5">
        <v>0</v>
      </c>
      <c r="C5">
        <v>151005.6</v>
      </c>
    </row>
    <row r="6" spans="1:3">
      <c r="A6" t="s">
        <v>24</v>
      </c>
      <c r="B6">
        <v>0</v>
      </c>
      <c r="C6">
        <v>1721092.49</v>
      </c>
    </row>
    <row r="7" spans="1:3">
      <c r="A7" t="s">
        <v>25</v>
      </c>
      <c r="B7">
        <v>94071.96</v>
      </c>
      <c r="C7">
        <v>94072</v>
      </c>
    </row>
    <row r="8" spans="1:3">
      <c r="A8" t="s">
        <v>30</v>
      </c>
      <c r="B8">
        <v>0</v>
      </c>
      <c r="C8">
        <v>680000</v>
      </c>
    </row>
    <row r="9" spans="1:3">
      <c r="A9" t="s">
        <v>31</v>
      </c>
      <c r="B9">
        <v>0</v>
      </c>
      <c r="C9">
        <v>1372057.5</v>
      </c>
    </row>
    <row r="10" spans="1:3">
      <c r="A10" t="s">
        <v>38</v>
      </c>
      <c r="B10">
        <v>0</v>
      </c>
      <c r="C10">
        <v>11000</v>
      </c>
    </row>
    <row r="11" spans="1:3">
      <c r="A11" t="s">
        <v>39</v>
      </c>
      <c r="B11">
        <v>0</v>
      </c>
      <c r="C11">
        <v>7892880</v>
      </c>
    </row>
    <row r="12" spans="1:3">
      <c r="A12" t="s">
        <v>40</v>
      </c>
      <c r="B12">
        <v>0</v>
      </c>
      <c r="C12">
        <v>3416869.5</v>
      </c>
    </row>
    <row r="13" spans="1:3">
      <c r="A13" t="s">
        <v>41</v>
      </c>
      <c r="B13">
        <v>0</v>
      </c>
      <c r="C13">
        <v>1568753</v>
      </c>
    </row>
    <row r="14" spans="1:3">
      <c r="A14" t="s">
        <v>32</v>
      </c>
      <c r="B14">
        <v>0</v>
      </c>
      <c r="C14">
        <v>3011623.2</v>
      </c>
    </row>
    <row r="15" spans="1:3">
      <c r="A15" t="s">
        <v>42</v>
      </c>
      <c r="B15">
        <v>0</v>
      </c>
      <c r="C15">
        <v>928816</v>
      </c>
    </row>
    <row r="16" spans="1:3">
      <c r="A16" t="s">
        <v>33</v>
      </c>
      <c r="B16">
        <v>5855518</v>
      </c>
      <c r="C16">
        <v>7053358</v>
      </c>
    </row>
    <row r="17" spans="1:3">
      <c r="A17" t="s">
        <v>43</v>
      </c>
      <c r="B17">
        <v>0</v>
      </c>
      <c r="C17">
        <v>1792010</v>
      </c>
    </row>
    <row r="18" spans="1:3">
      <c r="A18" t="s">
        <v>44</v>
      </c>
      <c r="B18">
        <v>0</v>
      </c>
      <c r="C18">
        <v>10700000</v>
      </c>
    </row>
    <row r="19" spans="1:3">
      <c r="A19" t="s">
        <v>45</v>
      </c>
      <c r="B19">
        <v>19482480</v>
      </c>
      <c r="C19">
        <v>23332480</v>
      </c>
    </row>
    <row r="20" spans="1:3">
      <c r="A20" t="s">
        <v>34</v>
      </c>
      <c r="B20">
        <v>0</v>
      </c>
      <c r="C20">
        <v>660000</v>
      </c>
    </row>
  </sheetData>
  <pageMargins left="0.75" right="0.75" top="1" bottom="1" header="0.5" footer="0.5"/>
  <headerFooter/>
</worksheet>
</file>

<file path=xl/worksheets/sheet3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etc="http://www.wps.cn/officeDocument/2017/etCustomData">
  <sheetPr/>
  <dimension ref="A1:C11"/>
  <sheetViews>
    <sheetView workbookViewId="0">
      <selection activeCell="A1" sqref="A1:C1"/>
    </sheetView>
  </sheetViews>
  <sheetFormatPr defaultColWidth="8.72727272727273" defaultRowHeight="14.5" outlineLevelCol="2"/>
  <cols>
    <col min="2" max="2" width="20.4545454545455" customWidth="1"/>
    <col min="3" max="3" width="10.5454545454545"/>
  </cols>
  <sheetData>
    <row r="1" spans="1:3">
      <c r="A1" t="s">
        <v>0</v>
      </c>
      <c r="B1" t="s">
        <v>46</v>
      </c>
      <c r="C1" t="s">
        <v>47</v>
      </c>
    </row>
    <row r="2" spans="1:3">
      <c r="A2" t="s">
        <v>48</v>
      </c>
      <c r="B2">
        <v>5998107</v>
      </c>
      <c r="C2">
        <v>5907348</v>
      </c>
    </row>
    <row r="3" spans="1:3">
      <c r="A3" t="s">
        <v>27</v>
      </c>
      <c r="B3">
        <v>10634</v>
      </c>
      <c r="C3">
        <v>0</v>
      </c>
    </row>
    <row r="4" spans="1:3">
      <c r="A4" t="s">
        <v>28</v>
      </c>
      <c r="B4">
        <v>24408</v>
      </c>
      <c r="C4">
        <v>0</v>
      </c>
    </row>
    <row r="5" spans="1:3">
      <c r="A5" t="s">
        <v>29</v>
      </c>
      <c r="B5">
        <v>8163</v>
      </c>
      <c r="C5">
        <v>0</v>
      </c>
    </row>
    <row r="6" spans="1:3">
      <c r="A6" t="s">
        <v>30</v>
      </c>
      <c r="B6">
        <v>2839466</v>
      </c>
      <c r="C6">
        <v>2820020</v>
      </c>
    </row>
    <row r="7" spans="1:3">
      <c r="A7" t="s">
        <v>49</v>
      </c>
      <c r="B7">
        <v>290</v>
      </c>
      <c r="C7">
        <v>0</v>
      </c>
    </row>
    <row r="8" spans="1:3">
      <c r="A8" t="s">
        <v>50</v>
      </c>
      <c r="B8">
        <v>3602429.6</v>
      </c>
      <c r="C8">
        <v>3600229.6</v>
      </c>
    </row>
    <row r="9" spans="1:3">
      <c r="A9" t="s">
        <v>51</v>
      </c>
      <c r="B9">
        <v>6623</v>
      </c>
      <c r="C9">
        <v>0</v>
      </c>
    </row>
    <row r="10" spans="1:3">
      <c r="A10" t="s">
        <v>52</v>
      </c>
      <c r="B10">
        <v>6346</v>
      </c>
      <c r="C10">
        <v>0</v>
      </c>
    </row>
    <row r="11" spans="1:3">
      <c r="A11" t="s">
        <v>53</v>
      </c>
      <c r="B11">
        <v>190438.5</v>
      </c>
      <c r="C11">
        <v>0</v>
      </c>
    </row>
  </sheetData>
  <pageMargins left="0.75" right="0.75" top="1" bottom="1" header="0.5" footer="0.5"/>
  <headerFooter/>
</worksheet>
</file>

<file path=xl/worksheets/sheet4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etc="http://www.wps.cn/officeDocument/2017/etCustomData">
  <sheetPr/>
  <dimension ref="A1:C2"/>
  <sheetViews>
    <sheetView workbookViewId="0">
      <selection activeCell="H8" sqref="H8"/>
    </sheetView>
  </sheetViews>
  <sheetFormatPr defaultColWidth="8.72727272727273" defaultRowHeight="14.5" outlineLevelRow="1" outlineLevelCol="2"/>
  <cols>
    <col min="2" max="2" width="15.6363636363636" customWidth="1"/>
    <col min="3" max="3" width="15.2727272727273" customWidth="1"/>
  </cols>
  <sheetData>
    <row r="1" spans="1:3">
      <c r="A1" t="s">
        <v>0</v>
      </c>
      <c r="B1" t="s">
        <v>54</v>
      </c>
      <c r="C1" t="s">
        <v>55</v>
      </c>
    </row>
    <row r="2" spans="1:3">
      <c r="A2" t="s">
        <v>31</v>
      </c>
      <c r="B2">
        <v>0</v>
      </c>
      <c r="C2">
        <v>1372057.5</v>
      </c>
    </row>
  </sheetData>
  <pageMargins left="0.75" right="0.75" top="1" bottom="1" header="0.5" footer="0.5"/>
  <headerFooter/>
</worksheet>
</file>

<file path=xl/worksheets/sheet5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etc="http://www.wps.cn/officeDocument/2017/etCustomData">
  <sheetPr/>
  <dimension ref="A1:E80"/>
  <sheetViews>
    <sheetView workbookViewId="0">
      <selection activeCell="E8" sqref="E8"/>
    </sheetView>
  </sheetViews>
  <sheetFormatPr defaultColWidth="8.72727272727273" defaultRowHeight="14.5" outlineLevelCol="4"/>
  <cols>
    <col min="2" max="2" width="12.8181818181818" customWidth="1"/>
    <col min="3" max="3" width="17.7272727272727" customWidth="1"/>
  </cols>
  <sheetData>
    <row r="1" spans="1:3">
      <c r="A1" t="s">
        <v>0</v>
      </c>
      <c r="B1" t="s">
        <v>56</v>
      </c>
      <c r="C1" t="s">
        <v>57</v>
      </c>
    </row>
    <row r="2" spans="1:3">
      <c r="A2" t="s">
        <v>58</v>
      </c>
      <c r="B2">
        <v>218856</v>
      </c>
      <c r="C2">
        <v>221945</v>
      </c>
    </row>
    <row r="3" spans="1:3">
      <c r="A3" t="s">
        <v>59</v>
      </c>
      <c r="B3">
        <v>603426</v>
      </c>
      <c r="C3">
        <v>0</v>
      </c>
    </row>
    <row r="4" spans="1:3">
      <c r="A4" t="s">
        <v>60</v>
      </c>
      <c r="B4">
        <v>0</v>
      </c>
      <c r="C4">
        <v>75000</v>
      </c>
    </row>
    <row r="5" spans="1:3">
      <c r="A5" t="s">
        <v>61</v>
      </c>
      <c r="B5">
        <v>1570920</v>
      </c>
      <c r="C5">
        <v>1578905</v>
      </c>
    </row>
    <row r="6" spans="1:5">
      <c r="A6" t="s">
        <v>62</v>
      </c>
      <c r="B6">
        <v>265000</v>
      </c>
      <c r="C6">
        <v>266143</v>
      </c>
      <c r="E6">
        <f>B6+1143</f>
        <v>266143</v>
      </c>
    </row>
    <row r="7" spans="1:5">
      <c r="A7" t="s">
        <v>63</v>
      </c>
      <c r="B7">
        <v>124750</v>
      </c>
      <c r="C7">
        <v>136979</v>
      </c>
      <c r="E7">
        <f>C7+8129</f>
        <v>145108</v>
      </c>
    </row>
    <row r="8" spans="1:3">
      <c r="A8" t="s">
        <v>64</v>
      </c>
      <c r="B8">
        <v>0</v>
      </c>
      <c r="C8">
        <v>6379</v>
      </c>
    </row>
    <row r="9" spans="1:3">
      <c r="A9" t="s">
        <v>65</v>
      </c>
      <c r="B9">
        <v>443795</v>
      </c>
      <c r="C9">
        <v>451057</v>
      </c>
    </row>
    <row r="10" spans="1:3">
      <c r="A10" t="s">
        <v>66</v>
      </c>
      <c r="B10">
        <v>899727.19</v>
      </c>
      <c r="C10">
        <v>899726.73</v>
      </c>
    </row>
    <row r="11" spans="1:3">
      <c r="A11" t="s">
        <v>67</v>
      </c>
      <c r="B11">
        <v>410540</v>
      </c>
      <c r="C11">
        <v>1021316</v>
      </c>
    </row>
    <row r="12" spans="1:3">
      <c r="A12" t="s">
        <v>68</v>
      </c>
      <c r="B12">
        <v>560504</v>
      </c>
      <c r="C12">
        <v>569191.04</v>
      </c>
    </row>
    <row r="13" spans="1:3">
      <c r="A13" t="s">
        <v>69</v>
      </c>
      <c r="B13">
        <v>860280</v>
      </c>
      <c r="C13">
        <v>865381</v>
      </c>
    </row>
    <row r="14" spans="1:3">
      <c r="A14" t="s">
        <v>70</v>
      </c>
      <c r="B14">
        <v>0</v>
      </c>
      <c r="C14">
        <v>5758</v>
      </c>
    </row>
    <row r="15" spans="1:3">
      <c r="A15" t="s">
        <v>71</v>
      </c>
      <c r="B15">
        <v>766857.42</v>
      </c>
      <c r="C15">
        <v>9431153.77</v>
      </c>
    </row>
    <row r="16" spans="1:3">
      <c r="A16" t="s">
        <v>72</v>
      </c>
      <c r="B16">
        <v>1537420</v>
      </c>
      <c r="C16">
        <v>1547166</v>
      </c>
    </row>
    <row r="17" spans="1:3">
      <c r="A17" t="s">
        <v>73</v>
      </c>
      <c r="B17">
        <v>3000</v>
      </c>
      <c r="C17">
        <v>6130</v>
      </c>
    </row>
    <row r="18" spans="1:3">
      <c r="A18" t="s">
        <v>13</v>
      </c>
      <c r="B18">
        <v>508068.78</v>
      </c>
      <c r="C18">
        <v>521017.88</v>
      </c>
    </row>
    <row r="19" spans="1:3">
      <c r="A19" t="s">
        <v>74</v>
      </c>
      <c r="B19">
        <v>373500</v>
      </c>
      <c r="C19">
        <v>374412</v>
      </c>
    </row>
    <row r="20" spans="1:3">
      <c r="A20" t="s">
        <v>75</v>
      </c>
      <c r="B20">
        <v>74720.82</v>
      </c>
      <c r="C20">
        <v>77012.82</v>
      </c>
    </row>
    <row r="21" spans="1:3">
      <c r="A21" t="s">
        <v>76</v>
      </c>
      <c r="B21">
        <v>198200</v>
      </c>
      <c r="C21">
        <v>253014.5</v>
      </c>
    </row>
    <row r="22" spans="1:3">
      <c r="A22" t="s">
        <v>48</v>
      </c>
      <c r="B22">
        <v>2848783.54</v>
      </c>
      <c r="C22">
        <v>2991402.18</v>
      </c>
    </row>
    <row r="23" spans="1:3">
      <c r="A23" t="s">
        <v>15</v>
      </c>
      <c r="B23">
        <v>705944</v>
      </c>
      <c r="C23">
        <v>708765</v>
      </c>
    </row>
    <row r="24" spans="1:3">
      <c r="A24" t="s">
        <v>77</v>
      </c>
      <c r="B24">
        <v>534310.5</v>
      </c>
      <c r="C24">
        <v>712151.24</v>
      </c>
    </row>
    <row r="25" spans="1:3">
      <c r="A25" t="s">
        <v>37</v>
      </c>
      <c r="B25">
        <v>560310</v>
      </c>
      <c r="C25">
        <v>561491</v>
      </c>
    </row>
    <row r="26" spans="1:3">
      <c r="A26" t="s">
        <v>78</v>
      </c>
      <c r="B26">
        <v>511685</v>
      </c>
      <c r="C26">
        <v>551803</v>
      </c>
    </row>
    <row r="27" spans="1:3">
      <c r="A27" t="s">
        <v>79</v>
      </c>
      <c r="B27">
        <v>120826.06</v>
      </c>
      <c r="C27">
        <v>620826.06</v>
      </c>
    </row>
    <row r="28" spans="1:3">
      <c r="A28" t="s">
        <v>80</v>
      </c>
      <c r="B28">
        <v>2700</v>
      </c>
      <c r="C28">
        <v>3006</v>
      </c>
    </row>
    <row r="29" spans="1:3">
      <c r="A29" t="s">
        <v>19</v>
      </c>
      <c r="B29">
        <v>1248960</v>
      </c>
      <c r="C29">
        <v>1256398</v>
      </c>
    </row>
    <row r="30" spans="1:3">
      <c r="A30" t="s">
        <v>20</v>
      </c>
      <c r="B30">
        <v>1768272.98</v>
      </c>
      <c r="C30">
        <v>2025813.57</v>
      </c>
    </row>
    <row r="31" spans="1:3">
      <c r="A31" t="s">
        <v>81</v>
      </c>
      <c r="B31">
        <v>0</v>
      </c>
      <c r="C31">
        <v>9728.8</v>
      </c>
    </row>
    <row r="32" spans="1:3">
      <c r="A32" t="s">
        <v>22</v>
      </c>
      <c r="B32">
        <v>3147394</v>
      </c>
      <c r="C32">
        <v>3377971.05</v>
      </c>
    </row>
    <row r="33" spans="1:3">
      <c r="A33" t="s">
        <v>82</v>
      </c>
      <c r="B33">
        <v>398548</v>
      </c>
      <c r="C33">
        <v>488131.99</v>
      </c>
    </row>
    <row r="34" spans="1:3">
      <c r="A34" t="s">
        <v>23</v>
      </c>
      <c r="B34">
        <v>236500</v>
      </c>
      <c r="C34">
        <v>258689.94</v>
      </c>
    </row>
    <row r="35" spans="1:3">
      <c r="A35" t="s">
        <v>83</v>
      </c>
      <c r="B35">
        <v>618138.76</v>
      </c>
      <c r="C35">
        <v>643704.03</v>
      </c>
    </row>
    <row r="36" spans="1:3">
      <c r="A36" t="s">
        <v>84</v>
      </c>
      <c r="B36">
        <v>62197.5</v>
      </c>
      <c r="C36">
        <v>63687.5</v>
      </c>
    </row>
    <row r="37" spans="1:3">
      <c r="A37" t="s">
        <v>85</v>
      </c>
      <c r="B37">
        <v>990189.76</v>
      </c>
      <c r="C37">
        <v>1038189.75</v>
      </c>
    </row>
    <row r="38" spans="1:3">
      <c r="A38" t="s">
        <v>86</v>
      </c>
      <c r="B38">
        <v>0</v>
      </c>
      <c r="C38">
        <v>1903</v>
      </c>
    </row>
    <row r="39" spans="1:3">
      <c r="A39" t="s">
        <v>24</v>
      </c>
      <c r="B39">
        <v>1148205</v>
      </c>
      <c r="C39">
        <v>1181572</v>
      </c>
    </row>
    <row r="40" spans="1:3">
      <c r="A40" t="s">
        <v>87</v>
      </c>
      <c r="B40">
        <v>0</v>
      </c>
      <c r="C40">
        <v>3453.33</v>
      </c>
    </row>
    <row r="41" spans="1:3">
      <c r="A41" t="s">
        <v>88</v>
      </c>
      <c r="B41">
        <v>3855949.94</v>
      </c>
      <c r="C41">
        <v>4836572.34</v>
      </c>
    </row>
    <row r="42" spans="1:3">
      <c r="A42" t="s">
        <v>89</v>
      </c>
      <c r="B42">
        <v>968500</v>
      </c>
      <c r="C42">
        <v>994503</v>
      </c>
    </row>
    <row r="43" spans="1:3">
      <c r="A43" t="s">
        <v>90</v>
      </c>
      <c r="B43">
        <v>82324</v>
      </c>
      <c r="C43">
        <v>133928</v>
      </c>
    </row>
    <row r="44" spans="1:3">
      <c r="A44" t="s">
        <v>91</v>
      </c>
      <c r="B44">
        <v>33050</v>
      </c>
      <c r="C44">
        <v>54466.43</v>
      </c>
    </row>
    <row r="45" spans="1:3">
      <c r="A45" t="s">
        <v>27</v>
      </c>
      <c r="B45">
        <v>2782500</v>
      </c>
      <c r="C45">
        <v>4042500</v>
      </c>
    </row>
    <row r="46" spans="1:3">
      <c r="A46" t="s">
        <v>28</v>
      </c>
      <c r="B46">
        <v>4279097.68</v>
      </c>
      <c r="C46">
        <v>3988277</v>
      </c>
    </row>
    <row r="47" spans="1:3">
      <c r="A47" t="s">
        <v>29</v>
      </c>
      <c r="B47">
        <v>5508391.25</v>
      </c>
      <c r="C47">
        <v>5635612.25</v>
      </c>
    </row>
    <row r="48" spans="1:3">
      <c r="A48" t="s">
        <v>92</v>
      </c>
      <c r="B48">
        <v>213434.99</v>
      </c>
      <c r="C48">
        <v>302103.99</v>
      </c>
    </row>
    <row r="49" spans="1:3">
      <c r="A49" t="s">
        <v>93</v>
      </c>
      <c r="B49">
        <v>1561642</v>
      </c>
      <c r="C49">
        <v>1561642.5</v>
      </c>
    </row>
    <row r="50" spans="1:3">
      <c r="A50" t="s">
        <v>94</v>
      </c>
      <c r="B50">
        <v>573790.29</v>
      </c>
      <c r="C50">
        <v>603830.29</v>
      </c>
    </row>
    <row r="51" spans="1:3">
      <c r="A51" t="s">
        <v>95</v>
      </c>
      <c r="B51">
        <v>259000</v>
      </c>
      <c r="C51">
        <v>458120</v>
      </c>
    </row>
    <row r="52" spans="1:3">
      <c r="A52" t="s">
        <v>96</v>
      </c>
      <c r="B52">
        <v>1283640</v>
      </c>
      <c r="C52">
        <v>1335025.02</v>
      </c>
    </row>
    <row r="53" spans="1:3">
      <c r="A53" t="s">
        <v>30</v>
      </c>
      <c r="B53">
        <v>3027640.8</v>
      </c>
      <c r="C53">
        <v>3033592.8</v>
      </c>
    </row>
    <row r="54" spans="1:3">
      <c r="A54" t="s">
        <v>97</v>
      </c>
      <c r="B54">
        <v>31640035.8</v>
      </c>
      <c r="C54">
        <v>31879447.28</v>
      </c>
    </row>
    <row r="55" spans="1:3">
      <c r="A55" t="s">
        <v>98</v>
      </c>
      <c r="B55">
        <v>4576291.19</v>
      </c>
      <c r="C55">
        <v>4610958.19</v>
      </c>
    </row>
    <row r="56" spans="1:3">
      <c r="A56" t="s">
        <v>99</v>
      </c>
      <c r="B56">
        <v>351760</v>
      </c>
      <c r="C56">
        <v>364700</v>
      </c>
    </row>
    <row r="57" spans="1:3">
      <c r="A57" t="s">
        <v>100</v>
      </c>
      <c r="B57">
        <v>41100</v>
      </c>
      <c r="C57">
        <v>59695</v>
      </c>
    </row>
    <row r="58" spans="1:3">
      <c r="A58" t="s">
        <v>101</v>
      </c>
      <c r="B58">
        <v>0</v>
      </c>
      <c r="C58">
        <v>559134.47</v>
      </c>
    </row>
    <row r="59" spans="1:3">
      <c r="A59" t="s">
        <v>102</v>
      </c>
      <c r="B59">
        <v>10000</v>
      </c>
      <c r="C59">
        <v>24024</v>
      </c>
    </row>
    <row r="60" spans="1:3">
      <c r="A60" t="s">
        <v>103</v>
      </c>
      <c r="B60">
        <v>1051839.85</v>
      </c>
      <c r="C60">
        <v>1079750.09</v>
      </c>
    </row>
    <row r="61" spans="1:3">
      <c r="A61" t="s">
        <v>39</v>
      </c>
      <c r="B61">
        <v>982055.76</v>
      </c>
      <c r="C61">
        <v>1002047.76</v>
      </c>
    </row>
    <row r="62" spans="1:3">
      <c r="A62" t="s">
        <v>104</v>
      </c>
      <c r="B62">
        <v>142768</v>
      </c>
      <c r="C62">
        <v>267108.3</v>
      </c>
    </row>
    <row r="63" spans="1:3">
      <c r="A63" t="s">
        <v>105</v>
      </c>
      <c r="B63">
        <v>745579</v>
      </c>
      <c r="C63">
        <v>742817.44</v>
      </c>
    </row>
    <row r="64" spans="1:3">
      <c r="A64" t="s">
        <v>106</v>
      </c>
      <c r="B64">
        <v>2378944.5</v>
      </c>
      <c r="C64">
        <v>2868336.67</v>
      </c>
    </row>
    <row r="65" spans="1:3">
      <c r="A65" t="s">
        <v>41</v>
      </c>
      <c r="B65">
        <v>745067.14</v>
      </c>
      <c r="C65">
        <v>849067.14</v>
      </c>
    </row>
    <row r="66" spans="1:3">
      <c r="A66" t="s">
        <v>107</v>
      </c>
      <c r="B66">
        <v>45451</v>
      </c>
      <c r="C66">
        <v>102685</v>
      </c>
    </row>
    <row r="67" spans="1:3">
      <c r="A67" t="s">
        <v>50</v>
      </c>
      <c r="B67">
        <v>838510</v>
      </c>
      <c r="C67">
        <v>870000</v>
      </c>
    </row>
    <row r="68" spans="1:3">
      <c r="A68" t="s">
        <v>32</v>
      </c>
      <c r="B68">
        <v>827000</v>
      </c>
      <c r="C68">
        <v>830100</v>
      </c>
    </row>
    <row r="69" spans="1:3">
      <c r="A69" t="s">
        <v>108</v>
      </c>
      <c r="B69">
        <v>150000</v>
      </c>
      <c r="C69">
        <v>550000</v>
      </c>
    </row>
    <row r="70" spans="1:3">
      <c r="A70" t="s">
        <v>33</v>
      </c>
      <c r="B70">
        <v>944609.45</v>
      </c>
      <c r="C70">
        <v>1027945.06</v>
      </c>
    </row>
    <row r="71" spans="1:3">
      <c r="A71" t="s">
        <v>109</v>
      </c>
      <c r="B71">
        <v>3521618</v>
      </c>
      <c r="C71">
        <v>3521802</v>
      </c>
    </row>
    <row r="72" spans="1:3">
      <c r="A72" t="s">
        <v>51</v>
      </c>
      <c r="B72">
        <v>1153952.5</v>
      </c>
      <c r="C72">
        <v>1163442.5</v>
      </c>
    </row>
    <row r="73" spans="1:3">
      <c r="A73" t="s">
        <v>110</v>
      </c>
      <c r="B73">
        <v>59205</v>
      </c>
      <c r="C73">
        <v>68559</v>
      </c>
    </row>
    <row r="74" spans="1:3">
      <c r="A74" t="s">
        <v>52</v>
      </c>
      <c r="B74">
        <v>1441584</v>
      </c>
      <c r="C74">
        <v>1573290</v>
      </c>
    </row>
    <row r="75" spans="1:3">
      <c r="A75" t="s">
        <v>111</v>
      </c>
      <c r="B75">
        <v>837893.5</v>
      </c>
      <c r="C75">
        <v>837893</v>
      </c>
    </row>
    <row r="76" spans="1:3">
      <c r="A76" t="s">
        <v>44</v>
      </c>
      <c r="B76">
        <v>3873219</v>
      </c>
      <c r="C76">
        <v>4425233</v>
      </c>
    </row>
    <row r="77" spans="1:3">
      <c r="A77" t="s">
        <v>112</v>
      </c>
      <c r="B77">
        <v>223282.35</v>
      </c>
      <c r="C77">
        <v>228043.35</v>
      </c>
    </row>
    <row r="78" spans="1:3">
      <c r="A78" t="s">
        <v>45</v>
      </c>
      <c r="B78">
        <v>9528706.46</v>
      </c>
      <c r="C78">
        <v>9728235.71</v>
      </c>
    </row>
    <row r="79" spans="1:3">
      <c r="A79" t="s">
        <v>113</v>
      </c>
      <c r="B79">
        <v>195431</v>
      </c>
      <c r="C79">
        <v>195431.2</v>
      </c>
    </row>
    <row r="80" spans="1:3">
      <c r="A80" t="s">
        <v>114</v>
      </c>
      <c r="B80">
        <v>7358823.6</v>
      </c>
      <c r="C80">
        <v>7489269.6</v>
      </c>
    </row>
  </sheetData>
  <pageMargins left="0.75" right="0.75" top="1" bottom="1" header="0.5" footer="0.5"/>
  <headerFooter/>
</worksheet>
</file>

<file path=xl/worksheets/sheet6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etc="http://www.wps.cn/officeDocument/2017/etCustomData">
  <sheetPr/>
  <dimension ref="A1:C26"/>
  <sheetViews>
    <sheetView workbookViewId="0">
      <selection activeCell="F8" sqref="F8"/>
    </sheetView>
  </sheetViews>
  <sheetFormatPr defaultColWidth="8.72727272727273" defaultRowHeight="14.5" outlineLevelCol="2"/>
  <cols>
    <col min="2" max="2" width="16.2727272727273" customWidth="1"/>
    <col min="3" max="3" width="15.2727272727273" customWidth="1"/>
  </cols>
  <sheetData>
    <row r="1" spans="1:3">
      <c r="A1" t="s">
        <v>0</v>
      </c>
      <c r="B1" t="s">
        <v>115</v>
      </c>
      <c r="C1" t="s">
        <v>116</v>
      </c>
    </row>
    <row r="2" spans="1:3">
      <c r="A2" t="s">
        <v>117</v>
      </c>
      <c r="B2">
        <v>8869</v>
      </c>
      <c r="C2">
        <v>19848.91</v>
      </c>
    </row>
    <row r="3" spans="1:3">
      <c r="A3" t="s">
        <v>118</v>
      </c>
      <c r="B3">
        <v>0</v>
      </c>
      <c r="C3">
        <v>45000</v>
      </c>
    </row>
    <row r="4" spans="1:3">
      <c r="A4" t="s">
        <v>67</v>
      </c>
      <c r="B4">
        <v>0</v>
      </c>
      <c r="C4">
        <v>7350</v>
      </c>
    </row>
    <row r="5" spans="1:3">
      <c r="A5" t="s">
        <v>71</v>
      </c>
      <c r="B5">
        <v>364772.75</v>
      </c>
      <c r="C5">
        <v>8867050.75</v>
      </c>
    </row>
    <row r="6" spans="1:3">
      <c r="A6" t="s">
        <v>119</v>
      </c>
      <c r="B6">
        <v>727580</v>
      </c>
      <c r="C6">
        <v>727110</v>
      </c>
    </row>
    <row r="7" spans="1:3">
      <c r="A7" t="s">
        <v>120</v>
      </c>
      <c r="B7">
        <v>205805</v>
      </c>
      <c r="C7">
        <v>241305</v>
      </c>
    </row>
    <row r="8" spans="1:3">
      <c r="A8" t="s">
        <v>79</v>
      </c>
      <c r="B8">
        <v>120826.06</v>
      </c>
      <c r="C8">
        <v>620826.06</v>
      </c>
    </row>
    <row r="9" spans="1:3">
      <c r="A9" t="s">
        <v>20</v>
      </c>
      <c r="B9">
        <v>1668833.57</v>
      </c>
      <c r="C9">
        <v>1689013.57</v>
      </c>
    </row>
    <row r="10" spans="1:3">
      <c r="A10" t="s">
        <v>22</v>
      </c>
      <c r="B10">
        <v>2086639.61</v>
      </c>
      <c r="C10">
        <v>2128089.05</v>
      </c>
    </row>
    <row r="11" spans="1:3">
      <c r="A11" t="s">
        <v>85</v>
      </c>
      <c r="B11">
        <v>990189.76</v>
      </c>
      <c r="C11">
        <v>1038189.75</v>
      </c>
    </row>
    <row r="12" spans="1:3">
      <c r="A12" t="s">
        <v>24</v>
      </c>
      <c r="B12">
        <v>1178072</v>
      </c>
      <c r="C12">
        <v>1181572</v>
      </c>
    </row>
    <row r="13" spans="1:3">
      <c r="A13" t="s">
        <v>88</v>
      </c>
      <c r="B13">
        <v>2547292.34</v>
      </c>
      <c r="C13">
        <v>2565317.34</v>
      </c>
    </row>
    <row r="14" spans="1:3">
      <c r="A14" t="s">
        <v>95</v>
      </c>
      <c r="B14">
        <v>293950</v>
      </c>
      <c r="C14">
        <v>303120</v>
      </c>
    </row>
    <row r="15" spans="1:3">
      <c r="A15" t="s">
        <v>121</v>
      </c>
      <c r="B15">
        <v>12149.44</v>
      </c>
      <c r="C15">
        <v>700</v>
      </c>
    </row>
    <row r="16" spans="1:3">
      <c r="A16" t="s">
        <v>97</v>
      </c>
      <c r="B16">
        <v>18769147.36</v>
      </c>
      <c r="C16">
        <v>18768742.36</v>
      </c>
    </row>
    <row r="17" spans="1:3">
      <c r="A17" t="s">
        <v>105</v>
      </c>
      <c r="B17">
        <v>1222217.48</v>
      </c>
      <c r="C17">
        <v>1204302.48</v>
      </c>
    </row>
    <row r="18" spans="1:3">
      <c r="A18" t="s">
        <v>106</v>
      </c>
      <c r="B18">
        <v>6289754.67</v>
      </c>
      <c r="C18">
        <v>6416420.67</v>
      </c>
    </row>
    <row r="19" spans="1:3">
      <c r="A19" t="s">
        <v>122</v>
      </c>
      <c r="B19">
        <v>11000</v>
      </c>
      <c r="C19">
        <v>156000</v>
      </c>
    </row>
    <row r="20" spans="1:3">
      <c r="A20" t="s">
        <v>108</v>
      </c>
      <c r="B20">
        <v>2044032</v>
      </c>
      <c r="C20">
        <v>3294032</v>
      </c>
    </row>
    <row r="21" spans="1:3">
      <c r="A21" t="s">
        <v>44</v>
      </c>
      <c r="B21">
        <v>4364828</v>
      </c>
      <c r="C21">
        <v>4853328</v>
      </c>
    </row>
    <row r="22" spans="1:3">
      <c r="A22" t="s">
        <v>123</v>
      </c>
      <c r="B22">
        <v>319500</v>
      </c>
      <c r="C22">
        <v>329500</v>
      </c>
    </row>
    <row r="23" spans="1:3">
      <c r="A23" t="s">
        <v>112</v>
      </c>
      <c r="B23">
        <v>1860395.71</v>
      </c>
      <c r="C23">
        <v>1799035.11</v>
      </c>
    </row>
    <row r="24" spans="1:3">
      <c r="A24" t="s">
        <v>45</v>
      </c>
      <c r="B24">
        <v>14011335.51</v>
      </c>
      <c r="C24">
        <v>14050951.51</v>
      </c>
    </row>
    <row r="25" spans="1:3">
      <c r="A25" t="s">
        <v>114</v>
      </c>
      <c r="B25">
        <v>3651490.6</v>
      </c>
      <c r="C25">
        <v>3695140.6</v>
      </c>
    </row>
    <row r="26" spans="1:3">
      <c r="A26" t="s">
        <v>124</v>
      </c>
      <c r="B26">
        <v>0</v>
      </c>
      <c r="C26">
        <v>37050</v>
      </c>
    </row>
  </sheetData>
  <pageMargins left="0.75" right="0.75" top="1" bottom="1" header="0.5" footer="0.5"/>
  <headerFooter/>
</worksheet>
</file>

<file path=xl/worksheets/sheet7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etc="http://www.wps.cn/officeDocument/2017/etCustomData">
  <sheetPr/>
  <dimension ref="A1:C6"/>
  <sheetViews>
    <sheetView workbookViewId="0">
      <selection activeCell="F14" sqref="F14"/>
    </sheetView>
  </sheetViews>
  <sheetFormatPr defaultColWidth="8.72727272727273" defaultRowHeight="14.5" outlineLevelRow="5" outlineLevelCol="2"/>
  <cols>
    <col min="1" max="1" width="8.54545454545454" customWidth="1"/>
    <col min="2" max="2" width="13" customWidth="1"/>
    <col min="3" max="3" width="13.4545454545455" customWidth="1"/>
  </cols>
  <sheetData>
    <row r="1" spans="1:3">
      <c r="A1" t="s">
        <v>0</v>
      </c>
      <c r="B1" t="s">
        <v>125</v>
      </c>
      <c r="C1" t="s">
        <v>126</v>
      </c>
    </row>
    <row r="2" spans="1:3">
      <c r="A2" t="s">
        <v>119</v>
      </c>
      <c r="B2">
        <v>371859</v>
      </c>
      <c r="C2">
        <v>300909</v>
      </c>
    </row>
    <row r="3" spans="1:3">
      <c r="A3" t="s">
        <v>50</v>
      </c>
      <c r="B3">
        <v>3090870.27</v>
      </c>
      <c r="C3">
        <v>2261631</v>
      </c>
    </row>
    <row r="4" spans="1:3">
      <c r="A4" t="s">
        <v>127</v>
      </c>
      <c r="B4">
        <v>191318</v>
      </c>
      <c r="C4">
        <v>193885.79</v>
      </c>
    </row>
    <row r="5" spans="1:3">
      <c r="A5" t="s">
        <v>112</v>
      </c>
      <c r="B5">
        <v>1728084.76</v>
      </c>
      <c r="C5">
        <v>1799034.76</v>
      </c>
    </row>
    <row r="6" spans="1:3">
      <c r="A6" t="s">
        <v>128</v>
      </c>
      <c r="B6">
        <v>181650</v>
      </c>
      <c r="C6">
        <v>692150</v>
      </c>
    </row>
  </sheetData>
  <pageMargins left="0.75" right="0.75" top="1" bottom="1" header="0.5" footer="0.5"/>
  <headerFooter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WPS Spreadsheets</Application>
  <HeadingPairs>
    <vt:vector size="2" baseType="variant">
      <vt:variant>
        <vt:lpstr>工作表</vt:lpstr>
      </vt:variant>
      <vt:variant>
        <vt:i4>7</vt:i4>
      </vt:variant>
    </vt:vector>
  </HeadingPairs>
  <TitlesOfParts>
    <vt:vector size="7" baseType="lpstr">
      <vt:lpstr>Sales Order</vt:lpstr>
      <vt:lpstr>Sales bill</vt:lpstr>
      <vt:lpstr>JV Sales</vt:lpstr>
      <vt:lpstr>Credit Note</vt:lpstr>
      <vt:lpstr>Purchase Order</vt:lpstr>
      <vt:lpstr>Purchase Bill</vt:lpstr>
      <vt:lpstr>JV Purchase</vt:lpstr>
    </vt:vector>
  </TitlesOfParts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KalyaniChaudhari</dc:creator>
  <cp:lastModifiedBy>KalyaniChaudhari</cp:lastModifiedBy>
  <dcterms:created xsi:type="dcterms:W3CDTF">2025-07-22T08:06:00Z</dcterms:created>
  <dcterms:modified xsi:type="dcterms:W3CDTF">2025-08-21T06:14:20Z</dcterms:modified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ICV">
    <vt:lpwstr>441F8540122C49E38AAD576998F2012A_13</vt:lpwstr>
  </property>
  <property fmtid="{D5CDD505-2E9C-101B-9397-08002B2CF9AE}" pid="3" name="KSOProductBuildVer">
    <vt:lpwstr>1033-12.2.0.21931</vt:lpwstr>
  </property>
</Properties>
</file>