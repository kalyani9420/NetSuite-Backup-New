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<sst xmlns="http://schemas.openxmlformats.org/spreadsheetml/2006/main" count="490" uniqueCount="252">
  <si>
    <t>Project Code</t>
  </si>
  <si>
    <t>Column Name</t>
  </si>
  <si>
    <t>Tally Amount</t>
  </si>
  <si>
    <t>NS Amount (MGM)</t>
  </si>
  <si>
    <t>NS Amount (Delgates)</t>
  </si>
  <si>
    <t>Total SB (MGM + Delegates)</t>
  </si>
  <si>
    <t>is Matched</t>
  </si>
  <si>
    <t>Voucher Number Where Project code has not tagged</t>
  </si>
  <si>
    <t>SB21386</t>
  </si>
  <si>
    <t>Sales Bill</t>
  </si>
  <si>
    <t>SB22376</t>
  </si>
  <si>
    <t>SB22511</t>
  </si>
  <si>
    <t>SB22526</t>
  </si>
  <si>
    <t>SB22570</t>
  </si>
  <si>
    <t>SB22600</t>
  </si>
  <si>
    <t>SB22632</t>
  </si>
  <si>
    <t>SB22581</t>
  </si>
  <si>
    <t>SB22347</t>
  </si>
  <si>
    <t>se</t>
  </si>
  <si>
    <t>SB22384</t>
  </si>
  <si>
    <t>SB22124</t>
  </si>
  <si>
    <t>SB22428</t>
  </si>
  <si>
    <t>SB22540</t>
  </si>
  <si>
    <t>SB22443</t>
  </si>
  <si>
    <t>SB22399</t>
  </si>
  <si>
    <t>SB22317</t>
  </si>
  <si>
    <t>SB22223</t>
  </si>
  <si>
    <t>SB22268</t>
  </si>
  <si>
    <t>SB22321</t>
  </si>
  <si>
    <t>SB22517</t>
  </si>
  <si>
    <t>SB22545</t>
  </si>
  <si>
    <t>SB22580</t>
  </si>
  <si>
    <t>SB22616</t>
  </si>
  <si>
    <t>SB22485</t>
  </si>
  <si>
    <t>SB22579</t>
  </si>
  <si>
    <t>SB22620</t>
  </si>
  <si>
    <t>SB22323</t>
  </si>
  <si>
    <t>SB22326</t>
  </si>
  <si>
    <t>SB22400</t>
  </si>
  <si>
    <t>SB22439</t>
  </si>
  <si>
    <t>SB22596</t>
  </si>
  <si>
    <t>SB22628</t>
  </si>
  <si>
    <t>SB22634</t>
  </si>
  <si>
    <t>SB22638</t>
  </si>
  <si>
    <t>SB22655</t>
  </si>
  <si>
    <t>SB22658</t>
  </si>
  <si>
    <t>SB22325</t>
  </si>
  <si>
    <t>SB22541</t>
  </si>
  <si>
    <t>SB22587</t>
  </si>
  <si>
    <t>SB22607</t>
  </si>
  <si>
    <t>SB22520</t>
  </si>
  <si>
    <t>SB22518</t>
  </si>
  <si>
    <t>SB22585</t>
  </si>
  <si>
    <t>SB22606</t>
  </si>
  <si>
    <t>SB22621</t>
  </si>
  <si>
    <t>SB22513</t>
  </si>
  <si>
    <t>SB22416</t>
  </si>
  <si>
    <t>SB22492</t>
  </si>
  <si>
    <t>SB22506</t>
  </si>
  <si>
    <t>SB22567</t>
  </si>
  <si>
    <t>SB22583</t>
  </si>
  <si>
    <t>SB22584</t>
  </si>
  <si>
    <t>SB22564</t>
  </si>
  <si>
    <t>SB22575</t>
  </si>
  <si>
    <t>SB22582</t>
  </si>
  <si>
    <t>SB22536</t>
  </si>
  <si>
    <t>SB22324</t>
  </si>
  <si>
    <t>SB22354</t>
  </si>
  <si>
    <t>SB22387</t>
  </si>
  <si>
    <t>SB22395</t>
  </si>
  <si>
    <t>SB22410</t>
  </si>
  <si>
    <t>SB22465</t>
  </si>
  <si>
    <t>SB22491</t>
  </si>
  <si>
    <t>SB22495</t>
  </si>
  <si>
    <t>SB22503</t>
  </si>
  <si>
    <t>SB22552</t>
  </si>
  <si>
    <t>SB22566</t>
  </si>
  <si>
    <t>SB22586</t>
  </si>
  <si>
    <t>SB22602</t>
  </si>
  <si>
    <t>SB22645</t>
  </si>
  <si>
    <t>SB22595</t>
  </si>
  <si>
    <t>SB22609</t>
  </si>
  <si>
    <t>SB22401</t>
  </si>
  <si>
    <t>SB22571</t>
  </si>
  <si>
    <t>SB22422</t>
  </si>
  <si>
    <t>SB22392</t>
  </si>
  <si>
    <t>SB22548</t>
  </si>
  <si>
    <t>SB22538</t>
  </si>
  <si>
    <t>SB21992</t>
  </si>
  <si>
    <t>SB22550</t>
  </si>
  <si>
    <t>SB21859</t>
  </si>
  <si>
    <t>SB22512</t>
  </si>
  <si>
    <t>SB22327</t>
  </si>
  <si>
    <t>SB22375</t>
  </si>
  <si>
    <t>SB22391</t>
  </si>
  <si>
    <t>SB22394</t>
  </si>
  <si>
    <t>SB22449</t>
  </si>
  <si>
    <t>SB22494</t>
  </si>
  <si>
    <t>SB22501</t>
  </si>
  <si>
    <t>SB22502</t>
  </si>
  <si>
    <t>SB22537</t>
  </si>
  <si>
    <t>SB22549</t>
  </si>
  <si>
    <t>SB22578</t>
  </si>
  <si>
    <t>SB22594</t>
  </si>
  <si>
    <t>SB22603</t>
  </si>
  <si>
    <t>SB22608</t>
  </si>
  <si>
    <t>SB22619</t>
  </si>
  <si>
    <t>SB22641</t>
  </si>
  <si>
    <t>SB22332</t>
  </si>
  <si>
    <t>SB22472</t>
  </si>
  <si>
    <t>SB22509</t>
  </si>
  <si>
    <t>SB22282</t>
  </si>
  <si>
    <t>SB22205</t>
  </si>
  <si>
    <t>SB22411</t>
  </si>
  <si>
    <t>SB22487</t>
  </si>
  <si>
    <t>SB22504</t>
  </si>
  <si>
    <t>SB22524</t>
  </si>
  <si>
    <t>SB22547</t>
  </si>
  <si>
    <t>SB22555</t>
  </si>
  <si>
    <t>SB22556</t>
  </si>
  <si>
    <t>SB22573</t>
  </si>
  <si>
    <t>SB22589</t>
  </si>
  <si>
    <t>SB22604</t>
  </si>
  <si>
    <t>SB22610</t>
  </si>
  <si>
    <t>SB22635</t>
  </si>
  <si>
    <t>SB22642</t>
  </si>
  <si>
    <t>SB22651</t>
  </si>
  <si>
    <t>SB22652</t>
  </si>
  <si>
    <t>SB22654</t>
  </si>
  <si>
    <t>SB22659</t>
  </si>
  <si>
    <t>SB22565</t>
  </si>
  <si>
    <t>SB22190</t>
  </si>
  <si>
    <t>SB22363</t>
  </si>
  <si>
    <t>SB22471</t>
  </si>
  <si>
    <t>SB22417</t>
  </si>
  <si>
    <t>SB22461</t>
  </si>
  <si>
    <t>SB22479</t>
  </si>
  <si>
    <t>SB22543</t>
  </si>
  <si>
    <t>SB22639</t>
  </si>
  <si>
    <t>SB22611</t>
  </si>
  <si>
    <t>SB22444</t>
  </si>
  <si>
    <t>SB22647</t>
  </si>
  <si>
    <t>SB22374</t>
  </si>
  <si>
    <t>SB22397</t>
  </si>
  <si>
    <t>SB22508</t>
  </si>
  <si>
    <t>SB22605</t>
  </si>
  <si>
    <t>SB22650</t>
  </si>
  <si>
    <t>SB22470</t>
  </si>
  <si>
    <t>SB22625</t>
  </si>
  <si>
    <t>SB22601</t>
  </si>
  <si>
    <t>SB22311</t>
  </si>
  <si>
    <t>SB22451</t>
  </si>
  <si>
    <t>SB22624</t>
  </si>
  <si>
    <t>SB21947</t>
  </si>
  <si>
    <t>SB22488</t>
  </si>
  <si>
    <t>SB22083</t>
  </si>
  <si>
    <t>SB22338</t>
  </si>
  <si>
    <t>SB22599</t>
  </si>
  <si>
    <t xml:space="preserve">A/2025/IN/0558 </t>
  </si>
  <si>
    <t>SB22433</t>
  </si>
  <si>
    <t>SB22629</t>
  </si>
  <si>
    <t>SB22588</t>
  </si>
  <si>
    <t>SB22614</t>
  </si>
  <si>
    <t>SB22636</t>
  </si>
  <si>
    <t>SB22643</t>
  </si>
  <si>
    <t>SB22572</t>
  </si>
  <si>
    <t>SB22280</t>
  </si>
  <si>
    <t>SB22424</t>
  </si>
  <si>
    <t>SB22446</t>
  </si>
  <si>
    <t>SB22469</t>
  </si>
  <si>
    <t>SB22529</t>
  </si>
  <si>
    <t>SB22534</t>
  </si>
  <si>
    <t>SB22546</t>
  </si>
  <si>
    <t>SB22558</t>
  </si>
  <si>
    <t>SB22593</t>
  </si>
  <si>
    <t>SB22617</t>
  </si>
  <si>
    <t>SB22633</t>
  </si>
  <si>
    <t>SB22649</t>
  </si>
  <si>
    <t>SB22366</t>
  </si>
  <si>
    <t>SB22532</t>
  </si>
  <si>
    <t>SB22627</t>
  </si>
  <si>
    <t>SB22637</t>
  </si>
  <si>
    <t>SB22356</t>
  </si>
  <si>
    <t>SB22523</t>
  </si>
  <si>
    <t>SB22576</t>
  </si>
  <si>
    <t>SB22445</t>
  </si>
  <si>
    <t>SB22597</t>
  </si>
  <si>
    <t>SB22592</t>
  </si>
  <si>
    <t>SB22381</t>
  </si>
  <si>
    <t>SB22405</t>
  </si>
  <si>
    <t>SB22539</t>
  </si>
  <si>
    <t>SB22664</t>
  </si>
  <si>
    <t>SB22437</t>
  </si>
  <si>
    <t>SB22272</t>
  </si>
  <si>
    <t>SB22305</t>
  </si>
  <si>
    <t>SB22306</t>
  </si>
  <si>
    <t>SB22318</t>
  </si>
  <si>
    <t>SB22319</t>
  </si>
  <si>
    <t>SB22320</t>
  </si>
  <si>
    <t>No Sales Order &amp; Sales Bill created for this project 
No Delegates Sales Bill found</t>
  </si>
  <si>
    <t>SB22396</t>
  </si>
  <si>
    <t>SB22561</t>
  </si>
  <si>
    <t>SB22562</t>
  </si>
  <si>
    <t>SB22563</t>
  </si>
  <si>
    <t>SB22590</t>
  </si>
  <si>
    <t>SB22591</t>
  </si>
  <si>
    <t>SB22278</t>
  </si>
  <si>
    <t>SB22344</t>
  </si>
  <si>
    <t>SB22404</t>
  </si>
  <si>
    <t>SB22527</t>
  </si>
  <si>
    <t>SB22612</t>
  </si>
  <si>
    <t>SB22254</t>
  </si>
  <si>
    <t>SB22316</t>
  </si>
  <si>
    <t>SB22448</t>
  </si>
  <si>
    <t>SB22622</t>
  </si>
  <si>
    <t>SB22158</t>
  </si>
  <si>
    <t>SB22343</t>
  </si>
  <si>
    <t>SB22498</t>
  </si>
  <si>
    <t>SB22551</t>
  </si>
  <si>
    <t>SB22557</t>
  </si>
  <si>
    <t>SB22574</t>
  </si>
  <si>
    <t>SB22656</t>
  </si>
  <si>
    <t>SB22115</t>
  </si>
  <si>
    <t>SB22329</t>
  </si>
  <si>
    <t>SB22459</t>
  </si>
  <si>
    <t>SB22204</t>
  </si>
  <si>
    <t>SB22460</t>
  </si>
  <si>
    <t>SB22615</t>
  </si>
  <si>
    <t>SB22618</t>
  </si>
  <si>
    <t>SB22414</t>
  </si>
  <si>
    <t>SB22626</t>
  </si>
  <si>
    <t>SB22559</t>
  </si>
  <si>
    <t>SB22560</t>
  </si>
  <si>
    <t>SB22623</t>
  </si>
  <si>
    <t>SB22666</t>
  </si>
  <si>
    <t>SB22263</t>
  </si>
  <si>
    <t>SB22477</t>
  </si>
  <si>
    <t>SB22640</t>
  </si>
  <si>
    <t>SB22657</t>
  </si>
  <si>
    <t>SB22475</t>
  </si>
  <si>
    <t>SB22483</t>
  </si>
  <si>
    <t>SB22577</t>
  </si>
  <si>
    <t>SB22646</t>
  </si>
  <si>
    <t>SB22598</t>
  </si>
  <si>
    <t>SB22500</t>
  </si>
  <si>
    <t>SB22662</t>
  </si>
  <si>
    <t>SB22159</t>
  </si>
  <si>
    <t>SB22613</t>
  </si>
  <si>
    <t>SB22455</t>
  </si>
  <si>
    <t>SB22569</t>
  </si>
  <si>
    <t>SB21466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</si>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</sst>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0" applyNumberFormat="0" applyAlignment="0" applyProtection="0">
      <alignment vertical="center"/>
    </xf>
    <xf numFmtId="0" fontId="10" fillId="5" borderId="21" applyNumberFormat="0" applyAlignment="0" applyProtection="0">
      <alignment vertical="center"/>
    </xf>
    <xf numFmtId="0" fontId="11" fillId="5" borderId="20" applyNumberFormat="0" applyAlignment="0" applyProtection="0">
      <alignment vertical="center"/>
    </xf>
    <xf numFmtId="0" fontId="12" fillId="6" borderId="22" applyNumberFormat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1" xfId="0" applyFill="1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3" xfId="0" applyNumberFormat="1" applyBorder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nagement%20Report-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ShobizMGMReportResults64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ShobizDelegatesSOSBResults24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mpaign report"/>
      <sheetName val="MGM Report"/>
      <sheetName val="Clientwise Cost summary"/>
      <sheetName val="Budget VS PO VS PB"/>
      <sheetName val="PO vs PB"/>
    </sheetNames>
    <sheetDataSet>
      <sheetData sheetId="0"/>
      <sheetData sheetId="1">
        <row r="1">
          <cell r="D1" t="str">
            <v>ProfitCentreName</v>
          </cell>
          <cell r="E1" t="str">
            <v>SO Value</v>
          </cell>
          <cell r="F1" t="str">
            <v>SB Value</v>
          </cell>
        </row>
        <row r="2">
          <cell r="D2" t="str">
            <v/>
          </cell>
          <cell r="E2">
            <v>105787078.03</v>
          </cell>
          <cell r="F2">
            <v>76660865.05</v>
          </cell>
        </row>
        <row r="3">
          <cell r="D3" t="str">
            <v/>
          </cell>
          <cell r="E3">
            <v>24311283.56</v>
          </cell>
          <cell r="F3">
            <v>18024587.56</v>
          </cell>
        </row>
        <row r="4">
          <cell r="D4" t="str">
            <v/>
          </cell>
          <cell r="E4">
            <v>3528508.5</v>
          </cell>
          <cell r="F4">
            <v>2611812.5</v>
          </cell>
        </row>
        <row r="5">
          <cell r="D5" t="str">
            <v>SB21386</v>
          </cell>
        </row>
        <row r="6">
          <cell r="D6" t="str">
            <v>SB22376</v>
          </cell>
          <cell r="E6">
            <v>309507</v>
          </cell>
          <cell r="F6">
            <v>309507</v>
          </cell>
        </row>
        <row r="7">
          <cell r="D7" t="str">
            <v>SB22511</v>
          </cell>
          <cell r="E7">
            <v>1456383.5</v>
          </cell>
          <cell r="F7">
            <v>1456383.5</v>
          </cell>
        </row>
        <row r="8">
          <cell r="D8" t="str">
            <v>SB22526</v>
          </cell>
          <cell r="E8">
            <v>121792</v>
          </cell>
          <cell r="F8">
            <v>121792</v>
          </cell>
        </row>
        <row r="9">
          <cell r="D9" t="str">
            <v>SB22570</v>
          </cell>
          <cell r="E9">
            <v>342650</v>
          </cell>
          <cell r="F9">
            <v>171050</v>
          </cell>
        </row>
        <row r="10">
          <cell r="D10" t="str">
            <v>SB22600</v>
          </cell>
          <cell r="E10">
            <v>192016</v>
          </cell>
        </row>
        <row r="11">
          <cell r="D11" t="str">
            <v>SB22632</v>
          </cell>
          <cell r="E11">
            <v>1106160</v>
          </cell>
          <cell r="F11">
            <v>553080</v>
          </cell>
        </row>
        <row r="12">
          <cell r="D12" t="str">
            <v/>
          </cell>
          <cell r="E12">
            <v>771075</v>
          </cell>
          <cell r="F12">
            <v>771075</v>
          </cell>
        </row>
        <row r="13">
          <cell r="D13" t="str">
            <v>SB22581</v>
          </cell>
          <cell r="E13">
            <v>771075</v>
          </cell>
          <cell r="F13">
            <v>771075</v>
          </cell>
        </row>
        <row r="14">
          <cell r="D14" t="str">
            <v/>
          </cell>
        </row>
        <row r="15">
          <cell r="D15" t="str">
            <v>SB22347</v>
          </cell>
        </row>
        <row r="16">
          <cell r="D16" t="str">
            <v/>
          </cell>
          <cell r="E16">
            <v>854315</v>
          </cell>
          <cell r="F16">
            <v>854315</v>
          </cell>
        </row>
        <row r="17">
          <cell r="D17" t="str">
            <v>SB22384</v>
          </cell>
          <cell r="E17">
            <v>854315</v>
          </cell>
          <cell r="F17">
            <v>854315</v>
          </cell>
        </row>
        <row r="18">
          <cell r="D18" t="str">
            <v/>
          </cell>
          <cell r="E18">
            <v>19157385.06</v>
          </cell>
          <cell r="F18">
            <v>13787385.06</v>
          </cell>
        </row>
        <row r="20">
          <cell r="D20" t="str">
            <v>SB22124</v>
          </cell>
        </row>
        <row r="21">
          <cell r="D21" t="str">
            <v>SB22428</v>
          </cell>
          <cell r="E21">
            <v>5492385.06</v>
          </cell>
          <cell r="F21">
            <v>5492385.06</v>
          </cell>
        </row>
        <row r="22">
          <cell r="D22" t="str">
            <v>SB22540</v>
          </cell>
          <cell r="E22">
            <v>13665000</v>
          </cell>
          <cell r="F22">
            <v>8295000</v>
          </cell>
        </row>
        <row r="23">
          <cell r="D23" t="str">
            <v/>
          </cell>
        </row>
        <row r="24">
          <cell r="D24" t="str">
            <v>SB22443</v>
          </cell>
        </row>
        <row r="25">
          <cell r="D25" t="str">
            <v/>
          </cell>
          <cell r="E25">
            <v>40901706.77</v>
          </cell>
          <cell r="F25">
            <v>10618103.25</v>
          </cell>
        </row>
        <row r="26">
          <cell r="D26" t="str">
            <v/>
          </cell>
        </row>
        <row r="27">
          <cell r="D27" t="str">
            <v>SB22399</v>
          </cell>
        </row>
        <row r="28">
          <cell r="D28" t="str">
            <v/>
          </cell>
        </row>
        <row r="29">
          <cell r="D29" t="str">
            <v>SB22317</v>
          </cell>
        </row>
        <row r="30">
          <cell r="D30" t="str">
            <v/>
          </cell>
          <cell r="E30">
            <v>6677974</v>
          </cell>
          <cell r="F30">
            <v>1196000</v>
          </cell>
        </row>
        <row r="31">
          <cell r="D31" t="str">
            <v>SB22223</v>
          </cell>
        </row>
        <row r="32">
          <cell r="D32" t="str">
            <v>SB22268</v>
          </cell>
        </row>
        <row r="33">
          <cell r="D33" t="str">
            <v>SB22321</v>
          </cell>
        </row>
        <row r="33">
          <cell r="F33">
            <v>516000</v>
          </cell>
        </row>
        <row r="34">
          <cell r="D34" t="str">
            <v>SB22517</v>
          </cell>
          <cell r="E34">
            <v>1200000</v>
          </cell>
        </row>
        <row r="35">
          <cell r="D35" t="str">
            <v>SB22545</v>
          </cell>
          <cell r="E35">
            <v>4180020</v>
          </cell>
          <cell r="F35">
            <v>680000</v>
          </cell>
        </row>
        <row r="36">
          <cell r="D36" t="str">
            <v>SB22580</v>
          </cell>
          <cell r="E36">
            <v>680000</v>
          </cell>
        </row>
        <row r="37">
          <cell r="D37" t="str">
            <v>SB22616</v>
          </cell>
          <cell r="E37">
            <v>617954</v>
          </cell>
        </row>
        <row r="38">
          <cell r="D38" t="str">
            <v/>
          </cell>
          <cell r="E38">
            <v>1908718</v>
          </cell>
          <cell r="F38">
            <v>3145289</v>
          </cell>
        </row>
        <row r="39">
          <cell r="D39" t="str">
            <v>SB22485</v>
          </cell>
          <cell r="E39">
            <v>1035000</v>
          </cell>
          <cell r="F39">
            <v>2271571</v>
          </cell>
        </row>
        <row r="40">
          <cell r="D40" t="str">
            <v>SB22579</v>
          </cell>
          <cell r="E40">
            <v>873718</v>
          </cell>
          <cell r="F40">
            <v>873718</v>
          </cell>
        </row>
        <row r="41">
          <cell r="D41" t="str">
            <v/>
          </cell>
          <cell r="E41">
            <v>15498045</v>
          </cell>
        </row>
        <row r="42">
          <cell r="D42" t="str">
            <v>SB22620</v>
          </cell>
          <cell r="E42">
            <v>15498045</v>
          </cell>
        </row>
        <row r="43">
          <cell r="D43" t="str">
            <v/>
          </cell>
          <cell r="E43">
            <v>7409329.92</v>
          </cell>
          <cell r="F43">
            <v>738000</v>
          </cell>
        </row>
        <row r="44">
          <cell r="D44" t="str">
            <v>SB22323</v>
          </cell>
          <cell r="E44">
            <v>738000</v>
          </cell>
          <cell r="F44">
            <v>738000</v>
          </cell>
        </row>
        <row r="45">
          <cell r="D45" t="str">
            <v>SB22326</v>
          </cell>
        </row>
        <row r="46">
          <cell r="D46" t="str">
            <v>SB22400</v>
          </cell>
        </row>
        <row r="47">
          <cell r="D47" t="str">
            <v>SB22439</v>
          </cell>
        </row>
        <row r="48">
          <cell r="D48" t="str">
            <v>SB22596</v>
          </cell>
          <cell r="E48">
            <v>3701171.45</v>
          </cell>
        </row>
        <row r="49">
          <cell r="D49" t="str">
            <v>SB22628</v>
          </cell>
          <cell r="E49">
            <v>822404</v>
          </cell>
        </row>
        <row r="50">
          <cell r="D50" t="str">
            <v>SB22634</v>
          </cell>
          <cell r="E50">
            <v>870929.47</v>
          </cell>
        </row>
        <row r="51">
          <cell r="D51" t="str">
            <v>SB22638</v>
          </cell>
        </row>
        <row r="52">
          <cell r="D52" t="str">
            <v>SB22655</v>
          </cell>
          <cell r="E52">
            <v>823500</v>
          </cell>
        </row>
        <row r="53">
          <cell r="D53" t="str">
            <v>SB22658</v>
          </cell>
          <cell r="E53">
            <v>453325</v>
          </cell>
        </row>
        <row r="54">
          <cell r="D54" t="str">
            <v/>
          </cell>
          <cell r="E54">
            <v>3295421.25</v>
          </cell>
          <cell r="F54">
            <v>5119551.25</v>
          </cell>
        </row>
        <row r="55">
          <cell r="D55" t="str">
            <v>SB22325</v>
          </cell>
        </row>
        <row r="56">
          <cell r="D56" t="str">
            <v>SB22541</v>
          </cell>
          <cell r="E56">
            <v>2929136.25</v>
          </cell>
          <cell r="F56">
            <v>4753266.25</v>
          </cell>
        </row>
        <row r="57">
          <cell r="D57" t="str">
            <v>SB22587</v>
          </cell>
          <cell r="E57">
            <v>29835</v>
          </cell>
          <cell r="F57">
            <v>29835</v>
          </cell>
        </row>
        <row r="58">
          <cell r="D58" t="str">
            <v>SB22607</v>
          </cell>
          <cell r="E58">
            <v>336450</v>
          </cell>
          <cell r="F58">
            <v>336450</v>
          </cell>
        </row>
        <row r="59">
          <cell r="D59" t="str">
            <v/>
          </cell>
        </row>
        <row r="59">
          <cell r="F59">
            <v>197144</v>
          </cell>
        </row>
        <row r="60">
          <cell r="D60" t="str">
            <v>SB22520</v>
          </cell>
        </row>
        <row r="60">
          <cell r="F60">
            <v>197144</v>
          </cell>
        </row>
        <row r="61">
          <cell r="D61" t="str">
            <v/>
          </cell>
          <cell r="E61">
            <v>5913843.6</v>
          </cell>
          <cell r="F61">
            <v>23744</v>
          </cell>
        </row>
        <row r="62">
          <cell r="D62" t="str">
            <v>SB22518</v>
          </cell>
        </row>
        <row r="62">
          <cell r="F62">
            <v>17248</v>
          </cell>
        </row>
        <row r="63">
          <cell r="D63" t="str">
            <v>SB22585</v>
          </cell>
          <cell r="E63">
            <v>6496</v>
          </cell>
          <cell r="F63">
            <v>6496</v>
          </cell>
        </row>
        <row r="64">
          <cell r="D64" t="str">
            <v>SB22606</v>
          </cell>
          <cell r="E64">
            <v>5907347.6</v>
          </cell>
        </row>
        <row r="65">
          <cell r="D65" t="str">
            <v/>
          </cell>
          <cell r="E65">
            <v>198375</v>
          </cell>
          <cell r="F65">
            <v>198375</v>
          </cell>
        </row>
        <row r="66">
          <cell r="D66" t="str">
            <v>SB22621</v>
          </cell>
          <cell r="E66">
            <v>198375</v>
          </cell>
          <cell r="F66">
            <v>198375</v>
          </cell>
        </row>
        <row r="67">
          <cell r="D67" t="str">
            <v/>
          </cell>
        </row>
        <row r="68">
          <cell r="D68" t="str">
            <v>SB22513</v>
          </cell>
        </row>
        <row r="69">
          <cell r="D69" t="str">
            <v/>
          </cell>
          <cell r="E69">
            <v>79145</v>
          </cell>
          <cell r="F69">
            <v>1999832</v>
          </cell>
        </row>
        <row r="70">
          <cell r="D70" t="str">
            <v/>
          </cell>
          <cell r="E70">
            <v>79145</v>
          </cell>
          <cell r="F70">
            <v>1999832</v>
          </cell>
        </row>
        <row r="71">
          <cell r="D71" t="str">
            <v>SB22416</v>
          </cell>
        </row>
        <row r="72">
          <cell r="D72" t="str">
            <v>SB22492</v>
          </cell>
        </row>
        <row r="72">
          <cell r="F72">
            <v>1920687</v>
          </cell>
        </row>
        <row r="73">
          <cell r="D73" t="str">
            <v>SB22506</v>
          </cell>
        </row>
        <row r="74">
          <cell r="D74" t="str">
            <v>SB22567</v>
          </cell>
          <cell r="E74">
            <v>24145</v>
          </cell>
          <cell r="F74">
            <v>24145</v>
          </cell>
        </row>
        <row r="75">
          <cell r="D75" t="str">
            <v>SB22583</v>
          </cell>
          <cell r="E75">
            <v>55000</v>
          </cell>
          <cell r="F75">
            <v>55000</v>
          </cell>
        </row>
        <row r="76">
          <cell r="D76" t="str">
            <v/>
          </cell>
          <cell r="E76">
            <v>40494942.7</v>
          </cell>
          <cell r="F76">
            <v>46018342.24</v>
          </cell>
        </row>
        <row r="77">
          <cell r="D77" t="str">
            <v/>
          </cell>
          <cell r="E77">
            <v>2751197.6</v>
          </cell>
          <cell r="F77">
            <v>151005.6</v>
          </cell>
        </row>
        <row r="78">
          <cell r="D78" t="str">
            <v>SB22584</v>
          </cell>
          <cell r="E78">
            <v>2751197.6</v>
          </cell>
          <cell r="F78">
            <v>151005.6</v>
          </cell>
        </row>
        <row r="79">
          <cell r="D79" t="str">
            <v/>
          </cell>
          <cell r="E79">
            <v>973972</v>
          </cell>
        </row>
        <row r="80">
          <cell r="D80" t="str">
            <v>SB22564</v>
          </cell>
        </row>
        <row r="81">
          <cell r="D81" t="str">
            <v>SB22575</v>
          </cell>
          <cell r="E81">
            <v>835524</v>
          </cell>
        </row>
        <row r="82">
          <cell r="D82" t="str">
            <v>SB22582</v>
          </cell>
          <cell r="E82">
            <v>138448</v>
          </cell>
        </row>
        <row r="83">
          <cell r="D83" t="str">
            <v/>
          </cell>
        </row>
        <row r="83">
          <cell r="F83">
            <v>11000</v>
          </cell>
        </row>
        <row r="84">
          <cell r="D84" t="str">
            <v>SB22536</v>
          </cell>
        </row>
        <row r="84">
          <cell r="F84">
            <v>11000</v>
          </cell>
        </row>
        <row r="85">
          <cell r="D85" t="str">
            <v/>
          </cell>
          <cell r="E85">
            <v>12800059.47</v>
          </cell>
          <cell r="F85">
            <v>30949523.97</v>
          </cell>
        </row>
        <row r="86">
          <cell r="D86" t="str">
            <v>SB22324</v>
          </cell>
        </row>
        <row r="86">
          <cell r="F86">
            <v>1440862</v>
          </cell>
        </row>
        <row r="87">
          <cell r="D87" t="str">
            <v>SB22354</v>
          </cell>
        </row>
        <row r="88">
          <cell r="D88" t="str">
            <v>SB22387</v>
          </cell>
        </row>
        <row r="89">
          <cell r="D89" t="str">
            <v>SB22395</v>
          </cell>
        </row>
        <row r="90">
          <cell r="D90" t="str">
            <v>SB22410</v>
          </cell>
        </row>
        <row r="91">
          <cell r="D91" t="str">
            <v>SB22465</v>
          </cell>
        </row>
        <row r="91">
          <cell r="F91">
            <v>2500000</v>
          </cell>
        </row>
        <row r="92">
          <cell r="D92" t="str">
            <v>SB22491</v>
          </cell>
          <cell r="E92">
            <v>800166</v>
          </cell>
          <cell r="F92">
            <v>15800720</v>
          </cell>
        </row>
        <row r="93">
          <cell r="D93" t="str">
            <v>SB22495</v>
          </cell>
          <cell r="E93">
            <v>2741972</v>
          </cell>
        </row>
        <row r="94">
          <cell r="D94" t="str">
            <v>SB22503</v>
          </cell>
          <cell r="E94">
            <v>500000</v>
          </cell>
          <cell r="F94">
            <v>2500043</v>
          </cell>
        </row>
        <row r="95">
          <cell r="D95" t="str">
            <v>SB22552</v>
          </cell>
        </row>
        <row r="96">
          <cell r="D96" t="str">
            <v>SB22566</v>
          </cell>
          <cell r="E96">
            <v>2060170.57</v>
          </cell>
          <cell r="F96">
            <v>2060170.57</v>
          </cell>
        </row>
        <row r="97">
          <cell r="D97" t="str">
            <v>SB22586</v>
          </cell>
          <cell r="E97">
            <v>2778994.9</v>
          </cell>
          <cell r="F97">
            <v>2728972.4</v>
          </cell>
        </row>
        <row r="98">
          <cell r="D98" t="str">
            <v>SB22602</v>
          </cell>
          <cell r="E98">
            <v>1102551</v>
          </cell>
          <cell r="F98">
            <v>1102551</v>
          </cell>
        </row>
        <row r="99">
          <cell r="D99" t="str">
            <v>SB22645</v>
          </cell>
          <cell r="E99">
            <v>2816205</v>
          </cell>
          <cell r="F99">
            <v>2816205</v>
          </cell>
        </row>
        <row r="100">
          <cell r="D100" t="str">
            <v/>
          </cell>
          <cell r="E100">
            <v>3293400</v>
          </cell>
        </row>
        <row r="101">
          <cell r="D101" t="str">
            <v>SB22595</v>
          </cell>
          <cell r="E101">
            <v>2580160</v>
          </cell>
        </row>
        <row r="102">
          <cell r="D102" t="str">
            <v>SB22609</v>
          </cell>
          <cell r="E102">
            <v>713240</v>
          </cell>
        </row>
        <row r="103">
          <cell r="D103" t="str">
            <v/>
          </cell>
        </row>
        <row r="104">
          <cell r="D104" t="str">
            <v>SB22401</v>
          </cell>
        </row>
        <row r="105">
          <cell r="D105" t="str">
            <v/>
          </cell>
          <cell r="E105">
            <v>1721092.49</v>
          </cell>
          <cell r="F105">
            <v>1721092.49</v>
          </cell>
        </row>
        <row r="106">
          <cell r="D106" t="str">
            <v>SB22571</v>
          </cell>
          <cell r="E106">
            <v>1721092.49</v>
          </cell>
          <cell r="F106">
            <v>1721092.49</v>
          </cell>
        </row>
        <row r="107">
          <cell r="D107" t="str">
            <v/>
          </cell>
        </row>
        <row r="108">
          <cell r="D108" t="str">
            <v>SB22422</v>
          </cell>
        </row>
        <row r="109">
          <cell r="D109" t="str">
            <v/>
          </cell>
          <cell r="E109">
            <v>581460</v>
          </cell>
          <cell r="F109">
            <v>581460</v>
          </cell>
        </row>
        <row r="110">
          <cell r="D110" t="str">
            <v>SB22392</v>
          </cell>
        </row>
        <row r="111">
          <cell r="D111" t="str">
            <v>SB22548</v>
          </cell>
          <cell r="E111">
            <v>581460</v>
          </cell>
          <cell r="F111">
            <v>581460</v>
          </cell>
        </row>
        <row r="112">
          <cell r="D112" t="str">
            <v/>
          </cell>
        </row>
        <row r="112">
          <cell r="F112">
            <v>63910</v>
          </cell>
        </row>
        <row r="113">
          <cell r="D113" t="str">
            <v>SB22538</v>
          </cell>
        </row>
        <row r="113">
          <cell r="F113">
            <v>63910</v>
          </cell>
        </row>
        <row r="114">
          <cell r="D114" t="str">
            <v/>
          </cell>
        </row>
        <row r="115">
          <cell r="D115" t="str">
            <v>SB21992</v>
          </cell>
        </row>
        <row r="116">
          <cell r="D116" t="str">
            <v/>
          </cell>
        </row>
        <row r="116">
          <cell r="F116">
            <v>2226654</v>
          </cell>
        </row>
        <row r="117">
          <cell r="D117" t="str">
            <v>SB22550</v>
          </cell>
        </row>
        <row r="117">
          <cell r="F117">
            <v>2226654</v>
          </cell>
        </row>
        <row r="118">
          <cell r="D118" t="str">
            <v/>
          </cell>
          <cell r="E118">
            <v>1000000</v>
          </cell>
        </row>
        <row r="119">
          <cell r="D119" t="str">
            <v>SB21859</v>
          </cell>
        </row>
        <row r="120">
          <cell r="D120" t="str">
            <v>SB22512</v>
          </cell>
          <cell r="E120">
            <v>1000000</v>
          </cell>
        </row>
        <row r="121">
          <cell r="D121" t="str">
            <v/>
          </cell>
          <cell r="E121">
            <v>13936912.34</v>
          </cell>
          <cell r="F121">
            <v>6876847.38</v>
          </cell>
        </row>
        <row r="122">
          <cell r="D122" t="str">
            <v>SB22327</v>
          </cell>
        </row>
        <row r="123">
          <cell r="D123" t="str">
            <v>SB22375</v>
          </cell>
        </row>
        <row r="123">
          <cell r="F123">
            <v>292464.5</v>
          </cell>
        </row>
        <row r="124">
          <cell r="D124" t="str">
            <v>SB22391</v>
          </cell>
        </row>
        <row r="125">
          <cell r="D125" t="str">
            <v>SB22394</v>
          </cell>
        </row>
        <row r="126">
          <cell r="D126" t="str">
            <v>SB22449</v>
          </cell>
          <cell r="E126">
            <v>399072.26</v>
          </cell>
          <cell r="F126">
            <v>399072.26</v>
          </cell>
        </row>
        <row r="127">
          <cell r="D127" t="str">
            <v>SB22494</v>
          </cell>
        </row>
        <row r="128">
          <cell r="D128" t="str">
            <v>SB22501</v>
          </cell>
        </row>
        <row r="129">
          <cell r="D129" t="str">
            <v>SB22502</v>
          </cell>
        </row>
        <row r="130">
          <cell r="D130" t="str">
            <v>SB22537</v>
          </cell>
        </row>
        <row r="131">
          <cell r="D131" t="str">
            <v>SB22549</v>
          </cell>
        </row>
        <row r="131">
          <cell r="F131">
            <v>286859.98</v>
          </cell>
        </row>
        <row r="132">
          <cell r="D132" t="str">
            <v>SB22578</v>
          </cell>
          <cell r="E132">
            <v>10667872.81</v>
          </cell>
          <cell r="F132">
            <v>5333936.81</v>
          </cell>
        </row>
        <row r="133">
          <cell r="D133" t="str">
            <v>SB22594</v>
          </cell>
          <cell r="E133">
            <v>1022599</v>
          </cell>
        </row>
        <row r="134">
          <cell r="D134" t="str">
            <v>SB22603</v>
          </cell>
          <cell r="E134">
            <v>105114</v>
          </cell>
        </row>
        <row r="135">
          <cell r="D135" t="str">
            <v>SB22608</v>
          </cell>
          <cell r="E135">
            <v>564513.83</v>
          </cell>
          <cell r="F135">
            <v>564513.83</v>
          </cell>
        </row>
        <row r="136">
          <cell r="D136" t="str">
            <v>SB22619</v>
          </cell>
          <cell r="E136">
            <v>1077740.44</v>
          </cell>
        </row>
        <row r="137">
          <cell r="D137" t="str">
            <v>SB22641</v>
          </cell>
          <cell r="E137">
            <v>100000</v>
          </cell>
        </row>
        <row r="138">
          <cell r="D138" t="str">
            <v/>
          </cell>
          <cell r="E138">
            <v>349503</v>
          </cell>
          <cell r="F138">
            <v>349503</v>
          </cell>
        </row>
        <row r="139">
          <cell r="D139" t="str">
            <v>SB22332</v>
          </cell>
          <cell r="E139">
            <v>349503</v>
          </cell>
          <cell r="F139">
            <v>349503</v>
          </cell>
        </row>
        <row r="140">
          <cell r="D140" t="str">
            <v/>
          </cell>
          <cell r="E140">
            <v>3087345.8</v>
          </cell>
          <cell r="F140">
            <v>3087345.8</v>
          </cell>
        </row>
        <row r="141">
          <cell r="D141" t="str">
            <v>SB22472</v>
          </cell>
          <cell r="E141">
            <v>3087345.8</v>
          </cell>
          <cell r="F141">
            <v>3087345.8</v>
          </cell>
        </row>
        <row r="142">
          <cell r="D142" t="str">
            <v/>
          </cell>
          <cell r="E142">
            <v>32089393.34</v>
          </cell>
          <cell r="F142">
            <v>12752369.1</v>
          </cell>
        </row>
        <row r="143">
          <cell r="D143" t="str">
            <v/>
          </cell>
          <cell r="E143">
            <v>32089393.34</v>
          </cell>
          <cell r="F143">
            <v>12752369.1</v>
          </cell>
        </row>
        <row r="144">
          <cell r="D144" t="str">
            <v/>
          </cell>
        </row>
        <row r="145">
          <cell r="D145" t="str">
            <v>SB22509</v>
          </cell>
        </row>
        <row r="146">
          <cell r="D146" t="str">
            <v/>
          </cell>
        </row>
        <row r="147">
          <cell r="D147" t="str">
            <v>SB22282</v>
          </cell>
        </row>
        <row r="148">
          <cell r="D148" t="str">
            <v/>
          </cell>
          <cell r="E148">
            <v>1814897.04</v>
          </cell>
          <cell r="F148">
            <v>34100</v>
          </cell>
        </row>
        <row r="149">
          <cell r="D149" t="str">
            <v>SB22205</v>
          </cell>
        </row>
        <row r="150">
          <cell r="D150" t="str">
            <v>SB22411</v>
          </cell>
        </row>
        <row r="151">
          <cell r="D151" t="str">
            <v>SB22487</v>
          </cell>
        </row>
        <row r="152">
          <cell r="D152" t="str">
            <v>SB22504</v>
          </cell>
        </row>
        <row r="153">
          <cell r="D153" t="str">
            <v>SB22524</v>
          </cell>
        </row>
        <row r="154">
          <cell r="D154" t="str">
            <v>SB22547</v>
          </cell>
        </row>
        <row r="155">
          <cell r="D155" t="str">
            <v>SB22555</v>
          </cell>
        </row>
        <row r="156">
          <cell r="D156" t="str">
            <v>SB22556</v>
          </cell>
        </row>
        <row r="157">
          <cell r="D157" t="str">
            <v>SB22573</v>
          </cell>
        </row>
        <row r="158">
          <cell r="D158" t="str">
            <v>SB22589</v>
          </cell>
          <cell r="E158">
            <v>34100</v>
          </cell>
          <cell r="F158">
            <v>34100</v>
          </cell>
        </row>
        <row r="159">
          <cell r="D159" t="str">
            <v>SB22604</v>
          </cell>
          <cell r="E159">
            <v>1014046</v>
          </cell>
        </row>
        <row r="160">
          <cell r="D160" t="str">
            <v>SB22610</v>
          </cell>
          <cell r="E160">
            <v>71500</v>
          </cell>
        </row>
        <row r="161">
          <cell r="D161" t="str">
            <v>SB22635</v>
          </cell>
        </row>
        <row r="162">
          <cell r="D162" t="str">
            <v>SB22642</v>
          </cell>
          <cell r="E162">
            <v>80014</v>
          </cell>
        </row>
        <row r="163">
          <cell r="D163" t="str">
            <v>SB22651</v>
          </cell>
          <cell r="E163">
            <v>437059.04</v>
          </cell>
        </row>
        <row r="164">
          <cell r="D164" t="str">
            <v>SB22652</v>
          </cell>
        </row>
        <row r="165">
          <cell r="D165" t="str">
            <v>SB22654</v>
          </cell>
        </row>
        <row r="166">
          <cell r="D166" t="str">
            <v>SB22659</v>
          </cell>
          <cell r="E166">
            <v>178178</v>
          </cell>
        </row>
        <row r="167">
          <cell r="D167" t="str">
            <v/>
          </cell>
          <cell r="E167">
            <v>1804616</v>
          </cell>
        </row>
        <row r="168">
          <cell r="D168" t="str">
            <v>SB22565</v>
          </cell>
          <cell r="E168">
            <v>1804616</v>
          </cell>
        </row>
        <row r="169">
          <cell r="D169" t="str">
            <v/>
          </cell>
          <cell r="E169">
            <v>660000</v>
          </cell>
          <cell r="F169">
            <v>2452010</v>
          </cell>
        </row>
        <row r="170">
          <cell r="D170" t="str">
            <v>SB22190</v>
          </cell>
          <cell r="E170">
            <v>660000</v>
          </cell>
          <cell r="F170">
            <v>660000</v>
          </cell>
        </row>
        <row r="171">
          <cell r="D171" t="str">
            <v>SB22363</v>
          </cell>
        </row>
        <row r="171">
          <cell r="F171">
            <v>1792010</v>
          </cell>
        </row>
        <row r="172">
          <cell r="D172" t="str">
            <v>SB22471</v>
          </cell>
        </row>
        <row r="173">
          <cell r="D173" t="str">
            <v/>
          </cell>
          <cell r="E173">
            <v>4823680.7</v>
          </cell>
          <cell r="F173">
            <v>7800550.2</v>
          </cell>
        </row>
        <row r="174">
          <cell r="D174" t="str">
            <v>SB22417</v>
          </cell>
        </row>
        <row r="175">
          <cell r="D175" t="str">
            <v>SB22461</v>
          </cell>
          <cell r="E175">
            <v>3011623.2</v>
          </cell>
          <cell r="F175">
            <v>3011623.2</v>
          </cell>
        </row>
        <row r="176">
          <cell r="D176" t="str">
            <v>SB22479</v>
          </cell>
        </row>
        <row r="176">
          <cell r="F176">
            <v>3416869.5</v>
          </cell>
        </row>
        <row r="177">
          <cell r="D177" t="str">
            <v>SB22543</v>
          </cell>
          <cell r="E177">
            <v>1372057.5</v>
          </cell>
          <cell r="F177">
            <v>1372057.5</v>
          </cell>
        </row>
        <row r="178">
          <cell r="D178" t="str">
            <v>SB22639</v>
          </cell>
          <cell r="E178">
            <v>440000</v>
          </cell>
        </row>
        <row r="179">
          <cell r="D179" t="str">
            <v/>
          </cell>
          <cell r="E179">
            <v>381205</v>
          </cell>
          <cell r="F179">
            <v>381205</v>
          </cell>
        </row>
        <row r="180">
          <cell r="D180" t="str">
            <v>SB22611</v>
          </cell>
          <cell r="E180">
            <v>381205</v>
          </cell>
          <cell r="F180">
            <v>381205</v>
          </cell>
        </row>
        <row r="181">
          <cell r="D181" t="str">
            <v/>
          </cell>
          <cell r="E181">
            <v>175142</v>
          </cell>
          <cell r="F181">
            <v>175142</v>
          </cell>
        </row>
        <row r="182">
          <cell r="D182" t="str">
            <v>SB22444</v>
          </cell>
          <cell r="E182">
            <v>175142</v>
          </cell>
          <cell r="F182">
            <v>175142</v>
          </cell>
        </row>
        <row r="183">
          <cell r="D183" t="str">
            <v/>
          </cell>
        </row>
        <row r="184">
          <cell r="D184" t="str">
            <v>SB22647</v>
          </cell>
        </row>
        <row r="185">
          <cell r="D185" t="str">
            <v/>
          </cell>
          <cell r="E185">
            <v>535992.5</v>
          </cell>
          <cell r="F185">
            <v>535992.5</v>
          </cell>
        </row>
        <row r="186">
          <cell r="D186" t="str">
            <v>SB22374</v>
          </cell>
          <cell r="E186">
            <v>522500</v>
          </cell>
          <cell r="F186">
            <v>522500</v>
          </cell>
        </row>
        <row r="187">
          <cell r="D187" t="str">
            <v>SB22397</v>
          </cell>
        </row>
        <row r="188">
          <cell r="D188" t="str">
            <v>SB22508</v>
          </cell>
        </row>
        <row r="189">
          <cell r="D189" t="str">
            <v>SB22605</v>
          </cell>
          <cell r="E189">
            <v>13492.5</v>
          </cell>
          <cell r="F189">
            <v>13492.5</v>
          </cell>
        </row>
        <row r="190">
          <cell r="D190" t="str">
            <v/>
          </cell>
          <cell r="E190">
            <v>1478362.5</v>
          </cell>
        </row>
        <row r="191">
          <cell r="D191" t="str">
            <v>SB22650</v>
          </cell>
          <cell r="E191">
            <v>1478362.5</v>
          </cell>
        </row>
        <row r="192">
          <cell r="D192" t="str">
            <v/>
          </cell>
          <cell r="E192">
            <v>30800</v>
          </cell>
        </row>
        <row r="193">
          <cell r="D193" t="str">
            <v>SB22470</v>
          </cell>
        </row>
        <row r="194">
          <cell r="D194" t="str">
            <v>SB22625</v>
          </cell>
          <cell r="E194">
            <v>30800</v>
          </cell>
        </row>
        <row r="195">
          <cell r="D195" t="str">
            <v/>
          </cell>
          <cell r="E195">
            <v>72600</v>
          </cell>
          <cell r="F195">
            <v>72600</v>
          </cell>
        </row>
        <row r="196">
          <cell r="D196" t="str">
            <v>SB22601</v>
          </cell>
          <cell r="E196">
            <v>72600</v>
          </cell>
          <cell r="F196">
            <v>72600</v>
          </cell>
        </row>
        <row r="197">
          <cell r="D197" t="str">
            <v/>
          </cell>
        </row>
        <row r="198">
          <cell r="D198" t="str">
            <v>SB22311</v>
          </cell>
        </row>
        <row r="199">
          <cell r="D199" t="str">
            <v/>
          </cell>
          <cell r="E199">
            <v>723561.28</v>
          </cell>
        </row>
        <row r="200">
          <cell r="D200" t="str">
            <v>SB22451</v>
          </cell>
        </row>
        <row r="201">
          <cell r="D201" t="str">
            <v>SB22624</v>
          </cell>
          <cell r="E201">
            <v>723561.28</v>
          </cell>
        </row>
        <row r="202">
          <cell r="D202" t="str">
            <v/>
          </cell>
        </row>
        <row r="202">
          <cell r="F202">
            <v>339093</v>
          </cell>
        </row>
        <row r="203">
          <cell r="D203" t="str">
            <v>SB21947</v>
          </cell>
        </row>
        <row r="204">
          <cell r="D204" t="str">
            <v>SB22488</v>
          </cell>
        </row>
        <row r="204">
          <cell r="F204">
            <v>339093</v>
          </cell>
        </row>
        <row r="205">
          <cell r="D205" t="str">
            <v/>
          </cell>
          <cell r="E205">
            <v>2644498</v>
          </cell>
          <cell r="F205">
            <v>644498</v>
          </cell>
        </row>
        <row r="206">
          <cell r="D206" t="str">
            <v>SB22083</v>
          </cell>
        </row>
        <row r="207">
          <cell r="D207" t="str">
            <v>SB22338</v>
          </cell>
          <cell r="E207">
            <v>2000000</v>
          </cell>
        </row>
        <row r="208">
          <cell r="D208" t="str">
            <v>SB22599</v>
          </cell>
          <cell r="E208">
            <v>644498</v>
          </cell>
          <cell r="F208">
            <v>644498</v>
          </cell>
        </row>
        <row r="209">
          <cell r="D209" t="str">
            <v/>
          </cell>
          <cell r="E209">
            <v>317178.4</v>
          </cell>
          <cell r="F209">
            <v>317178.4</v>
          </cell>
        </row>
        <row r="210">
          <cell r="D210" t="str">
            <v>SB22433</v>
          </cell>
          <cell r="E210">
            <v>317178.4</v>
          </cell>
          <cell r="F210">
            <v>317178.4</v>
          </cell>
        </row>
        <row r="211">
          <cell r="D211" t="str">
            <v/>
          </cell>
          <cell r="E211">
            <v>11232890</v>
          </cell>
        </row>
        <row r="212">
          <cell r="D212" t="str">
            <v>SB22629</v>
          </cell>
          <cell r="E212">
            <v>11232890</v>
          </cell>
        </row>
        <row r="213">
          <cell r="D213" t="str">
            <v/>
          </cell>
          <cell r="E213">
            <v>509179.06</v>
          </cell>
        </row>
        <row r="214">
          <cell r="D214" t="str">
            <v>SB22588</v>
          </cell>
          <cell r="E214">
            <v>509179.06</v>
          </cell>
        </row>
        <row r="215">
          <cell r="D215" t="str">
            <v/>
          </cell>
          <cell r="E215">
            <v>4884790.86</v>
          </cell>
        </row>
        <row r="216">
          <cell r="D216" t="str">
            <v>SB22614</v>
          </cell>
          <cell r="E216">
            <v>4884790.86</v>
          </cell>
        </row>
        <row r="217">
          <cell r="D217" t="str">
            <v/>
          </cell>
        </row>
        <row r="218">
          <cell r="D218" t="str">
            <v>SB22636</v>
          </cell>
        </row>
        <row r="219">
          <cell r="D219" t="str">
            <v>SB22643</v>
          </cell>
        </row>
        <row r="220">
          <cell r="D220" t="str">
            <v/>
          </cell>
          <cell r="E220">
            <v>5795720.7</v>
          </cell>
          <cell r="F220">
            <v>8764987.7</v>
          </cell>
        </row>
        <row r="221">
          <cell r="D221" t="str">
            <v/>
          </cell>
          <cell r="E221">
            <v>5795720.7</v>
          </cell>
          <cell r="F221">
            <v>8764987.7</v>
          </cell>
        </row>
        <row r="222">
          <cell r="D222" t="str">
            <v/>
          </cell>
          <cell r="E222">
            <v>94072</v>
          </cell>
          <cell r="F222">
            <v>94072</v>
          </cell>
        </row>
        <row r="223">
          <cell r="D223" t="str">
            <v>SB22572</v>
          </cell>
          <cell r="E223">
            <v>94072</v>
          </cell>
          <cell r="F223">
            <v>94072</v>
          </cell>
        </row>
        <row r="224">
          <cell r="D224" t="str">
            <v/>
          </cell>
          <cell r="E224">
            <v>4440399.7</v>
          </cell>
          <cell r="F224">
            <v>7821975.7</v>
          </cell>
        </row>
        <row r="225">
          <cell r="D225" t="str">
            <v>SB22280</v>
          </cell>
        </row>
        <row r="226">
          <cell r="D226" t="str">
            <v>SB22424</v>
          </cell>
        </row>
        <row r="227">
          <cell r="D227" t="str">
            <v>SB22446</v>
          </cell>
          <cell r="E227">
            <v>207625</v>
          </cell>
          <cell r="F227">
            <v>1668425</v>
          </cell>
        </row>
        <row r="228">
          <cell r="D228" t="str">
            <v>SB22469</v>
          </cell>
          <cell r="E228">
            <v>1142097</v>
          </cell>
          <cell r="F228">
            <v>3631001</v>
          </cell>
        </row>
        <row r="229">
          <cell r="D229" t="str">
            <v>SB22529</v>
          </cell>
          <cell r="E229">
            <v>86020</v>
          </cell>
          <cell r="F229">
            <v>656271</v>
          </cell>
        </row>
        <row r="230">
          <cell r="D230" t="str">
            <v>SB22534</v>
          </cell>
          <cell r="E230">
            <v>1679447</v>
          </cell>
          <cell r="F230">
            <v>909447</v>
          </cell>
        </row>
        <row r="231">
          <cell r="D231" t="str">
            <v>SB22546</v>
          </cell>
        </row>
        <row r="232">
          <cell r="D232" t="str">
            <v>SB22558</v>
          </cell>
          <cell r="E232">
            <v>224730</v>
          </cell>
          <cell r="F232">
            <v>224730</v>
          </cell>
        </row>
        <row r="233">
          <cell r="D233" t="str">
            <v>SB22593</v>
          </cell>
          <cell r="E233">
            <v>268279</v>
          </cell>
        </row>
        <row r="234">
          <cell r="D234" t="str">
            <v>SB22617</v>
          </cell>
          <cell r="E234">
            <v>706801.7</v>
          </cell>
          <cell r="F234">
            <v>706801.7</v>
          </cell>
        </row>
        <row r="235">
          <cell r="D235" t="str">
            <v>SB22633</v>
          </cell>
          <cell r="E235">
            <v>25300</v>
          </cell>
          <cell r="F235">
            <v>25300</v>
          </cell>
        </row>
        <row r="236">
          <cell r="D236" t="str">
            <v>SB22649</v>
          </cell>
          <cell r="E236">
            <v>100100</v>
          </cell>
        </row>
        <row r="237">
          <cell r="D237" t="str">
            <v/>
          </cell>
          <cell r="E237">
            <v>754018</v>
          </cell>
          <cell r="F237">
            <v>646365</v>
          </cell>
        </row>
        <row r="238">
          <cell r="D238" t="str">
            <v>SB22366</v>
          </cell>
        </row>
        <row r="238">
          <cell r="F238">
            <v>308665</v>
          </cell>
        </row>
        <row r="239">
          <cell r="D239" t="str">
            <v>SB22532</v>
          </cell>
        </row>
        <row r="239">
          <cell r="F239">
            <v>337700</v>
          </cell>
        </row>
        <row r="240">
          <cell r="D240" t="str">
            <v>SB22627</v>
          </cell>
          <cell r="E240">
            <v>394253</v>
          </cell>
        </row>
        <row r="241">
          <cell r="D241" t="str">
            <v>SB22637</v>
          </cell>
          <cell r="E241">
            <v>359765</v>
          </cell>
        </row>
        <row r="242">
          <cell r="D242" t="str">
            <v/>
          </cell>
          <cell r="E242">
            <v>491106</v>
          </cell>
          <cell r="F242">
            <v>186450</v>
          </cell>
        </row>
        <row r="243">
          <cell r="D243" t="str">
            <v>SB22356</v>
          </cell>
        </row>
        <row r="244">
          <cell r="D244" t="str">
            <v>SB22523</v>
          </cell>
          <cell r="E244">
            <v>186450</v>
          </cell>
          <cell r="F244">
            <v>186450</v>
          </cell>
        </row>
        <row r="245">
          <cell r="D245" t="str">
            <v>SB22576</v>
          </cell>
          <cell r="E245">
            <v>304656</v>
          </cell>
        </row>
        <row r="246">
          <cell r="D246" t="str">
            <v/>
          </cell>
          <cell r="E246">
            <v>16125</v>
          </cell>
          <cell r="F246">
            <v>16125</v>
          </cell>
        </row>
        <row r="247">
          <cell r="D247" t="str">
            <v>SB22445</v>
          </cell>
        </row>
        <row r="248">
          <cell r="D248" t="str">
            <v>SB22597</v>
          </cell>
          <cell r="E248">
            <v>16125</v>
          </cell>
          <cell r="F248">
            <v>16125</v>
          </cell>
        </row>
        <row r="249">
          <cell r="D249" t="str">
            <v/>
          </cell>
          <cell r="E249">
            <v>168829885</v>
          </cell>
          <cell r="F249">
            <v>126814952</v>
          </cell>
        </row>
        <row r="250">
          <cell r="D250" t="str">
            <v/>
          </cell>
          <cell r="E250">
            <v>87664889</v>
          </cell>
          <cell r="F250">
            <v>75409234</v>
          </cell>
        </row>
        <row r="251">
          <cell r="D251" t="str">
            <v/>
          </cell>
          <cell r="E251">
            <v>1456000</v>
          </cell>
          <cell r="F251">
            <v>1456000</v>
          </cell>
        </row>
        <row r="252">
          <cell r="D252" t="str">
            <v>SB22592</v>
          </cell>
          <cell r="E252">
            <v>1456000</v>
          </cell>
          <cell r="F252">
            <v>1456000</v>
          </cell>
        </row>
        <row r="253">
          <cell r="D253" t="str">
            <v/>
          </cell>
          <cell r="E253">
            <v>12525656</v>
          </cell>
          <cell r="F253">
            <v>13074051</v>
          </cell>
        </row>
        <row r="254">
          <cell r="D254" t="str">
            <v>SB22381</v>
          </cell>
        </row>
        <row r="255">
          <cell r="D255" t="str">
            <v>SB22405</v>
          </cell>
        </row>
        <row r="255">
          <cell r="F255">
            <v>5313598</v>
          </cell>
        </row>
        <row r="256">
          <cell r="D256" t="str">
            <v>SB22539</v>
          </cell>
        </row>
        <row r="256">
          <cell r="F256">
            <v>7760453</v>
          </cell>
        </row>
        <row r="257">
          <cell r="D257" t="str">
            <v>SB22664</v>
          </cell>
          <cell r="E257">
            <v>12525656</v>
          </cell>
        </row>
        <row r="258">
          <cell r="D258" t="str">
            <v/>
          </cell>
          <cell r="E258">
            <v>1197840</v>
          </cell>
          <cell r="F258">
            <v>7053358</v>
          </cell>
        </row>
        <row r="259">
          <cell r="D259" t="str">
            <v>SB22437</v>
          </cell>
          <cell r="E259">
            <v>1197840</v>
          </cell>
          <cell r="F259">
            <v>7053358</v>
          </cell>
        </row>
        <row r="260">
          <cell r="D260" t="str">
            <v/>
          </cell>
          <cell r="E260">
            <v>484950</v>
          </cell>
          <cell r="F260">
            <v>484950</v>
          </cell>
        </row>
        <row r="261">
          <cell r="D261" t="str">
            <v>SB22272</v>
          </cell>
          <cell r="E261">
            <v>484950</v>
          </cell>
          <cell r="F261">
            <v>484950</v>
          </cell>
        </row>
        <row r="262">
          <cell r="D262" t="str">
            <v/>
          </cell>
          <cell r="E262">
            <v>65828520</v>
          </cell>
          <cell r="F262">
            <v>34032480</v>
          </cell>
        </row>
        <row r="263">
          <cell r="D263" t="str">
            <v>SB22305</v>
          </cell>
        </row>
        <row r="263">
          <cell r="F263">
            <v>23332480</v>
          </cell>
        </row>
        <row r="264">
          <cell r="D264" t="str">
            <v>SB22306</v>
          </cell>
        </row>
        <row r="265">
          <cell r="D265" t="str">
            <v>SB22318</v>
          </cell>
        </row>
        <row r="266">
          <cell r="D266" t="str">
            <v>SB22319</v>
          </cell>
        </row>
        <row r="267">
          <cell r="D267" t="str">
            <v>SB22320</v>
          </cell>
        </row>
        <row r="267">
          <cell r="F267">
            <v>10700000</v>
          </cell>
        </row>
        <row r="268">
          <cell r="D268" t="str">
            <v>SB22396</v>
          </cell>
          <cell r="E268">
            <v>3900000</v>
          </cell>
        </row>
        <row r="269">
          <cell r="D269" t="str">
            <v>SB22561</v>
          </cell>
          <cell r="E269">
            <v>15300000</v>
          </cell>
        </row>
        <row r="270">
          <cell r="D270" t="str">
            <v>SB22562</v>
          </cell>
          <cell r="E270">
            <v>12000000</v>
          </cell>
        </row>
        <row r="271">
          <cell r="D271" t="str">
            <v>SB22563</v>
          </cell>
          <cell r="E271">
            <v>12000000</v>
          </cell>
        </row>
        <row r="272">
          <cell r="D272" t="str">
            <v>SB22590</v>
          </cell>
          <cell r="E272">
            <v>11903320</v>
          </cell>
        </row>
        <row r="273">
          <cell r="D273" t="str">
            <v>SB22591</v>
          </cell>
          <cell r="E273">
            <v>10725200</v>
          </cell>
        </row>
        <row r="274">
          <cell r="D274" t="str">
            <v/>
          </cell>
          <cell r="E274">
            <v>2917310</v>
          </cell>
          <cell r="F274">
            <v>2917310</v>
          </cell>
        </row>
        <row r="275">
          <cell r="D275" t="str">
            <v>SB22278</v>
          </cell>
          <cell r="E275">
            <v>2917310</v>
          </cell>
          <cell r="F275">
            <v>2917310</v>
          </cell>
        </row>
        <row r="276">
          <cell r="D276" t="str">
            <v/>
          </cell>
        </row>
        <row r="276">
          <cell r="F276">
            <v>12605686</v>
          </cell>
        </row>
        <row r="277">
          <cell r="D277" t="str">
            <v>SB22344</v>
          </cell>
        </row>
        <row r="277">
          <cell r="F277">
            <v>12321475</v>
          </cell>
        </row>
        <row r="278">
          <cell r="D278" t="str">
            <v>SB22404</v>
          </cell>
        </row>
        <row r="279">
          <cell r="D279" t="str">
            <v>SB22527</v>
          </cell>
        </row>
        <row r="279">
          <cell r="F279">
            <v>284211</v>
          </cell>
        </row>
        <row r="280">
          <cell r="D280" t="str">
            <v/>
          </cell>
          <cell r="E280">
            <v>2099625</v>
          </cell>
        </row>
        <row r="281">
          <cell r="D281" t="str">
            <v>SB22612</v>
          </cell>
          <cell r="E281">
            <v>2099625</v>
          </cell>
        </row>
        <row r="282">
          <cell r="D282" t="str">
            <v/>
          </cell>
        </row>
        <row r="283">
          <cell r="D283" t="str">
            <v>SB22254</v>
          </cell>
        </row>
        <row r="284">
          <cell r="D284" t="str">
            <v/>
          </cell>
        </row>
        <row r="285">
          <cell r="D285" t="str">
            <v>SB22316</v>
          </cell>
        </row>
        <row r="286">
          <cell r="D286" t="str">
            <v/>
          </cell>
        </row>
        <row r="286">
          <cell r="F286">
            <v>928816</v>
          </cell>
        </row>
        <row r="287">
          <cell r="D287" t="str">
            <v>SB22448</v>
          </cell>
        </row>
        <row r="287">
          <cell r="F287">
            <v>928816</v>
          </cell>
        </row>
        <row r="288">
          <cell r="D288" t="str">
            <v/>
          </cell>
          <cell r="E288">
            <v>437265</v>
          </cell>
        </row>
        <row r="289">
          <cell r="D289" t="str">
            <v>SB22622</v>
          </cell>
          <cell r="E289">
            <v>437265</v>
          </cell>
        </row>
        <row r="290">
          <cell r="D290" t="str">
            <v/>
          </cell>
        </row>
        <row r="291">
          <cell r="D291" t="str">
            <v>SB22158</v>
          </cell>
        </row>
        <row r="292">
          <cell r="D292" t="str">
            <v/>
          </cell>
          <cell r="E292">
            <v>717723</v>
          </cell>
          <cell r="F292">
            <v>2856583</v>
          </cell>
        </row>
        <row r="293">
          <cell r="D293" t="str">
            <v>SB22343</v>
          </cell>
        </row>
        <row r="294">
          <cell r="D294" t="str">
            <v>SB22498</v>
          </cell>
        </row>
        <row r="295">
          <cell r="D295" t="str">
            <v>SB22551</v>
          </cell>
        </row>
        <row r="295">
          <cell r="F295">
            <v>699894</v>
          </cell>
        </row>
        <row r="296">
          <cell r="D296" t="str">
            <v>SB22557</v>
          </cell>
        </row>
        <row r="297">
          <cell r="D297" t="str">
            <v>SB22574</v>
          </cell>
        </row>
        <row r="297">
          <cell r="F297">
            <v>2156689</v>
          </cell>
        </row>
        <row r="298">
          <cell r="D298" t="str">
            <v>SB22656</v>
          </cell>
          <cell r="E298">
            <v>717723</v>
          </cell>
        </row>
        <row r="299">
          <cell r="D299" t="str">
            <v/>
          </cell>
        </row>
        <row r="300">
          <cell r="D300" t="str">
            <v>SB22115</v>
          </cell>
        </row>
        <row r="301">
          <cell r="D301" t="str">
            <v/>
          </cell>
        </row>
        <row r="302">
          <cell r="D302" t="str">
            <v>SB22329</v>
          </cell>
        </row>
        <row r="303">
          <cell r="D303" t="str">
            <v/>
          </cell>
        </row>
        <row r="304">
          <cell r="D304" t="str">
            <v>SB22459</v>
          </cell>
        </row>
        <row r="305">
          <cell r="D305" t="str">
            <v/>
          </cell>
          <cell r="E305">
            <v>24023845</v>
          </cell>
          <cell r="F305">
            <v>4235</v>
          </cell>
        </row>
        <row r="306">
          <cell r="D306" t="str">
            <v/>
          </cell>
          <cell r="E306">
            <v>24023845</v>
          </cell>
          <cell r="F306">
            <v>4235</v>
          </cell>
        </row>
        <row r="307">
          <cell r="D307" t="str">
            <v>SB22204</v>
          </cell>
        </row>
        <row r="308">
          <cell r="D308" t="str">
            <v>SB22460</v>
          </cell>
        </row>
        <row r="309">
          <cell r="D309" t="str">
            <v>SB22615</v>
          </cell>
          <cell r="E309">
            <v>24019610</v>
          </cell>
        </row>
        <row r="310">
          <cell r="D310" t="str">
            <v>SB22618</v>
          </cell>
          <cell r="E310">
            <v>4235</v>
          </cell>
          <cell r="F310">
            <v>4235</v>
          </cell>
        </row>
        <row r="311">
          <cell r="D311" t="str">
            <v/>
          </cell>
          <cell r="E311">
            <v>8383360</v>
          </cell>
          <cell r="F311">
            <v>1798800</v>
          </cell>
        </row>
        <row r="312">
          <cell r="D312" t="str">
            <v/>
          </cell>
          <cell r="E312">
            <v>2050000</v>
          </cell>
          <cell r="F312">
            <v>250000</v>
          </cell>
        </row>
        <row r="313">
          <cell r="D313" t="str">
            <v>SB22414</v>
          </cell>
          <cell r="E313">
            <v>250000</v>
          </cell>
          <cell r="F313">
            <v>250000</v>
          </cell>
        </row>
        <row r="314">
          <cell r="D314" t="str">
            <v>SB22626</v>
          </cell>
          <cell r="E314">
            <v>1800000</v>
          </cell>
        </row>
        <row r="315">
          <cell r="D315" t="str">
            <v/>
          </cell>
          <cell r="E315">
            <v>6333360</v>
          </cell>
          <cell r="F315">
            <v>1548800</v>
          </cell>
        </row>
        <row r="316">
          <cell r="D316" t="str">
            <v>SB22559</v>
          </cell>
          <cell r="E316">
            <v>2150500</v>
          </cell>
        </row>
        <row r="317">
          <cell r="D317" t="str">
            <v>SB22560</v>
          </cell>
          <cell r="E317">
            <v>515900</v>
          </cell>
          <cell r="F317">
            <v>1548800</v>
          </cell>
        </row>
        <row r="318">
          <cell r="D318" t="str">
            <v>SB22623</v>
          </cell>
          <cell r="E318">
            <v>1719960</v>
          </cell>
        </row>
        <row r="319">
          <cell r="D319" t="str">
            <v>SB22666</v>
          </cell>
          <cell r="E319">
            <v>1947000</v>
          </cell>
        </row>
        <row r="320">
          <cell r="D320" t="str">
            <v/>
          </cell>
          <cell r="E320">
            <v>48757791</v>
          </cell>
          <cell r="F320">
            <v>49602683</v>
          </cell>
        </row>
        <row r="321">
          <cell r="D321" t="str">
            <v/>
          </cell>
          <cell r="E321">
            <v>19101302</v>
          </cell>
          <cell r="F321">
            <v>1568753</v>
          </cell>
        </row>
        <row r="322">
          <cell r="D322" t="str">
            <v>SB22263</v>
          </cell>
        </row>
        <row r="323">
          <cell r="D323" t="str">
            <v>SB22477</v>
          </cell>
        </row>
        <row r="323">
          <cell r="F323">
            <v>1568753</v>
          </cell>
        </row>
        <row r="324">
          <cell r="D324" t="str">
            <v>SB22640</v>
          </cell>
          <cell r="E324">
            <v>10901297</v>
          </cell>
        </row>
        <row r="325">
          <cell r="D325" t="str">
            <v>SB22657</v>
          </cell>
          <cell r="E325">
            <v>8200005</v>
          </cell>
        </row>
        <row r="326">
          <cell r="D326" t="str">
            <v/>
          </cell>
          <cell r="E326">
            <v>3311169</v>
          </cell>
          <cell r="F326">
            <v>2475150</v>
          </cell>
        </row>
        <row r="327">
          <cell r="D327" t="str">
            <v>SB22475</v>
          </cell>
        </row>
        <row r="328">
          <cell r="D328" t="str">
            <v>SB22483</v>
          </cell>
        </row>
        <row r="328">
          <cell r="F328">
            <v>2475150</v>
          </cell>
        </row>
        <row r="329">
          <cell r="D329" t="str">
            <v>SB22577</v>
          </cell>
          <cell r="E329">
            <v>2450000</v>
          </cell>
        </row>
        <row r="330">
          <cell r="D330" t="str">
            <v>SB22646</v>
          </cell>
          <cell r="E330">
            <v>861169</v>
          </cell>
        </row>
        <row r="331">
          <cell r="D331" t="str">
            <v/>
          </cell>
          <cell r="E331">
            <v>1662370</v>
          </cell>
        </row>
        <row r="332">
          <cell r="D332" t="str">
            <v>SB22598</v>
          </cell>
          <cell r="E332">
            <v>1662370</v>
          </cell>
        </row>
        <row r="333">
          <cell r="D333" t="str">
            <v/>
          </cell>
          <cell r="E333">
            <v>3031200</v>
          </cell>
          <cell r="F333">
            <v>7892880</v>
          </cell>
        </row>
        <row r="334">
          <cell r="D334" t="str">
            <v>SB22500</v>
          </cell>
        </row>
        <row r="334">
          <cell r="F334">
            <v>7892880</v>
          </cell>
        </row>
        <row r="335">
          <cell r="D335" t="str">
            <v>SB22662</v>
          </cell>
          <cell r="E335">
            <v>3031200</v>
          </cell>
        </row>
        <row r="336">
          <cell r="D336" t="str">
            <v/>
          </cell>
          <cell r="E336">
            <v>16052150</v>
          </cell>
          <cell r="F336">
            <v>16052150</v>
          </cell>
        </row>
        <row r="337">
          <cell r="D337" t="str">
            <v>SB22159</v>
          </cell>
          <cell r="E337">
            <v>9178650</v>
          </cell>
          <cell r="F337">
            <v>9178650</v>
          </cell>
        </row>
        <row r="338">
          <cell r="D338" t="str">
            <v>SB22613</v>
          </cell>
          <cell r="E338">
            <v>6873500</v>
          </cell>
          <cell r="F338">
            <v>6873500</v>
          </cell>
        </row>
        <row r="339">
          <cell r="D339" t="str">
            <v/>
          </cell>
          <cell r="E339">
            <v>5599600</v>
          </cell>
          <cell r="F339">
            <v>21613750</v>
          </cell>
        </row>
        <row r="340">
          <cell r="D340" t="str">
            <v>SB22455</v>
          </cell>
        </row>
        <row r="340">
          <cell r="F340">
            <v>14000000</v>
          </cell>
        </row>
        <row r="341">
          <cell r="D341" t="str">
            <v>SB22569</v>
          </cell>
          <cell r="E341">
            <v>5599600</v>
          </cell>
          <cell r="F341">
            <v>7613750</v>
          </cell>
        </row>
        <row r="342">
          <cell r="D342" t="str">
            <v/>
          </cell>
          <cell r="E342">
            <v>134164</v>
          </cell>
          <cell r="F342">
            <v>134164</v>
          </cell>
        </row>
        <row r="343">
          <cell r="D343" t="str">
            <v/>
          </cell>
          <cell r="E343">
            <v>134164</v>
          </cell>
          <cell r="F343">
            <v>134164</v>
          </cell>
        </row>
        <row r="344">
          <cell r="D344" t="str">
            <v>SB21466</v>
          </cell>
          <cell r="E344">
            <v>134164</v>
          </cell>
          <cell r="F344">
            <v>134164</v>
          </cell>
        </row>
        <row r="345">
          <cell r="D345" t="str">
            <v/>
          </cell>
          <cell r="E345" t="str">
            <v>31,26,36,241.07</v>
          </cell>
          <cell r="F345" t="str">
            <v>22,51,27,337.85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bizMGMReportResults"/>
    </sheetNames>
    <sheetDataSet>
      <sheetData sheetId="0">
        <row r="1">
          <cell r="E1" t="str">
            <v>Project Code</v>
          </cell>
          <cell r="F1" t="str">
            <v>SO Value</v>
          </cell>
          <cell r="G1" t="str">
            <v>SB Value</v>
          </cell>
        </row>
        <row r="2">
          <cell r="E2" t="str">
            <v>SB22621</v>
          </cell>
          <cell r="F2">
            <v>198375</v>
          </cell>
          <cell r="G2">
            <v>198375</v>
          </cell>
        </row>
        <row r="3">
          <cell r="E3" t="str">
            <v>SB22611</v>
          </cell>
          <cell r="F3">
            <v>381205</v>
          </cell>
          <cell r="G3">
            <v>381205</v>
          </cell>
        </row>
        <row r="4">
          <cell r="E4" t="str">
            <v>SB22647</v>
          </cell>
          <cell r="F4">
            <v>0</v>
          </cell>
          <cell r="G4">
            <v>0</v>
          </cell>
        </row>
        <row r="5">
          <cell r="E5" t="str">
            <v>SB21992</v>
          </cell>
          <cell r="F5">
            <v>0</v>
          </cell>
          <cell r="G5">
            <v>0</v>
          </cell>
        </row>
        <row r="6">
          <cell r="E6" t="str">
            <v>SB22666</v>
          </cell>
          <cell r="F6">
            <v>1947000</v>
          </cell>
          <cell r="G6">
            <v>0</v>
          </cell>
        </row>
        <row r="7">
          <cell r="E7" t="str">
            <v>SB22662</v>
          </cell>
          <cell r="F7">
            <v>0</v>
          </cell>
          <cell r="G7">
            <v>0</v>
          </cell>
        </row>
        <row r="8">
          <cell r="E8" t="str">
            <v>SB22664</v>
          </cell>
          <cell r="F8">
            <v>12016638</v>
          </cell>
          <cell r="G8">
            <v>0</v>
          </cell>
        </row>
        <row r="9">
          <cell r="E9" t="str">
            <v>SB22659</v>
          </cell>
          <cell r="F9">
            <v>178178</v>
          </cell>
          <cell r="G9">
            <v>0</v>
          </cell>
        </row>
        <row r="10">
          <cell r="E10" t="str">
            <v>SB22656</v>
          </cell>
          <cell r="F10">
            <v>717723</v>
          </cell>
          <cell r="G10">
            <v>0</v>
          </cell>
        </row>
        <row r="11">
          <cell r="E11" t="str">
            <v>SB22658</v>
          </cell>
          <cell r="F11">
            <v>453325</v>
          </cell>
          <cell r="G11">
            <v>0</v>
          </cell>
        </row>
        <row r="12">
          <cell r="E12" t="str">
            <v>SB22657</v>
          </cell>
          <cell r="F12">
            <v>8200005</v>
          </cell>
          <cell r="G12">
            <v>0</v>
          </cell>
        </row>
        <row r="13">
          <cell r="E13" t="str">
            <v>SB22654</v>
          </cell>
          <cell r="F13">
            <v>0</v>
          </cell>
          <cell r="G13">
            <v>0</v>
          </cell>
        </row>
        <row r="14">
          <cell r="E14" t="str">
            <v>SB22655</v>
          </cell>
          <cell r="F14">
            <v>822946.97</v>
          </cell>
          <cell r="G14">
            <v>0</v>
          </cell>
        </row>
        <row r="15">
          <cell r="E15" t="str">
            <v>SB22652</v>
          </cell>
          <cell r="F15">
            <v>0</v>
          </cell>
          <cell r="G15">
            <v>0</v>
          </cell>
        </row>
        <row r="16">
          <cell r="E16" t="str">
            <v>SB22651</v>
          </cell>
          <cell r="F16">
            <v>437059.04</v>
          </cell>
          <cell r="G16">
            <v>0</v>
          </cell>
        </row>
        <row r="17">
          <cell r="E17" t="str">
            <v>SB22650</v>
          </cell>
          <cell r="F17">
            <v>1478362</v>
          </cell>
          <cell r="G17">
            <v>0</v>
          </cell>
        </row>
        <row r="18">
          <cell r="E18" t="str">
            <v>SB22649</v>
          </cell>
          <cell r="F18">
            <v>100100</v>
          </cell>
          <cell r="G18">
            <v>0</v>
          </cell>
        </row>
        <row r="19">
          <cell r="E19" t="str">
            <v>SB22646</v>
          </cell>
          <cell r="F19">
            <v>861169</v>
          </cell>
          <cell r="G19">
            <v>0</v>
          </cell>
        </row>
        <row r="20">
          <cell r="E20" t="str">
            <v>SB22645</v>
          </cell>
          <cell r="F20">
            <v>2816205</v>
          </cell>
          <cell r="G20">
            <v>2816205</v>
          </cell>
        </row>
        <row r="21">
          <cell r="E21" t="str">
            <v>SB22643</v>
          </cell>
          <cell r="F21">
            <v>0</v>
          </cell>
          <cell r="G21">
            <v>0</v>
          </cell>
        </row>
        <row r="22">
          <cell r="E22" t="str">
            <v>SB22642</v>
          </cell>
          <cell r="F22">
            <v>80014</v>
          </cell>
          <cell r="G22">
            <v>0</v>
          </cell>
        </row>
        <row r="23">
          <cell r="E23" t="str">
            <v>SB22640</v>
          </cell>
          <cell r="F23">
            <v>10901297</v>
          </cell>
          <cell r="G23">
            <v>0</v>
          </cell>
        </row>
        <row r="24">
          <cell r="E24" t="str">
            <v>SB22641</v>
          </cell>
          <cell r="F24">
            <v>0</v>
          </cell>
          <cell r="G24">
            <v>0</v>
          </cell>
        </row>
        <row r="25">
          <cell r="E25" t="str">
            <v>SB22639</v>
          </cell>
          <cell r="F25">
            <v>0</v>
          </cell>
          <cell r="G25">
            <v>0</v>
          </cell>
        </row>
        <row r="26">
          <cell r="E26" t="str">
            <v>SB22636</v>
          </cell>
          <cell r="F26">
            <v>0</v>
          </cell>
          <cell r="G26">
            <v>0</v>
          </cell>
        </row>
        <row r="27">
          <cell r="E27" t="str">
            <v>SB22637</v>
          </cell>
          <cell r="F27">
            <v>359765</v>
          </cell>
          <cell r="G27">
            <v>0</v>
          </cell>
        </row>
        <row r="28">
          <cell r="E28" t="str">
            <v>SB22638</v>
          </cell>
          <cell r="F28">
            <v>0</v>
          </cell>
          <cell r="G28">
            <v>0</v>
          </cell>
        </row>
        <row r="29">
          <cell r="E29" t="str">
            <v>SB22633</v>
          </cell>
          <cell r="F29">
            <v>25300</v>
          </cell>
          <cell r="G29">
            <v>25300</v>
          </cell>
        </row>
        <row r="30">
          <cell r="E30" t="str">
            <v>SB22634</v>
          </cell>
          <cell r="F30">
            <v>870929</v>
          </cell>
          <cell r="G30">
            <v>0</v>
          </cell>
        </row>
        <row r="31">
          <cell r="E31" t="str">
            <v>SB22635</v>
          </cell>
          <cell r="F31">
            <v>0</v>
          </cell>
          <cell r="G31">
            <v>0</v>
          </cell>
        </row>
        <row r="32">
          <cell r="E32" t="str">
            <v>SB22632</v>
          </cell>
          <cell r="F32">
            <v>1106160</v>
          </cell>
          <cell r="G32">
            <v>553080</v>
          </cell>
        </row>
        <row r="33">
          <cell r="E33" t="str">
            <v>SB22628</v>
          </cell>
          <cell r="F33">
            <v>822404</v>
          </cell>
          <cell r="G33">
            <v>0</v>
          </cell>
        </row>
        <row r="34">
          <cell r="E34" t="str">
            <v>SB22629</v>
          </cell>
          <cell r="F34">
            <v>11232890</v>
          </cell>
          <cell r="G34">
            <v>0</v>
          </cell>
        </row>
        <row r="35">
          <cell r="E35" t="str">
            <v>SB22627</v>
          </cell>
          <cell r="F35">
            <v>394253</v>
          </cell>
          <cell r="G35">
            <v>0</v>
          </cell>
        </row>
        <row r="36">
          <cell r="E36" t="str">
            <v>SB22625</v>
          </cell>
          <cell r="F36">
            <v>30800</v>
          </cell>
          <cell r="G36">
            <v>0</v>
          </cell>
        </row>
        <row r="37">
          <cell r="E37" t="str">
            <v>SB22626</v>
          </cell>
          <cell r="F37">
            <v>1800000</v>
          </cell>
          <cell r="G37">
            <v>0</v>
          </cell>
        </row>
        <row r="38">
          <cell r="E38" t="str">
            <v>SB22624</v>
          </cell>
          <cell r="F38">
            <v>723561.28</v>
          </cell>
          <cell r="G38">
            <v>0</v>
          </cell>
        </row>
        <row r="39">
          <cell r="E39" t="str">
            <v>SB22622</v>
          </cell>
          <cell r="F39">
            <v>437265</v>
          </cell>
          <cell r="G39">
            <v>0</v>
          </cell>
        </row>
        <row r="40">
          <cell r="E40" t="str">
            <v>SB22620</v>
          </cell>
          <cell r="F40">
            <v>11532500</v>
          </cell>
          <cell r="G40">
            <v>0</v>
          </cell>
        </row>
        <row r="41">
          <cell r="E41" t="str">
            <v>SB22623</v>
          </cell>
          <cell r="F41">
            <v>1719960</v>
          </cell>
          <cell r="G41">
            <v>0</v>
          </cell>
        </row>
        <row r="42">
          <cell r="E42" t="str">
            <v>SB22619</v>
          </cell>
          <cell r="F42">
            <v>1077740.44</v>
          </cell>
          <cell r="G42">
            <v>0</v>
          </cell>
        </row>
        <row r="43">
          <cell r="E43" t="str">
            <v>SB22617</v>
          </cell>
          <cell r="F43">
            <v>706801.7</v>
          </cell>
          <cell r="G43">
            <v>706801.7</v>
          </cell>
        </row>
        <row r="44">
          <cell r="E44" t="str">
            <v>SB22618</v>
          </cell>
          <cell r="F44">
            <v>0</v>
          </cell>
          <cell r="G44">
            <v>0</v>
          </cell>
        </row>
        <row r="45">
          <cell r="E45" t="str">
            <v>SB22616</v>
          </cell>
          <cell r="F45">
            <v>617954</v>
          </cell>
          <cell r="G45">
            <v>0</v>
          </cell>
        </row>
        <row r="46">
          <cell r="E46" t="str">
            <v>SB22615</v>
          </cell>
          <cell r="F46">
            <v>24019610</v>
          </cell>
          <cell r="G46">
            <v>0</v>
          </cell>
        </row>
        <row r="47">
          <cell r="E47" t="str">
            <v>SB22614</v>
          </cell>
          <cell r="F47">
            <v>4884790.86</v>
          </cell>
          <cell r="G47">
            <v>0</v>
          </cell>
        </row>
        <row r="48">
          <cell r="E48" t="str">
            <v>SB22612</v>
          </cell>
          <cell r="F48">
            <v>2099625</v>
          </cell>
          <cell r="G48">
            <v>0</v>
          </cell>
        </row>
        <row r="49">
          <cell r="E49" t="str">
            <v>SB22610</v>
          </cell>
          <cell r="F49">
            <v>0</v>
          </cell>
          <cell r="G49">
            <v>0</v>
          </cell>
        </row>
        <row r="50">
          <cell r="E50" t="str">
            <v>SB22613</v>
          </cell>
          <cell r="F50">
            <v>6873500</v>
          </cell>
          <cell r="G50">
            <v>6873500</v>
          </cell>
        </row>
        <row r="51">
          <cell r="E51" t="str">
            <v>SB22598</v>
          </cell>
          <cell r="F51">
            <v>1662370</v>
          </cell>
          <cell r="G51">
            <v>0</v>
          </cell>
        </row>
        <row r="52">
          <cell r="E52" t="str">
            <v>SB21386</v>
          </cell>
          <cell r="F52">
            <v>0</v>
          </cell>
          <cell r="G52">
            <v>0</v>
          </cell>
        </row>
        <row r="53">
          <cell r="E53" t="str">
            <v>SB22579</v>
          </cell>
          <cell r="F53">
            <v>0</v>
          </cell>
          <cell r="G53">
            <v>0</v>
          </cell>
        </row>
        <row r="54">
          <cell r="E54" t="str">
            <v>SB22601</v>
          </cell>
          <cell r="F54">
            <v>72600</v>
          </cell>
          <cell r="G54">
            <v>72600</v>
          </cell>
        </row>
        <row r="55">
          <cell r="E55" t="str">
            <v>SB22588</v>
          </cell>
          <cell r="F55">
            <v>509179.06</v>
          </cell>
          <cell r="G55">
            <v>0</v>
          </cell>
        </row>
        <row r="56">
          <cell r="E56" t="str">
            <v>SB22485</v>
          </cell>
          <cell r="F56">
            <v>1035000</v>
          </cell>
          <cell r="G56">
            <v>2271571</v>
          </cell>
        </row>
        <row r="57">
          <cell r="E57" t="str">
            <v>SB22509</v>
          </cell>
          <cell r="F57">
            <v>0</v>
          </cell>
          <cell r="G57">
            <v>0</v>
          </cell>
        </row>
        <row r="58">
          <cell r="E58" t="str">
            <v>SB22459</v>
          </cell>
          <cell r="F58">
            <v>0</v>
          </cell>
          <cell r="G58">
            <v>0</v>
          </cell>
        </row>
        <row r="59">
          <cell r="E59" t="str">
            <v>SB22472</v>
          </cell>
          <cell r="F59">
            <v>3087345.8</v>
          </cell>
          <cell r="G59">
            <v>3087345.8</v>
          </cell>
        </row>
        <row r="60">
          <cell r="E60" t="str">
            <v>SB22422</v>
          </cell>
          <cell r="F60">
            <v>0</v>
          </cell>
          <cell r="G60">
            <v>0</v>
          </cell>
        </row>
        <row r="61">
          <cell r="E61" t="str">
            <v>SB22384</v>
          </cell>
          <cell r="F61">
            <v>854315</v>
          </cell>
          <cell r="G61">
            <v>854315</v>
          </cell>
        </row>
        <row r="62">
          <cell r="E62" t="str">
            <v>SB22609</v>
          </cell>
          <cell r="F62">
            <v>713240</v>
          </cell>
          <cell r="G62">
            <v>0</v>
          </cell>
        </row>
        <row r="63">
          <cell r="E63" t="str">
            <v>SB22608</v>
          </cell>
          <cell r="F63">
            <v>564513.83</v>
          </cell>
          <cell r="G63">
            <v>564513.83</v>
          </cell>
        </row>
        <row r="64">
          <cell r="E64" t="str">
            <v>SB22606</v>
          </cell>
          <cell r="F64">
            <v>5907347.6</v>
          </cell>
          <cell r="G64">
            <v>0</v>
          </cell>
        </row>
        <row r="65">
          <cell r="E65" t="str">
            <v>SB22607</v>
          </cell>
          <cell r="F65">
            <v>336450</v>
          </cell>
          <cell r="G65">
            <v>336450</v>
          </cell>
        </row>
        <row r="66">
          <cell r="E66" t="str">
            <v>SB22604</v>
          </cell>
          <cell r="F66">
            <v>0</v>
          </cell>
          <cell r="G66">
            <v>0</v>
          </cell>
        </row>
        <row r="67">
          <cell r="E67" t="str">
            <v>SB22605</v>
          </cell>
          <cell r="F67">
            <v>13492.5</v>
          </cell>
          <cell r="G67">
            <v>13492.5</v>
          </cell>
        </row>
        <row r="68">
          <cell r="E68" t="str">
            <v>SB22603</v>
          </cell>
          <cell r="F68">
            <v>52557</v>
          </cell>
          <cell r="G68">
            <v>0</v>
          </cell>
        </row>
        <row r="69">
          <cell r="E69" t="str">
            <v>SB22600</v>
          </cell>
          <cell r="F69">
            <v>192016</v>
          </cell>
          <cell r="G69">
            <v>0</v>
          </cell>
        </row>
        <row r="70">
          <cell r="E70" t="str">
            <v>SB22602</v>
          </cell>
          <cell r="F70">
            <v>1102551</v>
          </cell>
          <cell r="G70">
            <v>1102551</v>
          </cell>
        </row>
        <row r="71">
          <cell r="E71" t="str">
            <v>SB22597</v>
          </cell>
          <cell r="F71">
            <v>16125</v>
          </cell>
          <cell r="G71">
            <v>16125</v>
          </cell>
        </row>
        <row r="72">
          <cell r="E72" t="str">
            <v>SB22596</v>
          </cell>
          <cell r="F72">
            <v>3705921</v>
          </cell>
          <cell r="G72">
            <v>0</v>
          </cell>
        </row>
        <row r="73">
          <cell r="E73" t="str">
            <v>SB22599</v>
          </cell>
          <cell r="F73">
            <v>644498</v>
          </cell>
          <cell r="G73">
            <v>0</v>
          </cell>
        </row>
        <row r="74">
          <cell r="E74" t="str">
            <v>SB22593</v>
          </cell>
          <cell r="F74">
            <v>268279</v>
          </cell>
          <cell r="G74">
            <v>0</v>
          </cell>
        </row>
        <row r="75">
          <cell r="E75" t="str">
            <v>SB22595</v>
          </cell>
          <cell r="F75">
            <v>2580160</v>
          </cell>
          <cell r="G75">
            <v>0</v>
          </cell>
        </row>
        <row r="76">
          <cell r="E76" t="str">
            <v>SB22594</v>
          </cell>
          <cell r="F76">
            <v>1022599</v>
          </cell>
          <cell r="G76">
            <v>0</v>
          </cell>
        </row>
        <row r="77">
          <cell r="E77" t="str">
            <v>SB22591</v>
          </cell>
          <cell r="F77">
            <v>13936040</v>
          </cell>
          <cell r="G77">
            <v>0</v>
          </cell>
        </row>
        <row r="78">
          <cell r="E78" t="str">
            <v>SB22592</v>
          </cell>
          <cell r="F78">
            <v>1456000</v>
          </cell>
          <cell r="G78">
            <v>1456000</v>
          </cell>
        </row>
        <row r="79">
          <cell r="E79" t="str">
            <v>SB22590</v>
          </cell>
          <cell r="F79">
            <v>11903320</v>
          </cell>
          <cell r="G79">
            <v>0</v>
          </cell>
        </row>
        <row r="80">
          <cell r="E80" t="str">
            <v>SB22587</v>
          </cell>
          <cell r="F80">
            <v>29835</v>
          </cell>
          <cell r="G80">
            <v>29835</v>
          </cell>
        </row>
        <row r="81">
          <cell r="E81" t="str">
            <v>SB22589</v>
          </cell>
          <cell r="F81">
            <v>34100</v>
          </cell>
          <cell r="G81">
            <v>34100</v>
          </cell>
        </row>
        <row r="82">
          <cell r="E82" t="str">
            <v>SB22584</v>
          </cell>
          <cell r="F82">
            <v>2600192</v>
          </cell>
          <cell r="G82">
            <v>0</v>
          </cell>
        </row>
        <row r="83">
          <cell r="E83" t="str">
            <v>SB22586</v>
          </cell>
          <cell r="F83">
            <v>2778994.9</v>
          </cell>
          <cell r="G83">
            <v>2728972.4</v>
          </cell>
        </row>
        <row r="84">
          <cell r="E84" t="str">
            <v>SB22585</v>
          </cell>
          <cell r="F84">
            <v>6496</v>
          </cell>
          <cell r="G84">
            <v>6496</v>
          </cell>
        </row>
        <row r="85">
          <cell r="E85" t="str">
            <v>SB22582</v>
          </cell>
          <cell r="F85">
            <v>138448</v>
          </cell>
          <cell r="G85">
            <v>0</v>
          </cell>
        </row>
        <row r="86">
          <cell r="E86" t="str">
            <v>SB22583</v>
          </cell>
          <cell r="F86">
            <v>55000</v>
          </cell>
          <cell r="G86">
            <v>55000</v>
          </cell>
        </row>
        <row r="87">
          <cell r="E87" t="str">
            <v>SB22580</v>
          </cell>
          <cell r="F87">
            <v>650000</v>
          </cell>
          <cell r="G87">
            <v>0</v>
          </cell>
        </row>
        <row r="88">
          <cell r="E88" t="str">
            <v>SB22581</v>
          </cell>
          <cell r="F88">
            <v>771075</v>
          </cell>
          <cell r="G88">
            <v>771075</v>
          </cell>
        </row>
        <row r="89">
          <cell r="E89" t="str">
            <v>SB22578</v>
          </cell>
          <cell r="F89">
            <v>5333936</v>
          </cell>
          <cell r="G89">
            <v>5333936.81</v>
          </cell>
        </row>
        <row r="90">
          <cell r="E90" t="str">
            <v>SB22575</v>
          </cell>
          <cell r="F90">
            <v>0</v>
          </cell>
          <cell r="G90">
            <v>0</v>
          </cell>
        </row>
        <row r="91">
          <cell r="E91" t="str">
            <v>SB22576</v>
          </cell>
          <cell r="F91">
            <v>304656</v>
          </cell>
          <cell r="G91">
            <v>0</v>
          </cell>
        </row>
        <row r="92">
          <cell r="E92" t="str">
            <v>SB22577</v>
          </cell>
          <cell r="F92">
            <v>2450000</v>
          </cell>
          <cell r="G92">
            <v>0</v>
          </cell>
        </row>
        <row r="93">
          <cell r="E93" t="str">
            <v>SB22573</v>
          </cell>
          <cell r="F93">
            <v>0</v>
          </cell>
          <cell r="G93">
            <v>0</v>
          </cell>
        </row>
        <row r="94">
          <cell r="E94" t="str">
            <v>SB22574</v>
          </cell>
          <cell r="F94">
            <v>0</v>
          </cell>
          <cell r="G94">
            <v>2156689</v>
          </cell>
        </row>
        <row r="95">
          <cell r="E95" t="str">
            <v>SB22572</v>
          </cell>
          <cell r="F95">
            <v>94071.96</v>
          </cell>
          <cell r="G95">
            <v>94072</v>
          </cell>
        </row>
        <row r="96">
          <cell r="E96" t="str">
            <v>SB22570</v>
          </cell>
          <cell r="F96">
            <v>375100</v>
          </cell>
          <cell r="G96">
            <v>171050</v>
          </cell>
        </row>
        <row r="97">
          <cell r="E97" t="str">
            <v>SB22571</v>
          </cell>
          <cell r="F97">
            <v>0</v>
          </cell>
          <cell r="G97">
            <v>0</v>
          </cell>
        </row>
        <row r="98">
          <cell r="E98" t="str">
            <v>SB22569</v>
          </cell>
          <cell r="F98">
            <v>5599600</v>
          </cell>
          <cell r="G98">
            <v>7613750</v>
          </cell>
        </row>
        <row r="99">
          <cell r="E99" t="str">
            <v>SB22567</v>
          </cell>
          <cell r="F99">
            <v>24145</v>
          </cell>
          <cell r="G99">
            <v>24145</v>
          </cell>
        </row>
        <row r="100">
          <cell r="E100" t="str">
            <v>SB22566</v>
          </cell>
          <cell r="F100">
            <v>2060170.57</v>
          </cell>
          <cell r="G100">
            <v>2060170.57</v>
          </cell>
        </row>
        <row r="101">
          <cell r="E101" t="str">
            <v>SB22565</v>
          </cell>
          <cell r="F101">
            <v>1804616</v>
          </cell>
          <cell r="G101">
            <v>0</v>
          </cell>
        </row>
        <row r="102">
          <cell r="E102" t="str">
            <v>SB22562</v>
          </cell>
          <cell r="F102">
            <v>0</v>
          </cell>
          <cell r="G102">
            <v>0</v>
          </cell>
        </row>
        <row r="103">
          <cell r="E103" t="str">
            <v>SB22563</v>
          </cell>
          <cell r="F103">
            <v>0</v>
          </cell>
          <cell r="G103">
            <v>0</v>
          </cell>
        </row>
        <row r="104">
          <cell r="E104" t="str">
            <v>SB22564</v>
          </cell>
          <cell r="F104">
            <v>0</v>
          </cell>
          <cell r="G104">
            <v>0</v>
          </cell>
        </row>
        <row r="105">
          <cell r="E105" t="str">
            <v>SB22560</v>
          </cell>
          <cell r="F105">
            <v>515900</v>
          </cell>
          <cell r="G105">
            <v>1548800</v>
          </cell>
        </row>
        <row r="106">
          <cell r="E106" t="str">
            <v>SB22561</v>
          </cell>
          <cell r="F106">
            <v>0</v>
          </cell>
          <cell r="G106">
            <v>0</v>
          </cell>
        </row>
        <row r="107">
          <cell r="E107" t="str">
            <v>SB22558</v>
          </cell>
          <cell r="F107">
            <v>224730</v>
          </cell>
          <cell r="G107">
            <v>224730</v>
          </cell>
        </row>
        <row r="108">
          <cell r="E108" t="str">
            <v>SB22557</v>
          </cell>
          <cell r="F108">
            <v>0</v>
          </cell>
          <cell r="G108">
            <v>0</v>
          </cell>
        </row>
        <row r="109">
          <cell r="E109" t="str">
            <v>SB22559</v>
          </cell>
          <cell r="F109">
            <v>2150500</v>
          </cell>
          <cell r="G109">
            <v>0</v>
          </cell>
        </row>
        <row r="110">
          <cell r="E110" t="str">
            <v>SB22555</v>
          </cell>
          <cell r="F110">
            <v>0</v>
          </cell>
          <cell r="G110">
            <v>0</v>
          </cell>
        </row>
        <row r="111">
          <cell r="E111" t="str">
            <v>SB22556</v>
          </cell>
          <cell r="F111">
            <v>0</v>
          </cell>
          <cell r="G111">
            <v>0</v>
          </cell>
        </row>
        <row r="112">
          <cell r="E112" t="str">
            <v>SB22552</v>
          </cell>
          <cell r="F112">
            <v>0</v>
          </cell>
          <cell r="G112">
            <v>0</v>
          </cell>
        </row>
        <row r="113">
          <cell r="E113" t="str">
            <v>SB22551</v>
          </cell>
          <cell r="F113">
            <v>0</v>
          </cell>
          <cell r="G113">
            <v>699894</v>
          </cell>
        </row>
        <row r="114">
          <cell r="E114" t="str">
            <v>SB22550</v>
          </cell>
          <cell r="F114">
            <v>0</v>
          </cell>
          <cell r="G114">
            <v>2226654</v>
          </cell>
        </row>
        <row r="115">
          <cell r="E115" t="str">
            <v>SB22549</v>
          </cell>
          <cell r="F115">
            <v>0</v>
          </cell>
          <cell r="G115">
            <v>286859.98</v>
          </cell>
        </row>
        <row r="116">
          <cell r="E116" t="str">
            <v>SB22548</v>
          </cell>
          <cell r="F116">
            <v>581460</v>
          </cell>
          <cell r="G116">
            <v>581460</v>
          </cell>
        </row>
        <row r="117">
          <cell r="E117" t="str">
            <v>SB22547</v>
          </cell>
          <cell r="F117">
            <v>0</v>
          </cell>
          <cell r="G117">
            <v>0</v>
          </cell>
        </row>
        <row r="118">
          <cell r="E118" t="str">
            <v>SB22545</v>
          </cell>
          <cell r="F118">
            <v>3500020</v>
          </cell>
          <cell r="G118">
            <v>0</v>
          </cell>
        </row>
        <row r="119">
          <cell r="E119" t="str">
            <v>SB22546</v>
          </cell>
          <cell r="F119">
            <v>0</v>
          </cell>
          <cell r="G119">
            <v>0</v>
          </cell>
        </row>
        <row r="120">
          <cell r="E120" t="str">
            <v>SB22543</v>
          </cell>
          <cell r="F120">
            <v>0</v>
          </cell>
          <cell r="G120">
            <v>0</v>
          </cell>
        </row>
        <row r="121">
          <cell r="E121" t="str">
            <v>SB22541</v>
          </cell>
          <cell r="F121">
            <v>2929136.25</v>
          </cell>
          <cell r="G121">
            <v>4753266.25</v>
          </cell>
        </row>
        <row r="122">
          <cell r="E122" t="str">
            <v>SB22540</v>
          </cell>
          <cell r="F122">
            <v>13665000</v>
          </cell>
          <cell r="G122">
            <v>8295000</v>
          </cell>
        </row>
        <row r="123">
          <cell r="E123" t="str">
            <v>SB22538</v>
          </cell>
          <cell r="F123">
            <v>0</v>
          </cell>
          <cell r="G123">
            <v>63910</v>
          </cell>
        </row>
        <row r="124">
          <cell r="E124" t="str">
            <v>SB22539</v>
          </cell>
          <cell r="F124">
            <v>0</v>
          </cell>
          <cell r="G124">
            <v>7760453</v>
          </cell>
        </row>
        <row r="125">
          <cell r="E125" t="str">
            <v>SB22537</v>
          </cell>
          <cell r="F125">
            <v>0</v>
          </cell>
          <cell r="G125">
            <v>0</v>
          </cell>
        </row>
        <row r="126">
          <cell r="E126" t="str">
            <v>SB22536</v>
          </cell>
          <cell r="F126">
            <v>0</v>
          </cell>
          <cell r="G126">
            <v>0</v>
          </cell>
        </row>
        <row r="127">
          <cell r="E127" t="str">
            <v>SB22534</v>
          </cell>
          <cell r="F127">
            <v>1679447</v>
          </cell>
          <cell r="G127">
            <v>909447</v>
          </cell>
        </row>
        <row r="128">
          <cell r="E128" t="str">
            <v>SB22532</v>
          </cell>
          <cell r="F128">
            <v>0</v>
          </cell>
          <cell r="G128">
            <v>337700</v>
          </cell>
        </row>
        <row r="129">
          <cell r="E129" t="str">
            <v>SB22529</v>
          </cell>
          <cell r="F129">
            <v>86020</v>
          </cell>
          <cell r="G129">
            <v>656271</v>
          </cell>
        </row>
        <row r="130">
          <cell r="E130" t="str">
            <v>SB22526</v>
          </cell>
          <cell r="F130">
            <v>121792</v>
          </cell>
          <cell r="G130">
            <v>121792</v>
          </cell>
        </row>
        <row r="131">
          <cell r="E131" t="str">
            <v>SB22527</v>
          </cell>
          <cell r="F131">
            <v>0</v>
          </cell>
          <cell r="G131">
            <v>284211</v>
          </cell>
        </row>
        <row r="132">
          <cell r="E132" t="str">
            <v>SB22524</v>
          </cell>
          <cell r="F132">
            <v>0</v>
          </cell>
          <cell r="G132">
            <v>0</v>
          </cell>
        </row>
        <row r="133">
          <cell r="E133" t="str">
            <v>SB22523</v>
          </cell>
          <cell r="F133">
            <v>186450</v>
          </cell>
          <cell r="G133">
            <v>186450</v>
          </cell>
        </row>
        <row r="134">
          <cell r="E134" t="str">
            <v>SB22520</v>
          </cell>
          <cell r="F134">
            <v>0</v>
          </cell>
          <cell r="G134">
            <v>197144</v>
          </cell>
        </row>
        <row r="135">
          <cell r="E135" t="str">
            <v>SB22517</v>
          </cell>
          <cell r="F135">
            <v>1332000.25</v>
          </cell>
          <cell r="G135">
            <v>0</v>
          </cell>
        </row>
        <row r="136">
          <cell r="E136" t="str">
            <v>SB22518</v>
          </cell>
          <cell r="F136">
            <v>0</v>
          </cell>
          <cell r="G136">
            <v>17248</v>
          </cell>
        </row>
        <row r="137">
          <cell r="E137" t="str">
            <v>SB22516</v>
          </cell>
          <cell r="F137">
            <v>0</v>
          </cell>
          <cell r="G137">
            <v>0</v>
          </cell>
        </row>
        <row r="138">
          <cell r="E138" t="str">
            <v>SB22512</v>
          </cell>
          <cell r="F138">
            <v>1000000</v>
          </cell>
          <cell r="G138">
            <v>0</v>
          </cell>
        </row>
        <row r="139">
          <cell r="E139" t="str">
            <v>SB22513</v>
          </cell>
          <cell r="F139">
            <v>0</v>
          </cell>
          <cell r="G139">
            <v>0</v>
          </cell>
        </row>
        <row r="140">
          <cell r="E140" t="str">
            <v>SB22508</v>
          </cell>
          <cell r="F140">
            <v>0</v>
          </cell>
          <cell r="G140">
            <v>0</v>
          </cell>
        </row>
        <row r="141">
          <cell r="E141" t="str">
            <v>SB22511</v>
          </cell>
          <cell r="F141">
            <v>1456383.5</v>
          </cell>
          <cell r="G141">
            <v>1456383.5</v>
          </cell>
        </row>
        <row r="142">
          <cell r="E142" t="str">
            <v>SB22503</v>
          </cell>
          <cell r="F142">
            <v>500000</v>
          </cell>
          <cell r="G142">
            <v>2500043</v>
          </cell>
        </row>
        <row r="143">
          <cell r="E143" t="str">
            <v>SB22504</v>
          </cell>
          <cell r="F143">
            <v>0</v>
          </cell>
          <cell r="G143">
            <v>0</v>
          </cell>
        </row>
        <row r="144">
          <cell r="E144" t="str">
            <v>SB22502</v>
          </cell>
          <cell r="F144">
            <v>0</v>
          </cell>
          <cell r="G144">
            <v>0</v>
          </cell>
        </row>
        <row r="145">
          <cell r="E145" t="str">
            <v>SB22501</v>
          </cell>
          <cell r="F145">
            <v>0</v>
          </cell>
          <cell r="G145">
            <v>0</v>
          </cell>
        </row>
        <row r="146">
          <cell r="E146" t="str">
            <v>SB22500</v>
          </cell>
          <cell r="F146">
            <v>0</v>
          </cell>
          <cell r="G146">
            <v>0</v>
          </cell>
        </row>
        <row r="147">
          <cell r="E147" t="str">
            <v>SB22498</v>
          </cell>
          <cell r="F147">
            <v>0</v>
          </cell>
          <cell r="G147">
            <v>0</v>
          </cell>
        </row>
        <row r="148">
          <cell r="E148" t="str">
            <v>SB22495</v>
          </cell>
          <cell r="F148">
            <v>2741972</v>
          </cell>
          <cell r="G148">
            <v>0</v>
          </cell>
        </row>
        <row r="149">
          <cell r="E149" t="str">
            <v>SB22492</v>
          </cell>
          <cell r="F149">
            <v>0</v>
          </cell>
          <cell r="G149">
            <v>1920687</v>
          </cell>
        </row>
        <row r="150">
          <cell r="E150" t="str">
            <v>SB22494</v>
          </cell>
          <cell r="F150">
            <v>0</v>
          </cell>
          <cell r="G150">
            <v>0</v>
          </cell>
        </row>
        <row r="151">
          <cell r="E151" t="str">
            <v>SB22491</v>
          </cell>
          <cell r="F151">
            <v>800166</v>
          </cell>
          <cell r="G151">
            <v>15800720</v>
          </cell>
        </row>
        <row r="152">
          <cell r="E152" t="str">
            <v>SB22488</v>
          </cell>
          <cell r="F152">
            <v>0</v>
          </cell>
          <cell r="G152">
            <v>339093</v>
          </cell>
        </row>
        <row r="153">
          <cell r="E153" t="str">
            <v>SB22487</v>
          </cell>
          <cell r="F153">
            <v>0</v>
          </cell>
          <cell r="G153">
            <v>0</v>
          </cell>
        </row>
        <row r="154">
          <cell r="E154" t="str">
            <v>SB22483</v>
          </cell>
          <cell r="F154">
            <v>0</v>
          </cell>
          <cell r="G154">
            <v>2475150</v>
          </cell>
        </row>
        <row r="155">
          <cell r="E155" t="str">
            <v>SB22325</v>
          </cell>
          <cell r="F155">
            <v>0</v>
          </cell>
          <cell r="G155">
            <v>0</v>
          </cell>
        </row>
        <row r="156">
          <cell r="E156" t="str">
            <v>SB22479</v>
          </cell>
          <cell r="F156">
            <v>0</v>
          </cell>
          <cell r="G156">
            <v>0</v>
          </cell>
        </row>
        <row r="157">
          <cell r="E157" t="str">
            <v>SB22475</v>
          </cell>
          <cell r="F157">
            <v>0</v>
          </cell>
          <cell r="G157">
            <v>0</v>
          </cell>
        </row>
        <row r="158">
          <cell r="E158" t="str">
            <v>SB22471</v>
          </cell>
          <cell r="F158">
            <v>0</v>
          </cell>
          <cell r="G158">
            <v>0</v>
          </cell>
        </row>
        <row r="159">
          <cell r="E159" t="str">
            <v>SB22477</v>
          </cell>
          <cell r="F159">
            <v>0</v>
          </cell>
          <cell r="G159">
            <v>0</v>
          </cell>
        </row>
        <row r="160">
          <cell r="E160" t="str">
            <v>SB22469</v>
          </cell>
          <cell r="F160">
            <v>1142097</v>
          </cell>
          <cell r="G160">
            <v>3631001</v>
          </cell>
        </row>
        <row r="161">
          <cell r="E161" t="str">
            <v>SB22470</v>
          </cell>
          <cell r="F161">
            <v>0</v>
          </cell>
          <cell r="G161">
            <v>0</v>
          </cell>
        </row>
        <row r="162">
          <cell r="E162" t="str">
            <v>SB22465</v>
          </cell>
          <cell r="F162">
            <v>0</v>
          </cell>
          <cell r="G162">
            <v>2500000</v>
          </cell>
        </row>
        <row r="163">
          <cell r="E163" t="str">
            <v>SB22460</v>
          </cell>
          <cell r="F163">
            <v>0</v>
          </cell>
          <cell r="G163">
            <v>0</v>
          </cell>
        </row>
        <row r="164">
          <cell r="E164" t="str">
            <v>SB22461</v>
          </cell>
          <cell r="F164">
            <v>0</v>
          </cell>
          <cell r="G164">
            <v>0</v>
          </cell>
        </row>
        <row r="165">
          <cell r="E165" t="str">
            <v>SB22456</v>
          </cell>
          <cell r="F165">
            <v>0</v>
          </cell>
          <cell r="G165">
            <v>0</v>
          </cell>
        </row>
        <row r="166">
          <cell r="E166" t="str">
            <v>SB22453</v>
          </cell>
          <cell r="F166">
            <v>0</v>
          </cell>
          <cell r="G166">
            <v>0</v>
          </cell>
        </row>
        <row r="167">
          <cell r="E167" t="str">
            <v>SB22455</v>
          </cell>
          <cell r="F167">
            <v>0</v>
          </cell>
          <cell r="G167">
            <v>14000000</v>
          </cell>
        </row>
        <row r="168">
          <cell r="E168" t="str">
            <v>SB22451</v>
          </cell>
          <cell r="F168">
            <v>0</v>
          </cell>
          <cell r="G168">
            <v>0</v>
          </cell>
        </row>
        <row r="169">
          <cell r="E169" t="str">
            <v>SB22449</v>
          </cell>
          <cell r="F169">
            <v>399072.26</v>
          </cell>
          <cell r="G169">
            <v>399072.26</v>
          </cell>
        </row>
        <row r="170">
          <cell r="E170" t="str">
            <v>SB22448</v>
          </cell>
          <cell r="F170">
            <v>0</v>
          </cell>
          <cell r="G170">
            <v>0</v>
          </cell>
        </row>
        <row r="171">
          <cell r="E171" t="str">
            <v>SB22445</v>
          </cell>
          <cell r="F171">
            <v>0</v>
          </cell>
          <cell r="G171">
            <v>0</v>
          </cell>
        </row>
        <row r="172">
          <cell r="E172" t="str">
            <v>SB22446</v>
          </cell>
          <cell r="F172">
            <v>207625</v>
          </cell>
          <cell r="G172">
            <v>1668425</v>
          </cell>
        </row>
        <row r="173">
          <cell r="E173" t="str">
            <v>SB22443</v>
          </cell>
          <cell r="F173">
            <v>0</v>
          </cell>
          <cell r="G173">
            <v>0</v>
          </cell>
        </row>
        <row r="174">
          <cell r="E174" t="str">
            <v>SB22444</v>
          </cell>
          <cell r="F174">
            <v>175142</v>
          </cell>
          <cell r="G174">
            <v>175142</v>
          </cell>
        </row>
        <row r="175">
          <cell r="E175" t="str">
            <v>SB22439</v>
          </cell>
          <cell r="F175">
            <v>0</v>
          </cell>
          <cell r="G175">
            <v>0</v>
          </cell>
        </row>
        <row r="176">
          <cell r="E176" t="str">
            <v>SB22437</v>
          </cell>
          <cell r="F176">
            <v>0</v>
          </cell>
          <cell r="G176">
            <v>5855518</v>
          </cell>
        </row>
        <row r="177">
          <cell r="E177" t="str">
            <v>SB22433</v>
          </cell>
          <cell r="F177">
            <v>317178.4</v>
          </cell>
          <cell r="G177">
            <v>317178.4</v>
          </cell>
        </row>
        <row r="178">
          <cell r="E178" t="str">
            <v>SB22428</v>
          </cell>
          <cell r="F178">
            <v>5492385.06</v>
          </cell>
          <cell r="G178">
            <v>5492385.06</v>
          </cell>
        </row>
        <row r="179">
          <cell r="E179" t="str">
            <v>SB22424</v>
          </cell>
          <cell r="F179">
            <v>0</v>
          </cell>
          <cell r="G179">
            <v>0</v>
          </cell>
        </row>
        <row r="180">
          <cell r="E180" t="str">
            <v>SB22417</v>
          </cell>
          <cell r="F180">
            <v>0</v>
          </cell>
          <cell r="G180">
            <v>0</v>
          </cell>
        </row>
        <row r="181">
          <cell r="E181" t="str">
            <v>SB22414</v>
          </cell>
          <cell r="F181">
            <v>250000</v>
          </cell>
          <cell r="G181">
            <v>250000</v>
          </cell>
        </row>
        <row r="182">
          <cell r="E182" t="str">
            <v>SB22416</v>
          </cell>
          <cell r="F182">
            <v>0</v>
          </cell>
          <cell r="G182">
            <v>0</v>
          </cell>
        </row>
        <row r="183">
          <cell r="E183" t="str">
            <v>SB22411</v>
          </cell>
          <cell r="F183">
            <v>0</v>
          </cell>
          <cell r="G183">
            <v>0</v>
          </cell>
        </row>
        <row r="184">
          <cell r="E184" t="str">
            <v>SB22410</v>
          </cell>
          <cell r="F184">
            <v>0</v>
          </cell>
          <cell r="G184">
            <v>0</v>
          </cell>
        </row>
        <row r="185">
          <cell r="E185" t="str">
            <v>SB22405</v>
          </cell>
          <cell r="F185">
            <v>0</v>
          </cell>
          <cell r="G185">
            <v>5313598</v>
          </cell>
        </row>
        <row r="186">
          <cell r="E186" t="str">
            <v>SB22404</v>
          </cell>
          <cell r="F186">
            <v>0</v>
          </cell>
          <cell r="G186">
            <v>0</v>
          </cell>
        </row>
        <row r="187">
          <cell r="E187" t="str">
            <v>SB22401</v>
          </cell>
          <cell r="F187">
            <v>0</v>
          </cell>
          <cell r="G187">
            <v>0</v>
          </cell>
        </row>
        <row r="188">
          <cell r="E188" t="str">
            <v>SB22400</v>
          </cell>
          <cell r="F188">
            <v>0</v>
          </cell>
          <cell r="G188">
            <v>0</v>
          </cell>
        </row>
        <row r="189">
          <cell r="E189" t="str">
            <v>SB22397</v>
          </cell>
          <cell r="F189">
            <v>0</v>
          </cell>
          <cell r="G189">
            <v>0</v>
          </cell>
        </row>
        <row r="190">
          <cell r="E190" t="str">
            <v>SB22399</v>
          </cell>
          <cell r="F190">
            <v>0</v>
          </cell>
          <cell r="G190">
            <v>0</v>
          </cell>
        </row>
        <row r="191">
          <cell r="E191" t="str">
            <v>SB22396</v>
          </cell>
          <cell r="F191">
            <v>3900000</v>
          </cell>
          <cell r="G191">
            <v>0</v>
          </cell>
        </row>
        <row r="192">
          <cell r="E192" t="str">
            <v>SB22395</v>
          </cell>
          <cell r="F192">
            <v>0</v>
          </cell>
          <cell r="G192">
            <v>0</v>
          </cell>
        </row>
        <row r="193">
          <cell r="E193" t="str">
            <v>SB22392</v>
          </cell>
          <cell r="F193">
            <v>0</v>
          </cell>
          <cell r="G193">
            <v>0</v>
          </cell>
        </row>
        <row r="194">
          <cell r="E194" t="str">
            <v>SB22394</v>
          </cell>
          <cell r="F194">
            <v>0</v>
          </cell>
          <cell r="G194">
            <v>0</v>
          </cell>
        </row>
        <row r="195">
          <cell r="E195" t="str">
            <v>SB22391</v>
          </cell>
          <cell r="F195">
            <v>0</v>
          </cell>
          <cell r="G195">
            <v>0</v>
          </cell>
        </row>
        <row r="196">
          <cell r="E196" t="str">
            <v>SB22387</v>
          </cell>
          <cell r="F196">
            <v>0</v>
          </cell>
          <cell r="G196">
            <v>0</v>
          </cell>
        </row>
        <row r="197">
          <cell r="E197" t="str">
            <v>SB22381</v>
          </cell>
          <cell r="F197">
            <v>0</v>
          </cell>
          <cell r="G197">
            <v>0</v>
          </cell>
        </row>
        <row r="198">
          <cell r="E198" t="str">
            <v>SB22374</v>
          </cell>
          <cell r="F198">
            <v>522500</v>
          </cell>
          <cell r="G198">
            <v>522500</v>
          </cell>
        </row>
        <row r="199">
          <cell r="E199" t="str">
            <v>SB22376</v>
          </cell>
          <cell r="F199">
            <v>309507</v>
          </cell>
          <cell r="G199">
            <v>309507</v>
          </cell>
        </row>
        <row r="200">
          <cell r="E200" t="str">
            <v>SB22375</v>
          </cell>
          <cell r="F200">
            <v>0</v>
          </cell>
          <cell r="G200">
            <v>292464.5</v>
          </cell>
        </row>
        <row r="201">
          <cell r="E201" t="str">
            <v>SB22369</v>
          </cell>
          <cell r="F201">
            <v>0</v>
          </cell>
          <cell r="G201">
            <v>0</v>
          </cell>
        </row>
        <row r="202">
          <cell r="E202" t="str">
            <v>SB22366</v>
          </cell>
          <cell r="F202">
            <v>0</v>
          </cell>
          <cell r="G202">
            <v>308665</v>
          </cell>
        </row>
        <row r="203">
          <cell r="E203" t="str">
            <v>SB22363</v>
          </cell>
          <cell r="F203">
            <v>0</v>
          </cell>
          <cell r="G203">
            <v>0</v>
          </cell>
        </row>
        <row r="204">
          <cell r="E204" t="str">
            <v>SB22356</v>
          </cell>
          <cell r="F204">
            <v>0</v>
          </cell>
          <cell r="G204">
            <v>0</v>
          </cell>
        </row>
        <row r="205">
          <cell r="E205" t="str">
            <v>SB22354</v>
          </cell>
          <cell r="F205">
            <v>0</v>
          </cell>
          <cell r="G205">
            <v>0</v>
          </cell>
        </row>
        <row r="206">
          <cell r="E206" t="str">
            <v>SB22347</v>
          </cell>
          <cell r="F206">
            <v>0</v>
          </cell>
          <cell r="G206">
            <v>0</v>
          </cell>
        </row>
        <row r="207">
          <cell r="E207" t="str">
            <v>SB22344</v>
          </cell>
          <cell r="F207">
            <v>0</v>
          </cell>
          <cell r="G207">
            <v>12321475</v>
          </cell>
        </row>
        <row r="208">
          <cell r="E208" t="str">
            <v>SB22343</v>
          </cell>
          <cell r="F208">
            <v>0</v>
          </cell>
          <cell r="G208">
            <v>0</v>
          </cell>
        </row>
        <row r="209">
          <cell r="E209" t="str">
            <v>SB22338</v>
          </cell>
          <cell r="F209">
            <v>2000000</v>
          </cell>
          <cell r="G209">
            <v>0</v>
          </cell>
        </row>
        <row r="210">
          <cell r="E210" t="str">
            <v>SB22332</v>
          </cell>
          <cell r="F210">
            <v>349503</v>
          </cell>
          <cell r="G210">
            <v>349503</v>
          </cell>
        </row>
        <row r="211">
          <cell r="E211" t="str">
            <v>SB22329</v>
          </cell>
          <cell r="F211">
            <v>0</v>
          </cell>
          <cell r="G211">
            <v>0</v>
          </cell>
        </row>
        <row r="212">
          <cell r="E212" t="str">
            <v>SB22327</v>
          </cell>
          <cell r="F212">
            <v>0</v>
          </cell>
          <cell r="G212">
            <v>0</v>
          </cell>
        </row>
        <row r="213">
          <cell r="E213" t="str">
            <v>SB22323</v>
          </cell>
          <cell r="F213">
            <v>738000</v>
          </cell>
          <cell r="G213">
            <v>738000</v>
          </cell>
        </row>
        <row r="214">
          <cell r="E214" t="str">
            <v>SB22326</v>
          </cell>
          <cell r="F214">
            <v>0</v>
          </cell>
          <cell r="G214">
            <v>0</v>
          </cell>
        </row>
        <row r="215">
          <cell r="E215" t="str">
            <v>SB22324</v>
          </cell>
          <cell r="F215">
            <v>0</v>
          </cell>
          <cell r="G215">
            <v>1440862</v>
          </cell>
        </row>
        <row r="216">
          <cell r="E216" t="str">
            <v>SB22320</v>
          </cell>
          <cell r="F216">
            <v>0</v>
          </cell>
          <cell r="G216">
            <v>0</v>
          </cell>
        </row>
        <row r="217">
          <cell r="E217" t="str">
            <v>SB22321</v>
          </cell>
          <cell r="F217">
            <v>0</v>
          </cell>
          <cell r="G217">
            <v>516000</v>
          </cell>
        </row>
        <row r="218">
          <cell r="E218" t="str">
            <v>SB22318</v>
          </cell>
          <cell r="F218">
            <v>0</v>
          </cell>
          <cell r="G218">
            <v>0</v>
          </cell>
        </row>
        <row r="219">
          <cell r="E219" t="str">
            <v>SB22319</v>
          </cell>
          <cell r="F219">
            <v>0</v>
          </cell>
          <cell r="G219">
            <v>0</v>
          </cell>
        </row>
        <row r="220">
          <cell r="E220" t="str">
            <v>SB22317</v>
          </cell>
          <cell r="F220">
            <v>0</v>
          </cell>
          <cell r="G220">
            <v>0</v>
          </cell>
        </row>
        <row r="221">
          <cell r="E221" t="str">
            <v>SB22316</v>
          </cell>
          <cell r="F221">
            <v>0</v>
          </cell>
          <cell r="G221">
            <v>0</v>
          </cell>
        </row>
        <row r="222">
          <cell r="E222" t="str">
            <v>SB22311</v>
          </cell>
          <cell r="F222">
            <v>0</v>
          </cell>
          <cell r="G222">
            <v>0</v>
          </cell>
        </row>
        <row r="223">
          <cell r="E223" t="str">
            <v>SB22306</v>
          </cell>
          <cell r="F223">
            <v>0</v>
          </cell>
          <cell r="G223">
            <v>0</v>
          </cell>
        </row>
        <row r="224">
          <cell r="E224" t="str">
            <v>SB22305</v>
          </cell>
          <cell r="F224">
            <v>0</v>
          </cell>
          <cell r="G224">
            <v>19482480</v>
          </cell>
        </row>
        <row r="225">
          <cell r="E225" t="str">
            <v>SB22289</v>
          </cell>
          <cell r="F225">
            <v>0</v>
          </cell>
          <cell r="G225">
            <v>0</v>
          </cell>
        </row>
        <row r="226">
          <cell r="E226" t="str">
            <v>SB22282</v>
          </cell>
          <cell r="F226">
            <v>0</v>
          </cell>
          <cell r="G226">
            <v>0</v>
          </cell>
        </row>
        <row r="227">
          <cell r="E227" t="str">
            <v>SB22280</v>
          </cell>
          <cell r="F227">
            <v>0</v>
          </cell>
          <cell r="G227">
            <v>0</v>
          </cell>
        </row>
        <row r="228">
          <cell r="E228" t="str">
            <v>SB22278</v>
          </cell>
          <cell r="F228">
            <v>2917310</v>
          </cell>
          <cell r="G228">
            <v>2917310</v>
          </cell>
        </row>
        <row r="229">
          <cell r="E229" t="str">
            <v>SB22272</v>
          </cell>
          <cell r="F229">
            <v>484950</v>
          </cell>
          <cell r="G229">
            <v>484950</v>
          </cell>
        </row>
        <row r="230">
          <cell r="E230" t="str">
            <v>SB22268</v>
          </cell>
          <cell r="F230">
            <v>0</v>
          </cell>
          <cell r="G230">
            <v>0</v>
          </cell>
        </row>
        <row r="231">
          <cell r="E231" t="str">
            <v>SB22263</v>
          </cell>
          <cell r="F231">
            <v>0</v>
          </cell>
          <cell r="G231">
            <v>0</v>
          </cell>
        </row>
        <row r="232">
          <cell r="E232" t="str">
            <v>SB22254</v>
          </cell>
          <cell r="F232">
            <v>0</v>
          </cell>
          <cell r="G232">
            <v>0</v>
          </cell>
        </row>
        <row r="233">
          <cell r="E233" t="str">
            <v>SB22251</v>
          </cell>
          <cell r="F233">
            <v>0</v>
          </cell>
          <cell r="G233">
            <v>0</v>
          </cell>
        </row>
        <row r="234">
          <cell r="E234" t="str">
            <v>SB22223</v>
          </cell>
          <cell r="F234">
            <v>0</v>
          </cell>
          <cell r="G234">
            <v>0</v>
          </cell>
        </row>
        <row r="235">
          <cell r="E235" t="str">
            <v>SB22204</v>
          </cell>
          <cell r="F235">
            <v>0</v>
          </cell>
          <cell r="G235">
            <v>0</v>
          </cell>
        </row>
        <row r="236">
          <cell r="E236" t="str">
            <v>SB22205</v>
          </cell>
          <cell r="F236">
            <v>0</v>
          </cell>
          <cell r="G236">
            <v>0</v>
          </cell>
        </row>
        <row r="237">
          <cell r="E237" t="str">
            <v>SB22190</v>
          </cell>
          <cell r="F237">
            <v>0</v>
          </cell>
          <cell r="G237">
            <v>0</v>
          </cell>
        </row>
        <row r="238">
          <cell r="E238" t="str">
            <v>SB22159</v>
          </cell>
          <cell r="F238">
            <v>9178650</v>
          </cell>
          <cell r="G238">
            <v>9178650</v>
          </cell>
        </row>
        <row r="239">
          <cell r="E239" t="str">
            <v>SB22158</v>
          </cell>
          <cell r="F239">
            <v>0</v>
          </cell>
          <cell r="G239">
            <v>0</v>
          </cell>
        </row>
        <row r="240">
          <cell r="E240" t="str">
            <v>SB22156</v>
          </cell>
          <cell r="F240">
            <v>0</v>
          </cell>
          <cell r="G240">
            <v>0</v>
          </cell>
        </row>
        <row r="241">
          <cell r="E241" t="str">
            <v>SB22124</v>
          </cell>
          <cell r="F241">
            <v>0</v>
          </cell>
          <cell r="G241">
            <v>0</v>
          </cell>
        </row>
        <row r="242">
          <cell r="E242" t="str">
            <v>SB22115</v>
          </cell>
          <cell r="F242">
            <v>0</v>
          </cell>
          <cell r="G242">
            <v>0</v>
          </cell>
        </row>
        <row r="243">
          <cell r="E243" t="str">
            <v>SB22089</v>
          </cell>
          <cell r="F243">
            <v>0</v>
          </cell>
          <cell r="G243">
            <v>10700000</v>
          </cell>
        </row>
        <row r="244">
          <cell r="E244" t="str">
            <v>SB22083</v>
          </cell>
          <cell r="F244">
            <v>0</v>
          </cell>
          <cell r="G244">
            <v>0</v>
          </cell>
        </row>
        <row r="245">
          <cell r="E245" t="str">
            <v>SB22065</v>
          </cell>
          <cell r="F245">
            <v>0</v>
          </cell>
          <cell r="G245">
            <v>0</v>
          </cell>
        </row>
        <row r="246">
          <cell r="E246" t="str">
            <v>SB21947</v>
          </cell>
          <cell r="F246">
            <v>0</v>
          </cell>
          <cell r="G246">
            <v>0</v>
          </cell>
        </row>
        <row r="247">
          <cell r="E247" t="str">
            <v>SB21859</v>
          </cell>
          <cell r="F247">
            <v>0</v>
          </cell>
          <cell r="G247">
            <v>0</v>
          </cell>
        </row>
        <row r="248">
          <cell r="E248" t="str">
            <v/>
          </cell>
          <cell r="F248" t="str">
            <v>251,526,664.23</v>
          </cell>
          <cell r="G248" t="str">
            <v>195,216,775.56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obizDelegatesSOSBResults"/>
    </sheetNames>
    <sheetDataSet>
      <sheetData sheetId="0">
        <row r="1">
          <cell r="A1" t="str">
            <v>Project Code</v>
          </cell>
          <cell r="B1" t="str">
            <v>Sum of SO Value</v>
          </cell>
          <cell r="C1" t="str">
            <v>Sum of SB Value</v>
          </cell>
        </row>
        <row r="2">
          <cell r="A2" t="str">
            <v>SB22536</v>
          </cell>
          <cell r="B2">
            <v>0</v>
          </cell>
          <cell r="C2">
            <v>11000</v>
          </cell>
        </row>
        <row r="3">
          <cell r="A3" t="str">
            <v>SB22448</v>
          </cell>
          <cell r="B3">
            <v>0</v>
          </cell>
          <cell r="C3">
            <v>928816</v>
          </cell>
        </row>
        <row r="4">
          <cell r="A4" t="str">
            <v>SB22479</v>
          </cell>
          <cell r="B4">
            <v>0</v>
          </cell>
          <cell r="C4">
            <v>3416869.5</v>
          </cell>
        </row>
        <row r="5">
          <cell r="A5" t="str">
            <v>SB22305</v>
          </cell>
          <cell r="B5">
            <v>0</v>
          </cell>
          <cell r="C5">
            <v>3850000</v>
          </cell>
        </row>
        <row r="6">
          <cell r="A6" t="str">
            <v>SB22500</v>
          </cell>
          <cell r="B6">
            <v>0</v>
          </cell>
          <cell r="C6">
            <v>7892880</v>
          </cell>
        </row>
        <row r="7">
          <cell r="A7" t="str">
            <v>SB22363</v>
          </cell>
          <cell r="B7">
            <v>0</v>
          </cell>
          <cell r="C7">
            <v>1792010</v>
          </cell>
        </row>
        <row r="8">
          <cell r="A8" t="str">
            <v>SB22477</v>
          </cell>
          <cell r="B8">
            <v>0</v>
          </cell>
          <cell r="C8">
            <v>1568753</v>
          </cell>
        </row>
        <row r="9">
          <cell r="A9" t="str">
            <v>SB22618</v>
          </cell>
          <cell r="B9">
            <v>4235</v>
          </cell>
          <cell r="C9">
            <v>4235</v>
          </cell>
        </row>
        <row r="10">
          <cell r="A10" t="str">
            <v>SB22610</v>
          </cell>
          <cell r="B10">
            <v>65000</v>
          </cell>
          <cell r="C10">
            <v>0</v>
          </cell>
        </row>
        <row r="11">
          <cell r="A11" t="str">
            <v>SB22641</v>
          </cell>
          <cell r="B11">
            <v>100000</v>
          </cell>
          <cell r="C11">
            <v>0</v>
          </cell>
        </row>
        <row r="12">
          <cell r="A12" t="str">
            <v>SB21466</v>
          </cell>
          <cell r="B12">
            <v>134164</v>
          </cell>
          <cell r="C12">
            <v>134164</v>
          </cell>
        </row>
        <row r="13">
          <cell r="A13" t="str">
            <v>SB22584</v>
          </cell>
          <cell r="B13">
            <v>151005.6</v>
          </cell>
          <cell r="C13">
            <v>151005.6</v>
          </cell>
        </row>
        <row r="14">
          <cell r="A14" t="str">
            <v>SB22639</v>
          </cell>
          <cell r="B14">
            <v>440000</v>
          </cell>
          <cell r="C14">
            <v>0</v>
          </cell>
        </row>
        <row r="15">
          <cell r="A15" t="str">
            <v>SB22190</v>
          </cell>
          <cell r="B15">
            <v>660000</v>
          </cell>
          <cell r="C15">
            <v>660000</v>
          </cell>
        </row>
        <row r="16">
          <cell r="A16" t="str">
            <v>SB22545</v>
          </cell>
          <cell r="B16">
            <v>680000</v>
          </cell>
          <cell r="C16">
            <v>680000</v>
          </cell>
        </row>
        <row r="17">
          <cell r="A17" t="str">
            <v>SB22579</v>
          </cell>
          <cell r="B17">
            <v>873718</v>
          </cell>
          <cell r="C17">
            <v>873718</v>
          </cell>
        </row>
        <row r="18">
          <cell r="A18" t="str">
            <v>SB22604</v>
          </cell>
          <cell r="B18">
            <v>1014046</v>
          </cell>
          <cell r="C18">
            <v>0</v>
          </cell>
        </row>
        <row r="19">
          <cell r="A19" t="str">
            <v>SB22437</v>
          </cell>
          <cell r="B19">
            <v>1197840</v>
          </cell>
          <cell r="C19">
            <v>1197840</v>
          </cell>
        </row>
        <row r="20">
          <cell r="A20" t="str">
            <v>SB22543</v>
          </cell>
          <cell r="B20">
            <v>1372057.5</v>
          </cell>
          <cell r="C20">
            <v>1372057.5</v>
          </cell>
        </row>
        <row r="21">
          <cell r="A21" t="str">
            <v>SB22571</v>
          </cell>
          <cell r="B21">
            <v>1721092.49</v>
          </cell>
          <cell r="C21">
            <v>1721092.49</v>
          </cell>
        </row>
        <row r="22">
          <cell r="A22" t="str">
            <v>SB22461</v>
          </cell>
          <cell r="B22">
            <v>3011623.2</v>
          </cell>
          <cell r="C22">
            <v>3011623.2</v>
          </cell>
        </row>
        <row r="23">
          <cell r="A23" t="str">
            <v>SB22662</v>
          </cell>
          <cell r="B23">
            <v>3031200</v>
          </cell>
          <cell r="C23">
            <v>0</v>
          </cell>
        </row>
        <row r="24">
          <cell r="A24" t="str">
            <v>SB22562</v>
          </cell>
          <cell r="B24">
            <v>12000000</v>
          </cell>
          <cell r="C24">
            <v>0</v>
          </cell>
        </row>
        <row r="25">
          <cell r="A25" t="str">
            <v>SB22563</v>
          </cell>
          <cell r="B25">
            <v>15300000</v>
          </cell>
          <cell r="C25">
            <v>0</v>
          </cell>
        </row>
        <row r="26">
          <cell r="A26" t="str">
            <v>SB22561</v>
          </cell>
          <cell r="B26">
            <v>15300000</v>
          </cell>
          <cell r="C26">
            <v>0</v>
          </cell>
        </row>
        <row r="27">
          <cell r="A27" t="str">
            <v>Total</v>
          </cell>
          <cell r="B27" t="str">
            <v>57,055,981.79</v>
          </cell>
          <cell r="C27" t="str">
            <v>29,266,064.29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5"/>
  <sheetViews>
    <sheetView tabSelected="1" topLeftCell="C1" workbookViewId="0">
      <selection activeCell="F17" sqref="F17"/>
    </sheetView>
  </sheetViews>
  <sheetFormatPr defaultColWidth="8.72727272727273" defaultRowHeight="14.5" outlineLevelCol="7"/>
  <cols>
    <col min="1" max="1" width="19.0909090909091" customWidth="1"/>
    <col min="2" max="2" width="13.8181818181818" customWidth="1"/>
    <col min="3" max="3" width="25.0909090909091" customWidth="1"/>
    <col min="4" max="4" width="21.4545454545455" customWidth="1"/>
    <col min="5" max="5" width="21.1818181818182" customWidth="1"/>
    <col min="6" max="6" width="28.7272727272727" customWidth="1"/>
    <col min="7" max="7" width="16.6363636363636" customWidth="1"/>
    <col min="8" max="8" width="49.5454545454545" customWidth="1"/>
  </cols>
  <sheetData>
    <row r="1" ht="15.25" spans="1: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8</v>
      </c>
      <c r="B2" s="7" t="s">
        <v>9</v>
      </c>
      <c r="C2" s="8">
        <f>VLOOKUP(A2,'[1]MGM Report'!$D:$F,3,FALSE)</f>
        <v>0</v>
      </c>
      <c r="D2" s="8">
        <f>VLOOKUP(A2,[2]ShobizMGMReportResults!$E:$G,3,FALSE)</f>
        <v>0</v>
      </c>
      <c r="E2" s="8">
        <v>0</v>
      </c>
      <c r="F2" s="8">
        <f>D2+E2</f>
        <v>0</v>
      </c>
      <c r="G2" s="8" t="b">
        <f>F2=C2</f>
        <v>1</v>
      </c>
      <c r="H2" s="8"/>
    </row>
    <row r="3" spans="1:8">
      <c r="A3" s="9" t="s">
        <v>10</v>
      </c>
      <c r="B3" s="10" t="s">
        <v>9</v>
      </c>
      <c r="C3" s="11">
        <f>VLOOKUP(A3,'[1]MGM Report'!$D:$F,3,FALSE)</f>
        <v>309507</v>
      </c>
      <c r="D3" s="11">
        <f>VLOOKUP(A3,[2]ShobizMGMReportResults!$E:$G,3,FALSE)</f>
        <v>309507</v>
      </c>
      <c r="E3" s="8">
        <v>0</v>
      </c>
      <c r="F3" s="8">
        <f t="shared" ref="F3:F66" si="0">D3+E3</f>
        <v>309507</v>
      </c>
      <c r="G3" s="8" t="b">
        <f t="shared" ref="G3:G66" si="1">F3=C3</f>
        <v>1</v>
      </c>
      <c r="H3" s="11"/>
    </row>
    <row r="4" spans="1:8">
      <c r="A4" s="9" t="s">
        <v>11</v>
      </c>
      <c r="B4" s="10" t="s">
        <v>9</v>
      </c>
      <c r="C4" s="11">
        <f>VLOOKUP(A4,'[1]MGM Report'!$D:$F,3,FALSE)</f>
        <v>1456383.5</v>
      </c>
      <c r="D4" s="11">
        <f>VLOOKUP(A4,[2]ShobizMGMReportResults!$E:$G,3,FALSE)</f>
        <v>1456383.5</v>
      </c>
      <c r="E4" s="8">
        <v>0</v>
      </c>
      <c r="F4" s="8">
        <f t="shared" si="0"/>
        <v>1456383.5</v>
      </c>
      <c r="G4" s="8" t="b">
        <f t="shared" si="1"/>
        <v>1</v>
      </c>
      <c r="H4" s="11"/>
    </row>
    <row r="5" spans="1:8">
      <c r="A5" s="9" t="s">
        <v>12</v>
      </c>
      <c r="B5" s="10" t="s">
        <v>9</v>
      </c>
      <c r="C5" s="11">
        <f>VLOOKUP(A5,'[1]MGM Report'!$D:$F,3,FALSE)</f>
        <v>121792</v>
      </c>
      <c r="D5" s="11">
        <f>VLOOKUP(A5,[2]ShobizMGMReportResults!$E:$G,3,FALSE)</f>
        <v>121792</v>
      </c>
      <c r="E5" s="8">
        <v>0</v>
      </c>
      <c r="F5" s="8">
        <f t="shared" si="0"/>
        <v>121792</v>
      </c>
      <c r="G5" s="8" t="b">
        <f t="shared" si="1"/>
        <v>1</v>
      </c>
      <c r="H5" s="11"/>
    </row>
    <row r="6" spans="1:8">
      <c r="A6" s="9" t="s">
        <v>13</v>
      </c>
      <c r="B6" s="10" t="s">
        <v>9</v>
      </c>
      <c r="C6" s="11">
        <f>VLOOKUP(A6,'[1]MGM Report'!$D:$F,3,FALSE)</f>
        <v>171050</v>
      </c>
      <c r="D6" s="11">
        <f>VLOOKUP(A6,[2]ShobizMGMReportResults!$E:$G,3,FALSE)</f>
        <v>171050</v>
      </c>
      <c r="E6" s="8">
        <v>0</v>
      </c>
      <c r="F6" s="8">
        <f t="shared" si="0"/>
        <v>171050</v>
      </c>
      <c r="G6" s="8" t="b">
        <f t="shared" si="1"/>
        <v>1</v>
      </c>
      <c r="H6" s="11"/>
    </row>
    <row r="7" spans="1:8">
      <c r="A7" s="9" t="s">
        <v>14</v>
      </c>
      <c r="B7" s="10" t="s">
        <v>9</v>
      </c>
      <c r="C7" s="11">
        <f>VLOOKUP(A7,'[1]MGM Report'!$D:$F,3,FALSE)</f>
        <v>0</v>
      </c>
      <c r="D7" s="11">
        <f>VLOOKUP(A7,[2]ShobizMGMReportResults!$E:$G,3,FALSE)</f>
        <v>0</v>
      </c>
      <c r="E7" s="8">
        <v>0</v>
      </c>
      <c r="F7" s="8">
        <f t="shared" si="0"/>
        <v>0</v>
      </c>
      <c r="G7" s="8" t="b">
        <f t="shared" si="1"/>
        <v>1</v>
      </c>
      <c r="H7" s="11"/>
    </row>
    <row r="8" spans="1:8">
      <c r="A8" s="9" t="s">
        <v>15</v>
      </c>
      <c r="B8" s="10" t="s">
        <v>9</v>
      </c>
      <c r="C8" s="11">
        <f>VLOOKUP(A8,'[1]MGM Report'!$D:$F,3,FALSE)</f>
        <v>553080</v>
      </c>
      <c r="D8" s="11">
        <f>VLOOKUP(A8,[2]ShobizMGMReportResults!$E:$G,3,FALSE)</f>
        <v>553080</v>
      </c>
      <c r="E8" s="8">
        <v>0</v>
      </c>
      <c r="F8" s="8">
        <f t="shared" si="0"/>
        <v>553080</v>
      </c>
      <c r="G8" s="8" t="b">
        <f t="shared" si="1"/>
        <v>1</v>
      </c>
      <c r="H8" s="11"/>
    </row>
    <row r="9" spans="1:8">
      <c r="A9" s="9" t="s">
        <v>16</v>
      </c>
      <c r="B9" s="10" t="s">
        <v>9</v>
      </c>
      <c r="C9" s="11">
        <f>VLOOKUP(A9,'[1]MGM Report'!$D:$F,3,FALSE)</f>
        <v>771075</v>
      </c>
      <c r="D9" s="11">
        <f>VLOOKUP(A9,[2]ShobizMGMReportResults!$E:$G,3,FALSE)</f>
        <v>771075</v>
      </c>
      <c r="E9" s="8">
        <v>0</v>
      </c>
      <c r="F9" s="8">
        <f t="shared" si="0"/>
        <v>771075</v>
      </c>
      <c r="G9" s="8" t="b">
        <f t="shared" si="1"/>
        <v>1</v>
      </c>
      <c r="H9" s="11"/>
    </row>
    <row r="10" spans="1:8">
      <c r="A10" s="9" t="s">
        <v>17</v>
      </c>
      <c r="B10" s="10" t="s">
        <v>9</v>
      </c>
      <c r="C10" s="11">
        <f>VLOOKUP(A10,'[1]MGM Report'!$D:$F,3,FALSE)</f>
        <v>0</v>
      </c>
      <c r="D10" s="11">
        <f>VLOOKUP(A10,[2]ShobizMGMReportResults!$E:$G,3,FALSE)</f>
        <v>0</v>
      </c>
      <c r="E10" s="8" t="s">
        <v>18</v>
      </c>
      <c r="F10" s="8" t="e">
        <f t="shared" si="0"/>
        <v>#VALUE!</v>
      </c>
      <c r="G10" s="8" t="e">
        <f t="shared" si="1"/>
        <v>#VALUE!</v>
      </c>
      <c r="H10" s="11"/>
    </row>
    <row r="11" spans="1:8">
      <c r="A11" s="9" t="s">
        <v>19</v>
      </c>
      <c r="B11" s="10" t="s">
        <v>9</v>
      </c>
      <c r="C11" s="11">
        <f>VLOOKUP(A11,'[1]MGM Report'!$D:$F,3,FALSE)</f>
        <v>854315</v>
      </c>
      <c r="D11" s="11">
        <f>VLOOKUP(A11,[2]ShobizMGMReportResults!$E:$G,3,FALSE)</f>
        <v>854315</v>
      </c>
      <c r="E11" s="8">
        <v>0</v>
      </c>
      <c r="F11" s="8">
        <f t="shared" si="0"/>
        <v>854315</v>
      </c>
      <c r="G11" s="8" t="b">
        <f t="shared" si="1"/>
        <v>1</v>
      </c>
      <c r="H11" s="11"/>
    </row>
    <row r="12" spans="1:8">
      <c r="A12" s="9" t="s">
        <v>20</v>
      </c>
      <c r="B12" s="10" t="s">
        <v>9</v>
      </c>
      <c r="C12" s="11">
        <f>VLOOKUP(A12,'[1]MGM Report'!$D:$F,3,FALSE)</f>
        <v>0</v>
      </c>
      <c r="D12" s="11">
        <f>VLOOKUP(A12,[2]ShobizMGMReportResults!$E:$G,3,FALSE)</f>
        <v>0</v>
      </c>
      <c r="E12" s="8">
        <v>0</v>
      </c>
      <c r="F12" s="8">
        <f t="shared" si="0"/>
        <v>0</v>
      </c>
      <c r="G12" s="8" t="b">
        <f t="shared" si="1"/>
        <v>1</v>
      </c>
      <c r="H12" s="11"/>
    </row>
    <row r="13" spans="1:8">
      <c r="A13" s="9" t="s">
        <v>21</v>
      </c>
      <c r="B13" s="10" t="s">
        <v>9</v>
      </c>
      <c r="C13" s="11">
        <f>VLOOKUP(A13,'[1]MGM Report'!$D:$F,3,FALSE)</f>
        <v>5492385.06</v>
      </c>
      <c r="D13" s="11">
        <f>VLOOKUP(A13,[2]ShobizMGMReportResults!$E:$G,3,FALSE)</f>
        <v>5492385.06</v>
      </c>
      <c r="E13" s="8">
        <v>0</v>
      </c>
      <c r="F13" s="8">
        <f t="shared" si="0"/>
        <v>5492385.06</v>
      </c>
      <c r="G13" s="8" t="b">
        <f t="shared" si="1"/>
        <v>1</v>
      </c>
      <c r="H13" s="11"/>
    </row>
    <row r="14" spans="1:8">
      <c r="A14" s="9" t="s">
        <v>22</v>
      </c>
      <c r="B14" s="10" t="s">
        <v>9</v>
      </c>
      <c r="C14" s="11">
        <f>VLOOKUP(A14,'[1]MGM Report'!$D:$F,3,FALSE)</f>
        <v>8295000</v>
      </c>
      <c r="D14" s="11">
        <f>VLOOKUP(A14,[2]ShobizMGMReportResults!$E:$G,3,FALSE)</f>
        <v>8295000</v>
      </c>
      <c r="E14" s="8">
        <v>0</v>
      </c>
      <c r="F14" s="8">
        <f t="shared" si="0"/>
        <v>8295000</v>
      </c>
      <c r="G14" s="8" t="b">
        <f t="shared" si="1"/>
        <v>1</v>
      </c>
      <c r="H14" s="11"/>
    </row>
    <row r="15" spans="1:8">
      <c r="A15" s="9" t="s">
        <v>23</v>
      </c>
      <c r="B15" s="10" t="s">
        <v>9</v>
      </c>
      <c r="C15" s="11">
        <f>VLOOKUP(A15,'[1]MGM Report'!$D:$F,3,FALSE)</f>
        <v>0</v>
      </c>
      <c r="D15" s="11">
        <f>VLOOKUP(A15,[2]ShobizMGMReportResults!$E:$G,3,FALSE)</f>
        <v>0</v>
      </c>
      <c r="E15" s="8">
        <v>0</v>
      </c>
      <c r="F15" s="8">
        <f t="shared" si="0"/>
        <v>0</v>
      </c>
      <c r="G15" s="8" t="b">
        <f t="shared" si="1"/>
        <v>1</v>
      </c>
      <c r="H15" s="11"/>
    </row>
    <row r="16" spans="1:8">
      <c r="A16" s="9" t="s">
        <v>24</v>
      </c>
      <c r="B16" s="10" t="s">
        <v>9</v>
      </c>
      <c r="C16" s="11">
        <f>VLOOKUP(A16,'[1]MGM Report'!$D:$F,3,FALSE)</f>
        <v>0</v>
      </c>
      <c r="D16" s="11">
        <f>VLOOKUP(A16,[2]ShobizMGMReportResults!$E:$G,3,FALSE)</f>
        <v>0</v>
      </c>
      <c r="E16" s="8">
        <v>0</v>
      </c>
      <c r="F16" s="8">
        <f t="shared" si="0"/>
        <v>0</v>
      </c>
      <c r="G16" s="8" t="b">
        <f t="shared" si="1"/>
        <v>1</v>
      </c>
      <c r="H16" s="11"/>
    </row>
    <row r="17" spans="1:8">
      <c r="A17" s="9" t="s">
        <v>25</v>
      </c>
      <c r="B17" s="10" t="s">
        <v>9</v>
      </c>
      <c r="C17" s="11">
        <f>VLOOKUP(A17,'[1]MGM Report'!$D:$F,3,FALSE)</f>
        <v>0</v>
      </c>
      <c r="D17" s="11">
        <f>VLOOKUP(A17,[2]ShobizMGMReportResults!$E:$G,3,FALSE)</f>
        <v>0</v>
      </c>
      <c r="E17" s="8">
        <v>0</v>
      </c>
      <c r="F17" s="8">
        <f t="shared" si="0"/>
        <v>0</v>
      </c>
      <c r="G17" s="8" t="b">
        <f t="shared" si="1"/>
        <v>1</v>
      </c>
      <c r="H17" s="11"/>
    </row>
    <row r="18" spans="1:8">
      <c r="A18" s="9" t="s">
        <v>26</v>
      </c>
      <c r="B18" s="10" t="s">
        <v>9</v>
      </c>
      <c r="C18" s="11">
        <f>VLOOKUP(A18,'[1]MGM Report'!$D:$F,3,FALSE)</f>
        <v>0</v>
      </c>
      <c r="D18" s="11">
        <f>VLOOKUP(A18,[2]ShobizMGMReportResults!$E:$G,3,FALSE)</f>
        <v>0</v>
      </c>
      <c r="E18" s="8">
        <v>0</v>
      </c>
      <c r="F18" s="8">
        <f t="shared" si="0"/>
        <v>0</v>
      </c>
      <c r="G18" s="8" t="b">
        <f t="shared" si="1"/>
        <v>1</v>
      </c>
      <c r="H18" s="11"/>
    </row>
    <row r="19" spans="1:8">
      <c r="A19" s="9" t="s">
        <v>27</v>
      </c>
      <c r="B19" s="10" t="s">
        <v>9</v>
      </c>
      <c r="C19" s="11">
        <f>VLOOKUP(A19,'[1]MGM Report'!$D:$F,3,FALSE)</f>
        <v>0</v>
      </c>
      <c r="D19" s="11">
        <f>VLOOKUP(A19,[2]ShobizMGMReportResults!$E:$G,3,FALSE)</f>
        <v>0</v>
      </c>
      <c r="E19" s="8">
        <v>0</v>
      </c>
      <c r="F19" s="8">
        <f t="shared" si="0"/>
        <v>0</v>
      </c>
      <c r="G19" s="8" t="b">
        <f t="shared" si="1"/>
        <v>1</v>
      </c>
      <c r="H19" s="11"/>
    </row>
    <row r="20" spans="1:8">
      <c r="A20" s="9" t="s">
        <v>28</v>
      </c>
      <c r="B20" s="10" t="s">
        <v>9</v>
      </c>
      <c r="C20" s="11">
        <f>VLOOKUP(A20,'[1]MGM Report'!$D:$F,3,FALSE)</f>
        <v>516000</v>
      </c>
      <c r="D20" s="11">
        <f>VLOOKUP(A20,[2]ShobizMGMReportResults!$E:$G,3,FALSE)</f>
        <v>516000</v>
      </c>
      <c r="E20" s="8">
        <v>0</v>
      </c>
      <c r="F20" s="8">
        <f t="shared" si="0"/>
        <v>516000</v>
      </c>
      <c r="G20" s="8" t="b">
        <f t="shared" si="1"/>
        <v>1</v>
      </c>
      <c r="H20" s="11"/>
    </row>
    <row r="21" spans="1:8">
      <c r="A21" s="9" t="s">
        <v>29</v>
      </c>
      <c r="B21" s="10" t="s">
        <v>9</v>
      </c>
      <c r="C21" s="11">
        <f>VLOOKUP(A21,'[1]MGM Report'!$D:$F,3,FALSE)</f>
        <v>0</v>
      </c>
      <c r="D21" s="11">
        <f>VLOOKUP(A21,[2]ShobizMGMReportResults!$E:$G,3,FALSE)</f>
        <v>0</v>
      </c>
      <c r="E21" s="8">
        <v>0</v>
      </c>
      <c r="F21" s="8">
        <f t="shared" si="0"/>
        <v>0</v>
      </c>
      <c r="G21" s="8" t="b">
        <f t="shared" si="1"/>
        <v>1</v>
      </c>
      <c r="H21" s="11"/>
    </row>
    <row r="22" spans="1:8">
      <c r="A22" s="9" t="s">
        <v>30</v>
      </c>
      <c r="B22" s="10" t="s">
        <v>9</v>
      </c>
      <c r="C22" s="11">
        <f>VLOOKUP(A22,'[1]MGM Report'!$D:$F,3,FALSE)</f>
        <v>680000</v>
      </c>
      <c r="D22" s="11">
        <f>VLOOKUP(A22,[2]ShobizMGMReportResults!$E:$G,3,FALSE)</f>
        <v>0</v>
      </c>
      <c r="E22" s="8">
        <f>VLOOKUP(A22,[3]ShobizDelegatesSOSBResults!$A:$C,3,FALSE)</f>
        <v>680000</v>
      </c>
      <c r="F22" s="8">
        <f t="shared" si="0"/>
        <v>680000</v>
      </c>
      <c r="G22" s="8" t="b">
        <f t="shared" si="1"/>
        <v>1</v>
      </c>
      <c r="H22" s="11"/>
    </row>
    <row r="23" spans="1:8">
      <c r="A23" s="9" t="s">
        <v>31</v>
      </c>
      <c r="B23" s="10" t="s">
        <v>9</v>
      </c>
      <c r="C23" s="11">
        <f>VLOOKUP(A23,'[1]MGM Report'!$D:$F,3,FALSE)</f>
        <v>0</v>
      </c>
      <c r="D23" s="11">
        <f>VLOOKUP(A23,[2]ShobizMGMReportResults!$E:$G,3,FALSE)</f>
        <v>0</v>
      </c>
      <c r="E23" s="8">
        <v>0</v>
      </c>
      <c r="F23" s="8">
        <f t="shared" si="0"/>
        <v>0</v>
      </c>
      <c r="G23" s="8" t="b">
        <f t="shared" si="1"/>
        <v>1</v>
      </c>
      <c r="H23" s="11"/>
    </row>
    <row r="24" spans="1:8">
      <c r="A24" s="9" t="s">
        <v>32</v>
      </c>
      <c r="B24" s="10" t="s">
        <v>9</v>
      </c>
      <c r="C24" s="11">
        <f>VLOOKUP(A24,'[1]MGM Report'!$D:$F,3,FALSE)</f>
        <v>0</v>
      </c>
      <c r="D24" s="11">
        <f>VLOOKUP(A24,[2]ShobizMGMReportResults!$E:$G,3,FALSE)</f>
        <v>0</v>
      </c>
      <c r="E24" s="8">
        <v>0</v>
      </c>
      <c r="F24" s="8">
        <f t="shared" si="0"/>
        <v>0</v>
      </c>
      <c r="G24" s="8" t="b">
        <f t="shared" si="1"/>
        <v>1</v>
      </c>
      <c r="H24" s="11"/>
    </row>
    <row r="25" spans="1:8">
      <c r="A25" s="9" t="s">
        <v>33</v>
      </c>
      <c r="B25" s="10" t="s">
        <v>9</v>
      </c>
      <c r="C25" s="11">
        <f>VLOOKUP(A25,'[1]MGM Report'!$D:$F,3,FALSE)</f>
        <v>2271571</v>
      </c>
      <c r="D25" s="11">
        <f>VLOOKUP(A25,[2]ShobizMGMReportResults!$E:$G,3,FALSE)</f>
        <v>2271571</v>
      </c>
      <c r="E25" s="8">
        <v>0</v>
      </c>
      <c r="F25" s="8">
        <f t="shared" si="0"/>
        <v>2271571</v>
      </c>
      <c r="G25" s="8" t="b">
        <f t="shared" si="1"/>
        <v>1</v>
      </c>
      <c r="H25" s="11"/>
    </row>
    <row r="26" spans="1:8">
      <c r="A26" s="9" t="s">
        <v>34</v>
      </c>
      <c r="B26" s="10" t="s">
        <v>9</v>
      </c>
      <c r="C26" s="11">
        <f>VLOOKUP(A26,'[1]MGM Report'!$D:$F,3,FALSE)</f>
        <v>873718</v>
      </c>
      <c r="D26" s="11">
        <f>VLOOKUP(A26,[2]ShobizMGMReportResults!$E:$G,3,FALSE)</f>
        <v>0</v>
      </c>
      <c r="E26" s="8">
        <f>VLOOKUP(A26,[3]ShobizDelegatesSOSBResults!$A:$C,3,FALSE)</f>
        <v>873718</v>
      </c>
      <c r="F26" s="8">
        <f t="shared" si="0"/>
        <v>873718</v>
      </c>
      <c r="G26" s="8" t="b">
        <f t="shared" si="1"/>
        <v>1</v>
      </c>
      <c r="H26" s="11"/>
    </row>
    <row r="27" spans="1:8">
      <c r="A27" s="9" t="s">
        <v>35</v>
      </c>
      <c r="B27" s="10" t="s">
        <v>9</v>
      </c>
      <c r="C27" s="11">
        <f>VLOOKUP(A27,'[1]MGM Report'!$D:$F,3,FALSE)</f>
        <v>0</v>
      </c>
      <c r="D27" s="11">
        <f>VLOOKUP(A27,[2]ShobizMGMReportResults!$E:$G,3,FALSE)</f>
        <v>0</v>
      </c>
      <c r="E27" s="8">
        <v>0</v>
      </c>
      <c r="F27" s="8">
        <f t="shared" si="0"/>
        <v>0</v>
      </c>
      <c r="G27" s="8" t="b">
        <f t="shared" si="1"/>
        <v>1</v>
      </c>
      <c r="H27" s="11"/>
    </row>
    <row r="28" spans="1:8">
      <c r="A28" s="9" t="s">
        <v>36</v>
      </c>
      <c r="B28" s="10" t="s">
        <v>9</v>
      </c>
      <c r="C28" s="11">
        <f>VLOOKUP(A28,'[1]MGM Report'!$D:$F,3,FALSE)</f>
        <v>738000</v>
      </c>
      <c r="D28" s="11">
        <f>VLOOKUP(A28,[2]ShobizMGMReportResults!$E:$G,3,FALSE)</f>
        <v>738000</v>
      </c>
      <c r="E28" s="8">
        <v>0</v>
      </c>
      <c r="F28" s="8">
        <f t="shared" si="0"/>
        <v>738000</v>
      </c>
      <c r="G28" s="8" t="b">
        <f t="shared" si="1"/>
        <v>1</v>
      </c>
      <c r="H28" s="11"/>
    </row>
    <row r="29" spans="1:8">
      <c r="A29" s="9" t="s">
        <v>37</v>
      </c>
      <c r="B29" s="10" t="s">
        <v>9</v>
      </c>
      <c r="C29" s="11">
        <f>VLOOKUP(A29,'[1]MGM Report'!$D:$F,3,FALSE)</f>
        <v>0</v>
      </c>
      <c r="D29" s="11">
        <f>VLOOKUP(A29,[2]ShobizMGMReportResults!$E:$G,3,FALSE)</f>
        <v>0</v>
      </c>
      <c r="E29" s="8">
        <v>0</v>
      </c>
      <c r="F29" s="8">
        <f t="shared" si="0"/>
        <v>0</v>
      </c>
      <c r="G29" s="8" t="b">
        <f t="shared" si="1"/>
        <v>1</v>
      </c>
      <c r="H29" s="11"/>
    </row>
    <row r="30" spans="1:8">
      <c r="A30" s="9" t="s">
        <v>38</v>
      </c>
      <c r="B30" s="10" t="s">
        <v>9</v>
      </c>
      <c r="C30" s="11">
        <f>VLOOKUP(A30,'[1]MGM Report'!$D:$F,3,FALSE)</f>
        <v>0</v>
      </c>
      <c r="D30" s="11">
        <f>VLOOKUP(A30,[2]ShobizMGMReportResults!$E:$G,3,FALSE)</f>
        <v>0</v>
      </c>
      <c r="E30" s="8">
        <v>0</v>
      </c>
      <c r="F30" s="8">
        <f t="shared" si="0"/>
        <v>0</v>
      </c>
      <c r="G30" s="8" t="b">
        <f t="shared" si="1"/>
        <v>1</v>
      </c>
      <c r="H30" s="11"/>
    </row>
    <row r="31" spans="1:8">
      <c r="A31" s="9" t="s">
        <v>39</v>
      </c>
      <c r="B31" s="10" t="s">
        <v>9</v>
      </c>
      <c r="C31" s="11">
        <f>VLOOKUP(A31,'[1]MGM Report'!$D:$F,3,FALSE)</f>
        <v>0</v>
      </c>
      <c r="D31" s="11">
        <f>VLOOKUP(A31,[2]ShobizMGMReportResults!$E:$G,3,FALSE)</f>
        <v>0</v>
      </c>
      <c r="E31" s="8">
        <v>0</v>
      </c>
      <c r="F31" s="8">
        <f t="shared" si="0"/>
        <v>0</v>
      </c>
      <c r="G31" s="8" t="b">
        <f t="shared" si="1"/>
        <v>1</v>
      </c>
      <c r="H31" s="11"/>
    </row>
    <row r="32" spans="1:8">
      <c r="A32" s="9" t="s">
        <v>40</v>
      </c>
      <c r="B32" s="10" t="s">
        <v>9</v>
      </c>
      <c r="C32" s="11">
        <f>VLOOKUP(A32,'[1]MGM Report'!$D:$F,3,FALSE)</f>
        <v>0</v>
      </c>
      <c r="D32" s="11">
        <f>VLOOKUP(A32,[2]ShobizMGMReportResults!$E:$G,3,FALSE)</f>
        <v>0</v>
      </c>
      <c r="E32" s="8">
        <v>0</v>
      </c>
      <c r="F32" s="8">
        <f t="shared" si="0"/>
        <v>0</v>
      </c>
      <c r="G32" s="8" t="b">
        <f t="shared" si="1"/>
        <v>1</v>
      </c>
      <c r="H32" s="11"/>
    </row>
    <row r="33" spans="1:8">
      <c r="A33" s="9" t="s">
        <v>41</v>
      </c>
      <c r="B33" s="10" t="s">
        <v>9</v>
      </c>
      <c r="C33" s="11">
        <f>VLOOKUP(A33,'[1]MGM Report'!$D:$F,3,FALSE)</f>
        <v>0</v>
      </c>
      <c r="D33" s="11">
        <f>VLOOKUP(A33,[2]ShobizMGMReportResults!$E:$G,3,FALSE)</f>
        <v>0</v>
      </c>
      <c r="E33" s="8">
        <v>0</v>
      </c>
      <c r="F33" s="8">
        <f t="shared" si="0"/>
        <v>0</v>
      </c>
      <c r="G33" s="8" t="b">
        <f t="shared" si="1"/>
        <v>1</v>
      </c>
      <c r="H33" s="11"/>
    </row>
    <row r="34" spans="1:8">
      <c r="A34" s="9" t="s">
        <v>42</v>
      </c>
      <c r="B34" s="10" t="s">
        <v>9</v>
      </c>
      <c r="C34" s="11">
        <f>VLOOKUP(A34,'[1]MGM Report'!$D:$F,3,FALSE)</f>
        <v>0</v>
      </c>
      <c r="D34" s="11">
        <f>VLOOKUP(A34,[2]ShobizMGMReportResults!$E:$G,3,FALSE)</f>
        <v>0</v>
      </c>
      <c r="E34" s="8">
        <v>0</v>
      </c>
      <c r="F34" s="8">
        <f t="shared" si="0"/>
        <v>0</v>
      </c>
      <c r="G34" s="8" t="b">
        <f t="shared" si="1"/>
        <v>1</v>
      </c>
      <c r="H34" s="11"/>
    </row>
    <row r="35" spans="1:8">
      <c r="A35" s="9" t="s">
        <v>43</v>
      </c>
      <c r="B35" s="10" t="s">
        <v>9</v>
      </c>
      <c r="C35" s="11">
        <f>VLOOKUP(A35,'[1]MGM Report'!$D:$F,3,FALSE)</f>
        <v>0</v>
      </c>
      <c r="D35" s="11">
        <f>VLOOKUP(A35,[2]ShobizMGMReportResults!$E:$G,3,FALSE)</f>
        <v>0</v>
      </c>
      <c r="E35" s="8">
        <v>0</v>
      </c>
      <c r="F35" s="8">
        <f t="shared" si="0"/>
        <v>0</v>
      </c>
      <c r="G35" s="8" t="b">
        <f t="shared" si="1"/>
        <v>1</v>
      </c>
      <c r="H35" s="11"/>
    </row>
    <row r="36" spans="1:8">
      <c r="A36" s="9" t="s">
        <v>44</v>
      </c>
      <c r="B36" s="10" t="s">
        <v>9</v>
      </c>
      <c r="C36" s="11">
        <f>VLOOKUP(A36,'[1]MGM Report'!$D:$F,3,FALSE)</f>
        <v>0</v>
      </c>
      <c r="D36" s="11">
        <f>VLOOKUP(A36,[2]ShobizMGMReportResults!$E:$G,3,FALSE)</f>
        <v>0</v>
      </c>
      <c r="E36" s="8">
        <v>0</v>
      </c>
      <c r="F36" s="8">
        <f t="shared" si="0"/>
        <v>0</v>
      </c>
      <c r="G36" s="8" t="b">
        <f t="shared" si="1"/>
        <v>1</v>
      </c>
      <c r="H36" s="11"/>
    </row>
    <row r="37" spans="1:8">
      <c r="A37" s="9" t="s">
        <v>45</v>
      </c>
      <c r="B37" s="10" t="s">
        <v>9</v>
      </c>
      <c r="C37" s="11">
        <f>VLOOKUP(A37,'[1]MGM Report'!$D:$F,3,FALSE)</f>
        <v>0</v>
      </c>
      <c r="D37" s="11">
        <f>VLOOKUP(A37,[2]ShobizMGMReportResults!$E:$G,3,FALSE)</f>
        <v>0</v>
      </c>
      <c r="E37" s="8">
        <v>0</v>
      </c>
      <c r="F37" s="8">
        <f t="shared" si="0"/>
        <v>0</v>
      </c>
      <c r="G37" s="8" t="b">
        <f t="shared" si="1"/>
        <v>1</v>
      </c>
      <c r="H37" s="11"/>
    </row>
    <row r="38" spans="1:8">
      <c r="A38" s="9" t="s">
        <v>46</v>
      </c>
      <c r="B38" s="10" t="s">
        <v>9</v>
      </c>
      <c r="C38" s="11">
        <f>VLOOKUP(A38,'[1]MGM Report'!$D:$F,3,FALSE)</f>
        <v>0</v>
      </c>
      <c r="D38" s="11">
        <f>VLOOKUP(A38,[2]ShobizMGMReportResults!$E:$G,3,FALSE)</f>
        <v>0</v>
      </c>
      <c r="E38" s="8">
        <v>0</v>
      </c>
      <c r="F38" s="8">
        <f t="shared" si="0"/>
        <v>0</v>
      </c>
      <c r="G38" s="8" t="b">
        <f t="shared" si="1"/>
        <v>1</v>
      </c>
      <c r="H38" s="11"/>
    </row>
    <row r="39" spans="1:8">
      <c r="A39" s="9" t="s">
        <v>47</v>
      </c>
      <c r="B39" s="10" t="s">
        <v>9</v>
      </c>
      <c r="C39" s="11">
        <f>VLOOKUP(A39,'[1]MGM Report'!$D:$F,3,FALSE)</f>
        <v>4753266.25</v>
      </c>
      <c r="D39" s="11">
        <f>VLOOKUP(A39,[2]ShobizMGMReportResults!$E:$G,3,FALSE)</f>
        <v>4753266.25</v>
      </c>
      <c r="E39" s="8">
        <v>0</v>
      </c>
      <c r="F39" s="8">
        <f t="shared" si="0"/>
        <v>4753266.25</v>
      </c>
      <c r="G39" s="8" t="b">
        <f t="shared" si="1"/>
        <v>1</v>
      </c>
      <c r="H39" s="11"/>
    </row>
    <row r="40" spans="1:8">
      <c r="A40" s="9" t="s">
        <v>48</v>
      </c>
      <c r="B40" s="10" t="s">
        <v>9</v>
      </c>
      <c r="C40" s="11">
        <f>VLOOKUP(A40,'[1]MGM Report'!$D:$F,3,FALSE)</f>
        <v>29835</v>
      </c>
      <c r="D40" s="11">
        <f>VLOOKUP(A40,[2]ShobizMGMReportResults!$E:$G,3,FALSE)</f>
        <v>29835</v>
      </c>
      <c r="E40" s="8">
        <v>0</v>
      </c>
      <c r="F40" s="8">
        <f t="shared" si="0"/>
        <v>29835</v>
      </c>
      <c r="G40" s="8" t="b">
        <f t="shared" si="1"/>
        <v>1</v>
      </c>
      <c r="H40" s="11"/>
    </row>
    <row r="41" spans="1:8">
      <c r="A41" s="9" t="s">
        <v>49</v>
      </c>
      <c r="B41" s="10" t="s">
        <v>9</v>
      </c>
      <c r="C41" s="11">
        <f>VLOOKUP(A41,'[1]MGM Report'!$D:$F,3,FALSE)</f>
        <v>336450</v>
      </c>
      <c r="D41" s="11">
        <f>VLOOKUP(A41,[2]ShobizMGMReportResults!$E:$G,3,FALSE)</f>
        <v>336450</v>
      </c>
      <c r="E41" s="8">
        <v>0</v>
      </c>
      <c r="F41" s="8">
        <f t="shared" si="0"/>
        <v>336450</v>
      </c>
      <c r="G41" s="8" t="b">
        <f t="shared" si="1"/>
        <v>1</v>
      </c>
      <c r="H41" s="11"/>
    </row>
    <row r="42" spans="1:8">
      <c r="A42" s="9" t="s">
        <v>50</v>
      </c>
      <c r="B42" s="10" t="s">
        <v>9</v>
      </c>
      <c r="C42" s="11">
        <f>VLOOKUP(A42,'[1]MGM Report'!$D:$F,3,FALSE)</f>
        <v>197144</v>
      </c>
      <c r="D42" s="11">
        <f>VLOOKUP(A42,[2]ShobizMGMReportResults!$E:$G,3,FALSE)</f>
        <v>197144</v>
      </c>
      <c r="E42" s="8">
        <v>0</v>
      </c>
      <c r="F42" s="8">
        <f t="shared" si="0"/>
        <v>197144</v>
      </c>
      <c r="G42" s="8" t="b">
        <f t="shared" si="1"/>
        <v>1</v>
      </c>
      <c r="H42" s="11"/>
    </row>
    <row r="43" spans="1:8">
      <c r="A43" s="9" t="s">
        <v>51</v>
      </c>
      <c r="B43" s="10" t="s">
        <v>9</v>
      </c>
      <c r="C43" s="11">
        <f>VLOOKUP(A43,'[1]MGM Report'!$D:$F,3,FALSE)</f>
        <v>17248</v>
      </c>
      <c r="D43" s="11">
        <f>VLOOKUP(A43,[2]ShobizMGMReportResults!$E:$G,3,FALSE)</f>
        <v>17248</v>
      </c>
      <c r="E43" s="8">
        <v>0</v>
      </c>
      <c r="F43" s="8">
        <f t="shared" si="0"/>
        <v>17248</v>
      </c>
      <c r="G43" s="8" t="b">
        <f t="shared" si="1"/>
        <v>1</v>
      </c>
      <c r="H43" s="11"/>
    </row>
    <row r="44" spans="1:8">
      <c r="A44" s="9" t="s">
        <v>52</v>
      </c>
      <c r="B44" s="10" t="s">
        <v>9</v>
      </c>
      <c r="C44" s="11">
        <f>VLOOKUP(A44,'[1]MGM Report'!$D:$F,3,FALSE)</f>
        <v>6496</v>
      </c>
      <c r="D44" s="11">
        <f>VLOOKUP(A44,[2]ShobizMGMReportResults!$E:$G,3,FALSE)</f>
        <v>6496</v>
      </c>
      <c r="E44" s="8">
        <v>0</v>
      </c>
      <c r="F44" s="8">
        <f t="shared" si="0"/>
        <v>6496</v>
      </c>
      <c r="G44" s="8" t="b">
        <f t="shared" si="1"/>
        <v>1</v>
      </c>
      <c r="H44" s="11"/>
    </row>
    <row r="45" spans="1:8">
      <c r="A45" s="9" t="s">
        <v>53</v>
      </c>
      <c r="B45" s="10" t="s">
        <v>9</v>
      </c>
      <c r="C45" s="11">
        <f>VLOOKUP(A45,'[1]MGM Report'!$D:$F,3,FALSE)</f>
        <v>0</v>
      </c>
      <c r="D45" s="11">
        <f>VLOOKUP(A45,[2]ShobizMGMReportResults!$E:$G,3,FALSE)</f>
        <v>0</v>
      </c>
      <c r="E45" s="8">
        <v>0</v>
      </c>
      <c r="F45" s="8">
        <f t="shared" si="0"/>
        <v>0</v>
      </c>
      <c r="G45" s="8" t="b">
        <f t="shared" si="1"/>
        <v>1</v>
      </c>
      <c r="H45" s="11"/>
    </row>
    <row r="46" spans="1:8">
      <c r="A46" s="9" t="s">
        <v>54</v>
      </c>
      <c r="B46" s="10" t="s">
        <v>9</v>
      </c>
      <c r="C46" s="11">
        <f>VLOOKUP(A46,'[1]MGM Report'!$D:$F,3,FALSE)</f>
        <v>198375</v>
      </c>
      <c r="D46" s="11">
        <f>VLOOKUP(A46,[2]ShobizMGMReportResults!$E:$G,3,FALSE)</f>
        <v>198375</v>
      </c>
      <c r="E46" s="8">
        <v>0</v>
      </c>
      <c r="F46" s="8">
        <f t="shared" si="0"/>
        <v>198375</v>
      </c>
      <c r="G46" s="8" t="b">
        <f t="shared" si="1"/>
        <v>1</v>
      </c>
      <c r="H46" s="11"/>
    </row>
    <row r="47" spans="1:8">
      <c r="A47" s="9" t="s">
        <v>55</v>
      </c>
      <c r="B47" s="10" t="s">
        <v>9</v>
      </c>
      <c r="C47" s="11">
        <f>VLOOKUP(A47,'[1]MGM Report'!$D:$F,3,FALSE)</f>
        <v>0</v>
      </c>
      <c r="D47" s="11">
        <f>VLOOKUP(A47,[2]ShobizMGMReportResults!$E:$G,3,FALSE)</f>
        <v>0</v>
      </c>
      <c r="E47" s="8">
        <v>0</v>
      </c>
      <c r="F47" s="8">
        <f t="shared" si="0"/>
        <v>0</v>
      </c>
      <c r="G47" s="8" t="b">
        <f t="shared" si="1"/>
        <v>1</v>
      </c>
      <c r="H47" s="11"/>
    </row>
    <row r="48" spans="1:8">
      <c r="A48" s="9" t="s">
        <v>56</v>
      </c>
      <c r="B48" s="10" t="s">
        <v>9</v>
      </c>
      <c r="C48" s="11">
        <f>VLOOKUP(A48,'[1]MGM Report'!$D:$F,3,FALSE)</f>
        <v>0</v>
      </c>
      <c r="D48" s="11">
        <f>VLOOKUP(A48,[2]ShobizMGMReportResults!$E:$G,3,FALSE)</f>
        <v>0</v>
      </c>
      <c r="E48" s="8">
        <v>0</v>
      </c>
      <c r="F48" s="8">
        <f t="shared" si="0"/>
        <v>0</v>
      </c>
      <c r="G48" s="8" t="b">
        <f t="shared" si="1"/>
        <v>1</v>
      </c>
      <c r="H48" s="11"/>
    </row>
    <row r="49" spans="1:8">
      <c r="A49" s="9" t="s">
        <v>57</v>
      </c>
      <c r="B49" s="10" t="s">
        <v>9</v>
      </c>
      <c r="C49" s="11">
        <f>VLOOKUP(A49,'[1]MGM Report'!$D:$F,3,FALSE)</f>
        <v>1920687</v>
      </c>
      <c r="D49" s="11">
        <f>VLOOKUP(A49,[2]ShobizMGMReportResults!$E:$G,3,FALSE)</f>
        <v>1920687</v>
      </c>
      <c r="E49" s="8">
        <v>0</v>
      </c>
      <c r="F49" s="8">
        <f t="shared" si="0"/>
        <v>1920687</v>
      </c>
      <c r="G49" s="8" t="b">
        <f t="shared" si="1"/>
        <v>1</v>
      </c>
      <c r="H49" s="11"/>
    </row>
    <row r="50" spans="1:8">
      <c r="A50" s="9" t="s">
        <v>58</v>
      </c>
      <c r="B50" s="10" t="s">
        <v>9</v>
      </c>
      <c r="C50" s="11">
        <f>VLOOKUP(A50,'[1]MGM Report'!$D:$F,3,FALSE)</f>
        <v>0</v>
      </c>
      <c r="D50" s="11">
        <v>0</v>
      </c>
      <c r="E50" s="8">
        <v>0</v>
      </c>
      <c r="F50" s="8">
        <f t="shared" si="0"/>
        <v>0</v>
      </c>
      <c r="G50" s="8" t="b">
        <f t="shared" si="1"/>
        <v>1</v>
      </c>
      <c r="H50" s="11"/>
    </row>
    <row r="51" spans="1:8">
      <c r="A51" s="9" t="s">
        <v>59</v>
      </c>
      <c r="B51" s="10" t="s">
        <v>9</v>
      </c>
      <c r="C51" s="11">
        <f>VLOOKUP(A51,'[1]MGM Report'!$D:$F,3,FALSE)</f>
        <v>24145</v>
      </c>
      <c r="D51" s="11">
        <f>VLOOKUP(A51,[2]ShobizMGMReportResults!$E:$G,3,FALSE)</f>
        <v>24145</v>
      </c>
      <c r="E51" s="8">
        <v>0</v>
      </c>
      <c r="F51" s="8">
        <f t="shared" si="0"/>
        <v>24145</v>
      </c>
      <c r="G51" s="8" t="b">
        <f t="shared" si="1"/>
        <v>1</v>
      </c>
      <c r="H51" s="11"/>
    </row>
    <row r="52" spans="1:8">
      <c r="A52" s="9" t="s">
        <v>60</v>
      </c>
      <c r="B52" s="10" t="s">
        <v>9</v>
      </c>
      <c r="C52" s="11">
        <f>VLOOKUP(A52,'[1]MGM Report'!$D:$F,3,FALSE)</f>
        <v>55000</v>
      </c>
      <c r="D52" s="11">
        <f>VLOOKUP(A52,[2]ShobizMGMReportResults!$E:$G,3,FALSE)</f>
        <v>55000</v>
      </c>
      <c r="E52" s="8">
        <v>0</v>
      </c>
      <c r="F52" s="8">
        <f t="shared" si="0"/>
        <v>55000</v>
      </c>
      <c r="G52" s="8" t="b">
        <f t="shared" si="1"/>
        <v>1</v>
      </c>
      <c r="H52" s="11"/>
    </row>
    <row r="53" spans="1:8">
      <c r="A53" s="9" t="s">
        <v>61</v>
      </c>
      <c r="B53" s="10" t="s">
        <v>9</v>
      </c>
      <c r="C53" s="11">
        <f>VLOOKUP(A53,'[1]MGM Report'!$D:$F,3,FALSE)</f>
        <v>151005.6</v>
      </c>
      <c r="D53" s="11">
        <f>VLOOKUP(A53,[2]ShobizMGMReportResults!$E:$G,3,FALSE)</f>
        <v>0</v>
      </c>
      <c r="E53" s="8">
        <f>VLOOKUP(A53,[3]ShobizDelegatesSOSBResults!$A:$C,3,FALSE)</f>
        <v>151005.6</v>
      </c>
      <c r="F53" s="8">
        <f t="shared" si="0"/>
        <v>151005.6</v>
      </c>
      <c r="G53" s="8" t="b">
        <f t="shared" si="1"/>
        <v>1</v>
      </c>
      <c r="H53" s="11"/>
    </row>
    <row r="54" spans="1:8">
      <c r="A54" s="9" t="s">
        <v>62</v>
      </c>
      <c r="B54" s="10" t="s">
        <v>9</v>
      </c>
      <c r="C54" s="11">
        <f>VLOOKUP(A54,'[1]MGM Report'!$D:$F,3,FALSE)</f>
        <v>0</v>
      </c>
      <c r="D54" s="11">
        <f>VLOOKUP(A54,[2]ShobizMGMReportResults!$E:$G,3,FALSE)</f>
        <v>0</v>
      </c>
      <c r="E54" s="8">
        <v>0</v>
      </c>
      <c r="F54" s="8">
        <f t="shared" si="0"/>
        <v>0</v>
      </c>
      <c r="G54" s="8" t="b">
        <f t="shared" si="1"/>
        <v>1</v>
      </c>
      <c r="H54" s="11"/>
    </row>
    <row r="55" spans="1:8">
      <c r="A55" s="9" t="s">
        <v>63</v>
      </c>
      <c r="B55" s="10" t="s">
        <v>9</v>
      </c>
      <c r="C55" s="11">
        <f>VLOOKUP(A55,'[1]MGM Report'!$D:$F,3,FALSE)</f>
        <v>0</v>
      </c>
      <c r="D55" s="11">
        <f>VLOOKUP(A55,[2]ShobizMGMReportResults!$E:$G,3,FALSE)</f>
        <v>0</v>
      </c>
      <c r="E55" s="8">
        <v>0</v>
      </c>
      <c r="F55" s="8">
        <f t="shared" si="0"/>
        <v>0</v>
      </c>
      <c r="G55" s="8" t="b">
        <f t="shared" si="1"/>
        <v>1</v>
      </c>
      <c r="H55" s="11"/>
    </row>
    <row r="56" spans="1:8">
      <c r="A56" s="9" t="s">
        <v>64</v>
      </c>
      <c r="B56" s="10" t="s">
        <v>9</v>
      </c>
      <c r="C56" s="11">
        <f>VLOOKUP(A56,'[1]MGM Report'!$D:$F,3,FALSE)</f>
        <v>0</v>
      </c>
      <c r="D56" s="11">
        <f>VLOOKUP(A56,[2]ShobizMGMReportResults!$E:$G,3,FALSE)</f>
        <v>0</v>
      </c>
      <c r="E56" s="8">
        <v>0</v>
      </c>
      <c r="F56" s="8">
        <f t="shared" si="0"/>
        <v>0</v>
      </c>
      <c r="G56" s="8" t="b">
        <f t="shared" si="1"/>
        <v>1</v>
      </c>
      <c r="H56" s="11"/>
    </row>
    <row r="57" spans="1:8">
      <c r="A57" s="9" t="s">
        <v>65</v>
      </c>
      <c r="B57" s="10" t="s">
        <v>9</v>
      </c>
      <c r="C57" s="11">
        <f>VLOOKUP(A57,'[1]MGM Report'!$D:$F,3,FALSE)</f>
        <v>11000</v>
      </c>
      <c r="D57" s="11">
        <f>VLOOKUP(A57,[2]ShobizMGMReportResults!$E:$G,3,FALSE)</f>
        <v>0</v>
      </c>
      <c r="E57" s="8">
        <f>VLOOKUP(A57,[3]ShobizDelegatesSOSBResults!$A:$C,3,FALSE)</f>
        <v>11000</v>
      </c>
      <c r="F57" s="8">
        <f t="shared" si="0"/>
        <v>11000</v>
      </c>
      <c r="G57" s="8" t="b">
        <f t="shared" si="1"/>
        <v>1</v>
      </c>
      <c r="H57" s="11"/>
    </row>
    <row r="58" spans="1:8">
      <c r="A58" s="9" t="s">
        <v>66</v>
      </c>
      <c r="B58" s="10" t="s">
        <v>9</v>
      </c>
      <c r="C58" s="11">
        <f>VLOOKUP(A58,'[1]MGM Report'!$D:$F,3,FALSE)</f>
        <v>1440862</v>
      </c>
      <c r="D58" s="11">
        <f>VLOOKUP(A58,[2]ShobizMGMReportResults!$E:$G,3,FALSE)</f>
        <v>1440862</v>
      </c>
      <c r="E58" s="8">
        <v>0</v>
      </c>
      <c r="F58" s="8">
        <f t="shared" si="0"/>
        <v>1440862</v>
      </c>
      <c r="G58" s="8" t="b">
        <f t="shared" si="1"/>
        <v>1</v>
      </c>
      <c r="H58" s="11"/>
    </row>
    <row r="59" spans="1:8">
      <c r="A59" s="9" t="s">
        <v>67</v>
      </c>
      <c r="B59" s="10" t="s">
        <v>9</v>
      </c>
      <c r="C59" s="11">
        <f>VLOOKUP(A59,'[1]MGM Report'!$D:$F,3,FALSE)</f>
        <v>0</v>
      </c>
      <c r="D59" s="11">
        <f>VLOOKUP(A59,[2]ShobizMGMReportResults!$E:$G,3,FALSE)</f>
        <v>0</v>
      </c>
      <c r="E59" s="8">
        <v>0</v>
      </c>
      <c r="F59" s="8">
        <f t="shared" si="0"/>
        <v>0</v>
      </c>
      <c r="G59" s="8" t="b">
        <f t="shared" si="1"/>
        <v>1</v>
      </c>
      <c r="H59" s="11"/>
    </row>
    <row r="60" spans="1:8">
      <c r="A60" s="9" t="s">
        <v>68</v>
      </c>
      <c r="B60" s="10" t="s">
        <v>9</v>
      </c>
      <c r="C60" s="11">
        <f>VLOOKUP(A60,'[1]MGM Report'!$D:$F,3,FALSE)</f>
        <v>0</v>
      </c>
      <c r="D60" s="11">
        <f>VLOOKUP(A60,[2]ShobizMGMReportResults!$E:$G,3,FALSE)</f>
        <v>0</v>
      </c>
      <c r="E60" s="8">
        <v>0</v>
      </c>
      <c r="F60" s="8">
        <f t="shared" si="0"/>
        <v>0</v>
      </c>
      <c r="G60" s="8" t="b">
        <f t="shared" si="1"/>
        <v>1</v>
      </c>
      <c r="H60" s="11"/>
    </row>
    <row r="61" spans="1:8">
      <c r="A61" s="9" t="s">
        <v>69</v>
      </c>
      <c r="B61" s="10" t="s">
        <v>9</v>
      </c>
      <c r="C61" s="11">
        <f>VLOOKUP(A61,'[1]MGM Report'!$D:$F,3,FALSE)</f>
        <v>0</v>
      </c>
      <c r="D61" s="11">
        <f>VLOOKUP(A61,[2]ShobizMGMReportResults!$E:$G,3,FALSE)</f>
        <v>0</v>
      </c>
      <c r="E61" s="8">
        <v>0</v>
      </c>
      <c r="F61" s="8">
        <f t="shared" si="0"/>
        <v>0</v>
      </c>
      <c r="G61" s="8" t="b">
        <f t="shared" si="1"/>
        <v>1</v>
      </c>
      <c r="H61" s="11"/>
    </row>
    <row r="62" spans="1:8">
      <c r="A62" s="9" t="s">
        <v>70</v>
      </c>
      <c r="B62" s="10" t="s">
        <v>9</v>
      </c>
      <c r="C62" s="11">
        <f>VLOOKUP(A62,'[1]MGM Report'!$D:$F,3,FALSE)</f>
        <v>0</v>
      </c>
      <c r="D62" s="11">
        <f>VLOOKUP(A62,[2]ShobizMGMReportResults!$E:$G,3,FALSE)</f>
        <v>0</v>
      </c>
      <c r="E62" s="8">
        <v>0</v>
      </c>
      <c r="F62" s="8">
        <f t="shared" si="0"/>
        <v>0</v>
      </c>
      <c r="G62" s="8" t="b">
        <f t="shared" si="1"/>
        <v>1</v>
      </c>
      <c r="H62" s="11"/>
    </row>
    <row r="63" spans="1:8">
      <c r="A63" s="9" t="s">
        <v>71</v>
      </c>
      <c r="B63" s="10" t="s">
        <v>9</v>
      </c>
      <c r="C63" s="11">
        <f>VLOOKUP(A63,'[1]MGM Report'!$D:$F,3,FALSE)</f>
        <v>2500000</v>
      </c>
      <c r="D63" s="11">
        <f>VLOOKUP(A63,[2]ShobizMGMReportResults!$E:$G,3,FALSE)</f>
        <v>2500000</v>
      </c>
      <c r="E63" s="8">
        <v>0</v>
      </c>
      <c r="F63" s="8">
        <f t="shared" si="0"/>
        <v>2500000</v>
      </c>
      <c r="G63" s="8" t="b">
        <f t="shared" si="1"/>
        <v>1</v>
      </c>
      <c r="H63" s="11"/>
    </row>
    <row r="64" spans="1:8">
      <c r="A64" s="9" t="s">
        <v>72</v>
      </c>
      <c r="B64" s="10" t="s">
        <v>9</v>
      </c>
      <c r="C64" s="11">
        <f>VLOOKUP(A64,'[1]MGM Report'!$D:$F,3,FALSE)</f>
        <v>15800720</v>
      </c>
      <c r="D64" s="11">
        <f>VLOOKUP(A64,[2]ShobizMGMReportResults!$E:$G,3,FALSE)</f>
        <v>15800720</v>
      </c>
      <c r="E64" s="8">
        <v>0</v>
      </c>
      <c r="F64" s="8">
        <f t="shared" si="0"/>
        <v>15800720</v>
      </c>
      <c r="G64" s="8" t="b">
        <f t="shared" si="1"/>
        <v>1</v>
      </c>
      <c r="H64" s="11"/>
    </row>
    <row r="65" spans="1:8">
      <c r="A65" s="9" t="s">
        <v>73</v>
      </c>
      <c r="B65" s="10" t="s">
        <v>9</v>
      </c>
      <c r="C65" s="11">
        <f>VLOOKUP(A65,'[1]MGM Report'!$D:$F,3,FALSE)</f>
        <v>0</v>
      </c>
      <c r="D65" s="11">
        <f>VLOOKUP(A65,[2]ShobizMGMReportResults!$E:$G,3,FALSE)</f>
        <v>0</v>
      </c>
      <c r="E65" s="8">
        <v>0</v>
      </c>
      <c r="F65" s="8">
        <f t="shared" si="0"/>
        <v>0</v>
      </c>
      <c r="G65" s="8" t="b">
        <f t="shared" si="1"/>
        <v>1</v>
      </c>
      <c r="H65" s="11"/>
    </row>
    <row r="66" spans="1:8">
      <c r="A66" s="9" t="s">
        <v>74</v>
      </c>
      <c r="B66" s="10" t="s">
        <v>9</v>
      </c>
      <c r="C66" s="11">
        <f>VLOOKUP(A66,'[1]MGM Report'!$D:$F,3,FALSE)</f>
        <v>2500043</v>
      </c>
      <c r="D66" s="11">
        <f>VLOOKUP(A66,[2]ShobizMGMReportResults!$E:$G,3,FALSE)</f>
        <v>2500043</v>
      </c>
      <c r="E66" s="8">
        <v>0</v>
      </c>
      <c r="F66" s="8">
        <f t="shared" si="0"/>
        <v>2500043</v>
      </c>
      <c r="G66" s="8" t="b">
        <f t="shared" si="1"/>
        <v>1</v>
      </c>
      <c r="H66" s="11"/>
    </row>
    <row r="67" spans="1:8">
      <c r="A67" s="9" t="s">
        <v>75</v>
      </c>
      <c r="B67" s="10" t="s">
        <v>9</v>
      </c>
      <c r="C67" s="11">
        <f>VLOOKUP(A67,'[1]MGM Report'!$D:$F,3,FALSE)</f>
        <v>0</v>
      </c>
      <c r="D67" s="11">
        <f>VLOOKUP(A67,[2]ShobizMGMReportResults!$E:$G,3,FALSE)</f>
        <v>0</v>
      </c>
      <c r="E67" s="8">
        <v>0</v>
      </c>
      <c r="F67" s="8">
        <f t="shared" ref="F67:F130" si="2">D67+E67</f>
        <v>0</v>
      </c>
      <c r="G67" s="8" t="b">
        <f t="shared" ref="G67:G130" si="3">F67=C67</f>
        <v>1</v>
      </c>
      <c r="H67" s="11"/>
    </row>
    <row r="68" spans="1:8">
      <c r="A68" s="9" t="s">
        <v>76</v>
      </c>
      <c r="B68" s="10" t="s">
        <v>9</v>
      </c>
      <c r="C68" s="11">
        <f>VLOOKUP(A68,'[1]MGM Report'!$D:$F,3,FALSE)</f>
        <v>2060170.57</v>
      </c>
      <c r="D68" s="11">
        <f>VLOOKUP(A68,[2]ShobizMGMReportResults!$E:$G,3,FALSE)</f>
        <v>2060170.57</v>
      </c>
      <c r="E68" s="8">
        <v>0</v>
      </c>
      <c r="F68" s="8">
        <f t="shared" si="2"/>
        <v>2060170.57</v>
      </c>
      <c r="G68" s="8" t="b">
        <f t="shared" si="3"/>
        <v>1</v>
      </c>
      <c r="H68" s="11"/>
    </row>
    <row r="69" spans="1:8">
      <c r="A69" s="9" t="s">
        <v>77</v>
      </c>
      <c r="B69" s="10" t="s">
        <v>9</v>
      </c>
      <c r="C69" s="11">
        <f>VLOOKUP(A69,'[1]MGM Report'!$D:$F,3,FALSE)</f>
        <v>2728972.4</v>
      </c>
      <c r="D69" s="11">
        <f>VLOOKUP(A69,[2]ShobizMGMReportResults!$E:$G,3,FALSE)</f>
        <v>2728972.4</v>
      </c>
      <c r="E69" s="8">
        <v>0</v>
      </c>
      <c r="F69" s="8">
        <f t="shared" si="2"/>
        <v>2728972.4</v>
      </c>
      <c r="G69" s="8" t="b">
        <f t="shared" si="3"/>
        <v>1</v>
      </c>
      <c r="H69" s="11"/>
    </row>
    <row r="70" spans="1:8">
      <c r="A70" s="9" t="s">
        <v>78</v>
      </c>
      <c r="B70" s="10" t="s">
        <v>9</v>
      </c>
      <c r="C70" s="11">
        <f>VLOOKUP(A70,'[1]MGM Report'!$D:$F,3,FALSE)</f>
        <v>1102551</v>
      </c>
      <c r="D70" s="11">
        <f>VLOOKUP(A70,[2]ShobizMGMReportResults!$E:$G,3,FALSE)</f>
        <v>1102551</v>
      </c>
      <c r="E70" s="8">
        <v>0</v>
      </c>
      <c r="F70" s="8">
        <f t="shared" si="2"/>
        <v>1102551</v>
      </c>
      <c r="G70" s="8" t="b">
        <f t="shared" si="3"/>
        <v>1</v>
      </c>
      <c r="H70" s="11"/>
    </row>
    <row r="71" spans="1:8">
      <c r="A71" s="9" t="s">
        <v>79</v>
      </c>
      <c r="B71" s="10" t="s">
        <v>9</v>
      </c>
      <c r="C71" s="11">
        <f>VLOOKUP(A71,'[1]MGM Report'!$D:$F,3,FALSE)</f>
        <v>2816205</v>
      </c>
      <c r="D71" s="11">
        <f>VLOOKUP(A71,[2]ShobizMGMReportResults!$E:$G,3,FALSE)</f>
        <v>2816205</v>
      </c>
      <c r="E71" s="8">
        <v>0</v>
      </c>
      <c r="F71" s="8">
        <f t="shared" si="2"/>
        <v>2816205</v>
      </c>
      <c r="G71" s="8" t="b">
        <f t="shared" si="3"/>
        <v>1</v>
      </c>
      <c r="H71" s="11"/>
    </row>
    <row r="72" spans="1:8">
      <c r="A72" s="9" t="s">
        <v>80</v>
      </c>
      <c r="B72" s="10" t="s">
        <v>9</v>
      </c>
      <c r="C72" s="11">
        <f>VLOOKUP(A72,'[1]MGM Report'!$D:$F,3,FALSE)</f>
        <v>0</v>
      </c>
      <c r="D72" s="11">
        <f>VLOOKUP(A72,[2]ShobizMGMReportResults!$E:$G,3,FALSE)</f>
        <v>0</v>
      </c>
      <c r="E72" s="8">
        <v>0</v>
      </c>
      <c r="F72" s="8">
        <f t="shared" si="2"/>
        <v>0</v>
      </c>
      <c r="G72" s="8" t="b">
        <f t="shared" si="3"/>
        <v>1</v>
      </c>
      <c r="H72" s="11"/>
    </row>
    <row r="73" spans="1:8">
      <c r="A73" s="9" t="s">
        <v>81</v>
      </c>
      <c r="B73" s="10" t="s">
        <v>9</v>
      </c>
      <c r="C73" s="11">
        <f>VLOOKUP(A73,'[1]MGM Report'!$D:$F,3,FALSE)</f>
        <v>0</v>
      </c>
      <c r="D73" s="11">
        <f>VLOOKUP(A73,[2]ShobizMGMReportResults!$E:$G,3,FALSE)</f>
        <v>0</v>
      </c>
      <c r="E73" s="8">
        <v>0</v>
      </c>
      <c r="F73" s="8">
        <f t="shared" si="2"/>
        <v>0</v>
      </c>
      <c r="G73" s="8" t="b">
        <f t="shared" si="3"/>
        <v>1</v>
      </c>
      <c r="H73" s="11"/>
    </row>
    <row r="74" spans="1:8">
      <c r="A74" s="9" t="s">
        <v>82</v>
      </c>
      <c r="B74" s="10" t="s">
        <v>9</v>
      </c>
      <c r="C74" s="11">
        <f>VLOOKUP(A74,'[1]MGM Report'!$D:$F,3,FALSE)</f>
        <v>0</v>
      </c>
      <c r="D74" s="11">
        <f>VLOOKUP(A74,[2]ShobizMGMReportResults!$E:$G,3,FALSE)</f>
        <v>0</v>
      </c>
      <c r="E74" s="8">
        <v>0</v>
      </c>
      <c r="F74" s="8">
        <f t="shared" si="2"/>
        <v>0</v>
      </c>
      <c r="G74" s="8" t="b">
        <f t="shared" si="3"/>
        <v>1</v>
      </c>
      <c r="H74" s="11"/>
    </row>
    <row r="75" spans="1:8">
      <c r="A75" s="9" t="s">
        <v>83</v>
      </c>
      <c r="B75" s="10" t="s">
        <v>9</v>
      </c>
      <c r="C75" s="11">
        <f>VLOOKUP(A75,'[1]MGM Report'!$D:$F,3,FALSE)</f>
        <v>1721092.49</v>
      </c>
      <c r="D75" s="11">
        <f>VLOOKUP(A75,[2]ShobizMGMReportResults!$E:$G,3,FALSE)</f>
        <v>0</v>
      </c>
      <c r="E75" s="8">
        <f>VLOOKUP(A75,[3]ShobizDelegatesSOSBResults!$A:$C,3,FALSE)</f>
        <v>1721092.49</v>
      </c>
      <c r="F75" s="8">
        <f t="shared" si="2"/>
        <v>1721092.49</v>
      </c>
      <c r="G75" s="8" t="b">
        <f t="shared" si="3"/>
        <v>1</v>
      </c>
      <c r="H75" s="11"/>
    </row>
    <row r="76" spans="1:8">
      <c r="A76" s="9" t="s">
        <v>84</v>
      </c>
      <c r="B76" s="10" t="s">
        <v>9</v>
      </c>
      <c r="C76" s="11">
        <f>VLOOKUP(A76,'[1]MGM Report'!$D:$F,3,FALSE)</f>
        <v>0</v>
      </c>
      <c r="D76" s="11">
        <f>VLOOKUP(A76,[2]ShobizMGMReportResults!$E:$G,3,FALSE)</f>
        <v>0</v>
      </c>
      <c r="E76" s="8">
        <v>0</v>
      </c>
      <c r="F76" s="8">
        <f t="shared" si="2"/>
        <v>0</v>
      </c>
      <c r="G76" s="8" t="b">
        <f t="shared" si="3"/>
        <v>1</v>
      </c>
      <c r="H76" s="11"/>
    </row>
    <row r="77" spans="1:8">
      <c r="A77" s="9" t="s">
        <v>85</v>
      </c>
      <c r="B77" s="10" t="s">
        <v>9</v>
      </c>
      <c r="C77" s="11">
        <f>VLOOKUP(A77,'[1]MGM Report'!$D:$F,3,FALSE)</f>
        <v>0</v>
      </c>
      <c r="D77" s="11">
        <f>VLOOKUP(A77,[2]ShobizMGMReportResults!$E:$G,3,FALSE)</f>
        <v>0</v>
      </c>
      <c r="E77" s="8">
        <v>0</v>
      </c>
      <c r="F77" s="8">
        <f t="shared" si="2"/>
        <v>0</v>
      </c>
      <c r="G77" s="8" t="b">
        <f t="shared" si="3"/>
        <v>1</v>
      </c>
      <c r="H77" s="11"/>
    </row>
    <row r="78" spans="1:8">
      <c r="A78" s="9" t="s">
        <v>86</v>
      </c>
      <c r="B78" s="10" t="s">
        <v>9</v>
      </c>
      <c r="C78" s="11">
        <f>VLOOKUP(A78,'[1]MGM Report'!$D:$F,3,FALSE)</f>
        <v>581460</v>
      </c>
      <c r="D78" s="11">
        <f>VLOOKUP(A78,[2]ShobizMGMReportResults!$E:$G,3,FALSE)</f>
        <v>581460</v>
      </c>
      <c r="E78" s="8">
        <v>0</v>
      </c>
      <c r="F78" s="8">
        <f t="shared" si="2"/>
        <v>581460</v>
      </c>
      <c r="G78" s="8" t="b">
        <f t="shared" si="3"/>
        <v>1</v>
      </c>
      <c r="H78" s="11"/>
    </row>
    <row r="79" spans="1:8">
      <c r="A79" s="9" t="s">
        <v>87</v>
      </c>
      <c r="B79" s="10" t="s">
        <v>9</v>
      </c>
      <c r="C79" s="11">
        <f>VLOOKUP(A79,'[1]MGM Report'!$D:$F,3,FALSE)</f>
        <v>63910</v>
      </c>
      <c r="D79" s="11">
        <f>VLOOKUP(A79,[2]ShobizMGMReportResults!$E:$G,3,FALSE)</f>
        <v>63910</v>
      </c>
      <c r="E79" s="8">
        <v>0</v>
      </c>
      <c r="F79" s="8">
        <f t="shared" si="2"/>
        <v>63910</v>
      </c>
      <c r="G79" s="8" t="b">
        <f t="shared" si="3"/>
        <v>1</v>
      </c>
      <c r="H79" s="11"/>
    </row>
    <row r="80" spans="1:8">
      <c r="A80" s="9" t="s">
        <v>88</v>
      </c>
      <c r="B80" s="10" t="s">
        <v>9</v>
      </c>
      <c r="C80" s="11">
        <f>VLOOKUP(A80,'[1]MGM Report'!$D:$F,3,FALSE)</f>
        <v>0</v>
      </c>
      <c r="D80" s="11">
        <f>VLOOKUP(A80,[2]ShobizMGMReportResults!$E:$G,3,FALSE)</f>
        <v>0</v>
      </c>
      <c r="E80" s="8">
        <v>0</v>
      </c>
      <c r="F80" s="8">
        <f t="shared" si="2"/>
        <v>0</v>
      </c>
      <c r="G80" s="8" t="b">
        <f t="shared" si="3"/>
        <v>1</v>
      </c>
      <c r="H80" s="11"/>
    </row>
    <row r="81" spans="1:8">
      <c r="A81" s="9" t="s">
        <v>89</v>
      </c>
      <c r="B81" s="10" t="s">
        <v>9</v>
      </c>
      <c r="C81" s="11">
        <f>VLOOKUP(A81,'[1]MGM Report'!$D:$F,3,FALSE)</f>
        <v>2226654</v>
      </c>
      <c r="D81" s="11">
        <f>VLOOKUP(A81,[2]ShobizMGMReportResults!$E:$G,3,FALSE)</f>
        <v>2226654</v>
      </c>
      <c r="E81" s="8">
        <v>0</v>
      </c>
      <c r="F81" s="8">
        <f t="shared" si="2"/>
        <v>2226654</v>
      </c>
      <c r="G81" s="8" t="b">
        <f t="shared" si="3"/>
        <v>1</v>
      </c>
      <c r="H81" s="11"/>
    </row>
    <row r="82" spans="1:8">
      <c r="A82" s="9" t="s">
        <v>90</v>
      </c>
      <c r="B82" s="10" t="s">
        <v>9</v>
      </c>
      <c r="C82" s="11">
        <f>VLOOKUP(A82,'[1]MGM Report'!$D:$F,3,FALSE)</f>
        <v>0</v>
      </c>
      <c r="D82" s="11">
        <f>VLOOKUP(A82,[2]ShobizMGMReportResults!$E:$G,3,FALSE)</f>
        <v>0</v>
      </c>
      <c r="E82" s="8">
        <v>0</v>
      </c>
      <c r="F82" s="8">
        <f t="shared" si="2"/>
        <v>0</v>
      </c>
      <c r="G82" s="8" t="b">
        <f t="shared" si="3"/>
        <v>1</v>
      </c>
      <c r="H82" s="11"/>
    </row>
    <row r="83" spans="1:8">
      <c r="A83" s="9" t="s">
        <v>91</v>
      </c>
      <c r="B83" s="10" t="s">
        <v>9</v>
      </c>
      <c r="C83" s="11">
        <f>VLOOKUP(A83,'[1]MGM Report'!$D:$F,3,FALSE)</f>
        <v>0</v>
      </c>
      <c r="D83" s="11">
        <f>VLOOKUP(A83,[2]ShobizMGMReportResults!$E:$G,3,FALSE)</f>
        <v>0</v>
      </c>
      <c r="E83" s="8">
        <v>0</v>
      </c>
      <c r="F83" s="8">
        <f t="shared" si="2"/>
        <v>0</v>
      </c>
      <c r="G83" s="8" t="b">
        <f t="shared" si="3"/>
        <v>1</v>
      </c>
      <c r="H83" s="11"/>
    </row>
    <row r="84" spans="1:8">
      <c r="A84" s="9" t="s">
        <v>92</v>
      </c>
      <c r="B84" s="10" t="s">
        <v>9</v>
      </c>
      <c r="C84" s="11">
        <f>VLOOKUP(A84,'[1]MGM Report'!$D:$F,3,FALSE)</f>
        <v>0</v>
      </c>
      <c r="D84" s="11">
        <f>VLOOKUP(A84,[2]ShobizMGMReportResults!$E:$G,3,FALSE)</f>
        <v>0</v>
      </c>
      <c r="E84" s="8">
        <v>0</v>
      </c>
      <c r="F84" s="8">
        <f t="shared" si="2"/>
        <v>0</v>
      </c>
      <c r="G84" s="8" t="b">
        <f t="shared" si="3"/>
        <v>1</v>
      </c>
      <c r="H84" s="11"/>
    </row>
    <row r="85" spans="1:8">
      <c r="A85" s="9" t="s">
        <v>93</v>
      </c>
      <c r="B85" s="10" t="s">
        <v>9</v>
      </c>
      <c r="C85" s="11">
        <f>VLOOKUP(A85,'[1]MGM Report'!$D:$F,3,FALSE)</f>
        <v>292464.5</v>
      </c>
      <c r="D85" s="11">
        <f>VLOOKUP(A85,[2]ShobizMGMReportResults!$E:$G,3,FALSE)</f>
        <v>292464.5</v>
      </c>
      <c r="E85" s="8">
        <v>0</v>
      </c>
      <c r="F85" s="8">
        <f t="shared" si="2"/>
        <v>292464.5</v>
      </c>
      <c r="G85" s="8" t="b">
        <f t="shared" si="3"/>
        <v>1</v>
      </c>
      <c r="H85" s="11"/>
    </row>
    <row r="86" spans="1:8">
      <c r="A86" s="9" t="s">
        <v>94</v>
      </c>
      <c r="B86" s="10" t="s">
        <v>9</v>
      </c>
      <c r="C86" s="11">
        <f>VLOOKUP(A86,'[1]MGM Report'!$D:$F,3,FALSE)</f>
        <v>0</v>
      </c>
      <c r="D86" s="11">
        <f>VLOOKUP(A86,[2]ShobizMGMReportResults!$E:$G,3,FALSE)</f>
        <v>0</v>
      </c>
      <c r="E86" s="8">
        <v>0</v>
      </c>
      <c r="F86" s="8">
        <f t="shared" si="2"/>
        <v>0</v>
      </c>
      <c r="G86" s="8" t="b">
        <f t="shared" si="3"/>
        <v>1</v>
      </c>
      <c r="H86" s="11"/>
    </row>
    <row r="87" spans="1:8">
      <c r="A87" s="9" t="s">
        <v>95</v>
      </c>
      <c r="B87" s="10" t="s">
        <v>9</v>
      </c>
      <c r="C87" s="11">
        <f>VLOOKUP(A87,'[1]MGM Report'!$D:$F,3,FALSE)</f>
        <v>0</v>
      </c>
      <c r="D87" s="11">
        <f>VLOOKUP(A87,[2]ShobizMGMReportResults!$E:$G,3,FALSE)</f>
        <v>0</v>
      </c>
      <c r="E87" s="8">
        <v>0</v>
      </c>
      <c r="F87" s="8">
        <f t="shared" si="2"/>
        <v>0</v>
      </c>
      <c r="G87" s="8" t="b">
        <f t="shared" si="3"/>
        <v>1</v>
      </c>
      <c r="H87" s="11"/>
    </row>
    <row r="88" spans="1:8">
      <c r="A88" s="9" t="s">
        <v>96</v>
      </c>
      <c r="B88" s="10" t="s">
        <v>9</v>
      </c>
      <c r="C88" s="11">
        <f>VLOOKUP(A88,'[1]MGM Report'!$D:$F,3,FALSE)</f>
        <v>399072.26</v>
      </c>
      <c r="D88" s="11">
        <f>VLOOKUP(A88,[2]ShobizMGMReportResults!$E:$G,3,FALSE)</f>
        <v>399072.26</v>
      </c>
      <c r="E88" s="8">
        <v>0</v>
      </c>
      <c r="F88" s="8">
        <f t="shared" si="2"/>
        <v>399072.26</v>
      </c>
      <c r="G88" s="8" t="b">
        <f t="shared" si="3"/>
        <v>1</v>
      </c>
      <c r="H88" s="11"/>
    </row>
    <row r="89" spans="1:8">
      <c r="A89" s="9" t="s">
        <v>97</v>
      </c>
      <c r="B89" s="10" t="s">
        <v>9</v>
      </c>
      <c r="C89" s="11">
        <f>VLOOKUP(A89,'[1]MGM Report'!$D:$F,3,FALSE)</f>
        <v>0</v>
      </c>
      <c r="D89" s="11">
        <f>VLOOKUP(A89,[2]ShobizMGMReportResults!$E:$G,3,FALSE)</f>
        <v>0</v>
      </c>
      <c r="E89" s="8">
        <v>0</v>
      </c>
      <c r="F89" s="8">
        <f t="shared" si="2"/>
        <v>0</v>
      </c>
      <c r="G89" s="8" t="b">
        <f t="shared" si="3"/>
        <v>1</v>
      </c>
      <c r="H89" s="11"/>
    </row>
    <row r="90" spans="1:8">
      <c r="A90" s="9" t="s">
        <v>98</v>
      </c>
      <c r="B90" s="10" t="s">
        <v>9</v>
      </c>
      <c r="C90" s="11">
        <f>VLOOKUP(A90,'[1]MGM Report'!$D:$F,3,FALSE)</f>
        <v>0</v>
      </c>
      <c r="D90" s="11">
        <f>VLOOKUP(A90,[2]ShobizMGMReportResults!$E:$G,3,FALSE)</f>
        <v>0</v>
      </c>
      <c r="E90" s="8">
        <v>0</v>
      </c>
      <c r="F90" s="8">
        <f t="shared" si="2"/>
        <v>0</v>
      </c>
      <c r="G90" s="8" t="b">
        <f t="shared" si="3"/>
        <v>1</v>
      </c>
      <c r="H90" s="11"/>
    </row>
    <row r="91" spans="1:8">
      <c r="A91" s="9" t="s">
        <v>99</v>
      </c>
      <c r="B91" s="10" t="s">
        <v>9</v>
      </c>
      <c r="C91" s="11">
        <f>VLOOKUP(A91,'[1]MGM Report'!$D:$F,3,FALSE)</f>
        <v>0</v>
      </c>
      <c r="D91" s="11">
        <f>VLOOKUP(A91,[2]ShobizMGMReportResults!$E:$G,3,FALSE)</f>
        <v>0</v>
      </c>
      <c r="E91" s="8">
        <v>0</v>
      </c>
      <c r="F91" s="8">
        <f t="shared" si="2"/>
        <v>0</v>
      </c>
      <c r="G91" s="8" t="b">
        <f t="shared" si="3"/>
        <v>1</v>
      </c>
      <c r="H91" s="11"/>
    </row>
    <row r="92" spans="1:8">
      <c r="A92" s="9" t="s">
        <v>100</v>
      </c>
      <c r="B92" s="10" t="s">
        <v>9</v>
      </c>
      <c r="C92" s="11">
        <f>VLOOKUP(A92,'[1]MGM Report'!$D:$F,3,FALSE)</f>
        <v>0</v>
      </c>
      <c r="D92" s="11">
        <f>VLOOKUP(A92,[2]ShobizMGMReportResults!$E:$G,3,FALSE)</f>
        <v>0</v>
      </c>
      <c r="E92" s="8">
        <v>0</v>
      </c>
      <c r="F92" s="8">
        <f t="shared" si="2"/>
        <v>0</v>
      </c>
      <c r="G92" s="8" t="b">
        <f t="shared" si="3"/>
        <v>1</v>
      </c>
      <c r="H92" s="11"/>
    </row>
    <row r="93" spans="1:8">
      <c r="A93" s="9" t="s">
        <v>101</v>
      </c>
      <c r="B93" s="10" t="s">
        <v>9</v>
      </c>
      <c r="C93" s="11">
        <f>VLOOKUP(A93,'[1]MGM Report'!$D:$F,3,FALSE)</f>
        <v>286859.98</v>
      </c>
      <c r="D93" s="11">
        <f>VLOOKUP(A93,[2]ShobizMGMReportResults!$E:$G,3,FALSE)</f>
        <v>286859.98</v>
      </c>
      <c r="E93" s="8">
        <v>0</v>
      </c>
      <c r="F93" s="8">
        <f t="shared" si="2"/>
        <v>286859.98</v>
      </c>
      <c r="G93" s="8" t="b">
        <f t="shared" si="3"/>
        <v>1</v>
      </c>
      <c r="H93" s="11"/>
    </row>
    <row r="94" spans="1:8">
      <c r="A94" s="9" t="s">
        <v>102</v>
      </c>
      <c r="B94" s="10" t="s">
        <v>9</v>
      </c>
      <c r="C94" s="11">
        <f>VLOOKUP(A94,'[1]MGM Report'!$D:$F,3,FALSE)</f>
        <v>5333936.81</v>
      </c>
      <c r="D94" s="11">
        <f>VLOOKUP(A94,[2]ShobizMGMReportResults!$E:$G,3,FALSE)</f>
        <v>5333936.81</v>
      </c>
      <c r="E94" s="8">
        <v>0</v>
      </c>
      <c r="F94" s="8">
        <f t="shared" si="2"/>
        <v>5333936.81</v>
      </c>
      <c r="G94" s="8" t="b">
        <f t="shared" si="3"/>
        <v>1</v>
      </c>
      <c r="H94" s="11"/>
    </row>
    <row r="95" spans="1:8">
      <c r="A95" s="9" t="s">
        <v>103</v>
      </c>
      <c r="B95" s="10" t="s">
        <v>9</v>
      </c>
      <c r="C95" s="11">
        <f>VLOOKUP(A95,'[1]MGM Report'!$D:$F,3,FALSE)</f>
        <v>0</v>
      </c>
      <c r="D95" s="11">
        <f>VLOOKUP(A95,[2]ShobizMGMReportResults!$E:$G,3,FALSE)</f>
        <v>0</v>
      </c>
      <c r="E95" s="8">
        <v>0</v>
      </c>
      <c r="F95" s="8">
        <f t="shared" si="2"/>
        <v>0</v>
      </c>
      <c r="G95" s="8" t="b">
        <f t="shared" si="3"/>
        <v>1</v>
      </c>
      <c r="H95" s="11"/>
    </row>
    <row r="96" spans="1:8">
      <c r="A96" s="9" t="s">
        <v>104</v>
      </c>
      <c r="B96" s="10" t="s">
        <v>9</v>
      </c>
      <c r="C96" s="11">
        <f>VLOOKUP(A96,'[1]MGM Report'!$D:$F,3,FALSE)</f>
        <v>0</v>
      </c>
      <c r="D96" s="11">
        <f>VLOOKUP(A96,[2]ShobizMGMReportResults!$E:$G,3,FALSE)</f>
        <v>0</v>
      </c>
      <c r="E96" s="8">
        <v>0</v>
      </c>
      <c r="F96" s="8">
        <f t="shared" si="2"/>
        <v>0</v>
      </c>
      <c r="G96" s="8" t="b">
        <f t="shared" si="3"/>
        <v>1</v>
      </c>
      <c r="H96" s="11"/>
    </row>
    <row r="97" spans="1:8">
      <c r="A97" s="9" t="s">
        <v>105</v>
      </c>
      <c r="B97" s="10" t="s">
        <v>9</v>
      </c>
      <c r="C97" s="11">
        <f>VLOOKUP(A97,'[1]MGM Report'!$D:$F,3,FALSE)</f>
        <v>564513.83</v>
      </c>
      <c r="D97" s="11">
        <f>VLOOKUP(A97,[2]ShobizMGMReportResults!$E:$G,3,FALSE)</f>
        <v>564513.83</v>
      </c>
      <c r="E97" s="8">
        <v>0</v>
      </c>
      <c r="F97" s="8">
        <f t="shared" si="2"/>
        <v>564513.83</v>
      </c>
      <c r="G97" s="8" t="b">
        <f t="shared" si="3"/>
        <v>1</v>
      </c>
      <c r="H97" s="11"/>
    </row>
    <row r="98" spans="1:8">
      <c r="A98" s="9" t="s">
        <v>106</v>
      </c>
      <c r="B98" s="10" t="s">
        <v>9</v>
      </c>
      <c r="C98" s="11">
        <f>VLOOKUP(A98,'[1]MGM Report'!$D:$F,3,FALSE)</f>
        <v>0</v>
      </c>
      <c r="D98" s="11">
        <f>VLOOKUP(A98,[2]ShobizMGMReportResults!$E:$G,3,FALSE)</f>
        <v>0</v>
      </c>
      <c r="E98" s="8">
        <v>0</v>
      </c>
      <c r="F98" s="8">
        <f t="shared" si="2"/>
        <v>0</v>
      </c>
      <c r="G98" s="8" t="b">
        <f t="shared" si="3"/>
        <v>1</v>
      </c>
      <c r="H98" s="11"/>
    </row>
    <row r="99" spans="1:8">
      <c r="A99" s="9" t="s">
        <v>107</v>
      </c>
      <c r="B99" s="10" t="s">
        <v>9</v>
      </c>
      <c r="C99" s="11">
        <f>VLOOKUP(A99,'[1]MGM Report'!$D:$F,3,FALSE)</f>
        <v>0</v>
      </c>
      <c r="D99" s="11">
        <f>VLOOKUP(A99,[2]ShobizMGMReportResults!$E:$G,3,FALSE)</f>
        <v>0</v>
      </c>
      <c r="E99" s="8">
        <f>VLOOKUP(A99,[3]ShobizDelegatesSOSBResults!$A:$C,3,FALSE)</f>
        <v>0</v>
      </c>
      <c r="F99" s="8">
        <f t="shared" si="2"/>
        <v>0</v>
      </c>
      <c r="G99" s="8" t="b">
        <f t="shared" si="3"/>
        <v>1</v>
      </c>
      <c r="H99" s="11"/>
    </row>
    <row r="100" spans="1:8">
      <c r="A100" s="9" t="s">
        <v>108</v>
      </c>
      <c r="B100" s="10" t="s">
        <v>9</v>
      </c>
      <c r="C100" s="11">
        <f>VLOOKUP(A100,'[1]MGM Report'!$D:$F,3,FALSE)</f>
        <v>349503</v>
      </c>
      <c r="D100" s="11">
        <f>VLOOKUP(A100,[2]ShobizMGMReportResults!$E:$G,3,FALSE)</f>
        <v>349503</v>
      </c>
      <c r="E100" s="8">
        <v>0</v>
      </c>
      <c r="F100" s="8">
        <f t="shared" si="2"/>
        <v>349503</v>
      </c>
      <c r="G100" s="8" t="b">
        <f t="shared" si="3"/>
        <v>1</v>
      </c>
      <c r="H100" s="11"/>
    </row>
    <row r="101" spans="1:8">
      <c r="A101" s="9" t="s">
        <v>109</v>
      </c>
      <c r="B101" s="10" t="s">
        <v>9</v>
      </c>
      <c r="C101" s="11">
        <f>VLOOKUP(A101,'[1]MGM Report'!$D:$F,3,FALSE)</f>
        <v>3087345.8</v>
      </c>
      <c r="D101" s="11">
        <f>VLOOKUP(A101,[2]ShobizMGMReportResults!$E:$G,3,FALSE)</f>
        <v>3087345.8</v>
      </c>
      <c r="E101" s="8">
        <v>0</v>
      </c>
      <c r="F101" s="8">
        <f t="shared" si="2"/>
        <v>3087345.8</v>
      </c>
      <c r="G101" s="8" t="b">
        <f t="shared" si="3"/>
        <v>1</v>
      </c>
      <c r="H101" s="11"/>
    </row>
    <row r="102" spans="1:8">
      <c r="A102" s="9" t="s">
        <v>110</v>
      </c>
      <c r="B102" s="10" t="s">
        <v>9</v>
      </c>
      <c r="C102" s="11">
        <f>VLOOKUP(A102,'[1]MGM Report'!$D:$F,3,FALSE)</f>
        <v>0</v>
      </c>
      <c r="D102" s="11">
        <f>VLOOKUP(A102,[2]ShobizMGMReportResults!$E:$G,3,FALSE)</f>
        <v>0</v>
      </c>
      <c r="E102" s="8">
        <v>0</v>
      </c>
      <c r="F102" s="8">
        <f t="shared" si="2"/>
        <v>0</v>
      </c>
      <c r="G102" s="8" t="b">
        <f t="shared" si="3"/>
        <v>1</v>
      </c>
      <c r="H102" s="11"/>
    </row>
    <row r="103" spans="1:8">
      <c r="A103" s="9" t="s">
        <v>111</v>
      </c>
      <c r="B103" s="10" t="s">
        <v>9</v>
      </c>
      <c r="C103" s="11">
        <f>VLOOKUP(A103,'[1]MGM Report'!$D:$F,3,FALSE)</f>
        <v>0</v>
      </c>
      <c r="D103" s="11">
        <f>VLOOKUP(A103,[2]ShobizMGMReportResults!$E:$G,3,FALSE)</f>
        <v>0</v>
      </c>
      <c r="E103" s="8">
        <v>0</v>
      </c>
      <c r="F103" s="8">
        <f t="shared" si="2"/>
        <v>0</v>
      </c>
      <c r="G103" s="8" t="b">
        <f t="shared" si="3"/>
        <v>1</v>
      </c>
      <c r="H103" s="11"/>
    </row>
    <row r="104" spans="1:8">
      <c r="A104" s="9" t="s">
        <v>112</v>
      </c>
      <c r="B104" s="10" t="s">
        <v>9</v>
      </c>
      <c r="C104" s="11">
        <f>VLOOKUP(A104,'[1]MGM Report'!$D:$F,3,FALSE)</f>
        <v>0</v>
      </c>
      <c r="D104" s="11">
        <f>VLOOKUP(A104,[2]ShobizMGMReportResults!$E:$G,3,FALSE)</f>
        <v>0</v>
      </c>
      <c r="E104" s="8">
        <v>0</v>
      </c>
      <c r="F104" s="8">
        <f t="shared" si="2"/>
        <v>0</v>
      </c>
      <c r="G104" s="8" t="b">
        <f t="shared" si="3"/>
        <v>1</v>
      </c>
      <c r="H104" s="11"/>
    </row>
    <row r="105" spans="1:8">
      <c r="A105" s="9" t="s">
        <v>113</v>
      </c>
      <c r="B105" s="10" t="s">
        <v>9</v>
      </c>
      <c r="C105" s="11">
        <f>VLOOKUP(A105,'[1]MGM Report'!$D:$F,3,FALSE)</f>
        <v>0</v>
      </c>
      <c r="D105" s="11">
        <f>VLOOKUP(A105,[2]ShobizMGMReportResults!$E:$G,3,FALSE)</f>
        <v>0</v>
      </c>
      <c r="E105" s="8">
        <v>0</v>
      </c>
      <c r="F105" s="8">
        <f t="shared" si="2"/>
        <v>0</v>
      </c>
      <c r="G105" s="8" t="b">
        <f t="shared" si="3"/>
        <v>1</v>
      </c>
      <c r="H105" s="11"/>
    </row>
    <row r="106" spans="1:8">
      <c r="A106" s="9" t="s">
        <v>114</v>
      </c>
      <c r="B106" s="10" t="s">
        <v>9</v>
      </c>
      <c r="C106" s="11">
        <f>VLOOKUP(A106,'[1]MGM Report'!$D:$F,3,FALSE)</f>
        <v>0</v>
      </c>
      <c r="D106" s="11">
        <f>VLOOKUP(A106,[2]ShobizMGMReportResults!$E:$G,3,FALSE)</f>
        <v>0</v>
      </c>
      <c r="E106" s="8">
        <v>0</v>
      </c>
      <c r="F106" s="8">
        <f t="shared" si="2"/>
        <v>0</v>
      </c>
      <c r="G106" s="8" t="b">
        <f t="shared" si="3"/>
        <v>1</v>
      </c>
      <c r="H106" s="11"/>
    </row>
    <row r="107" spans="1:8">
      <c r="A107" s="9" t="s">
        <v>115</v>
      </c>
      <c r="B107" s="10" t="s">
        <v>9</v>
      </c>
      <c r="C107" s="11">
        <f>VLOOKUP(A107,'[1]MGM Report'!$D:$F,3,FALSE)</f>
        <v>0</v>
      </c>
      <c r="D107" s="11">
        <f>VLOOKUP(A107,[2]ShobizMGMReportResults!$E:$G,3,FALSE)</f>
        <v>0</v>
      </c>
      <c r="E107" s="8">
        <v>0</v>
      </c>
      <c r="F107" s="8">
        <f t="shared" si="2"/>
        <v>0</v>
      </c>
      <c r="G107" s="8" t="b">
        <f t="shared" si="3"/>
        <v>1</v>
      </c>
      <c r="H107" s="11"/>
    </row>
    <row r="108" spans="1:8">
      <c r="A108" s="9" t="s">
        <v>116</v>
      </c>
      <c r="B108" s="10" t="s">
        <v>9</v>
      </c>
      <c r="C108" s="11">
        <f>VLOOKUP(A108,'[1]MGM Report'!$D:$F,3,FALSE)</f>
        <v>0</v>
      </c>
      <c r="D108" s="11">
        <f>VLOOKUP(A108,[2]ShobizMGMReportResults!$E:$G,3,FALSE)</f>
        <v>0</v>
      </c>
      <c r="E108" s="8">
        <v>0</v>
      </c>
      <c r="F108" s="8">
        <f t="shared" si="2"/>
        <v>0</v>
      </c>
      <c r="G108" s="8" t="b">
        <f t="shared" si="3"/>
        <v>1</v>
      </c>
      <c r="H108" s="11"/>
    </row>
    <row r="109" spans="1:8">
      <c r="A109" s="9" t="s">
        <v>117</v>
      </c>
      <c r="B109" s="10" t="s">
        <v>9</v>
      </c>
      <c r="C109" s="11">
        <f>VLOOKUP(A109,'[1]MGM Report'!$D:$F,3,FALSE)</f>
        <v>0</v>
      </c>
      <c r="D109" s="11">
        <f>VLOOKUP(A109,[2]ShobizMGMReportResults!$E:$G,3,FALSE)</f>
        <v>0</v>
      </c>
      <c r="E109" s="8">
        <v>0</v>
      </c>
      <c r="F109" s="8">
        <f t="shared" si="2"/>
        <v>0</v>
      </c>
      <c r="G109" s="8" t="b">
        <f t="shared" si="3"/>
        <v>1</v>
      </c>
      <c r="H109" s="11"/>
    </row>
    <row r="110" spans="1:8">
      <c r="A110" s="9" t="s">
        <v>118</v>
      </c>
      <c r="B110" s="10" t="s">
        <v>9</v>
      </c>
      <c r="C110" s="11">
        <f>VLOOKUP(A110,'[1]MGM Report'!$D:$F,3,FALSE)</f>
        <v>0</v>
      </c>
      <c r="D110" s="11">
        <f>VLOOKUP(A110,[2]ShobizMGMReportResults!$E:$G,3,FALSE)</f>
        <v>0</v>
      </c>
      <c r="E110" s="8">
        <v>0</v>
      </c>
      <c r="F110" s="8">
        <f t="shared" si="2"/>
        <v>0</v>
      </c>
      <c r="G110" s="8" t="b">
        <f t="shared" si="3"/>
        <v>1</v>
      </c>
      <c r="H110" s="11"/>
    </row>
    <row r="111" spans="1:8">
      <c r="A111" s="9" t="s">
        <v>119</v>
      </c>
      <c r="B111" s="10" t="s">
        <v>9</v>
      </c>
      <c r="C111" s="11">
        <f>VLOOKUP(A111,'[1]MGM Report'!$D:$F,3,FALSE)</f>
        <v>0</v>
      </c>
      <c r="D111" s="11">
        <f>VLOOKUP(A111,[2]ShobizMGMReportResults!$E:$G,3,FALSE)</f>
        <v>0</v>
      </c>
      <c r="E111" s="8">
        <v>0</v>
      </c>
      <c r="F111" s="8">
        <f t="shared" si="2"/>
        <v>0</v>
      </c>
      <c r="G111" s="8" t="b">
        <f t="shared" si="3"/>
        <v>1</v>
      </c>
      <c r="H111" s="11"/>
    </row>
    <row r="112" spans="1:8">
      <c r="A112" s="9" t="s">
        <v>120</v>
      </c>
      <c r="B112" s="10" t="s">
        <v>9</v>
      </c>
      <c r="C112" s="11">
        <f>VLOOKUP(A112,'[1]MGM Report'!$D:$F,3,FALSE)</f>
        <v>0</v>
      </c>
      <c r="D112" s="11">
        <f>VLOOKUP(A112,[2]ShobizMGMReportResults!$E:$G,3,FALSE)</f>
        <v>0</v>
      </c>
      <c r="E112" s="8">
        <v>0</v>
      </c>
      <c r="F112" s="8">
        <f t="shared" si="2"/>
        <v>0</v>
      </c>
      <c r="G112" s="8" t="b">
        <f t="shared" si="3"/>
        <v>1</v>
      </c>
      <c r="H112" s="11"/>
    </row>
    <row r="113" spans="1:8">
      <c r="A113" s="9" t="s">
        <v>121</v>
      </c>
      <c r="B113" s="10" t="s">
        <v>9</v>
      </c>
      <c r="C113" s="11">
        <f>VLOOKUP(A113,'[1]MGM Report'!$D:$F,3,FALSE)</f>
        <v>34100</v>
      </c>
      <c r="D113" s="11">
        <f>VLOOKUP(A113,[2]ShobizMGMReportResults!$E:$G,3,FALSE)</f>
        <v>34100</v>
      </c>
      <c r="E113" s="8">
        <v>0</v>
      </c>
      <c r="F113" s="8">
        <f t="shared" si="2"/>
        <v>34100</v>
      </c>
      <c r="G113" s="8" t="b">
        <f t="shared" si="3"/>
        <v>1</v>
      </c>
      <c r="H113" s="11"/>
    </row>
    <row r="114" spans="1:8">
      <c r="A114" s="9" t="s">
        <v>122</v>
      </c>
      <c r="B114" s="10" t="s">
        <v>9</v>
      </c>
      <c r="C114" s="11">
        <f>VLOOKUP(A114,'[1]MGM Report'!$D:$F,3,FALSE)</f>
        <v>0</v>
      </c>
      <c r="D114" s="11">
        <f>VLOOKUP(A114,[2]ShobizMGMReportResults!$E:$G,3,FALSE)</f>
        <v>0</v>
      </c>
      <c r="E114" s="8">
        <f>VLOOKUP(A114,[3]ShobizDelegatesSOSBResults!$A:$C,3,FALSE)</f>
        <v>0</v>
      </c>
      <c r="F114" s="8">
        <f t="shared" si="2"/>
        <v>0</v>
      </c>
      <c r="G114" s="8" t="b">
        <f t="shared" si="3"/>
        <v>1</v>
      </c>
      <c r="H114" s="11"/>
    </row>
    <row r="115" spans="1:8">
      <c r="A115" s="9" t="s">
        <v>123</v>
      </c>
      <c r="B115" s="10" t="s">
        <v>9</v>
      </c>
      <c r="C115" s="11">
        <f>VLOOKUP(A115,'[1]MGM Report'!$D:$F,3,FALSE)</f>
        <v>0</v>
      </c>
      <c r="D115" s="11">
        <f>VLOOKUP(A115,[2]ShobizMGMReportResults!$E:$G,3,FALSE)</f>
        <v>0</v>
      </c>
      <c r="E115" s="8">
        <f>VLOOKUP(A115,[3]ShobizDelegatesSOSBResults!$A:$C,3,FALSE)</f>
        <v>0</v>
      </c>
      <c r="F115" s="8">
        <f t="shared" si="2"/>
        <v>0</v>
      </c>
      <c r="G115" s="8" t="b">
        <f t="shared" si="3"/>
        <v>1</v>
      </c>
      <c r="H115" s="11"/>
    </row>
    <row r="116" spans="1:8">
      <c r="A116" s="9" t="s">
        <v>124</v>
      </c>
      <c r="B116" s="10" t="s">
        <v>9</v>
      </c>
      <c r="C116" s="11">
        <f>VLOOKUP(A116,'[1]MGM Report'!$D:$F,3,FALSE)</f>
        <v>0</v>
      </c>
      <c r="D116" s="11">
        <f>VLOOKUP(A116,[2]ShobizMGMReportResults!$E:$G,3,FALSE)</f>
        <v>0</v>
      </c>
      <c r="E116" s="8">
        <v>0</v>
      </c>
      <c r="F116" s="8">
        <f t="shared" si="2"/>
        <v>0</v>
      </c>
      <c r="G116" s="8" t="b">
        <f t="shared" si="3"/>
        <v>1</v>
      </c>
      <c r="H116" s="11"/>
    </row>
    <row r="117" spans="1:8">
      <c r="A117" s="9" t="s">
        <v>125</v>
      </c>
      <c r="B117" s="10" t="s">
        <v>9</v>
      </c>
      <c r="C117" s="11">
        <f>VLOOKUP(A117,'[1]MGM Report'!$D:$F,3,FALSE)</f>
        <v>0</v>
      </c>
      <c r="D117" s="11">
        <f>VLOOKUP(A117,[2]ShobizMGMReportResults!$E:$G,3,FALSE)</f>
        <v>0</v>
      </c>
      <c r="E117" s="8">
        <v>0</v>
      </c>
      <c r="F117" s="8">
        <f t="shared" si="2"/>
        <v>0</v>
      </c>
      <c r="G117" s="8" t="b">
        <f t="shared" si="3"/>
        <v>1</v>
      </c>
      <c r="H117" s="11"/>
    </row>
    <row r="118" spans="1:8">
      <c r="A118" s="9" t="s">
        <v>126</v>
      </c>
      <c r="B118" s="10" t="s">
        <v>9</v>
      </c>
      <c r="C118" s="11">
        <f>VLOOKUP(A118,'[1]MGM Report'!$D:$F,3,FALSE)</f>
        <v>0</v>
      </c>
      <c r="D118" s="11">
        <f>VLOOKUP(A118,[2]ShobizMGMReportResults!$E:$G,3,FALSE)</f>
        <v>0</v>
      </c>
      <c r="E118" s="8">
        <v>0</v>
      </c>
      <c r="F118" s="8">
        <f t="shared" si="2"/>
        <v>0</v>
      </c>
      <c r="G118" s="8" t="b">
        <f t="shared" si="3"/>
        <v>1</v>
      </c>
      <c r="H118" s="11"/>
    </row>
    <row r="119" spans="1:8">
      <c r="A119" s="9" t="s">
        <v>127</v>
      </c>
      <c r="B119" s="10" t="s">
        <v>9</v>
      </c>
      <c r="C119" s="11">
        <f>VLOOKUP(A119,'[1]MGM Report'!$D:$F,3,FALSE)</f>
        <v>0</v>
      </c>
      <c r="D119" s="11">
        <f>VLOOKUP(A119,[2]ShobizMGMReportResults!$E:$G,3,FALSE)</f>
        <v>0</v>
      </c>
      <c r="E119" s="8">
        <v>0</v>
      </c>
      <c r="F119" s="8">
        <f t="shared" si="2"/>
        <v>0</v>
      </c>
      <c r="G119" s="8" t="b">
        <f t="shared" si="3"/>
        <v>1</v>
      </c>
      <c r="H119" s="11"/>
    </row>
    <row r="120" spans="1:8">
      <c r="A120" s="9" t="s">
        <v>128</v>
      </c>
      <c r="B120" s="10" t="s">
        <v>9</v>
      </c>
      <c r="C120" s="11">
        <f>VLOOKUP(A120,'[1]MGM Report'!$D:$F,3,FALSE)</f>
        <v>0</v>
      </c>
      <c r="D120" s="11">
        <f>VLOOKUP(A120,[2]ShobizMGMReportResults!$E:$G,3,FALSE)</f>
        <v>0</v>
      </c>
      <c r="E120" s="8">
        <v>0</v>
      </c>
      <c r="F120" s="8">
        <f t="shared" si="2"/>
        <v>0</v>
      </c>
      <c r="G120" s="8" t="b">
        <f t="shared" si="3"/>
        <v>1</v>
      </c>
      <c r="H120" s="11"/>
    </row>
    <row r="121" spans="1:8">
      <c r="A121" s="9" t="s">
        <v>129</v>
      </c>
      <c r="B121" s="10" t="s">
        <v>9</v>
      </c>
      <c r="C121" s="11">
        <f>VLOOKUP(A121,'[1]MGM Report'!$D:$F,3,FALSE)</f>
        <v>0</v>
      </c>
      <c r="D121" s="11">
        <f>VLOOKUP(A121,[2]ShobizMGMReportResults!$E:$G,3,FALSE)</f>
        <v>0</v>
      </c>
      <c r="E121" s="8">
        <v>0</v>
      </c>
      <c r="F121" s="8">
        <f t="shared" si="2"/>
        <v>0</v>
      </c>
      <c r="G121" s="8" t="b">
        <f t="shared" si="3"/>
        <v>1</v>
      </c>
      <c r="H121" s="11"/>
    </row>
    <row r="122" spans="1:8">
      <c r="A122" s="9" t="s">
        <v>130</v>
      </c>
      <c r="B122" s="10" t="s">
        <v>9</v>
      </c>
      <c r="C122" s="11">
        <f>VLOOKUP(A122,'[1]MGM Report'!$D:$F,3,FALSE)</f>
        <v>0</v>
      </c>
      <c r="D122" s="11">
        <f>VLOOKUP(A122,[2]ShobizMGMReportResults!$E:$G,3,FALSE)</f>
        <v>0</v>
      </c>
      <c r="E122" s="8">
        <v>0</v>
      </c>
      <c r="F122" s="8">
        <f t="shared" si="2"/>
        <v>0</v>
      </c>
      <c r="G122" s="8" t="b">
        <f t="shared" si="3"/>
        <v>1</v>
      </c>
      <c r="H122" s="11"/>
    </row>
    <row r="123" spans="1:8">
      <c r="A123" s="9" t="s">
        <v>131</v>
      </c>
      <c r="B123" s="10" t="s">
        <v>9</v>
      </c>
      <c r="C123" s="11">
        <f>VLOOKUP(A123,'[1]MGM Report'!$D:$F,3,FALSE)</f>
        <v>660000</v>
      </c>
      <c r="D123" s="11">
        <f>VLOOKUP(A123,[2]ShobizMGMReportResults!$E:$G,3,FALSE)</f>
        <v>0</v>
      </c>
      <c r="E123" s="8">
        <f>VLOOKUP(A123,[3]ShobizDelegatesSOSBResults!$A:$C,3,FALSE)</f>
        <v>660000</v>
      </c>
      <c r="F123" s="8">
        <f t="shared" si="2"/>
        <v>660000</v>
      </c>
      <c r="G123" s="8" t="b">
        <f t="shared" si="3"/>
        <v>1</v>
      </c>
      <c r="H123" s="11"/>
    </row>
    <row r="124" spans="1:8">
      <c r="A124" s="9" t="s">
        <v>132</v>
      </c>
      <c r="B124" s="10" t="s">
        <v>9</v>
      </c>
      <c r="C124" s="11">
        <f>VLOOKUP(A124,'[1]MGM Report'!$D:$F,3,FALSE)</f>
        <v>1792010</v>
      </c>
      <c r="D124" s="11">
        <f>VLOOKUP(A124,[2]ShobizMGMReportResults!$E:$G,3,FALSE)</f>
        <v>0</v>
      </c>
      <c r="E124" s="8">
        <f>VLOOKUP(A124,[3]ShobizDelegatesSOSBResults!$A:$C,3,FALSE)</f>
        <v>1792010</v>
      </c>
      <c r="F124" s="8">
        <f t="shared" si="2"/>
        <v>1792010</v>
      </c>
      <c r="G124" s="8" t="b">
        <f t="shared" si="3"/>
        <v>1</v>
      </c>
      <c r="H124" s="11"/>
    </row>
    <row r="125" spans="1:8">
      <c r="A125" s="9" t="s">
        <v>133</v>
      </c>
      <c r="B125" s="10" t="s">
        <v>9</v>
      </c>
      <c r="C125" s="11">
        <f>VLOOKUP(A125,'[1]MGM Report'!$D:$F,3,FALSE)</f>
        <v>0</v>
      </c>
      <c r="D125" s="11">
        <f>VLOOKUP(A125,[2]ShobizMGMReportResults!$E:$G,3,FALSE)</f>
        <v>0</v>
      </c>
      <c r="E125" s="8">
        <v>0</v>
      </c>
      <c r="F125" s="8">
        <f t="shared" si="2"/>
        <v>0</v>
      </c>
      <c r="G125" s="8" t="b">
        <f t="shared" si="3"/>
        <v>1</v>
      </c>
      <c r="H125" s="11"/>
    </row>
    <row r="126" spans="1:8">
      <c r="A126" s="9" t="s">
        <v>134</v>
      </c>
      <c r="B126" s="10" t="s">
        <v>9</v>
      </c>
      <c r="C126" s="11">
        <f>VLOOKUP(A126,'[1]MGM Report'!$D:$F,3,FALSE)</f>
        <v>0</v>
      </c>
      <c r="D126" s="11">
        <f>VLOOKUP(A126,[2]ShobizMGMReportResults!$E:$G,3,FALSE)</f>
        <v>0</v>
      </c>
      <c r="E126" s="8">
        <v>0</v>
      </c>
      <c r="F126" s="8">
        <f t="shared" si="2"/>
        <v>0</v>
      </c>
      <c r="G126" s="8" t="b">
        <f t="shared" si="3"/>
        <v>1</v>
      </c>
      <c r="H126" s="11"/>
    </row>
    <row r="127" spans="1:8">
      <c r="A127" s="9" t="s">
        <v>135</v>
      </c>
      <c r="B127" s="10" t="s">
        <v>9</v>
      </c>
      <c r="C127" s="11">
        <f>VLOOKUP(A127,'[1]MGM Report'!$D:$F,3,FALSE)</f>
        <v>3011623.2</v>
      </c>
      <c r="D127" s="11">
        <f>VLOOKUP(A127,[2]ShobizMGMReportResults!$E:$G,3,FALSE)</f>
        <v>0</v>
      </c>
      <c r="E127" s="8">
        <f>VLOOKUP(A127,[3]ShobizDelegatesSOSBResults!$A:$C,3,FALSE)</f>
        <v>3011623.2</v>
      </c>
      <c r="F127" s="8">
        <f t="shared" si="2"/>
        <v>3011623.2</v>
      </c>
      <c r="G127" s="8" t="b">
        <f t="shared" si="3"/>
        <v>1</v>
      </c>
      <c r="H127" s="11"/>
    </row>
    <row r="128" spans="1:8">
      <c r="A128" s="9" t="s">
        <v>136</v>
      </c>
      <c r="B128" s="10" t="s">
        <v>9</v>
      </c>
      <c r="C128" s="11">
        <f>VLOOKUP(A128,'[1]MGM Report'!$D:$F,3,FALSE)</f>
        <v>3416869.5</v>
      </c>
      <c r="D128" s="11">
        <f>VLOOKUP(A128,[2]ShobizMGMReportResults!$E:$G,3,FALSE)</f>
        <v>0</v>
      </c>
      <c r="E128" s="8">
        <f>VLOOKUP(A128,[3]ShobizDelegatesSOSBResults!$A:$C,3,FALSE)</f>
        <v>3416869.5</v>
      </c>
      <c r="F128" s="8">
        <f t="shared" si="2"/>
        <v>3416869.5</v>
      </c>
      <c r="G128" s="8" t="b">
        <f t="shared" si="3"/>
        <v>1</v>
      </c>
      <c r="H128" s="11"/>
    </row>
    <row r="129" spans="1:8">
      <c r="A129" s="9" t="s">
        <v>137</v>
      </c>
      <c r="B129" s="10" t="s">
        <v>9</v>
      </c>
      <c r="C129" s="11">
        <f>VLOOKUP(A129,'[1]MGM Report'!$D:$F,3,FALSE)</f>
        <v>1372057.5</v>
      </c>
      <c r="D129" s="11">
        <f>VLOOKUP(A129,[2]ShobizMGMReportResults!$E:$G,3,FALSE)</f>
        <v>0</v>
      </c>
      <c r="E129" s="8">
        <f>VLOOKUP(A129,[3]ShobizDelegatesSOSBResults!$A:$C,3,FALSE)</f>
        <v>1372057.5</v>
      </c>
      <c r="F129" s="8">
        <f t="shared" si="2"/>
        <v>1372057.5</v>
      </c>
      <c r="G129" s="8" t="b">
        <f t="shared" si="3"/>
        <v>1</v>
      </c>
      <c r="H129" s="11"/>
    </row>
    <row r="130" spans="1:8">
      <c r="A130" s="9" t="s">
        <v>138</v>
      </c>
      <c r="B130" s="10" t="s">
        <v>9</v>
      </c>
      <c r="C130" s="11">
        <f>VLOOKUP(A130,'[1]MGM Report'!$D:$F,3,FALSE)</f>
        <v>0</v>
      </c>
      <c r="D130" s="11">
        <f>VLOOKUP(A130,[2]ShobizMGMReportResults!$E:$G,3,FALSE)</f>
        <v>0</v>
      </c>
      <c r="E130" s="8">
        <f>VLOOKUP(A130,[3]ShobizDelegatesSOSBResults!$A:$C,3,FALSE)</f>
        <v>0</v>
      </c>
      <c r="F130" s="8">
        <f t="shared" si="2"/>
        <v>0</v>
      </c>
      <c r="G130" s="8" t="b">
        <f t="shared" si="3"/>
        <v>1</v>
      </c>
      <c r="H130" s="11"/>
    </row>
    <row r="131" spans="1:8">
      <c r="A131" s="9" t="s">
        <v>139</v>
      </c>
      <c r="B131" s="10" t="s">
        <v>9</v>
      </c>
      <c r="C131" s="11">
        <f>VLOOKUP(A131,'[1]MGM Report'!$D:$F,3,FALSE)</f>
        <v>381205</v>
      </c>
      <c r="D131" s="11">
        <f>VLOOKUP(A131,[2]ShobizMGMReportResults!$E:$G,3,FALSE)</f>
        <v>381205</v>
      </c>
      <c r="E131" s="8">
        <v>0</v>
      </c>
      <c r="F131" s="8">
        <f t="shared" ref="F131:F194" si="4">D131+E131</f>
        <v>381205</v>
      </c>
      <c r="G131" s="8" t="b">
        <f t="shared" ref="G131:G194" si="5">F131=C131</f>
        <v>1</v>
      </c>
      <c r="H131" s="11"/>
    </row>
    <row r="132" spans="1:8">
      <c r="A132" s="9" t="s">
        <v>140</v>
      </c>
      <c r="B132" s="10" t="s">
        <v>9</v>
      </c>
      <c r="C132" s="11">
        <f>VLOOKUP(A132,'[1]MGM Report'!$D:$F,3,FALSE)</f>
        <v>175142</v>
      </c>
      <c r="D132" s="11">
        <f>VLOOKUP(A132,[2]ShobizMGMReportResults!$E:$G,3,FALSE)</f>
        <v>175142</v>
      </c>
      <c r="E132" s="8">
        <v>0</v>
      </c>
      <c r="F132" s="8">
        <f t="shared" si="4"/>
        <v>175142</v>
      </c>
      <c r="G132" s="8" t="b">
        <f t="shared" si="5"/>
        <v>1</v>
      </c>
      <c r="H132" s="11"/>
    </row>
    <row r="133" spans="1:8">
      <c r="A133" s="9" t="s">
        <v>141</v>
      </c>
      <c r="B133" s="10" t="s">
        <v>9</v>
      </c>
      <c r="C133" s="11">
        <f>VLOOKUP(A133,'[1]MGM Report'!$D:$F,3,FALSE)</f>
        <v>0</v>
      </c>
      <c r="D133" s="11">
        <f>VLOOKUP(A133,[2]ShobizMGMReportResults!$E:$G,3,FALSE)</f>
        <v>0</v>
      </c>
      <c r="E133" s="8">
        <v>0</v>
      </c>
      <c r="F133" s="8">
        <f t="shared" si="4"/>
        <v>0</v>
      </c>
      <c r="G133" s="8" t="b">
        <f t="shared" si="5"/>
        <v>1</v>
      </c>
      <c r="H133" s="11"/>
    </row>
    <row r="134" spans="1:8">
      <c r="A134" s="9" t="s">
        <v>142</v>
      </c>
      <c r="B134" s="10" t="s">
        <v>9</v>
      </c>
      <c r="C134" s="11">
        <f>VLOOKUP(A134,'[1]MGM Report'!$D:$F,3,FALSE)</f>
        <v>522500</v>
      </c>
      <c r="D134" s="11">
        <f>VLOOKUP(A134,[2]ShobizMGMReportResults!$E:$G,3,FALSE)</f>
        <v>522500</v>
      </c>
      <c r="E134" s="8">
        <v>0</v>
      </c>
      <c r="F134" s="8">
        <f t="shared" si="4"/>
        <v>522500</v>
      </c>
      <c r="G134" s="8" t="b">
        <f t="shared" si="5"/>
        <v>1</v>
      </c>
      <c r="H134" s="11"/>
    </row>
    <row r="135" spans="1:8">
      <c r="A135" s="9" t="s">
        <v>143</v>
      </c>
      <c r="B135" s="10" t="s">
        <v>9</v>
      </c>
      <c r="C135" s="11">
        <f>VLOOKUP(A135,'[1]MGM Report'!$D:$F,3,FALSE)</f>
        <v>0</v>
      </c>
      <c r="D135" s="11">
        <f>VLOOKUP(A135,[2]ShobizMGMReportResults!$E:$G,3,FALSE)</f>
        <v>0</v>
      </c>
      <c r="E135" s="8">
        <v>0</v>
      </c>
      <c r="F135" s="8">
        <f t="shared" si="4"/>
        <v>0</v>
      </c>
      <c r="G135" s="8" t="b">
        <f t="shared" si="5"/>
        <v>1</v>
      </c>
      <c r="H135" s="11"/>
    </row>
    <row r="136" spans="1:8">
      <c r="A136" s="9" t="s">
        <v>144</v>
      </c>
      <c r="B136" s="10" t="s">
        <v>9</v>
      </c>
      <c r="C136" s="11">
        <f>VLOOKUP(A136,'[1]MGM Report'!$D:$F,3,FALSE)</f>
        <v>0</v>
      </c>
      <c r="D136" s="11">
        <f>VLOOKUP(A136,[2]ShobizMGMReportResults!$E:$G,3,FALSE)</f>
        <v>0</v>
      </c>
      <c r="E136" s="8">
        <v>0</v>
      </c>
      <c r="F136" s="8">
        <f t="shared" si="4"/>
        <v>0</v>
      </c>
      <c r="G136" s="8" t="b">
        <f t="shared" si="5"/>
        <v>1</v>
      </c>
      <c r="H136" s="11"/>
    </row>
    <row r="137" spans="1:8">
      <c r="A137" s="9" t="s">
        <v>145</v>
      </c>
      <c r="B137" s="10" t="s">
        <v>9</v>
      </c>
      <c r="C137" s="11">
        <f>VLOOKUP(A137,'[1]MGM Report'!$D:$F,3,FALSE)</f>
        <v>13492.5</v>
      </c>
      <c r="D137" s="11">
        <f>VLOOKUP(A137,[2]ShobizMGMReportResults!$E:$G,3,FALSE)</f>
        <v>13492.5</v>
      </c>
      <c r="E137" s="8">
        <v>0</v>
      </c>
      <c r="F137" s="8">
        <f t="shared" si="4"/>
        <v>13492.5</v>
      </c>
      <c r="G137" s="8" t="b">
        <f t="shared" si="5"/>
        <v>1</v>
      </c>
      <c r="H137" s="11"/>
    </row>
    <row r="138" spans="1:8">
      <c r="A138" s="9" t="s">
        <v>146</v>
      </c>
      <c r="B138" s="10" t="s">
        <v>9</v>
      </c>
      <c r="C138" s="11">
        <f>VLOOKUP(A138,'[1]MGM Report'!$D:$F,3,FALSE)</f>
        <v>0</v>
      </c>
      <c r="D138" s="11">
        <f>VLOOKUP(A138,[2]ShobizMGMReportResults!$E:$G,3,FALSE)</f>
        <v>0</v>
      </c>
      <c r="E138" s="8">
        <v>0</v>
      </c>
      <c r="F138" s="8">
        <f t="shared" si="4"/>
        <v>0</v>
      </c>
      <c r="G138" s="8" t="b">
        <f t="shared" si="5"/>
        <v>1</v>
      </c>
      <c r="H138" s="11"/>
    </row>
    <row r="139" spans="1:8">
      <c r="A139" s="9" t="s">
        <v>147</v>
      </c>
      <c r="B139" s="10" t="s">
        <v>9</v>
      </c>
      <c r="C139" s="11">
        <f>VLOOKUP(A139,'[1]MGM Report'!$D:$F,3,FALSE)</f>
        <v>0</v>
      </c>
      <c r="D139" s="11">
        <f>VLOOKUP(A139,[2]ShobizMGMReportResults!$E:$G,3,FALSE)</f>
        <v>0</v>
      </c>
      <c r="E139" s="8">
        <v>0</v>
      </c>
      <c r="F139" s="8">
        <f t="shared" si="4"/>
        <v>0</v>
      </c>
      <c r="G139" s="8" t="b">
        <f t="shared" si="5"/>
        <v>1</v>
      </c>
      <c r="H139" s="11"/>
    </row>
    <row r="140" spans="1:8">
      <c r="A140" s="9" t="s">
        <v>148</v>
      </c>
      <c r="B140" s="10" t="s">
        <v>9</v>
      </c>
      <c r="C140" s="11">
        <f>VLOOKUP(A140,'[1]MGM Report'!$D:$F,3,FALSE)</f>
        <v>0</v>
      </c>
      <c r="D140" s="11">
        <f>VLOOKUP(A140,[2]ShobizMGMReportResults!$E:$G,3,FALSE)</f>
        <v>0</v>
      </c>
      <c r="E140" s="8">
        <v>0</v>
      </c>
      <c r="F140" s="8">
        <f t="shared" si="4"/>
        <v>0</v>
      </c>
      <c r="G140" s="8" t="b">
        <f t="shared" si="5"/>
        <v>1</v>
      </c>
      <c r="H140" s="11"/>
    </row>
    <row r="141" spans="1:8">
      <c r="A141" s="9" t="s">
        <v>149</v>
      </c>
      <c r="B141" s="10" t="s">
        <v>9</v>
      </c>
      <c r="C141" s="11">
        <f>VLOOKUP(A141,'[1]MGM Report'!$D:$F,3,FALSE)</f>
        <v>72600</v>
      </c>
      <c r="D141" s="11">
        <f>VLOOKUP(A141,[2]ShobizMGMReportResults!$E:$G,3,FALSE)</f>
        <v>72600</v>
      </c>
      <c r="E141" s="8">
        <v>0</v>
      </c>
      <c r="F141" s="8">
        <f t="shared" si="4"/>
        <v>72600</v>
      </c>
      <c r="G141" s="8" t="b">
        <f t="shared" si="5"/>
        <v>1</v>
      </c>
      <c r="H141" s="11"/>
    </row>
    <row r="142" spans="1:8">
      <c r="A142" s="9" t="s">
        <v>150</v>
      </c>
      <c r="B142" s="10" t="s">
        <v>9</v>
      </c>
      <c r="C142" s="11">
        <f>VLOOKUP(A142,'[1]MGM Report'!$D:$F,3,FALSE)</f>
        <v>0</v>
      </c>
      <c r="D142" s="11">
        <f>VLOOKUP(A142,[2]ShobizMGMReportResults!$E:$G,3,FALSE)</f>
        <v>0</v>
      </c>
      <c r="E142" s="8">
        <v>0</v>
      </c>
      <c r="F142" s="8">
        <f t="shared" si="4"/>
        <v>0</v>
      </c>
      <c r="G142" s="8" t="b">
        <f t="shared" si="5"/>
        <v>1</v>
      </c>
      <c r="H142" s="11"/>
    </row>
    <row r="143" spans="1:8">
      <c r="A143" s="9" t="s">
        <v>151</v>
      </c>
      <c r="B143" s="10" t="s">
        <v>9</v>
      </c>
      <c r="C143" s="11">
        <f>VLOOKUP(A143,'[1]MGM Report'!$D:$F,3,FALSE)</f>
        <v>0</v>
      </c>
      <c r="D143" s="11">
        <f>VLOOKUP(A143,[2]ShobizMGMReportResults!$E:$G,3,FALSE)</f>
        <v>0</v>
      </c>
      <c r="E143" s="8">
        <v>0</v>
      </c>
      <c r="F143" s="8">
        <f t="shared" si="4"/>
        <v>0</v>
      </c>
      <c r="G143" s="8" t="b">
        <f t="shared" si="5"/>
        <v>1</v>
      </c>
      <c r="H143" s="11"/>
    </row>
    <row r="144" spans="1:8">
      <c r="A144" s="9" t="s">
        <v>152</v>
      </c>
      <c r="B144" s="10" t="s">
        <v>9</v>
      </c>
      <c r="C144" s="11">
        <f>VLOOKUP(A144,'[1]MGM Report'!$D:$F,3,FALSE)</f>
        <v>0</v>
      </c>
      <c r="D144" s="11">
        <f>VLOOKUP(A144,[2]ShobizMGMReportResults!$E:$G,3,FALSE)</f>
        <v>0</v>
      </c>
      <c r="E144" s="8">
        <v>0</v>
      </c>
      <c r="F144" s="8">
        <f t="shared" si="4"/>
        <v>0</v>
      </c>
      <c r="G144" s="8" t="b">
        <f t="shared" si="5"/>
        <v>1</v>
      </c>
      <c r="H144" s="11"/>
    </row>
    <row r="145" spans="1:8">
      <c r="A145" s="9" t="s">
        <v>153</v>
      </c>
      <c r="B145" s="10" t="s">
        <v>9</v>
      </c>
      <c r="C145" s="11">
        <f>VLOOKUP(A145,'[1]MGM Report'!$D:$F,3,FALSE)</f>
        <v>0</v>
      </c>
      <c r="D145" s="11">
        <f>VLOOKUP(A145,[2]ShobizMGMReportResults!$E:$G,3,FALSE)</f>
        <v>0</v>
      </c>
      <c r="E145" s="8">
        <v>0</v>
      </c>
      <c r="F145" s="8">
        <f t="shared" si="4"/>
        <v>0</v>
      </c>
      <c r="G145" s="8" t="b">
        <f t="shared" si="5"/>
        <v>1</v>
      </c>
      <c r="H145" s="11"/>
    </row>
    <row r="146" spans="1:8">
      <c r="A146" s="9" t="s">
        <v>154</v>
      </c>
      <c r="B146" s="10" t="s">
        <v>9</v>
      </c>
      <c r="C146" s="11">
        <f>VLOOKUP(A146,'[1]MGM Report'!$D:$F,3,FALSE)</f>
        <v>339093</v>
      </c>
      <c r="D146" s="11">
        <f>VLOOKUP(A146,[2]ShobizMGMReportResults!$E:$G,3,FALSE)</f>
        <v>339093</v>
      </c>
      <c r="E146" s="8">
        <v>0</v>
      </c>
      <c r="F146" s="8">
        <f t="shared" si="4"/>
        <v>339093</v>
      </c>
      <c r="G146" s="8" t="b">
        <f t="shared" si="5"/>
        <v>1</v>
      </c>
      <c r="H146" s="11"/>
    </row>
    <row r="147" spans="1:8">
      <c r="A147" s="9" t="s">
        <v>155</v>
      </c>
      <c r="B147" s="10" t="s">
        <v>9</v>
      </c>
      <c r="C147" s="11">
        <f>VLOOKUP(A147,'[1]MGM Report'!$D:$F,3,FALSE)</f>
        <v>0</v>
      </c>
      <c r="D147" s="11">
        <f>VLOOKUP(A147,[2]ShobizMGMReportResults!$E:$G,3,FALSE)</f>
        <v>0</v>
      </c>
      <c r="E147" s="8">
        <v>0</v>
      </c>
      <c r="F147" s="8">
        <f t="shared" si="4"/>
        <v>0</v>
      </c>
      <c r="G147" s="8" t="b">
        <f t="shared" si="5"/>
        <v>1</v>
      </c>
      <c r="H147" s="11"/>
    </row>
    <row r="148" spans="1:8">
      <c r="A148" s="9" t="s">
        <v>156</v>
      </c>
      <c r="B148" s="10" t="s">
        <v>9</v>
      </c>
      <c r="C148" s="11">
        <f>VLOOKUP(A148,'[1]MGM Report'!$D:$F,3,FALSE)</f>
        <v>0</v>
      </c>
      <c r="D148" s="11">
        <f>VLOOKUP(A148,[2]ShobizMGMReportResults!$E:$G,3,FALSE)</f>
        <v>0</v>
      </c>
      <c r="E148" s="8">
        <v>0</v>
      </c>
      <c r="F148" s="8">
        <f t="shared" si="4"/>
        <v>0</v>
      </c>
      <c r="G148" s="8" t="b">
        <f t="shared" si="5"/>
        <v>1</v>
      </c>
      <c r="H148" s="11"/>
    </row>
    <row r="149" spans="1:8">
      <c r="A149" s="12" t="s">
        <v>157</v>
      </c>
      <c r="B149" s="13" t="s">
        <v>9</v>
      </c>
      <c r="C149" s="14">
        <f>VLOOKUP(A149,'[1]MGM Report'!$D:$F,3,FALSE)</f>
        <v>644498</v>
      </c>
      <c r="D149" s="14">
        <f>VLOOKUP(A149,[2]ShobizMGMReportResults!$E:$G,3,FALSE)</f>
        <v>0</v>
      </c>
      <c r="E149" s="15">
        <v>0</v>
      </c>
      <c r="F149" s="15">
        <f t="shared" si="4"/>
        <v>0</v>
      </c>
      <c r="G149" s="15" t="b">
        <f t="shared" si="5"/>
        <v>0</v>
      </c>
      <c r="H149" s="14" t="s">
        <v>158</v>
      </c>
    </row>
    <row r="150" spans="1:8">
      <c r="A150" s="9" t="s">
        <v>159</v>
      </c>
      <c r="B150" s="10" t="s">
        <v>9</v>
      </c>
      <c r="C150" s="11">
        <f>VLOOKUP(A150,'[1]MGM Report'!$D:$F,3,FALSE)</f>
        <v>317178.4</v>
      </c>
      <c r="D150" s="11">
        <f>VLOOKUP(A150,[2]ShobizMGMReportResults!$E:$G,3,FALSE)</f>
        <v>317178.4</v>
      </c>
      <c r="E150" s="8">
        <v>0</v>
      </c>
      <c r="F150" s="8">
        <f t="shared" si="4"/>
        <v>317178.4</v>
      </c>
      <c r="G150" s="8" t="b">
        <f t="shared" si="5"/>
        <v>1</v>
      </c>
      <c r="H150" s="11"/>
    </row>
    <row r="151" spans="1:8">
      <c r="A151" s="9" t="s">
        <v>160</v>
      </c>
      <c r="B151" s="10" t="s">
        <v>9</v>
      </c>
      <c r="C151" s="11">
        <f>VLOOKUP(A151,'[1]MGM Report'!$D:$F,3,FALSE)</f>
        <v>0</v>
      </c>
      <c r="D151" s="11">
        <f>VLOOKUP(A151,[2]ShobizMGMReportResults!$E:$G,3,FALSE)</f>
        <v>0</v>
      </c>
      <c r="E151" s="8">
        <v>0</v>
      </c>
      <c r="F151" s="8">
        <f t="shared" si="4"/>
        <v>0</v>
      </c>
      <c r="G151" s="8" t="b">
        <f t="shared" si="5"/>
        <v>1</v>
      </c>
      <c r="H151" s="11"/>
    </row>
    <row r="152" spans="1:8">
      <c r="A152" s="9" t="s">
        <v>161</v>
      </c>
      <c r="B152" s="10" t="s">
        <v>9</v>
      </c>
      <c r="C152" s="11">
        <f>VLOOKUP(A152,'[1]MGM Report'!$D:$F,3,FALSE)</f>
        <v>0</v>
      </c>
      <c r="D152" s="11">
        <f>VLOOKUP(A152,[2]ShobizMGMReportResults!$E:$G,3,FALSE)</f>
        <v>0</v>
      </c>
      <c r="E152" s="8">
        <v>0</v>
      </c>
      <c r="F152" s="8">
        <f t="shared" si="4"/>
        <v>0</v>
      </c>
      <c r="G152" s="8" t="b">
        <f t="shared" si="5"/>
        <v>1</v>
      </c>
      <c r="H152" s="11"/>
    </row>
    <row r="153" spans="1:8">
      <c r="A153" s="9" t="s">
        <v>162</v>
      </c>
      <c r="B153" s="10" t="s">
        <v>9</v>
      </c>
      <c r="C153" s="11">
        <f>VLOOKUP(A153,'[1]MGM Report'!$D:$F,3,FALSE)</f>
        <v>0</v>
      </c>
      <c r="D153" s="11">
        <f>VLOOKUP(A153,[2]ShobizMGMReportResults!$E:$G,3,FALSE)</f>
        <v>0</v>
      </c>
      <c r="E153" s="8">
        <v>0</v>
      </c>
      <c r="F153" s="8">
        <f t="shared" si="4"/>
        <v>0</v>
      </c>
      <c r="G153" s="8" t="b">
        <f t="shared" si="5"/>
        <v>1</v>
      </c>
      <c r="H153" s="11"/>
    </row>
    <row r="154" spans="1:8">
      <c r="A154" s="9" t="s">
        <v>163</v>
      </c>
      <c r="B154" s="10" t="s">
        <v>9</v>
      </c>
      <c r="C154" s="11">
        <f>VLOOKUP(A154,'[1]MGM Report'!$D:$F,3,FALSE)</f>
        <v>0</v>
      </c>
      <c r="D154" s="11">
        <f>VLOOKUP(A154,[2]ShobizMGMReportResults!$E:$G,3,FALSE)</f>
        <v>0</v>
      </c>
      <c r="E154" s="8">
        <v>0</v>
      </c>
      <c r="F154" s="8">
        <f t="shared" si="4"/>
        <v>0</v>
      </c>
      <c r="G154" s="8" t="b">
        <f t="shared" si="5"/>
        <v>1</v>
      </c>
      <c r="H154" s="11"/>
    </row>
    <row r="155" spans="1:8">
      <c r="A155" s="9" t="s">
        <v>164</v>
      </c>
      <c r="B155" s="10" t="s">
        <v>9</v>
      </c>
      <c r="C155" s="11">
        <f>VLOOKUP(A155,'[1]MGM Report'!$D:$F,3,FALSE)</f>
        <v>0</v>
      </c>
      <c r="D155" s="11">
        <f>VLOOKUP(A155,[2]ShobizMGMReportResults!$E:$G,3,FALSE)</f>
        <v>0</v>
      </c>
      <c r="E155" s="8">
        <v>0</v>
      </c>
      <c r="F155" s="8">
        <f t="shared" si="4"/>
        <v>0</v>
      </c>
      <c r="G155" s="8" t="b">
        <f t="shared" si="5"/>
        <v>1</v>
      </c>
      <c r="H155" s="11"/>
    </row>
    <row r="156" spans="1:8">
      <c r="A156" s="9" t="s">
        <v>165</v>
      </c>
      <c r="B156" s="10" t="s">
        <v>9</v>
      </c>
      <c r="C156" s="11">
        <f>VLOOKUP(A156,'[1]MGM Report'!$D:$F,3,FALSE)</f>
        <v>94072</v>
      </c>
      <c r="D156" s="11">
        <f>VLOOKUP(A156,[2]ShobizMGMReportResults!$E:$G,3,FALSE)</f>
        <v>94072</v>
      </c>
      <c r="E156" s="8">
        <v>0</v>
      </c>
      <c r="F156" s="8">
        <f t="shared" si="4"/>
        <v>94072</v>
      </c>
      <c r="G156" s="8" t="b">
        <f t="shared" si="5"/>
        <v>1</v>
      </c>
      <c r="H156" s="11"/>
    </row>
    <row r="157" spans="1:8">
      <c r="A157" s="9" t="s">
        <v>166</v>
      </c>
      <c r="B157" s="10" t="s">
        <v>9</v>
      </c>
      <c r="C157" s="11">
        <f>VLOOKUP(A157,'[1]MGM Report'!$D:$F,3,FALSE)</f>
        <v>0</v>
      </c>
      <c r="D157" s="11">
        <f>VLOOKUP(A157,[2]ShobizMGMReportResults!$E:$G,3,FALSE)</f>
        <v>0</v>
      </c>
      <c r="E157" s="8">
        <v>0</v>
      </c>
      <c r="F157" s="8">
        <f t="shared" si="4"/>
        <v>0</v>
      </c>
      <c r="G157" s="8" t="b">
        <f t="shared" si="5"/>
        <v>1</v>
      </c>
      <c r="H157" s="11"/>
    </row>
    <row r="158" spans="1:8">
      <c r="A158" s="9" t="s">
        <v>167</v>
      </c>
      <c r="B158" s="10" t="s">
        <v>9</v>
      </c>
      <c r="C158" s="11">
        <f>VLOOKUP(A158,'[1]MGM Report'!$D:$F,3,FALSE)</f>
        <v>0</v>
      </c>
      <c r="D158" s="11">
        <f>VLOOKUP(A158,[2]ShobizMGMReportResults!$E:$G,3,FALSE)</f>
        <v>0</v>
      </c>
      <c r="E158" s="8">
        <v>0</v>
      </c>
      <c r="F158" s="8">
        <f t="shared" si="4"/>
        <v>0</v>
      </c>
      <c r="G158" s="8" t="b">
        <f t="shared" si="5"/>
        <v>1</v>
      </c>
      <c r="H158" s="11"/>
    </row>
    <row r="159" spans="1:8">
      <c r="A159" s="9" t="s">
        <v>168</v>
      </c>
      <c r="B159" s="10" t="s">
        <v>9</v>
      </c>
      <c r="C159" s="11">
        <f>VLOOKUP(A159,'[1]MGM Report'!$D:$F,3,FALSE)</f>
        <v>1668425</v>
      </c>
      <c r="D159" s="11">
        <f>VLOOKUP(A159,[2]ShobizMGMReportResults!$E:$G,3,FALSE)</f>
        <v>1668425</v>
      </c>
      <c r="E159" s="8">
        <v>0</v>
      </c>
      <c r="F159" s="8">
        <f t="shared" si="4"/>
        <v>1668425</v>
      </c>
      <c r="G159" s="8" t="b">
        <f t="shared" si="5"/>
        <v>1</v>
      </c>
      <c r="H159" s="11"/>
    </row>
    <row r="160" spans="1:8">
      <c r="A160" s="9" t="s">
        <v>169</v>
      </c>
      <c r="B160" s="10" t="s">
        <v>9</v>
      </c>
      <c r="C160" s="11">
        <f>VLOOKUP(A160,'[1]MGM Report'!$D:$F,3,FALSE)</f>
        <v>3631001</v>
      </c>
      <c r="D160" s="11">
        <f>VLOOKUP(A160,[2]ShobizMGMReportResults!$E:$G,3,FALSE)</f>
        <v>3631001</v>
      </c>
      <c r="E160" s="8">
        <v>0</v>
      </c>
      <c r="F160" s="8">
        <f t="shared" si="4"/>
        <v>3631001</v>
      </c>
      <c r="G160" s="8" t="b">
        <f t="shared" si="5"/>
        <v>1</v>
      </c>
      <c r="H160" s="11"/>
    </row>
    <row r="161" spans="1:8">
      <c r="A161" s="9" t="s">
        <v>170</v>
      </c>
      <c r="B161" s="10" t="s">
        <v>9</v>
      </c>
      <c r="C161" s="11">
        <f>VLOOKUP(A161,'[1]MGM Report'!$D:$F,3,FALSE)</f>
        <v>656271</v>
      </c>
      <c r="D161" s="11">
        <f>VLOOKUP(A161,[2]ShobizMGMReportResults!$E:$G,3,FALSE)</f>
        <v>656271</v>
      </c>
      <c r="E161" s="8">
        <v>0</v>
      </c>
      <c r="F161" s="8">
        <f t="shared" si="4"/>
        <v>656271</v>
      </c>
      <c r="G161" s="8" t="b">
        <f t="shared" si="5"/>
        <v>1</v>
      </c>
      <c r="H161" s="11"/>
    </row>
    <row r="162" spans="1:8">
      <c r="A162" s="9" t="s">
        <v>171</v>
      </c>
      <c r="B162" s="10" t="s">
        <v>9</v>
      </c>
      <c r="C162" s="11">
        <f>VLOOKUP(A162,'[1]MGM Report'!$D:$F,3,FALSE)</f>
        <v>909447</v>
      </c>
      <c r="D162" s="11">
        <f>VLOOKUP(A162,[2]ShobizMGMReportResults!$E:$G,3,FALSE)</f>
        <v>909447</v>
      </c>
      <c r="E162" s="8">
        <v>0</v>
      </c>
      <c r="F162" s="8">
        <f t="shared" si="4"/>
        <v>909447</v>
      </c>
      <c r="G162" s="8" t="b">
        <f t="shared" si="5"/>
        <v>1</v>
      </c>
      <c r="H162" s="11"/>
    </row>
    <row r="163" spans="1:8">
      <c r="A163" s="9" t="s">
        <v>172</v>
      </c>
      <c r="B163" s="10" t="s">
        <v>9</v>
      </c>
      <c r="C163" s="11">
        <f>VLOOKUP(A163,'[1]MGM Report'!$D:$F,3,FALSE)</f>
        <v>0</v>
      </c>
      <c r="D163" s="11">
        <f>VLOOKUP(A163,[2]ShobizMGMReportResults!$E:$G,3,FALSE)</f>
        <v>0</v>
      </c>
      <c r="E163" s="8">
        <v>0</v>
      </c>
      <c r="F163" s="8">
        <f t="shared" si="4"/>
        <v>0</v>
      </c>
      <c r="G163" s="8" t="b">
        <f t="shared" si="5"/>
        <v>1</v>
      </c>
      <c r="H163" s="11"/>
    </row>
    <row r="164" spans="1:8">
      <c r="A164" s="9" t="s">
        <v>173</v>
      </c>
      <c r="B164" s="10" t="s">
        <v>9</v>
      </c>
      <c r="C164" s="11">
        <f>VLOOKUP(A164,'[1]MGM Report'!$D:$F,3,FALSE)</f>
        <v>224730</v>
      </c>
      <c r="D164" s="11">
        <f>VLOOKUP(A164,[2]ShobizMGMReportResults!$E:$G,3,FALSE)</f>
        <v>224730</v>
      </c>
      <c r="E164" s="8">
        <v>0</v>
      </c>
      <c r="F164" s="8">
        <f t="shared" si="4"/>
        <v>224730</v>
      </c>
      <c r="G164" s="8" t="b">
        <f t="shared" si="5"/>
        <v>1</v>
      </c>
      <c r="H164" s="11"/>
    </row>
    <row r="165" spans="1:8">
      <c r="A165" s="9" t="s">
        <v>174</v>
      </c>
      <c r="B165" s="10" t="s">
        <v>9</v>
      </c>
      <c r="C165" s="11">
        <f>VLOOKUP(A165,'[1]MGM Report'!$D:$F,3,FALSE)</f>
        <v>0</v>
      </c>
      <c r="D165" s="11">
        <f>VLOOKUP(A165,[2]ShobizMGMReportResults!$E:$G,3,FALSE)</f>
        <v>0</v>
      </c>
      <c r="E165" s="8">
        <v>0</v>
      </c>
      <c r="F165" s="8">
        <f t="shared" si="4"/>
        <v>0</v>
      </c>
      <c r="G165" s="8" t="b">
        <f t="shared" si="5"/>
        <v>1</v>
      </c>
      <c r="H165" s="11"/>
    </row>
    <row r="166" spans="1:8">
      <c r="A166" s="9" t="s">
        <v>175</v>
      </c>
      <c r="B166" s="10" t="s">
        <v>9</v>
      </c>
      <c r="C166" s="11">
        <f>VLOOKUP(A166,'[1]MGM Report'!$D:$F,3,FALSE)</f>
        <v>706801.7</v>
      </c>
      <c r="D166" s="11">
        <f>VLOOKUP(A166,[2]ShobizMGMReportResults!$E:$G,3,FALSE)</f>
        <v>706801.7</v>
      </c>
      <c r="E166" s="8">
        <v>0</v>
      </c>
      <c r="F166" s="8">
        <f t="shared" si="4"/>
        <v>706801.7</v>
      </c>
      <c r="G166" s="8" t="b">
        <f t="shared" si="5"/>
        <v>1</v>
      </c>
      <c r="H166" s="11"/>
    </row>
    <row r="167" spans="1:8">
      <c r="A167" s="9" t="s">
        <v>176</v>
      </c>
      <c r="B167" s="10" t="s">
        <v>9</v>
      </c>
      <c r="C167" s="11">
        <f>VLOOKUP(A167,'[1]MGM Report'!$D:$F,3,FALSE)</f>
        <v>25300</v>
      </c>
      <c r="D167" s="11">
        <f>VLOOKUP(A167,[2]ShobizMGMReportResults!$E:$G,3,FALSE)</f>
        <v>25300</v>
      </c>
      <c r="E167" s="8">
        <v>0</v>
      </c>
      <c r="F167" s="8">
        <f t="shared" si="4"/>
        <v>25300</v>
      </c>
      <c r="G167" s="8" t="b">
        <f t="shared" si="5"/>
        <v>1</v>
      </c>
      <c r="H167" s="11"/>
    </row>
    <row r="168" spans="1:8">
      <c r="A168" s="9" t="s">
        <v>177</v>
      </c>
      <c r="B168" s="10" t="s">
        <v>9</v>
      </c>
      <c r="C168" s="11">
        <f>VLOOKUP(A168,'[1]MGM Report'!$D:$F,3,FALSE)</f>
        <v>0</v>
      </c>
      <c r="D168" s="11">
        <f>VLOOKUP(A168,[2]ShobizMGMReportResults!$E:$G,3,FALSE)</f>
        <v>0</v>
      </c>
      <c r="E168" s="8">
        <v>0</v>
      </c>
      <c r="F168" s="8">
        <f t="shared" si="4"/>
        <v>0</v>
      </c>
      <c r="G168" s="8" t="b">
        <f t="shared" si="5"/>
        <v>1</v>
      </c>
      <c r="H168" s="11"/>
    </row>
    <row r="169" spans="1:8">
      <c r="A169" s="9" t="s">
        <v>178</v>
      </c>
      <c r="B169" s="10" t="s">
        <v>9</v>
      </c>
      <c r="C169" s="11">
        <f>VLOOKUP(A169,'[1]MGM Report'!$D:$F,3,FALSE)</f>
        <v>308665</v>
      </c>
      <c r="D169" s="11">
        <f>VLOOKUP(A169,[2]ShobizMGMReportResults!$E:$G,3,FALSE)</f>
        <v>308665</v>
      </c>
      <c r="E169" s="8">
        <v>0</v>
      </c>
      <c r="F169" s="8">
        <f t="shared" si="4"/>
        <v>308665</v>
      </c>
      <c r="G169" s="8" t="b">
        <f t="shared" si="5"/>
        <v>1</v>
      </c>
      <c r="H169" s="11"/>
    </row>
    <row r="170" spans="1:8">
      <c r="A170" s="9" t="s">
        <v>179</v>
      </c>
      <c r="B170" s="10" t="s">
        <v>9</v>
      </c>
      <c r="C170" s="11">
        <f>VLOOKUP(A170,'[1]MGM Report'!$D:$F,3,FALSE)</f>
        <v>337700</v>
      </c>
      <c r="D170" s="11">
        <f>VLOOKUP(A170,[2]ShobizMGMReportResults!$E:$G,3,FALSE)</f>
        <v>337700</v>
      </c>
      <c r="E170" s="8">
        <v>0</v>
      </c>
      <c r="F170" s="8">
        <f t="shared" si="4"/>
        <v>337700</v>
      </c>
      <c r="G170" s="8" t="b">
        <f t="shared" si="5"/>
        <v>1</v>
      </c>
      <c r="H170" s="11"/>
    </row>
    <row r="171" spans="1:8">
      <c r="A171" s="9" t="s">
        <v>180</v>
      </c>
      <c r="B171" s="10" t="s">
        <v>9</v>
      </c>
      <c r="C171" s="11">
        <f>VLOOKUP(A171,'[1]MGM Report'!$D:$F,3,FALSE)</f>
        <v>0</v>
      </c>
      <c r="D171" s="11">
        <f>VLOOKUP(A171,[2]ShobizMGMReportResults!$E:$G,3,FALSE)</f>
        <v>0</v>
      </c>
      <c r="E171" s="8">
        <v>0</v>
      </c>
      <c r="F171" s="8">
        <f t="shared" si="4"/>
        <v>0</v>
      </c>
      <c r="G171" s="8" t="b">
        <f t="shared" si="5"/>
        <v>1</v>
      </c>
      <c r="H171" s="11"/>
    </row>
    <row r="172" spans="1:8">
      <c r="A172" s="9" t="s">
        <v>181</v>
      </c>
      <c r="B172" s="10" t="s">
        <v>9</v>
      </c>
      <c r="C172" s="11">
        <f>VLOOKUP(A172,'[1]MGM Report'!$D:$F,3,FALSE)</f>
        <v>0</v>
      </c>
      <c r="D172" s="11">
        <f>VLOOKUP(A172,[2]ShobizMGMReportResults!$E:$G,3,FALSE)</f>
        <v>0</v>
      </c>
      <c r="E172" s="8">
        <v>0</v>
      </c>
      <c r="F172" s="8">
        <f t="shared" si="4"/>
        <v>0</v>
      </c>
      <c r="G172" s="8" t="b">
        <f t="shared" si="5"/>
        <v>1</v>
      </c>
      <c r="H172" s="11"/>
    </row>
    <row r="173" spans="1:8">
      <c r="A173" s="9" t="s">
        <v>182</v>
      </c>
      <c r="B173" s="10" t="s">
        <v>9</v>
      </c>
      <c r="C173" s="11">
        <f>VLOOKUP(A173,'[1]MGM Report'!$D:$F,3,FALSE)</f>
        <v>0</v>
      </c>
      <c r="D173" s="11">
        <f>VLOOKUP(A173,[2]ShobizMGMReportResults!$E:$G,3,FALSE)</f>
        <v>0</v>
      </c>
      <c r="E173" s="8">
        <v>0</v>
      </c>
      <c r="F173" s="8">
        <f t="shared" si="4"/>
        <v>0</v>
      </c>
      <c r="G173" s="8" t="b">
        <f t="shared" si="5"/>
        <v>1</v>
      </c>
      <c r="H173" s="11"/>
    </row>
    <row r="174" spans="1:8">
      <c r="A174" s="9" t="s">
        <v>183</v>
      </c>
      <c r="B174" s="10" t="s">
        <v>9</v>
      </c>
      <c r="C174" s="11">
        <f>VLOOKUP(A174,'[1]MGM Report'!$D:$F,3,FALSE)</f>
        <v>186450</v>
      </c>
      <c r="D174" s="11">
        <f>VLOOKUP(A174,[2]ShobizMGMReportResults!$E:$G,3,FALSE)</f>
        <v>186450</v>
      </c>
      <c r="E174" s="8">
        <v>0</v>
      </c>
      <c r="F174" s="8">
        <f t="shared" si="4"/>
        <v>186450</v>
      </c>
      <c r="G174" s="8" t="b">
        <f t="shared" si="5"/>
        <v>1</v>
      </c>
      <c r="H174" s="11"/>
    </row>
    <row r="175" spans="1:8">
      <c r="A175" s="9" t="s">
        <v>184</v>
      </c>
      <c r="B175" s="10" t="s">
        <v>9</v>
      </c>
      <c r="C175" s="11">
        <f>VLOOKUP(A175,'[1]MGM Report'!$D:$F,3,FALSE)</f>
        <v>0</v>
      </c>
      <c r="D175" s="11">
        <f>VLOOKUP(A175,[2]ShobizMGMReportResults!$E:$G,3,FALSE)</f>
        <v>0</v>
      </c>
      <c r="E175" s="8">
        <v>0</v>
      </c>
      <c r="F175" s="8">
        <f t="shared" si="4"/>
        <v>0</v>
      </c>
      <c r="G175" s="8" t="b">
        <f t="shared" si="5"/>
        <v>1</v>
      </c>
      <c r="H175" s="11"/>
    </row>
    <row r="176" spans="1:8">
      <c r="A176" s="9" t="s">
        <v>185</v>
      </c>
      <c r="B176" s="10" t="s">
        <v>9</v>
      </c>
      <c r="C176" s="11">
        <f>VLOOKUP(A176,'[1]MGM Report'!$D:$F,3,FALSE)</f>
        <v>0</v>
      </c>
      <c r="D176" s="11">
        <f>VLOOKUP(A176,[2]ShobizMGMReportResults!$E:$G,3,FALSE)</f>
        <v>0</v>
      </c>
      <c r="E176" s="8">
        <v>0</v>
      </c>
      <c r="F176" s="8">
        <f t="shared" si="4"/>
        <v>0</v>
      </c>
      <c r="G176" s="8" t="b">
        <f t="shared" si="5"/>
        <v>1</v>
      </c>
      <c r="H176" s="11"/>
    </row>
    <row r="177" spans="1:8">
      <c r="A177" s="9" t="s">
        <v>186</v>
      </c>
      <c r="B177" s="10" t="s">
        <v>9</v>
      </c>
      <c r="C177" s="11">
        <f>VLOOKUP(A177,'[1]MGM Report'!$D:$F,3,FALSE)</f>
        <v>16125</v>
      </c>
      <c r="D177" s="11">
        <f>VLOOKUP(A177,[2]ShobizMGMReportResults!$E:$G,3,FALSE)</f>
        <v>16125</v>
      </c>
      <c r="E177" s="8">
        <v>0</v>
      </c>
      <c r="F177" s="8">
        <f t="shared" si="4"/>
        <v>16125</v>
      </c>
      <c r="G177" s="8" t="b">
        <f t="shared" si="5"/>
        <v>1</v>
      </c>
      <c r="H177" s="11"/>
    </row>
    <row r="178" spans="1:8">
      <c r="A178" s="9" t="s">
        <v>187</v>
      </c>
      <c r="B178" s="10" t="s">
        <v>9</v>
      </c>
      <c r="C178" s="11">
        <f>VLOOKUP(A178,'[1]MGM Report'!$D:$F,3,FALSE)</f>
        <v>1456000</v>
      </c>
      <c r="D178" s="11">
        <f>VLOOKUP(A178,[2]ShobizMGMReportResults!$E:$G,3,FALSE)</f>
        <v>1456000</v>
      </c>
      <c r="E178" s="8">
        <v>0</v>
      </c>
      <c r="F178" s="8">
        <f t="shared" si="4"/>
        <v>1456000</v>
      </c>
      <c r="G178" s="8" t="b">
        <f t="shared" si="5"/>
        <v>1</v>
      </c>
      <c r="H178" s="11"/>
    </row>
    <row r="179" spans="1:8">
      <c r="A179" s="9" t="s">
        <v>188</v>
      </c>
      <c r="B179" s="10" t="s">
        <v>9</v>
      </c>
      <c r="C179" s="11">
        <f>VLOOKUP(A179,'[1]MGM Report'!$D:$F,3,FALSE)</f>
        <v>0</v>
      </c>
      <c r="D179" s="11">
        <f>VLOOKUP(A179,[2]ShobizMGMReportResults!$E:$G,3,FALSE)</f>
        <v>0</v>
      </c>
      <c r="E179" s="8">
        <v>0</v>
      </c>
      <c r="F179" s="8">
        <f t="shared" si="4"/>
        <v>0</v>
      </c>
      <c r="G179" s="8" t="b">
        <f t="shared" si="5"/>
        <v>1</v>
      </c>
      <c r="H179" s="11"/>
    </row>
    <row r="180" spans="1:8">
      <c r="A180" s="9" t="s">
        <v>189</v>
      </c>
      <c r="B180" s="10" t="s">
        <v>9</v>
      </c>
      <c r="C180" s="11">
        <f>VLOOKUP(A180,'[1]MGM Report'!$D:$F,3,FALSE)</f>
        <v>5313598</v>
      </c>
      <c r="D180" s="11">
        <f>VLOOKUP(A180,[2]ShobizMGMReportResults!$E:$G,3,FALSE)</f>
        <v>5313598</v>
      </c>
      <c r="E180" s="8">
        <v>0</v>
      </c>
      <c r="F180" s="8">
        <f t="shared" si="4"/>
        <v>5313598</v>
      </c>
      <c r="G180" s="8" t="b">
        <f t="shared" si="5"/>
        <v>1</v>
      </c>
      <c r="H180" s="11"/>
    </row>
    <row r="181" spans="1:8">
      <c r="A181" s="9" t="s">
        <v>190</v>
      </c>
      <c r="B181" s="10" t="s">
        <v>9</v>
      </c>
      <c r="C181" s="11">
        <f>VLOOKUP(A181,'[1]MGM Report'!$D:$F,3,FALSE)</f>
        <v>7760453</v>
      </c>
      <c r="D181" s="11">
        <f>VLOOKUP(A181,[2]ShobizMGMReportResults!$E:$G,3,FALSE)</f>
        <v>7760453</v>
      </c>
      <c r="E181" s="8">
        <v>0</v>
      </c>
      <c r="F181" s="8">
        <f t="shared" si="4"/>
        <v>7760453</v>
      </c>
      <c r="G181" s="8" t="b">
        <f t="shared" si="5"/>
        <v>1</v>
      </c>
      <c r="H181" s="11"/>
    </row>
    <row r="182" spans="1:8">
      <c r="A182" s="9" t="s">
        <v>191</v>
      </c>
      <c r="B182" s="10" t="s">
        <v>9</v>
      </c>
      <c r="C182" s="11">
        <f>VLOOKUP(A182,'[1]MGM Report'!$D:$F,3,FALSE)</f>
        <v>0</v>
      </c>
      <c r="D182" s="11">
        <f>VLOOKUP(A182,[2]ShobizMGMReportResults!$E:$G,3,FALSE)</f>
        <v>0</v>
      </c>
      <c r="E182" s="8">
        <v>0</v>
      </c>
      <c r="F182" s="8">
        <f t="shared" si="4"/>
        <v>0</v>
      </c>
      <c r="G182" s="8" t="b">
        <f t="shared" si="5"/>
        <v>1</v>
      </c>
      <c r="H182" s="11"/>
    </row>
    <row r="183" spans="1:8">
      <c r="A183" s="9" t="s">
        <v>192</v>
      </c>
      <c r="B183" s="10" t="s">
        <v>9</v>
      </c>
      <c r="C183" s="11">
        <f>VLOOKUP(A183,'[1]MGM Report'!$D:$F,3,FALSE)</f>
        <v>7053358</v>
      </c>
      <c r="D183" s="11">
        <f>VLOOKUP(A183,[2]ShobizMGMReportResults!$E:$G,3,FALSE)</f>
        <v>5855518</v>
      </c>
      <c r="E183" s="8">
        <f>VLOOKUP(A183,[3]ShobizDelegatesSOSBResults!$A:$C,3,FALSE)</f>
        <v>1197840</v>
      </c>
      <c r="F183" s="8">
        <f t="shared" si="4"/>
        <v>7053358</v>
      </c>
      <c r="G183" s="8" t="b">
        <f t="shared" si="5"/>
        <v>1</v>
      </c>
      <c r="H183" s="11"/>
    </row>
    <row r="184" spans="1:8">
      <c r="A184" s="9" t="s">
        <v>193</v>
      </c>
      <c r="B184" s="10" t="s">
        <v>9</v>
      </c>
      <c r="C184" s="11">
        <f>VLOOKUP(A184,'[1]MGM Report'!$D:$F,3,FALSE)</f>
        <v>484950</v>
      </c>
      <c r="D184" s="11">
        <f>VLOOKUP(A184,[2]ShobizMGMReportResults!$E:$G,3,FALSE)</f>
        <v>484950</v>
      </c>
      <c r="E184" s="8">
        <v>0</v>
      </c>
      <c r="F184" s="8">
        <f t="shared" si="4"/>
        <v>484950</v>
      </c>
      <c r="G184" s="8" t="b">
        <f t="shared" si="5"/>
        <v>1</v>
      </c>
      <c r="H184" s="11"/>
    </row>
    <row r="185" spans="1:8">
      <c r="A185" s="9" t="s">
        <v>194</v>
      </c>
      <c r="B185" s="10" t="s">
        <v>9</v>
      </c>
      <c r="C185" s="11">
        <f>VLOOKUP(A185,'[1]MGM Report'!$D:$F,3,FALSE)</f>
        <v>23332480</v>
      </c>
      <c r="D185" s="11">
        <f>VLOOKUP(A185,[2]ShobizMGMReportResults!$E:$G,3,FALSE)</f>
        <v>19482480</v>
      </c>
      <c r="E185" s="8">
        <f>VLOOKUP(A185,[3]ShobizDelegatesSOSBResults!$A:$C,3,FALSE)</f>
        <v>3850000</v>
      </c>
      <c r="F185" s="8">
        <f t="shared" si="4"/>
        <v>23332480</v>
      </c>
      <c r="G185" s="8" t="b">
        <f t="shared" si="5"/>
        <v>1</v>
      </c>
      <c r="H185" s="11"/>
    </row>
    <row r="186" spans="1:8">
      <c r="A186" s="9" t="s">
        <v>195</v>
      </c>
      <c r="B186" s="10" t="s">
        <v>9</v>
      </c>
      <c r="C186" s="11">
        <f>VLOOKUP(A186,'[1]MGM Report'!$D:$F,3,FALSE)</f>
        <v>0</v>
      </c>
      <c r="D186" s="11">
        <f>VLOOKUP(A186,[2]ShobizMGMReportResults!$E:$G,3,FALSE)</f>
        <v>0</v>
      </c>
      <c r="E186" s="8">
        <v>0</v>
      </c>
      <c r="F186" s="8">
        <f t="shared" si="4"/>
        <v>0</v>
      </c>
      <c r="G186" s="8" t="b">
        <f t="shared" si="5"/>
        <v>1</v>
      </c>
      <c r="H186" s="11"/>
    </row>
    <row r="187" spans="1:8">
      <c r="A187" s="9" t="s">
        <v>196</v>
      </c>
      <c r="B187" s="10" t="s">
        <v>9</v>
      </c>
      <c r="C187" s="11">
        <f>VLOOKUP(A187,'[1]MGM Report'!$D:$F,3,FALSE)</f>
        <v>0</v>
      </c>
      <c r="D187" s="11">
        <f>VLOOKUP(A187,[2]ShobizMGMReportResults!$E:$G,3,FALSE)</f>
        <v>0</v>
      </c>
      <c r="E187" s="8">
        <v>0</v>
      </c>
      <c r="F187" s="8">
        <f t="shared" si="4"/>
        <v>0</v>
      </c>
      <c r="G187" s="8" t="b">
        <f t="shared" si="5"/>
        <v>1</v>
      </c>
      <c r="H187" s="11"/>
    </row>
    <row r="188" spans="1:8">
      <c r="A188" s="9" t="s">
        <v>197</v>
      </c>
      <c r="B188" s="10" t="s">
        <v>9</v>
      </c>
      <c r="C188" s="11">
        <f>VLOOKUP(A188,'[1]MGM Report'!$D:$F,3,FALSE)</f>
        <v>0</v>
      </c>
      <c r="D188" s="11">
        <f>VLOOKUP(A188,[2]ShobizMGMReportResults!$E:$G,3,FALSE)</f>
        <v>0</v>
      </c>
      <c r="E188" s="8">
        <v>0</v>
      </c>
      <c r="F188" s="8">
        <f t="shared" si="4"/>
        <v>0</v>
      </c>
      <c r="G188" s="8" t="b">
        <f t="shared" si="5"/>
        <v>1</v>
      </c>
      <c r="H188" s="11"/>
    </row>
    <row r="189" ht="29" spans="1:8">
      <c r="A189" s="12" t="s">
        <v>198</v>
      </c>
      <c r="B189" s="13" t="s">
        <v>9</v>
      </c>
      <c r="C189" s="14">
        <f>VLOOKUP(A189,'[1]MGM Report'!$D:$F,3,FALSE)</f>
        <v>10700000</v>
      </c>
      <c r="D189" s="14">
        <f>VLOOKUP(A189,[2]ShobizMGMReportResults!$E:$G,3,FALSE)</f>
        <v>0</v>
      </c>
      <c r="E189" s="15">
        <v>0</v>
      </c>
      <c r="F189" s="15">
        <f t="shared" si="4"/>
        <v>0</v>
      </c>
      <c r="G189" s="15" t="b">
        <f t="shared" si="5"/>
        <v>0</v>
      </c>
      <c r="H189" s="16" t="s">
        <v>199</v>
      </c>
    </row>
    <row r="190" spans="1:8">
      <c r="A190" s="9" t="s">
        <v>200</v>
      </c>
      <c r="B190" s="10" t="s">
        <v>9</v>
      </c>
      <c r="C190" s="11">
        <f>VLOOKUP(A190,'[1]MGM Report'!$D:$F,3,FALSE)</f>
        <v>0</v>
      </c>
      <c r="D190" s="11">
        <f>VLOOKUP(A190,[2]ShobizMGMReportResults!$E:$G,3,FALSE)</f>
        <v>0</v>
      </c>
      <c r="E190" s="8">
        <v>0</v>
      </c>
      <c r="F190" s="8">
        <f t="shared" si="4"/>
        <v>0</v>
      </c>
      <c r="G190" s="8" t="b">
        <f t="shared" si="5"/>
        <v>1</v>
      </c>
      <c r="H190" s="11"/>
    </row>
    <row r="191" spans="1:8">
      <c r="A191" s="9" t="s">
        <v>201</v>
      </c>
      <c r="B191" s="10" t="s">
        <v>9</v>
      </c>
      <c r="C191" s="11">
        <f>VLOOKUP(A191,'[1]MGM Report'!$D:$F,3,FALSE)</f>
        <v>0</v>
      </c>
      <c r="D191" s="11">
        <f>VLOOKUP(A191,[2]ShobizMGMReportResults!$E:$G,3,FALSE)</f>
        <v>0</v>
      </c>
      <c r="E191" s="8">
        <f>VLOOKUP(A191,[3]ShobizDelegatesSOSBResults!$A:$C,3,FALSE)</f>
        <v>0</v>
      </c>
      <c r="F191" s="8">
        <f t="shared" si="4"/>
        <v>0</v>
      </c>
      <c r="G191" s="8" t="b">
        <f t="shared" si="5"/>
        <v>1</v>
      </c>
      <c r="H191" s="11"/>
    </row>
    <row r="192" spans="1:8">
      <c r="A192" s="9" t="s">
        <v>202</v>
      </c>
      <c r="B192" s="10" t="s">
        <v>9</v>
      </c>
      <c r="C192" s="11">
        <f>VLOOKUP(A192,'[1]MGM Report'!$D:$F,3,FALSE)</f>
        <v>0</v>
      </c>
      <c r="D192" s="11">
        <f>VLOOKUP(A192,[2]ShobizMGMReportResults!$E:$G,3,FALSE)</f>
        <v>0</v>
      </c>
      <c r="E192" s="8">
        <f>VLOOKUP(A192,[3]ShobizDelegatesSOSBResults!$A:$C,3,FALSE)</f>
        <v>0</v>
      </c>
      <c r="F192" s="8">
        <f t="shared" si="4"/>
        <v>0</v>
      </c>
      <c r="G192" s="8" t="b">
        <f t="shared" si="5"/>
        <v>1</v>
      </c>
      <c r="H192" s="11"/>
    </row>
    <row r="193" spans="1:8">
      <c r="A193" s="9" t="s">
        <v>203</v>
      </c>
      <c r="B193" s="10" t="s">
        <v>9</v>
      </c>
      <c r="C193" s="11">
        <f>VLOOKUP(A193,'[1]MGM Report'!$D:$F,3,FALSE)</f>
        <v>0</v>
      </c>
      <c r="D193" s="11">
        <f>VLOOKUP(A193,[2]ShobizMGMReportResults!$E:$G,3,FALSE)</f>
        <v>0</v>
      </c>
      <c r="E193" s="8">
        <f>VLOOKUP(A193,[3]ShobizDelegatesSOSBResults!$A:$C,3,FALSE)</f>
        <v>0</v>
      </c>
      <c r="F193" s="8">
        <f t="shared" si="4"/>
        <v>0</v>
      </c>
      <c r="G193" s="8" t="b">
        <f t="shared" si="5"/>
        <v>1</v>
      </c>
      <c r="H193" s="11"/>
    </row>
    <row r="194" spans="1:8">
      <c r="A194" s="9" t="s">
        <v>204</v>
      </c>
      <c r="B194" s="10" t="s">
        <v>9</v>
      </c>
      <c r="C194" s="11">
        <f>VLOOKUP(A194,'[1]MGM Report'!$D:$F,3,FALSE)</f>
        <v>0</v>
      </c>
      <c r="D194" s="11">
        <f>VLOOKUP(A194,[2]ShobizMGMReportResults!$E:$G,3,FALSE)</f>
        <v>0</v>
      </c>
      <c r="E194" s="8">
        <v>0</v>
      </c>
      <c r="F194" s="8">
        <f t="shared" si="4"/>
        <v>0</v>
      </c>
      <c r="G194" s="8" t="b">
        <f t="shared" si="5"/>
        <v>1</v>
      </c>
      <c r="H194" s="11"/>
    </row>
    <row r="195" spans="1:8">
      <c r="A195" s="9" t="s">
        <v>205</v>
      </c>
      <c r="B195" s="10" t="s">
        <v>9</v>
      </c>
      <c r="C195" s="11">
        <f>VLOOKUP(A195,'[1]MGM Report'!$D:$F,3,FALSE)</f>
        <v>0</v>
      </c>
      <c r="D195" s="11">
        <f>VLOOKUP(A195,[2]ShobizMGMReportResults!$E:$G,3,FALSE)</f>
        <v>0</v>
      </c>
      <c r="E195" s="8">
        <v>0</v>
      </c>
      <c r="F195" s="8">
        <f t="shared" ref="F195:F241" si="6">D195+E195</f>
        <v>0</v>
      </c>
      <c r="G195" s="8" t="b">
        <f t="shared" ref="G195:G241" si="7">F195=C195</f>
        <v>1</v>
      </c>
      <c r="H195" s="11"/>
    </row>
    <row r="196" spans="1:8">
      <c r="A196" s="9" t="s">
        <v>206</v>
      </c>
      <c r="B196" s="10" t="s">
        <v>9</v>
      </c>
      <c r="C196" s="11">
        <f>VLOOKUP(A196,'[1]MGM Report'!$D:$F,3,FALSE)</f>
        <v>2917310</v>
      </c>
      <c r="D196" s="11">
        <f>VLOOKUP(A196,[2]ShobizMGMReportResults!$E:$G,3,FALSE)</f>
        <v>2917310</v>
      </c>
      <c r="E196" s="8">
        <v>0</v>
      </c>
      <c r="F196" s="8">
        <f t="shared" si="6"/>
        <v>2917310</v>
      </c>
      <c r="G196" s="8" t="b">
        <f t="shared" si="7"/>
        <v>1</v>
      </c>
      <c r="H196" s="11"/>
    </row>
    <row r="197" spans="1:8">
      <c r="A197" s="9" t="s">
        <v>207</v>
      </c>
      <c r="B197" s="10" t="s">
        <v>9</v>
      </c>
      <c r="C197" s="11">
        <f>VLOOKUP(A197,'[1]MGM Report'!$D:$F,3,FALSE)</f>
        <v>12321475</v>
      </c>
      <c r="D197" s="11">
        <f>VLOOKUP(A197,[2]ShobizMGMReportResults!$E:$G,3,FALSE)</f>
        <v>12321475</v>
      </c>
      <c r="E197" s="8">
        <v>0</v>
      </c>
      <c r="F197" s="8">
        <f t="shared" si="6"/>
        <v>12321475</v>
      </c>
      <c r="G197" s="8" t="b">
        <f t="shared" si="7"/>
        <v>1</v>
      </c>
      <c r="H197" s="11"/>
    </row>
    <row r="198" spans="1:8">
      <c r="A198" s="9" t="s">
        <v>208</v>
      </c>
      <c r="B198" s="10" t="s">
        <v>9</v>
      </c>
      <c r="C198" s="11">
        <f>VLOOKUP(A198,'[1]MGM Report'!$D:$F,3,FALSE)</f>
        <v>0</v>
      </c>
      <c r="D198" s="11">
        <f>VLOOKUP(A198,[2]ShobizMGMReportResults!$E:$G,3,FALSE)</f>
        <v>0</v>
      </c>
      <c r="E198" s="8">
        <v>0</v>
      </c>
      <c r="F198" s="8">
        <f t="shared" si="6"/>
        <v>0</v>
      </c>
      <c r="G198" s="8" t="b">
        <f t="shared" si="7"/>
        <v>1</v>
      </c>
      <c r="H198" s="11"/>
    </row>
    <row r="199" spans="1:8">
      <c r="A199" s="9" t="s">
        <v>209</v>
      </c>
      <c r="B199" s="10" t="s">
        <v>9</v>
      </c>
      <c r="C199" s="11">
        <f>VLOOKUP(A199,'[1]MGM Report'!$D:$F,3,FALSE)</f>
        <v>284211</v>
      </c>
      <c r="D199" s="11">
        <f>VLOOKUP(A199,[2]ShobizMGMReportResults!$E:$G,3,FALSE)</f>
        <v>284211</v>
      </c>
      <c r="E199" s="8">
        <v>0</v>
      </c>
      <c r="F199" s="8">
        <f t="shared" si="6"/>
        <v>284211</v>
      </c>
      <c r="G199" s="8" t="b">
        <f t="shared" si="7"/>
        <v>1</v>
      </c>
      <c r="H199" s="11"/>
    </row>
    <row r="200" spans="1:8">
      <c r="A200" s="9" t="s">
        <v>210</v>
      </c>
      <c r="B200" s="10" t="s">
        <v>9</v>
      </c>
      <c r="C200" s="11">
        <f>VLOOKUP(A200,'[1]MGM Report'!$D:$F,3,FALSE)</f>
        <v>0</v>
      </c>
      <c r="D200" s="11">
        <f>VLOOKUP(A200,[2]ShobizMGMReportResults!$E:$G,3,FALSE)</f>
        <v>0</v>
      </c>
      <c r="E200" s="8">
        <v>0</v>
      </c>
      <c r="F200" s="8">
        <f t="shared" si="6"/>
        <v>0</v>
      </c>
      <c r="G200" s="8" t="b">
        <f t="shared" si="7"/>
        <v>1</v>
      </c>
      <c r="H200" s="11"/>
    </row>
    <row r="201" spans="1:8">
      <c r="A201" s="9" t="s">
        <v>211</v>
      </c>
      <c r="B201" s="10" t="s">
        <v>9</v>
      </c>
      <c r="C201" s="11">
        <f>VLOOKUP(A201,'[1]MGM Report'!$D:$F,3,FALSE)</f>
        <v>0</v>
      </c>
      <c r="D201" s="11">
        <f>VLOOKUP(A201,[2]ShobizMGMReportResults!$E:$G,3,FALSE)</f>
        <v>0</v>
      </c>
      <c r="E201" s="8">
        <v>0</v>
      </c>
      <c r="F201" s="8">
        <f t="shared" si="6"/>
        <v>0</v>
      </c>
      <c r="G201" s="8" t="b">
        <f t="shared" si="7"/>
        <v>1</v>
      </c>
      <c r="H201" s="11"/>
    </row>
    <row r="202" spans="1:8">
      <c r="A202" s="9" t="s">
        <v>212</v>
      </c>
      <c r="B202" s="10" t="s">
        <v>9</v>
      </c>
      <c r="C202" s="11">
        <f>VLOOKUP(A202,'[1]MGM Report'!$D:$F,3,FALSE)</f>
        <v>0</v>
      </c>
      <c r="D202" s="11">
        <f>VLOOKUP(A202,[2]ShobizMGMReportResults!$E:$G,3,FALSE)</f>
        <v>0</v>
      </c>
      <c r="E202" s="8">
        <v>0</v>
      </c>
      <c r="F202" s="8">
        <f t="shared" si="6"/>
        <v>0</v>
      </c>
      <c r="G202" s="8" t="b">
        <f t="shared" si="7"/>
        <v>1</v>
      </c>
      <c r="H202" s="11"/>
    </row>
    <row r="203" spans="1:8">
      <c r="A203" s="9" t="s">
        <v>213</v>
      </c>
      <c r="B203" s="10" t="s">
        <v>9</v>
      </c>
      <c r="C203" s="11">
        <f>VLOOKUP(A203,'[1]MGM Report'!$D:$F,3,FALSE)</f>
        <v>928816</v>
      </c>
      <c r="D203" s="11">
        <f>VLOOKUP(A203,[2]ShobizMGMReportResults!$E:$G,3,FALSE)</f>
        <v>0</v>
      </c>
      <c r="E203" s="8">
        <f>VLOOKUP(A203,[3]ShobizDelegatesSOSBResults!$A:$C,3,FALSE)</f>
        <v>928816</v>
      </c>
      <c r="F203" s="8">
        <f t="shared" si="6"/>
        <v>928816</v>
      </c>
      <c r="G203" s="8" t="b">
        <f t="shared" si="7"/>
        <v>1</v>
      </c>
      <c r="H203" s="11"/>
    </row>
    <row r="204" spans="1:8">
      <c r="A204" s="9" t="s">
        <v>214</v>
      </c>
      <c r="B204" s="10" t="s">
        <v>9</v>
      </c>
      <c r="C204" s="11">
        <f>VLOOKUP(A204,'[1]MGM Report'!$D:$F,3,FALSE)</f>
        <v>0</v>
      </c>
      <c r="D204" s="11">
        <f>VLOOKUP(A204,[2]ShobizMGMReportResults!$E:$G,3,FALSE)</f>
        <v>0</v>
      </c>
      <c r="E204" s="8">
        <v>0</v>
      </c>
      <c r="F204" s="8">
        <f t="shared" si="6"/>
        <v>0</v>
      </c>
      <c r="G204" s="8" t="b">
        <f t="shared" si="7"/>
        <v>1</v>
      </c>
      <c r="H204" s="11"/>
    </row>
    <row r="205" spans="1:8">
      <c r="A205" s="9" t="s">
        <v>215</v>
      </c>
      <c r="B205" s="10" t="s">
        <v>9</v>
      </c>
      <c r="C205" s="11">
        <f>VLOOKUP(A205,'[1]MGM Report'!$D:$F,3,FALSE)</f>
        <v>0</v>
      </c>
      <c r="D205" s="11">
        <f>VLOOKUP(A205,[2]ShobizMGMReportResults!$E:$G,3,FALSE)</f>
        <v>0</v>
      </c>
      <c r="E205" s="8">
        <v>0</v>
      </c>
      <c r="F205" s="8">
        <f t="shared" si="6"/>
        <v>0</v>
      </c>
      <c r="G205" s="8" t="b">
        <f t="shared" si="7"/>
        <v>1</v>
      </c>
      <c r="H205" s="11"/>
    </row>
    <row r="206" spans="1:8">
      <c r="A206" s="9" t="s">
        <v>216</v>
      </c>
      <c r="B206" s="10" t="s">
        <v>9</v>
      </c>
      <c r="C206" s="11">
        <f>VLOOKUP(A206,'[1]MGM Report'!$D:$F,3,FALSE)</f>
        <v>0</v>
      </c>
      <c r="D206" s="11">
        <f>VLOOKUP(A206,[2]ShobizMGMReportResults!$E:$G,3,FALSE)</f>
        <v>0</v>
      </c>
      <c r="E206" s="8">
        <v>0</v>
      </c>
      <c r="F206" s="8">
        <f t="shared" si="6"/>
        <v>0</v>
      </c>
      <c r="G206" s="8" t="b">
        <f t="shared" si="7"/>
        <v>1</v>
      </c>
      <c r="H206" s="11"/>
    </row>
    <row r="207" spans="1:8">
      <c r="A207" s="9" t="s">
        <v>217</v>
      </c>
      <c r="B207" s="10" t="s">
        <v>9</v>
      </c>
      <c r="C207" s="11">
        <f>VLOOKUP(A207,'[1]MGM Report'!$D:$F,3,FALSE)</f>
        <v>0</v>
      </c>
      <c r="D207" s="11">
        <f>VLOOKUP(A207,[2]ShobizMGMReportResults!$E:$G,3,FALSE)</f>
        <v>0</v>
      </c>
      <c r="E207" s="8">
        <v>0</v>
      </c>
      <c r="F207" s="8">
        <f t="shared" si="6"/>
        <v>0</v>
      </c>
      <c r="G207" s="8" t="b">
        <f t="shared" si="7"/>
        <v>1</v>
      </c>
      <c r="H207" s="11"/>
    </row>
    <row r="208" spans="1:8">
      <c r="A208" s="9" t="s">
        <v>218</v>
      </c>
      <c r="B208" s="10" t="s">
        <v>9</v>
      </c>
      <c r="C208" s="11">
        <f>VLOOKUP(A208,'[1]MGM Report'!$D:$F,3,FALSE)</f>
        <v>699894</v>
      </c>
      <c r="D208" s="11">
        <f>VLOOKUP(A208,[2]ShobizMGMReportResults!$E:$G,3,FALSE)</f>
        <v>699894</v>
      </c>
      <c r="E208" s="8">
        <v>0</v>
      </c>
      <c r="F208" s="8">
        <f t="shared" si="6"/>
        <v>699894</v>
      </c>
      <c r="G208" s="8" t="b">
        <f t="shared" si="7"/>
        <v>1</v>
      </c>
      <c r="H208" s="11"/>
    </row>
    <row r="209" spans="1:8">
      <c r="A209" s="9" t="s">
        <v>219</v>
      </c>
      <c r="B209" s="10" t="s">
        <v>9</v>
      </c>
      <c r="C209" s="11">
        <f>VLOOKUP(A209,'[1]MGM Report'!$D:$F,3,FALSE)</f>
        <v>0</v>
      </c>
      <c r="D209" s="11">
        <f>VLOOKUP(A209,[2]ShobizMGMReportResults!$E:$G,3,FALSE)</f>
        <v>0</v>
      </c>
      <c r="E209" s="8">
        <v>0</v>
      </c>
      <c r="F209" s="8">
        <f t="shared" si="6"/>
        <v>0</v>
      </c>
      <c r="G209" s="8" t="b">
        <f t="shared" si="7"/>
        <v>1</v>
      </c>
      <c r="H209" s="11"/>
    </row>
    <row r="210" spans="1:8">
      <c r="A210" s="9" t="s">
        <v>220</v>
      </c>
      <c r="B210" s="10" t="s">
        <v>9</v>
      </c>
      <c r="C210" s="11">
        <f>VLOOKUP(A210,'[1]MGM Report'!$D:$F,3,FALSE)</f>
        <v>2156689</v>
      </c>
      <c r="D210" s="11">
        <f>VLOOKUP(A210,[2]ShobizMGMReportResults!$E:$G,3,FALSE)</f>
        <v>2156689</v>
      </c>
      <c r="E210" s="8">
        <v>0</v>
      </c>
      <c r="F210" s="8">
        <f t="shared" si="6"/>
        <v>2156689</v>
      </c>
      <c r="G210" s="8" t="b">
        <f t="shared" si="7"/>
        <v>1</v>
      </c>
      <c r="H210" s="11"/>
    </row>
    <row r="211" spans="1:8">
      <c r="A211" s="9" t="s">
        <v>221</v>
      </c>
      <c r="B211" s="10" t="s">
        <v>9</v>
      </c>
      <c r="C211" s="11">
        <f>VLOOKUP(A211,'[1]MGM Report'!$D:$F,3,FALSE)</f>
        <v>0</v>
      </c>
      <c r="D211" s="11">
        <f>VLOOKUP(A211,[2]ShobizMGMReportResults!$E:$G,3,FALSE)</f>
        <v>0</v>
      </c>
      <c r="E211" s="8">
        <v>0</v>
      </c>
      <c r="F211" s="8">
        <f t="shared" si="6"/>
        <v>0</v>
      </c>
      <c r="G211" s="8" t="b">
        <f t="shared" si="7"/>
        <v>1</v>
      </c>
      <c r="H211" s="11"/>
    </row>
    <row r="212" spans="1:8">
      <c r="A212" s="9" t="s">
        <v>222</v>
      </c>
      <c r="B212" s="10" t="s">
        <v>9</v>
      </c>
      <c r="C212" s="11">
        <f>VLOOKUP(A212,'[1]MGM Report'!$D:$F,3,FALSE)</f>
        <v>0</v>
      </c>
      <c r="D212" s="11">
        <f>VLOOKUP(A212,[2]ShobizMGMReportResults!$E:$G,3,FALSE)</f>
        <v>0</v>
      </c>
      <c r="E212" s="8">
        <v>0</v>
      </c>
      <c r="F212" s="8">
        <f t="shared" si="6"/>
        <v>0</v>
      </c>
      <c r="G212" s="8" t="b">
        <f t="shared" si="7"/>
        <v>1</v>
      </c>
      <c r="H212" s="11"/>
    </row>
    <row r="213" spans="1:8">
      <c r="A213" s="9" t="s">
        <v>223</v>
      </c>
      <c r="B213" s="10" t="s">
        <v>9</v>
      </c>
      <c r="C213" s="11">
        <f>VLOOKUP(A213,'[1]MGM Report'!$D:$F,3,FALSE)</f>
        <v>0</v>
      </c>
      <c r="D213" s="11">
        <f>VLOOKUP(A213,[2]ShobizMGMReportResults!$E:$G,3,FALSE)</f>
        <v>0</v>
      </c>
      <c r="E213" s="8">
        <v>0</v>
      </c>
      <c r="F213" s="8">
        <f t="shared" si="6"/>
        <v>0</v>
      </c>
      <c r="G213" s="8" t="b">
        <f t="shared" si="7"/>
        <v>1</v>
      </c>
      <c r="H213" s="11"/>
    </row>
    <row r="214" spans="1:8">
      <c r="A214" s="9" t="s">
        <v>224</v>
      </c>
      <c r="B214" s="10" t="s">
        <v>9</v>
      </c>
      <c r="C214" s="11">
        <f>VLOOKUP(A214,'[1]MGM Report'!$D:$F,3,FALSE)</f>
        <v>0</v>
      </c>
      <c r="D214" s="11">
        <f>VLOOKUP(A214,[2]ShobizMGMReportResults!$E:$G,3,FALSE)</f>
        <v>0</v>
      </c>
      <c r="E214" s="8">
        <v>0</v>
      </c>
      <c r="F214" s="8">
        <f t="shared" si="6"/>
        <v>0</v>
      </c>
      <c r="G214" s="8" t="b">
        <f t="shared" si="7"/>
        <v>1</v>
      </c>
      <c r="H214" s="11"/>
    </row>
    <row r="215" spans="1:8">
      <c r="A215" s="9" t="s">
        <v>225</v>
      </c>
      <c r="B215" s="10" t="s">
        <v>9</v>
      </c>
      <c r="C215" s="11">
        <f>VLOOKUP(A215,'[1]MGM Report'!$D:$F,3,FALSE)</f>
        <v>0</v>
      </c>
      <c r="D215" s="11">
        <f>VLOOKUP(A215,[2]ShobizMGMReportResults!$E:$G,3,FALSE)</f>
        <v>0</v>
      </c>
      <c r="E215" s="8">
        <v>0</v>
      </c>
      <c r="F215" s="8">
        <f t="shared" si="6"/>
        <v>0</v>
      </c>
      <c r="G215" s="8" t="b">
        <f t="shared" si="7"/>
        <v>1</v>
      </c>
      <c r="H215" s="11"/>
    </row>
    <row r="216" spans="1:8">
      <c r="A216" s="9" t="s">
        <v>226</v>
      </c>
      <c r="B216" s="10" t="s">
        <v>9</v>
      </c>
      <c r="C216" s="11">
        <f>VLOOKUP(A216,'[1]MGM Report'!$D:$F,3,FALSE)</f>
        <v>0</v>
      </c>
      <c r="D216" s="11">
        <f>VLOOKUP(A216,[2]ShobizMGMReportResults!$E:$G,3,FALSE)</f>
        <v>0</v>
      </c>
      <c r="E216" s="8">
        <v>0</v>
      </c>
      <c r="F216" s="8">
        <f t="shared" si="6"/>
        <v>0</v>
      </c>
      <c r="G216" s="8" t="b">
        <f t="shared" si="7"/>
        <v>1</v>
      </c>
      <c r="H216" s="11"/>
    </row>
    <row r="217" spans="1:8">
      <c r="A217" s="9" t="s">
        <v>227</v>
      </c>
      <c r="B217" s="10" t="s">
        <v>9</v>
      </c>
      <c r="C217" s="11">
        <f>VLOOKUP(A217,'[1]MGM Report'!$D:$F,3,FALSE)</f>
        <v>0</v>
      </c>
      <c r="D217" s="11">
        <f>VLOOKUP(A217,[2]ShobizMGMReportResults!$E:$G,3,FALSE)</f>
        <v>0</v>
      </c>
      <c r="E217" s="8">
        <v>0</v>
      </c>
      <c r="F217" s="8">
        <f t="shared" si="6"/>
        <v>0</v>
      </c>
      <c r="G217" s="8" t="b">
        <f t="shared" si="7"/>
        <v>1</v>
      </c>
      <c r="H217" s="11"/>
    </row>
    <row r="218" spans="1:8">
      <c r="A218" s="9" t="s">
        <v>228</v>
      </c>
      <c r="B218" s="10" t="s">
        <v>9</v>
      </c>
      <c r="C218" s="11">
        <f>VLOOKUP(A218,'[1]MGM Report'!$D:$F,3,FALSE)</f>
        <v>4235</v>
      </c>
      <c r="D218" s="11">
        <f>VLOOKUP(A218,[2]ShobizMGMReportResults!$E:$G,3,FALSE)</f>
        <v>0</v>
      </c>
      <c r="E218" s="8">
        <f>VLOOKUP(A218,[3]ShobizDelegatesSOSBResults!$A:$C,3,FALSE)</f>
        <v>4235</v>
      </c>
      <c r="F218" s="8">
        <f t="shared" si="6"/>
        <v>4235</v>
      </c>
      <c r="G218" s="8" t="b">
        <f t="shared" si="7"/>
        <v>1</v>
      </c>
      <c r="H218" s="11"/>
    </row>
    <row r="219" spans="1:8">
      <c r="A219" s="9" t="s">
        <v>229</v>
      </c>
      <c r="B219" s="10" t="s">
        <v>9</v>
      </c>
      <c r="C219" s="11">
        <f>VLOOKUP(A219,'[1]MGM Report'!$D:$F,3,FALSE)</f>
        <v>250000</v>
      </c>
      <c r="D219" s="11">
        <f>VLOOKUP(A219,[2]ShobizMGMReportResults!$E:$G,3,FALSE)</f>
        <v>250000</v>
      </c>
      <c r="E219" s="8">
        <v>0</v>
      </c>
      <c r="F219" s="8">
        <f t="shared" si="6"/>
        <v>250000</v>
      </c>
      <c r="G219" s="8" t="b">
        <f t="shared" si="7"/>
        <v>1</v>
      </c>
      <c r="H219" s="11"/>
    </row>
    <row r="220" spans="1:8">
      <c r="A220" s="9" t="s">
        <v>230</v>
      </c>
      <c r="B220" s="10" t="s">
        <v>9</v>
      </c>
      <c r="C220" s="11">
        <f>VLOOKUP(A220,'[1]MGM Report'!$D:$F,3,FALSE)</f>
        <v>0</v>
      </c>
      <c r="D220" s="11">
        <f>VLOOKUP(A220,[2]ShobizMGMReportResults!$E:$G,3,FALSE)</f>
        <v>0</v>
      </c>
      <c r="E220" s="8">
        <v>0</v>
      </c>
      <c r="F220" s="8">
        <f t="shared" si="6"/>
        <v>0</v>
      </c>
      <c r="G220" s="8" t="b">
        <f t="shared" si="7"/>
        <v>1</v>
      </c>
      <c r="H220" s="11"/>
    </row>
    <row r="221" spans="1:8">
      <c r="A221" s="9" t="s">
        <v>231</v>
      </c>
      <c r="B221" s="10" t="s">
        <v>9</v>
      </c>
      <c r="C221" s="11">
        <f>VLOOKUP(A221,'[1]MGM Report'!$D:$F,3,FALSE)</f>
        <v>0</v>
      </c>
      <c r="D221" s="11">
        <f>VLOOKUP(A221,[2]ShobizMGMReportResults!$E:$G,3,FALSE)</f>
        <v>0</v>
      </c>
      <c r="E221" s="8">
        <v>0</v>
      </c>
      <c r="F221" s="8">
        <f t="shared" si="6"/>
        <v>0</v>
      </c>
      <c r="G221" s="8" t="b">
        <f t="shared" si="7"/>
        <v>1</v>
      </c>
      <c r="H221" s="11"/>
    </row>
    <row r="222" spans="1:8">
      <c r="A222" s="9" t="s">
        <v>232</v>
      </c>
      <c r="B222" s="10" t="s">
        <v>9</v>
      </c>
      <c r="C222" s="11">
        <f>VLOOKUP(A222,'[1]MGM Report'!$D:$F,3,FALSE)</f>
        <v>1548800</v>
      </c>
      <c r="D222" s="11">
        <f>VLOOKUP(A222,[2]ShobizMGMReportResults!$E:$G,3,FALSE)</f>
        <v>1548800</v>
      </c>
      <c r="E222" s="8">
        <v>0</v>
      </c>
      <c r="F222" s="8">
        <f t="shared" si="6"/>
        <v>1548800</v>
      </c>
      <c r="G222" s="8" t="b">
        <f t="shared" si="7"/>
        <v>1</v>
      </c>
      <c r="H222" s="11"/>
    </row>
    <row r="223" spans="1:8">
      <c r="A223" s="9" t="s">
        <v>233</v>
      </c>
      <c r="B223" s="10" t="s">
        <v>9</v>
      </c>
      <c r="C223" s="11">
        <f>VLOOKUP(A223,'[1]MGM Report'!$D:$F,3,FALSE)</f>
        <v>0</v>
      </c>
      <c r="D223" s="11">
        <f>VLOOKUP(A223,[2]ShobizMGMReportResults!$E:$G,3,FALSE)</f>
        <v>0</v>
      </c>
      <c r="E223" s="8">
        <v>0</v>
      </c>
      <c r="F223" s="8">
        <f t="shared" si="6"/>
        <v>0</v>
      </c>
      <c r="G223" s="8" t="b">
        <f t="shared" si="7"/>
        <v>1</v>
      </c>
      <c r="H223" s="11"/>
    </row>
    <row r="224" spans="1:8">
      <c r="A224" s="9" t="s">
        <v>234</v>
      </c>
      <c r="B224" s="10" t="s">
        <v>9</v>
      </c>
      <c r="C224" s="11">
        <f>VLOOKUP(A224,'[1]MGM Report'!$D:$F,3,FALSE)</f>
        <v>0</v>
      </c>
      <c r="D224" s="11">
        <f>VLOOKUP(A224,[2]ShobizMGMReportResults!$E:$G,3,FALSE)</f>
        <v>0</v>
      </c>
      <c r="E224" s="8">
        <v>0</v>
      </c>
      <c r="F224" s="8">
        <f t="shared" si="6"/>
        <v>0</v>
      </c>
      <c r="G224" s="8" t="b">
        <f t="shared" si="7"/>
        <v>1</v>
      </c>
      <c r="H224" s="11"/>
    </row>
    <row r="225" spans="1:8">
      <c r="A225" s="9" t="s">
        <v>235</v>
      </c>
      <c r="B225" s="10" t="s">
        <v>9</v>
      </c>
      <c r="C225" s="11">
        <f>VLOOKUP(A225,'[1]MGM Report'!$D:$F,3,FALSE)</f>
        <v>0</v>
      </c>
      <c r="D225" s="11">
        <f>VLOOKUP(A225,[2]ShobizMGMReportResults!$E:$G,3,FALSE)</f>
        <v>0</v>
      </c>
      <c r="E225" s="8">
        <v>0</v>
      </c>
      <c r="F225" s="8">
        <f t="shared" si="6"/>
        <v>0</v>
      </c>
      <c r="G225" s="8" t="b">
        <f t="shared" si="7"/>
        <v>1</v>
      </c>
      <c r="H225" s="11"/>
    </row>
    <row r="226" spans="1:8">
      <c r="A226" s="9" t="s">
        <v>236</v>
      </c>
      <c r="B226" s="10" t="s">
        <v>9</v>
      </c>
      <c r="C226" s="11">
        <f>VLOOKUP(A226,'[1]MGM Report'!$D:$F,3,FALSE)</f>
        <v>1568753</v>
      </c>
      <c r="D226" s="11">
        <f>VLOOKUP(A226,[2]ShobizMGMReportResults!$E:$G,3,FALSE)</f>
        <v>0</v>
      </c>
      <c r="E226" s="8">
        <f>VLOOKUP(A226,[3]ShobizDelegatesSOSBResults!$A:$C,3,FALSE)</f>
        <v>1568753</v>
      </c>
      <c r="F226" s="8">
        <f t="shared" si="6"/>
        <v>1568753</v>
      </c>
      <c r="G226" s="8" t="b">
        <f t="shared" si="7"/>
        <v>1</v>
      </c>
      <c r="H226" s="11"/>
    </row>
    <row r="227" spans="1:8">
      <c r="A227" s="9" t="s">
        <v>237</v>
      </c>
      <c r="B227" s="10" t="s">
        <v>9</v>
      </c>
      <c r="C227" s="11">
        <f>VLOOKUP(A227,'[1]MGM Report'!$D:$F,3,FALSE)</f>
        <v>0</v>
      </c>
      <c r="D227" s="11">
        <f>VLOOKUP(A227,[2]ShobizMGMReportResults!$E:$G,3,FALSE)</f>
        <v>0</v>
      </c>
      <c r="E227" s="8">
        <v>0</v>
      </c>
      <c r="F227" s="8">
        <f t="shared" si="6"/>
        <v>0</v>
      </c>
      <c r="G227" s="8" t="b">
        <f t="shared" si="7"/>
        <v>1</v>
      </c>
      <c r="H227" s="11"/>
    </row>
    <row r="228" spans="1:8">
      <c r="A228" s="9" t="s">
        <v>238</v>
      </c>
      <c r="B228" s="10" t="s">
        <v>9</v>
      </c>
      <c r="C228" s="11">
        <f>VLOOKUP(A228,'[1]MGM Report'!$D:$F,3,FALSE)</f>
        <v>0</v>
      </c>
      <c r="D228" s="11">
        <f>VLOOKUP(A228,[2]ShobizMGMReportResults!$E:$G,3,FALSE)</f>
        <v>0</v>
      </c>
      <c r="E228" s="8">
        <v>0</v>
      </c>
      <c r="F228" s="8">
        <f t="shared" si="6"/>
        <v>0</v>
      </c>
      <c r="G228" s="8" t="b">
        <f t="shared" si="7"/>
        <v>1</v>
      </c>
      <c r="H228" s="11"/>
    </row>
    <row r="229" spans="1:8">
      <c r="A229" s="9" t="s">
        <v>239</v>
      </c>
      <c r="B229" s="10" t="s">
        <v>9</v>
      </c>
      <c r="C229" s="11">
        <f>VLOOKUP(A229,'[1]MGM Report'!$D:$F,3,FALSE)</f>
        <v>0</v>
      </c>
      <c r="D229" s="11">
        <f>VLOOKUP(A229,[2]ShobizMGMReportResults!$E:$G,3,FALSE)</f>
        <v>0</v>
      </c>
      <c r="E229" s="8">
        <v>0</v>
      </c>
      <c r="F229" s="8">
        <f t="shared" si="6"/>
        <v>0</v>
      </c>
      <c r="G229" s="8" t="b">
        <f t="shared" si="7"/>
        <v>1</v>
      </c>
      <c r="H229" s="11"/>
    </row>
    <row r="230" spans="1:8">
      <c r="A230" s="9" t="s">
        <v>240</v>
      </c>
      <c r="B230" s="10" t="s">
        <v>9</v>
      </c>
      <c r="C230" s="11">
        <f>VLOOKUP(A230,'[1]MGM Report'!$D:$F,3,FALSE)</f>
        <v>2475150</v>
      </c>
      <c r="D230" s="11">
        <f>VLOOKUP(A230,[2]ShobizMGMReportResults!$E:$G,3,FALSE)</f>
        <v>2475150</v>
      </c>
      <c r="E230" s="8">
        <v>0</v>
      </c>
      <c r="F230" s="8">
        <f t="shared" si="6"/>
        <v>2475150</v>
      </c>
      <c r="G230" s="8" t="b">
        <f t="shared" si="7"/>
        <v>1</v>
      </c>
      <c r="H230" s="11"/>
    </row>
    <row r="231" spans="1:8">
      <c r="A231" s="9" t="s">
        <v>241</v>
      </c>
      <c r="B231" s="10" t="s">
        <v>9</v>
      </c>
      <c r="C231" s="11">
        <f>VLOOKUP(A231,'[1]MGM Report'!$D:$F,3,FALSE)</f>
        <v>0</v>
      </c>
      <c r="D231" s="11">
        <f>VLOOKUP(A231,[2]ShobizMGMReportResults!$E:$G,3,FALSE)</f>
        <v>0</v>
      </c>
      <c r="E231" s="8">
        <v>0</v>
      </c>
      <c r="F231" s="8">
        <f t="shared" si="6"/>
        <v>0</v>
      </c>
      <c r="G231" s="8" t="b">
        <f t="shared" si="7"/>
        <v>1</v>
      </c>
      <c r="H231" s="11"/>
    </row>
    <row r="232" spans="1:8">
      <c r="A232" s="9" t="s">
        <v>242</v>
      </c>
      <c r="B232" s="10" t="s">
        <v>9</v>
      </c>
      <c r="C232" s="11">
        <f>VLOOKUP(A232,'[1]MGM Report'!$D:$F,3,FALSE)</f>
        <v>0</v>
      </c>
      <c r="D232" s="11">
        <f>VLOOKUP(A232,[2]ShobizMGMReportResults!$E:$G,3,FALSE)</f>
        <v>0</v>
      </c>
      <c r="E232" s="8">
        <v>0</v>
      </c>
      <c r="F232" s="8">
        <f t="shared" si="6"/>
        <v>0</v>
      </c>
      <c r="G232" s="8" t="b">
        <f t="shared" si="7"/>
        <v>1</v>
      </c>
      <c r="H232" s="11"/>
    </row>
    <row r="233" spans="1:8">
      <c r="A233" s="9" t="s">
        <v>243</v>
      </c>
      <c r="B233" s="10" t="s">
        <v>9</v>
      </c>
      <c r="C233" s="11">
        <f>VLOOKUP(A233,'[1]MGM Report'!$D:$F,3,FALSE)</f>
        <v>0</v>
      </c>
      <c r="D233" s="11">
        <f>VLOOKUP(A233,[2]ShobizMGMReportResults!$E:$G,3,FALSE)</f>
        <v>0</v>
      </c>
      <c r="E233" s="8">
        <v>0</v>
      </c>
      <c r="F233" s="8">
        <f t="shared" si="6"/>
        <v>0</v>
      </c>
      <c r="G233" s="8" t="b">
        <f t="shared" si="7"/>
        <v>1</v>
      </c>
      <c r="H233" s="11"/>
    </row>
    <row r="234" spans="1:8">
      <c r="A234" s="9" t="s">
        <v>244</v>
      </c>
      <c r="B234" s="10" t="s">
        <v>9</v>
      </c>
      <c r="C234" s="11">
        <f>VLOOKUP(A234,'[1]MGM Report'!$D:$F,3,FALSE)</f>
        <v>7892880</v>
      </c>
      <c r="D234" s="11">
        <f>VLOOKUP(A234,[2]ShobizMGMReportResults!$E:$G,3,FALSE)</f>
        <v>0</v>
      </c>
      <c r="E234" s="8">
        <f>VLOOKUP(A234,[3]ShobizDelegatesSOSBResults!$A:$C,3,FALSE)</f>
        <v>7892880</v>
      </c>
      <c r="F234" s="8">
        <f t="shared" si="6"/>
        <v>7892880</v>
      </c>
      <c r="G234" s="8" t="b">
        <f t="shared" si="7"/>
        <v>1</v>
      </c>
      <c r="H234" s="11"/>
    </row>
    <row r="235" spans="1:8">
      <c r="A235" s="9" t="s">
        <v>245</v>
      </c>
      <c r="B235" s="10" t="s">
        <v>9</v>
      </c>
      <c r="C235" s="11">
        <f>VLOOKUP(A235,'[1]MGM Report'!$D:$F,3,FALSE)</f>
        <v>0</v>
      </c>
      <c r="D235" s="11">
        <f>VLOOKUP(A235,[2]ShobizMGMReportResults!$E:$G,3,FALSE)</f>
        <v>0</v>
      </c>
      <c r="E235" s="8">
        <f>VLOOKUP(A235,[3]ShobizDelegatesSOSBResults!$A:$C,3,FALSE)</f>
        <v>0</v>
      </c>
      <c r="F235" s="8">
        <f t="shared" si="6"/>
        <v>0</v>
      </c>
      <c r="G235" s="8" t="b">
        <f t="shared" si="7"/>
        <v>1</v>
      </c>
      <c r="H235" s="11"/>
    </row>
    <row r="236" spans="1:8">
      <c r="A236" s="9" t="s">
        <v>246</v>
      </c>
      <c r="B236" s="10" t="s">
        <v>9</v>
      </c>
      <c r="C236" s="11">
        <f>VLOOKUP(A236,'[1]MGM Report'!$D:$F,3,FALSE)</f>
        <v>9178650</v>
      </c>
      <c r="D236" s="11">
        <f>VLOOKUP(A236,[2]ShobizMGMReportResults!$E:$G,3,FALSE)</f>
        <v>9178650</v>
      </c>
      <c r="E236" s="8">
        <v>0</v>
      </c>
      <c r="F236" s="8">
        <f t="shared" si="6"/>
        <v>9178650</v>
      </c>
      <c r="G236" s="8" t="b">
        <f t="shared" si="7"/>
        <v>1</v>
      </c>
      <c r="H236" s="11"/>
    </row>
    <row r="237" spans="1:8">
      <c r="A237" s="9" t="s">
        <v>247</v>
      </c>
      <c r="B237" s="10" t="s">
        <v>9</v>
      </c>
      <c r="C237" s="11">
        <f>VLOOKUP(A237,'[1]MGM Report'!$D:$F,3,FALSE)</f>
        <v>6873500</v>
      </c>
      <c r="D237" s="11">
        <f>VLOOKUP(A237,[2]ShobizMGMReportResults!$E:$G,3,FALSE)</f>
        <v>6873500</v>
      </c>
      <c r="E237" s="8">
        <v>0</v>
      </c>
      <c r="F237" s="8">
        <f t="shared" si="6"/>
        <v>6873500</v>
      </c>
      <c r="G237" s="8" t="b">
        <f t="shared" si="7"/>
        <v>1</v>
      </c>
      <c r="H237" s="11"/>
    </row>
    <row r="238" spans="1:8">
      <c r="A238" s="9" t="s">
        <v>248</v>
      </c>
      <c r="B238" s="10" t="s">
        <v>9</v>
      </c>
      <c r="C238" s="11">
        <f>VLOOKUP(A238,'[1]MGM Report'!$D:$F,3,FALSE)</f>
        <v>14000000</v>
      </c>
      <c r="D238" s="11">
        <f>VLOOKUP(A238,[2]ShobizMGMReportResults!$E:$G,3,FALSE)</f>
        <v>14000000</v>
      </c>
      <c r="E238" s="8">
        <v>0</v>
      </c>
      <c r="F238" s="8">
        <f t="shared" si="6"/>
        <v>14000000</v>
      </c>
      <c r="G238" s="8" t="b">
        <f t="shared" si="7"/>
        <v>1</v>
      </c>
      <c r="H238" s="11"/>
    </row>
    <row r="239" spans="1:8">
      <c r="A239" s="9" t="s">
        <v>249</v>
      </c>
      <c r="B239" s="10" t="s">
        <v>9</v>
      </c>
      <c r="C239" s="11">
        <f>VLOOKUP(A239,'[1]MGM Report'!$D:$F,3,FALSE)</f>
        <v>7613750</v>
      </c>
      <c r="D239" s="11">
        <f>VLOOKUP(A239,[2]ShobizMGMReportResults!$E:$G,3,FALSE)</f>
        <v>7613750</v>
      </c>
      <c r="E239" s="8">
        <v>0</v>
      </c>
      <c r="F239" s="8">
        <f t="shared" si="6"/>
        <v>7613750</v>
      </c>
      <c r="G239" s="8" t="b">
        <f t="shared" si="7"/>
        <v>1</v>
      </c>
      <c r="H239" s="11"/>
    </row>
    <row r="240" ht="15.25" spans="1:8">
      <c r="A240" s="17" t="s">
        <v>250</v>
      </c>
      <c r="B240" s="18" t="s">
        <v>9</v>
      </c>
      <c r="C240" s="19">
        <f>VLOOKUP(A240,'[1]MGM Report'!$D:$F,3,FALSE)</f>
        <v>134164</v>
      </c>
      <c r="D240" s="19">
        <v>0</v>
      </c>
      <c r="E240" s="20">
        <f>VLOOKUP(A240,[3]ShobizDelegatesSOSBResults!$A:$C,3,FALSE)</f>
        <v>134164</v>
      </c>
      <c r="F240" s="20">
        <f t="shared" si="6"/>
        <v>134164</v>
      </c>
      <c r="G240" s="20" t="b">
        <f t="shared" si="7"/>
        <v>1</v>
      </c>
      <c r="H240" s="19"/>
    </row>
    <row r="241" ht="15.25" spans="1:8">
      <c r="A241" s="1" t="s">
        <v>251</v>
      </c>
      <c r="B241" s="21"/>
      <c r="C241" s="3">
        <v>225127337.85</v>
      </c>
      <c r="D241" s="22">
        <f>SUM(D2:D240)</f>
        <v>184516775.56</v>
      </c>
      <c r="E241" s="22">
        <f>SUM(E2:E240)</f>
        <v>29266064.29</v>
      </c>
      <c r="F241" s="22" t="e">
        <f>SUM(F2:F240)</f>
        <v>#VALUE!</v>
      </c>
      <c r="G241" s="3"/>
      <c r="H241" s="5"/>
    </row>
    <row r="244" spans="6:6">
      <c r="F244" s="23"/>
    </row>
    <row r="245" spans="6:6">
      <c r="F245" s="23"/>
    </row>
  </sheetData>
  <autoFilter xmlns:etc="http://www.wps.cn/officeDocument/2017/etCustomData" ref="A1:H2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2025-09-11T06:33:41Z</dcterms:created>
  <dcterms:modified xsi:type="dcterms:W3CDTF">2025-09-11T09:25:04Z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EC9A313E0B6E447FA4C23EBB12251685_11</vt:lpwstr>
  </property>
  <property fmtid="{D5CDD505-2E9C-101B-9397-08002B2CF9AE}" pid="3" name="KSOProductBuildVer">
    <vt:lpwstr>1033-12.2.0.22530</vt:lpwstr>
  </property>
</Properties>
</file>