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lientwise Comparison" sheetId="1" r:id="rId1"/>
    <sheet name="NS Balance" sheetId="2" r:id="rId2"/>
    <sheet name="Tally Balance" sheetId="3" r:id="rId3"/>
    <sheet name="Sheet1" sheetId="4" r:id="rId4"/>
  </sheets>
  <definedNames>
    <definedName name="_xlnm._FilterDatabase" localSheetId="0" hidden="1">'Clientwise Comparison'!$A$1:$R$225</definedName>
    <definedName name="_xlnm._FilterDatabase" localSheetId="2" hidden="1">'Tally Balance'!$A$1:$E$428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<sst xmlns="http://schemas.openxmlformats.org/spreadsheetml/2006/main" count="1222" uniqueCount="535">
  <si>
    <t>NS Debit</t>
  </si>
  <si>
    <t>Tally Debit</t>
  </si>
  <si>
    <t>Is Matched</t>
  </si>
  <si>
    <t>Reason</t>
  </si>
  <si>
    <t>NS Credit</t>
  </si>
  <si>
    <t>Tally Credit</t>
  </si>
  <si>
    <t>NC Closing</t>
  </si>
  <si>
    <t>Tally Closing</t>
  </si>
  <si>
    <t xml:space="preserve"> Accenture Solutions Pvt Ltd</t>
  </si>
  <si>
    <t>SB21386</t>
  </si>
  <si>
    <t>SB22376</t>
  </si>
  <si>
    <t>SB22511</t>
  </si>
  <si>
    <t>SB22526</t>
  </si>
  <si>
    <t>SB22570</t>
  </si>
  <si>
    <t>SB22600</t>
  </si>
  <si>
    <t>SB22632</t>
  </si>
  <si>
    <t xml:space="preserve"> Clarivate Analytics India Pvt Ltd</t>
  </si>
  <si>
    <t>SB22581</t>
  </si>
  <si>
    <t xml:space="preserve"> Indian Explosives Pvt Ltd</t>
  </si>
  <si>
    <t>SB22347</t>
  </si>
  <si>
    <t>NTT DATA Business Solutions Pvt Ltd</t>
  </si>
  <si>
    <t>SB22384</t>
  </si>
  <si>
    <t>A/2025/PB Exe/0891 - 470.0 in NS</t>
  </si>
  <si>
    <t>Difference of 70950</t>
  </si>
  <si>
    <t xml:space="preserve"> SAP India Pvt Ltd</t>
  </si>
  <si>
    <t>SB22124</t>
  </si>
  <si>
    <t>SB22428</t>
  </si>
  <si>
    <t>SB22540</t>
  </si>
  <si>
    <t>Difference of 405</t>
  </si>
  <si>
    <t xml:space="preserve"> Thoughtworks Technologies India Pvt Ltd</t>
  </si>
  <si>
    <t>SB22443</t>
  </si>
  <si>
    <t xml:space="preserve"> Autodesk India Pvt Ltd</t>
  </si>
  <si>
    <t>SB22399</t>
  </si>
  <si>
    <t xml:space="preserve"> CA (India)Technologies Pvt Ltd</t>
  </si>
  <si>
    <t>SB22317</t>
  </si>
  <si>
    <t xml:space="preserve"> Hitachi Vantara India Pvt Ltd</t>
  </si>
  <si>
    <t>SB22223</t>
  </si>
  <si>
    <t>SB22268</t>
  </si>
  <si>
    <t>SB22321</t>
  </si>
  <si>
    <t>SB22545</t>
  </si>
  <si>
    <t>SB22580</t>
  </si>
  <si>
    <t>SB22616</t>
  </si>
  <si>
    <t>Jamf India Pvt Ltd</t>
  </si>
  <si>
    <t>SB22485</t>
  </si>
  <si>
    <t>SB22579</t>
  </si>
  <si>
    <t xml:space="preserve"> Red Hat India Pvt Ltd</t>
  </si>
  <si>
    <t>SB22323</t>
  </si>
  <si>
    <t>SB22326</t>
  </si>
  <si>
    <t>SB22400</t>
  </si>
  <si>
    <t>SB22439</t>
  </si>
  <si>
    <t>SB22638</t>
  </si>
  <si>
    <t xml:space="preserve"> ServiceNow Software Development India Pvt Ltd</t>
  </si>
  <si>
    <t>SB22325</t>
  </si>
  <si>
    <t>SB22541</t>
  </si>
  <si>
    <t>SB22587</t>
  </si>
  <si>
    <t>SB22607</t>
  </si>
  <si>
    <t xml:space="preserve"> Skyflow Labs India Pvt Ltd</t>
  </si>
  <si>
    <t>SB22520</t>
  </si>
  <si>
    <t xml:space="preserve"> TATA Consultancy Services Ltd</t>
  </si>
  <si>
    <t>SB22518</t>
  </si>
  <si>
    <t>SB22585</t>
  </si>
  <si>
    <t>SB22606</t>
  </si>
  <si>
    <t>TechnoBind Solutions Pvt Ltd</t>
  </si>
  <si>
    <t>SB22621</t>
  </si>
  <si>
    <t xml:space="preserve"> Vmware Software India Pvt Ltd</t>
  </si>
  <si>
    <t>SB22513</t>
  </si>
  <si>
    <t xml:space="preserve"> Dbs Bank India Ltd</t>
  </si>
  <si>
    <t>SB22416</t>
  </si>
  <si>
    <t>SB22492</t>
  </si>
  <si>
    <t xml:space="preserve">A/2025/PB/001469 - 17915.0 in NS
</t>
  </si>
  <si>
    <t>SB22506</t>
  </si>
  <si>
    <t>SB22567</t>
  </si>
  <si>
    <t>SB22583</t>
  </si>
  <si>
    <t xml:space="preserve"> Asus Global Pte Ltd</t>
  </si>
  <si>
    <t>SB22584</t>
  </si>
  <si>
    <t xml:space="preserve"> BP Business Solutions India Pvt Ltd</t>
  </si>
  <si>
    <t>SB22564</t>
  </si>
  <si>
    <t>SB22575</t>
  </si>
  <si>
    <t>SB22582</t>
  </si>
  <si>
    <t xml:space="preserve"> Citi Bank</t>
  </si>
  <si>
    <t>SB22536</t>
  </si>
  <si>
    <t xml:space="preserve"> Hindustan Unilever Ltd</t>
  </si>
  <si>
    <t>SB22324</t>
  </si>
  <si>
    <t>SB22354</t>
  </si>
  <si>
    <t>SB22387</t>
  </si>
  <si>
    <t>SB22395</t>
  </si>
  <si>
    <t>SB22410</t>
  </si>
  <si>
    <t>SB22465</t>
  </si>
  <si>
    <t>Difference of 145000</t>
  </si>
  <si>
    <t>SB22491</t>
  </si>
  <si>
    <t>SB22495</t>
  </si>
  <si>
    <t>SB22503</t>
  </si>
  <si>
    <t>SB22552</t>
  </si>
  <si>
    <t>SB22566</t>
  </si>
  <si>
    <t>SB22586</t>
  </si>
  <si>
    <t>SB22602</t>
  </si>
  <si>
    <t>SB22645</t>
  </si>
  <si>
    <t xml:space="preserve"> IKEA India Pvt Ltd</t>
  </si>
  <si>
    <t>SB22595</t>
  </si>
  <si>
    <t>SB22609</t>
  </si>
  <si>
    <t>Indian Electrical &amp; Electronics</t>
  </si>
  <si>
    <t>SB22401</t>
  </si>
  <si>
    <t xml:space="preserve"> Intel Technology India Pvt Ltd</t>
  </si>
  <si>
    <t>SB22571</t>
  </si>
  <si>
    <t>No credit entry present in NS</t>
  </si>
  <si>
    <t>Jubilant Foodworks Ltd</t>
  </si>
  <si>
    <t>SB22422</t>
  </si>
  <si>
    <t>Lightspeed India Partners Advisors LLP</t>
  </si>
  <si>
    <t>SB22392</t>
  </si>
  <si>
    <t>SB22548</t>
  </si>
  <si>
    <t xml:space="preserve"> Mahindra &amp; Mahindra Ltd</t>
  </si>
  <si>
    <t>SB22538</t>
  </si>
  <si>
    <t>Shobiz Experiential Communications Pvt Ltd-Mum</t>
  </si>
  <si>
    <t>SB21992</t>
  </si>
  <si>
    <t xml:space="preserve"> Metro Cash &amp; Carry India Pvt Ltd</t>
  </si>
  <si>
    <t>SB22550</t>
  </si>
  <si>
    <t xml:space="preserve"> Nvidia Graphics Pvt Ltd</t>
  </si>
  <si>
    <t>SB21859</t>
  </si>
  <si>
    <t>SB22512</t>
  </si>
  <si>
    <t xml:space="preserve"> Siemens Ltd</t>
  </si>
  <si>
    <t>SB22327</t>
  </si>
  <si>
    <t>SB22369</t>
  </si>
  <si>
    <t>SB22375</t>
  </si>
  <si>
    <t>SB22391</t>
  </si>
  <si>
    <t>SB22394</t>
  </si>
  <si>
    <t>SB22449</t>
  </si>
  <si>
    <t>SB22494</t>
  </si>
  <si>
    <t>SB22501</t>
  </si>
  <si>
    <t>SB22502</t>
  </si>
  <si>
    <t>SB22537</t>
  </si>
  <si>
    <t>SB22549</t>
  </si>
  <si>
    <t>SB22578</t>
  </si>
  <si>
    <t>SB22594</t>
  </si>
  <si>
    <t>SB22608</t>
  </si>
  <si>
    <t>SB22619</t>
  </si>
  <si>
    <t>SB22641</t>
  </si>
  <si>
    <t xml:space="preserve"> Singapore Investcorp India Pvt Ltd</t>
  </si>
  <si>
    <t>SB22332</t>
  </si>
  <si>
    <t>Wella India Pvt Ltd</t>
  </si>
  <si>
    <t>SB22472</t>
  </si>
  <si>
    <t>Air India Express Ltd</t>
  </si>
  <si>
    <t>SB22509</t>
  </si>
  <si>
    <t xml:space="preserve"> Amazon Pay (India) Pvt Ltd</t>
  </si>
  <si>
    <t>SB22282</t>
  </si>
  <si>
    <t xml:space="preserve"> Amazon Seller Services India Pvt Ltd</t>
  </si>
  <si>
    <t>SB22205</t>
  </si>
  <si>
    <t>SB22411</t>
  </si>
  <si>
    <t>SB22487</t>
  </si>
  <si>
    <t>SB22504</t>
  </si>
  <si>
    <t>SB22524</t>
  </si>
  <si>
    <t>SB22547</t>
  </si>
  <si>
    <t>SB22555</t>
  </si>
  <si>
    <t>SB22556</t>
  </si>
  <si>
    <t>SB22573</t>
  </si>
  <si>
    <t>SB22589</t>
  </si>
  <si>
    <t>SB22604</t>
  </si>
  <si>
    <t>SB22610</t>
  </si>
  <si>
    <t>SB22635</t>
  </si>
  <si>
    <t>SB22642</t>
  </si>
  <si>
    <t>SB22651</t>
  </si>
  <si>
    <t>SB22652</t>
  </si>
  <si>
    <t>SB22654</t>
  </si>
  <si>
    <t>SB22659</t>
  </si>
  <si>
    <t xml:space="preserve"> Apparel Resources Pvt Ltd</t>
  </si>
  <si>
    <t>SB22565</t>
  </si>
  <si>
    <t xml:space="preserve"> Bangalore International Airport Ltd</t>
  </si>
  <si>
    <t>SB22190</t>
  </si>
  <si>
    <t>SB22363</t>
  </si>
  <si>
    <t>SB22471</t>
  </si>
  <si>
    <t xml:space="preserve"> Brookprop Property Management Services Pvt Ltd</t>
  </si>
  <si>
    <t>SB22065</t>
  </si>
  <si>
    <t>SB22417</t>
  </si>
  <si>
    <t>SB22461</t>
  </si>
  <si>
    <t>SB22479</t>
  </si>
  <si>
    <t>Missing entry in NS - 3416869.5</t>
  </si>
  <si>
    <t>SB22543</t>
  </si>
  <si>
    <t>Difference of 1372057.5</t>
  </si>
  <si>
    <t>SB22639</t>
  </si>
  <si>
    <t>Bumblebee Networks</t>
  </si>
  <si>
    <t>SB22611</t>
  </si>
  <si>
    <t>CIO Association</t>
  </si>
  <si>
    <t>SB22444</t>
  </si>
  <si>
    <t>Indo-French Chamber Of Commerce &amp; Industry</t>
  </si>
  <si>
    <t>SB22647</t>
  </si>
  <si>
    <t>SB22374</t>
  </si>
  <si>
    <t>SB22397</t>
  </si>
  <si>
    <t>SB22508</t>
  </si>
  <si>
    <t>SB22605</t>
  </si>
  <si>
    <t xml:space="preserve"> Novo Nordisk India Pvt Ltd</t>
  </si>
  <si>
    <t>SB22470</t>
  </si>
  <si>
    <t>SB22625</t>
  </si>
  <si>
    <t>Novo Nordisk Pharma (Singapore) Pte Ltd</t>
  </si>
  <si>
    <t>SB22601</t>
  </si>
  <si>
    <t xml:space="preserve"> Pernod Ricard India Pvt Ltd</t>
  </si>
  <si>
    <t>SB22311</t>
  </si>
  <si>
    <t xml:space="preserve"> Phonepe Pvt Ltd</t>
  </si>
  <si>
    <t>SB22451</t>
  </si>
  <si>
    <t>SB22624</t>
  </si>
  <si>
    <t xml:space="preserve"> Redington Ltd</t>
  </si>
  <si>
    <t>SB21947</t>
  </si>
  <si>
    <t>SB22488</t>
  </si>
  <si>
    <t xml:space="preserve"> SAP Labs India Pvt Ltd</t>
  </si>
  <si>
    <t>SB22083</t>
  </si>
  <si>
    <t>SB22289</t>
  </si>
  <si>
    <t>SB22338</t>
  </si>
  <si>
    <t>SB22599</t>
  </si>
  <si>
    <t xml:space="preserve"> Softcell Technologies Global Pvt Ltd</t>
  </si>
  <si>
    <t>SB22433</t>
  </si>
  <si>
    <t xml:space="preserve"> STT Global Data Centres India Pvt Ltd</t>
  </si>
  <si>
    <t>SB22156</t>
  </si>
  <si>
    <t>SB22629</t>
  </si>
  <si>
    <t>Superhealth Hospitals Pvt Ltd</t>
  </si>
  <si>
    <t>SB22588</t>
  </si>
  <si>
    <t xml:space="preserve"> Tally Solutions Pvt Ltd</t>
  </si>
  <si>
    <t>SB22614</t>
  </si>
  <si>
    <t xml:space="preserve"> WM Global Technology Services India Pvt Ltd</t>
  </si>
  <si>
    <t>SB22636</t>
  </si>
  <si>
    <t>SB22643</t>
  </si>
  <si>
    <t xml:space="preserve"> Astrazeneca India Pvt Ltd</t>
  </si>
  <si>
    <t>SB22572</t>
  </si>
  <si>
    <t xml:space="preserve"> Cognizant Technology Solutions India Pvt Ltd</t>
  </si>
  <si>
    <t>SB22280</t>
  </si>
  <si>
    <t>SB22424</t>
  </si>
  <si>
    <t>C/2025/JV/0070
C/2025/JV/0072 - 831439.27 in NS</t>
  </si>
  <si>
    <t>SB22446</t>
  </si>
  <si>
    <t>SB22469</t>
  </si>
  <si>
    <t>SB22529</t>
  </si>
  <si>
    <t>SB22534</t>
  </si>
  <si>
    <t xml:space="preserve">
</t>
  </si>
  <si>
    <t>SB22546</t>
  </si>
  <si>
    <t>SB22558</t>
  </si>
  <si>
    <t>SB22593</t>
  </si>
  <si>
    <t>SB22617</t>
  </si>
  <si>
    <t>SB22633</t>
  </si>
  <si>
    <t>SB22649</t>
  </si>
  <si>
    <t>Ki Mobility Solutions Pvt Ltd</t>
  </si>
  <si>
    <t>SB22453</t>
  </si>
  <si>
    <t xml:space="preserve"> NatWest Digital Services India Pvt Ltd (RBS Services India Pvt Ltd)</t>
  </si>
  <si>
    <t>SB22366</t>
  </si>
  <si>
    <t>SB22532</t>
  </si>
  <si>
    <t>SB22627</t>
  </si>
  <si>
    <t>SB22637</t>
  </si>
  <si>
    <t xml:space="preserve"> Renault Nissan Technology &amp; Business Centre India Pvt Ltd</t>
  </si>
  <si>
    <t>SB22356</t>
  </si>
  <si>
    <t>SB22523</t>
  </si>
  <si>
    <t>SB22576</t>
  </si>
  <si>
    <t xml:space="preserve"> Tvs Srichakra Ltd</t>
  </si>
  <si>
    <t>SB22445</t>
  </si>
  <si>
    <t>SB22597</t>
  </si>
  <si>
    <t xml:space="preserve"> Adobe Systems India Pvt Ltd</t>
  </si>
  <si>
    <t>SB22592</t>
  </si>
  <si>
    <t xml:space="preserve"> Amway India Enterprises Pvt Ltd</t>
  </si>
  <si>
    <t>SB22381</t>
  </si>
  <si>
    <t>SB22405</t>
  </si>
  <si>
    <t>SB22539</t>
  </si>
  <si>
    <t>Asia Pacific Travel Retail Association</t>
  </si>
  <si>
    <t>SB22437</t>
  </si>
  <si>
    <t xml:space="preserve"> BYD India Pvt Ltd</t>
  </si>
  <si>
    <t>SB22272</t>
  </si>
  <si>
    <t xml:space="preserve"> Dell International Services India Pvt Ltd</t>
  </si>
  <si>
    <t>SB22305</t>
  </si>
  <si>
    <t>SB22306</t>
  </si>
  <si>
    <t>SB22318</t>
  </si>
  <si>
    <t>SB22319</t>
  </si>
  <si>
    <t>SB22320</t>
  </si>
  <si>
    <t>SB22396</t>
  </si>
  <si>
    <t xml:space="preserve"> Delta Electronics India Pvt Ltd</t>
  </si>
  <si>
    <t>SB22278</t>
  </si>
  <si>
    <t xml:space="preserve"> GitHub India Pvt Ltd</t>
  </si>
  <si>
    <t>SB22344</t>
  </si>
  <si>
    <t>SB22404</t>
  </si>
  <si>
    <t>SB22527</t>
  </si>
  <si>
    <t xml:space="preserve"> Greenlam Industries Ltd</t>
  </si>
  <si>
    <t>SB22612</t>
  </si>
  <si>
    <t xml:space="preserve"> Hewlett Packard Enterprise India Pvt Ltd</t>
  </si>
  <si>
    <t>SB22254</t>
  </si>
  <si>
    <t xml:space="preserve"> Infosys Ltd</t>
  </si>
  <si>
    <t>SB22316</t>
  </si>
  <si>
    <t xml:space="preserve"> Lenovo Global Technology (India) Pvt Ltd</t>
  </si>
  <si>
    <t>SB22448</t>
  </si>
  <si>
    <t xml:space="preserve"> Microsoft Corporation (I) Pvt Ltd</t>
  </si>
  <si>
    <t>SB22622</t>
  </si>
  <si>
    <t xml:space="preserve"> Minda Corporation Ltd</t>
  </si>
  <si>
    <t>SB22158</t>
  </si>
  <si>
    <t xml:space="preserve"> OnePlus Technology India Pvt Ltd</t>
  </si>
  <si>
    <t>SB22343</t>
  </si>
  <si>
    <t>SB22498</t>
  </si>
  <si>
    <t>SB22551</t>
  </si>
  <si>
    <t>SB22557</t>
  </si>
  <si>
    <t>SB22574</t>
  </si>
  <si>
    <t>SB22656</t>
  </si>
  <si>
    <t xml:space="preserve"> Orient Electric Ltd</t>
  </si>
  <si>
    <t>SB22115</t>
  </si>
  <si>
    <t xml:space="preserve"> Sheela Foam Ltd</t>
  </si>
  <si>
    <t>SB22329</t>
  </si>
  <si>
    <t>The Boston Consulting Group (India) Pvt Ltd</t>
  </si>
  <si>
    <t>SB22459</t>
  </si>
  <si>
    <t xml:space="preserve"> Innocean Worldwide Communication Pvt Ltd</t>
  </si>
  <si>
    <t>SB22204</t>
  </si>
  <si>
    <t>SB22460</t>
  </si>
  <si>
    <t>SB22615</t>
  </si>
  <si>
    <t>SB22618</t>
  </si>
  <si>
    <t>SB22414</t>
  </si>
  <si>
    <t>SB22559</t>
  </si>
  <si>
    <t>SB22560</t>
  </si>
  <si>
    <t>Check Entry Present in NS might not be in Tally: 9500</t>
  </si>
  <si>
    <t>SB22623</t>
  </si>
  <si>
    <t xml:space="preserve"> Google India Pvt Ltd</t>
  </si>
  <si>
    <t>SB22263</t>
  </si>
  <si>
    <t>SB22477</t>
  </si>
  <si>
    <t xml:space="preserve"> Hero Motocorp Ltd</t>
  </si>
  <si>
    <t>SB22475</t>
  </si>
  <si>
    <t>SB22483</t>
  </si>
  <si>
    <t>SB22577</t>
  </si>
  <si>
    <t>SB22646</t>
  </si>
  <si>
    <t>Kiran Nadar Museum of Art</t>
  </si>
  <si>
    <t>SB22598</t>
  </si>
  <si>
    <t xml:space="preserve"> Tata Motors Ltd</t>
  </si>
  <si>
    <t>SB22500</t>
  </si>
  <si>
    <t xml:space="preserve"> Vinfast Auto India Pvt Ltd</t>
  </si>
  <si>
    <t>SB22159</t>
  </si>
  <si>
    <t>SB22613</t>
  </si>
  <si>
    <t xml:space="preserve"> Vivo Mobile India Pvt Ltd</t>
  </si>
  <si>
    <t>SB22455</t>
  </si>
  <si>
    <t>SB22569</t>
  </si>
  <si>
    <t>SB21466</t>
  </si>
  <si>
    <t>Location</t>
  </si>
  <si>
    <t>Department</t>
  </si>
  <si>
    <t>Customer</t>
  </si>
  <si>
    <t>Project</t>
  </si>
  <si>
    <t>Opening Balance</t>
  </si>
  <si>
    <t>Total Debit</t>
  </si>
  <si>
    <t>Total Credit</t>
  </si>
  <si>
    <t>Closing Balance</t>
  </si>
  <si>
    <t>10008 Asia Pacific Travel Retail Association</t>
  </si>
  <si>
    <t>10043 Kiran Nadar Museum of Art</t>
  </si>
  <si>
    <t>10046 Lightspeed India Partners Advisors LLP</t>
  </si>
  <si>
    <t>10088 CIO Association</t>
  </si>
  <si>
    <t>10108 Indian Electrical &amp; Electronics</t>
  </si>
  <si>
    <t>10203  Accenture Solutions Pvt Ltd</t>
  </si>
  <si>
    <t>SB22516</t>
  </si>
  <si>
    <t>10467  Adobe Systems India Pvt Ltd</t>
  </si>
  <si>
    <t>10555  Amazon Pay (India) Pvt Ltd</t>
  </si>
  <si>
    <t>10642  Amazon Seller Services India Pvt Ltd</t>
  </si>
  <si>
    <t>10469  Amway India Enterprises Pvt Ltd</t>
  </si>
  <si>
    <t>10383  Apparel Resources Pvt Ltd</t>
  </si>
  <si>
    <t>10297  Astrazeneca India Pvt Ltd</t>
  </si>
  <si>
    <t>10558  Autodesk India Pvt Ltd</t>
  </si>
  <si>
    <t>10560  BP Business Solutions India Pvt Ltd</t>
  </si>
  <si>
    <t>10389  Brookprop Property Management Services Pvt Ltd</t>
  </si>
  <si>
    <t>10562  BYD India Pvt Ltd</t>
  </si>
  <si>
    <t>10126  CA (India)Technologies Pvt Ltd</t>
  </si>
  <si>
    <t>10305  Citi Bank</t>
  </si>
  <si>
    <t>10566  Clarivate Analytics India Pvt Ltd</t>
  </si>
  <si>
    <t>10306  Cognizant Technology Solutions India Pvt Ltd</t>
  </si>
  <si>
    <t>10221  Dbs Bank India Ltd</t>
  </si>
  <si>
    <t>SB22456</t>
  </si>
  <si>
    <t>10397  Dell International Services India Pvt Ltd</t>
  </si>
  <si>
    <t>SB22251</t>
  </si>
  <si>
    <t>SB22561</t>
  </si>
  <si>
    <t>SB22563</t>
  </si>
  <si>
    <t>SB22562</t>
  </si>
  <si>
    <t>10664  GitHub India Pvt Ltd</t>
  </si>
  <si>
    <t>10141  Google India Pvt Ltd</t>
  </si>
  <si>
    <t>10493  Greenlam Industries Ltd</t>
  </si>
  <si>
    <t>10496  Hero Motocorp Ltd</t>
  </si>
  <si>
    <t>10669  Hewlett Packard Enterprise India Pvt Ltd</t>
  </si>
  <si>
    <t>10412  Hindustan Unilever Ltd</t>
  </si>
  <si>
    <t>10583  Hitachi Vantara India Pvt Ltd</t>
  </si>
  <si>
    <t>10324  IKEA India Pvt Ltd</t>
  </si>
  <si>
    <t>10325  Infosys Ltd</t>
  </si>
  <si>
    <t>10587  Innocean Worldwide Communication Pvt Ltd</t>
  </si>
  <si>
    <t>10588  Intel Technology India Pvt Ltd</t>
  </si>
  <si>
    <t>10419  Ki Mobility Solutions Pvt Ltd</t>
  </si>
  <si>
    <t>10592  Kotak Mahindra Bank Ltd</t>
  </si>
  <si>
    <t>SB22650</t>
  </si>
  <si>
    <t>10505  Lenovo Global Technology (India) Pvt Ltd</t>
  </si>
  <si>
    <t>10333  Mahindra &amp; Mahindra Ltd</t>
  </si>
  <si>
    <t>10246  Metro Cash &amp; Carry India Pvt Ltd</t>
  </si>
  <si>
    <t>10426  Microsoft Corporation (I) Pvt Ltd</t>
  </si>
  <si>
    <t>10249  NatWest Digital Services India Pvt Ltd (RBS Services India Pvt Ltd)</t>
  </si>
  <si>
    <t>10516  Novo Nordisk India Pvt Ltd</t>
  </si>
  <si>
    <t>10431  Nvidia Graphics Pvt Ltd</t>
  </si>
  <si>
    <t>10518  OnePlus Technology India Pvt Ltd</t>
  </si>
  <si>
    <t>10258  Phonepe Pvt Ltd</t>
  </si>
  <si>
    <t>10174  Red Hat India Pvt Ltd</t>
  </si>
  <si>
    <t>10261  Redington Ltd</t>
  </si>
  <si>
    <t>10262  Renault Nissan Technology &amp; Business Centre India Pvt Ltd</t>
  </si>
  <si>
    <t>10177  SAP India Pvt Ltd</t>
  </si>
  <si>
    <t>10264  SAP Labs India Pvt Ltd</t>
  </si>
  <si>
    <t>10181  Siemens Ltd</t>
  </si>
  <si>
    <t>10533  Softcell Technologies Global Pvt Ltd</t>
  </si>
  <si>
    <t>10273  STT Global Data Centres India Pvt Ltd</t>
  </si>
  <si>
    <t>10711  Tally Solutions Pvt Ltd</t>
  </si>
  <si>
    <t>10188  TATA Consultancy Services Ltd</t>
  </si>
  <si>
    <t>10539  Tata Motors Ltd</t>
  </si>
  <si>
    <t>10629  The Indian Express Pvt Ltd</t>
  </si>
  <si>
    <t>SB22089</t>
  </si>
  <si>
    <t>10281  Thoughtworks Technologies India Pvt Ltd</t>
  </si>
  <si>
    <t>10196  Tvs Srichakra Ltd</t>
  </si>
  <si>
    <t>10722  Vinfast Auto India Pvt Ltd</t>
  </si>
  <si>
    <t>10285  Vivo Mobile India Pvt Ltd</t>
  </si>
  <si>
    <t>10374  Vmware Software India Pvt Ltd</t>
  </si>
  <si>
    <t>10288  WM Global Technology Services India Pvt Ltd</t>
  </si>
  <si>
    <t>10121  Asus Global Pte Ltd</t>
  </si>
  <si>
    <t>10346  Orient Electric Ltd</t>
  </si>
  <si>
    <t>10336  Minda Corporation Ltd</t>
  </si>
  <si>
    <t>10385  Bangalore International Airport Ltd</t>
  </si>
  <si>
    <t>10569  Delta Electronics India Pvt Ltd</t>
  </si>
  <si>
    <t>10171  Pernod Ricard India Pvt Ltd</t>
  </si>
  <si>
    <t>10179  ServiceNow Software Development India Pvt Ltd</t>
  </si>
  <si>
    <t>10266  Sheela Foam Ltd</t>
  </si>
  <si>
    <t>10586  Indian Explosives Pvt Ltd</t>
  </si>
  <si>
    <t>10619  Singapore Investcorp India Pvt Ltd</t>
  </si>
  <si>
    <t>10706  Skyflow Labs India Pvt Ltd</t>
  </si>
  <si>
    <t>10727 Air India Express Ltd</t>
  </si>
  <si>
    <t>10738 Jubilant Foodworks Ltd</t>
  </si>
  <si>
    <t>10741 NTT DATA Business Solutions Pvt Ltd</t>
  </si>
  <si>
    <t>10746 The Boston Consulting Group (India) Pvt Ltd</t>
  </si>
  <si>
    <t>10748 Wella India Pvt Ltd</t>
  </si>
  <si>
    <t>10751 Jamf India Pvt Ltd</t>
  </si>
  <si>
    <t>10753 Superhealth Hospitals Pvt Ltd</t>
  </si>
  <si>
    <t>10757 Novo Nordisk Pharma (Singapore) Pte Ltd</t>
  </si>
  <si>
    <t>10759 Bumblebee Networks</t>
  </si>
  <si>
    <t>10764 TechnoBind Solutions Pvt Ltd</t>
  </si>
  <si>
    <t>10765 Shobiz Experiential Communications Pvt Ltd-Mum</t>
  </si>
  <si>
    <t>10769 Indo-French Chamber Of Commerce &amp; Industry</t>
  </si>
  <si>
    <t>Debit</t>
  </si>
  <si>
    <t>Credit</t>
  </si>
  <si>
    <t>Closing</t>
  </si>
  <si>
    <t>BU1R</t>
  </si>
  <si>
    <t>ClarivateAnalyticsIndiaPvtLtd-BU1R</t>
  </si>
  <si>
    <t>IndianExplosivesPvtLtd(Dr)-Mum</t>
  </si>
  <si>
    <t>NttDataBusinessSolutionsPvtLtd-(Dr)-Mum</t>
  </si>
  <si>
    <t>SAPIndiaPvt.Ltd.-BU1R</t>
  </si>
  <si>
    <t>ThoughtworksTechnologiesIndiaPvtLtd-BU1R</t>
  </si>
  <si>
    <t>BU1Sohan</t>
  </si>
  <si>
    <t>AutodeskIndiaPvtLtd-BU1</t>
  </si>
  <si>
    <t>CA(India)TechnologiesPvtLtd(DR)-Mum</t>
  </si>
  <si>
    <t>HitachiVantaraIndiaPrivateLimited-BU1Sohan</t>
  </si>
  <si>
    <t>JamfIndiaPvtLtd</t>
  </si>
  <si>
    <t>RedHatIndiaPvtLtd-BU1S</t>
  </si>
  <si>
    <t>ServiceNowSoftwareDevelopmentIndiaPvtLtd(Dr)-Mum</t>
  </si>
  <si>
    <t>SkyflowLabsIndiaPvtLtd</t>
  </si>
  <si>
    <t>TATAConsultancyServicesLtd-BU1S</t>
  </si>
  <si>
    <t>TechnoBindSolutionsPvtLtd-(Dr)-Mum</t>
  </si>
  <si>
    <t>VmwareSoftwareIndiaPvt.Ltd.-BU1Sohan</t>
  </si>
  <si>
    <t>BU2S</t>
  </si>
  <si>
    <t>DBSBankIndiaLtd-BU2S</t>
  </si>
  <si>
    <t>BU6</t>
  </si>
  <si>
    <t>AsusGlobalPteLtd(DR)-Mum</t>
  </si>
  <si>
    <t>BPBusinessSolutionsIndiaPvtLtd-BU6</t>
  </si>
  <si>
    <t>CitiBank(Dr)-Mum</t>
  </si>
  <si>
    <t>HINDUSTANUNILEVERLIMITED-BU6</t>
  </si>
  <si>
    <t>IKEAIndiaPvtLtd-BU6</t>
  </si>
  <si>
    <t>IndianElectrical&amp;Electronics(Dr)-Mum</t>
  </si>
  <si>
    <t>IntelTechnologyIndiaPrivateLimited-BU6</t>
  </si>
  <si>
    <t>JubilantFoodworksLtd-BU6</t>
  </si>
  <si>
    <t>LightspeedIndiaPartnersAdvisorsLLP-BU6</t>
  </si>
  <si>
    <t>MahindraandMahindraLtd-BU6</t>
  </si>
  <si>
    <t>MeetingExpenses-BU6</t>
  </si>
  <si>
    <t>Metrocash&amp;carryIndiaPvtLtd-BU6</t>
  </si>
  <si>
    <t>NvidiaGraphicsPvtLtd-BU6</t>
  </si>
  <si>
    <t>SiemensLtd-BU6</t>
  </si>
  <si>
    <t>SingaporeInvestcorpIndiaPvtLtd(Dr)-Mum</t>
  </si>
  <si>
    <t>WellaIndiaPvtLtd(Dr)-Mum</t>
  </si>
  <si>
    <t>B-Bangalore</t>
  </si>
  <si>
    <t>BU9</t>
  </si>
  <si>
    <t>3MIndiaLtd-BU9</t>
  </si>
  <si>
    <t>AirIndiaExpressLtd-Dr-Blr</t>
  </si>
  <si>
    <t>AmazonPay(India)PvtLtd-Mum</t>
  </si>
  <si>
    <t>AmazonSellerServicesIndiaPvtLtd-BU9</t>
  </si>
  <si>
    <t>ApparelResourcesPvtLtd-BU9</t>
  </si>
  <si>
    <t>BangaloreInternationalAirportLimited(Dr)-Blr</t>
  </si>
  <si>
    <t>BrookpropPropertyManagementServicesPvtLtd(DR)-Mum</t>
  </si>
  <si>
    <t>BumblebeeNetworks(Dr)-Blr</t>
  </si>
  <si>
    <t>CIOAssociation(Dr)-Blr</t>
  </si>
  <si>
    <t>Indo-FrenchChamberOfCommerce&amp;Industry(Dr)-Blr</t>
  </si>
  <si>
    <t>IntelTechnologyIndiaPrivateLimited-BU9</t>
  </si>
  <si>
    <t>NovoNordiskIndiaPvtLtd-BU9</t>
  </si>
  <si>
    <t>NovoNordiskPharma(Singapore)Pte.Ltd(Dr)-Mum</t>
  </si>
  <si>
    <t>PernodRicardIndiaPvtLtd-BU9</t>
  </si>
  <si>
    <t>PhonePePvtLtd-BU9</t>
  </si>
  <si>
    <t>RedingtonLtd-Mum</t>
  </si>
  <si>
    <t>SAPLabsIndiaPvt.Ltd.-BU9</t>
  </si>
  <si>
    <t>SoftcellTechnologiesGlobalPvtLtd-BU9</t>
  </si>
  <si>
    <t>STTGlobalDataCentresIndiaPvtLtd-BU9</t>
  </si>
  <si>
    <t>SuperhealthHospitalsPvtLtd.(Dr)-Blr</t>
  </si>
  <si>
    <t>TallySolutionsPvtLtd-BU9</t>
  </si>
  <si>
    <t>WMGlobalTechnologyServicesIndiaPvtLtd-BU9</t>
  </si>
  <si>
    <t>C-Chennai</t>
  </si>
  <si>
    <t>BU8</t>
  </si>
  <si>
    <t>AstrazenecaIndiaPrivateLimited(Dr)-Che</t>
  </si>
  <si>
    <t>CognizantTechnologySolutionsIndiaPvtLtd-BU8</t>
  </si>
  <si>
    <t>KiMobilitySolutionsPrivateLimited(OldName:PeninsulaAutoPartsPvtLtd)-BU8</t>
  </si>
  <si>
    <t>SB22453-Canceld</t>
  </si>
  <si>
    <t>NatWestDigitalServicesIndiaPvtLtd(FormerlyKnownasRBSServicesIndiaPvtLtd)-BU8</t>
  </si>
  <si>
    <t>RenaultNissanTechnology&amp;BusinessCentreIndiaPvtLtd-BU8</t>
  </si>
  <si>
    <t>TVSSRICHAKRALIMITD-BU8</t>
  </si>
  <si>
    <t>D-Delhi</t>
  </si>
  <si>
    <t>BU7A</t>
  </si>
  <si>
    <t>AdobeSystemsIndiaPvt.Ltd.-BU7A</t>
  </si>
  <si>
    <t>AmwayIndiaEnterprisesPvtLtd</t>
  </si>
  <si>
    <t>AsiaPacificTravelRetailAssociation-BU7A</t>
  </si>
  <si>
    <t>BYDIndiaPvtLtd-BU7A</t>
  </si>
  <si>
    <t>DellInternationalServicesIndiaPvtLtd-BU7</t>
  </si>
  <si>
    <t>DeltaElectronicsIndiaPvtLtd(Dr)-Del</t>
  </si>
  <si>
    <t>GithubIndiaPvtLtd-BU7A</t>
  </si>
  <si>
    <t>GreenlamIndustriesLimited-BU7A</t>
  </si>
  <si>
    <t>HewlettPackardEnterpriseIndiaPvtLtd-BU7A</t>
  </si>
  <si>
    <t>InfosysLimited-BU7A</t>
  </si>
  <si>
    <t>LenovoGlobalTechnology(India)PvtLtd-BU7</t>
  </si>
  <si>
    <t>MicrosoftCorporation(I)Pvt.Ltd.-BU7A</t>
  </si>
  <si>
    <t>MindaCorporationLimited(DR)-Del</t>
  </si>
  <si>
    <t>OnePlusTechnologyIndiaPvtLtd-BU7A</t>
  </si>
  <si>
    <t>OrientElectricLtd-Del</t>
  </si>
  <si>
    <t>SheelaFoamLtd(DR)-Mum</t>
  </si>
  <si>
    <t>TheBostonConsultingGroup(India)PvtLtd(Dr)-Mum</t>
  </si>
  <si>
    <t>BU7A(Old)</t>
  </si>
  <si>
    <t>InnoceanWorldwideCommunicationPvt.Ltd.-BU7A</t>
  </si>
  <si>
    <t>BU7K</t>
  </si>
  <si>
    <t>AdobeSystemsIndiaPvt.Ltd.-BU7K</t>
  </si>
  <si>
    <t>HewlettPackardEnterpriseIndiaPvtLtd-BU7K</t>
  </si>
  <si>
    <t>BU7P</t>
  </si>
  <si>
    <t>GoogleIndiaPrivateLimited-BU7P</t>
  </si>
  <si>
    <t>HeroMotocorpLtd-BU7P</t>
  </si>
  <si>
    <t>KiranNadarMuseumofArt</t>
  </si>
  <si>
    <t>TATAMOTORSLTD</t>
  </si>
  <si>
    <t>VinfastAutoIndiaPvtLtd-Del</t>
  </si>
  <si>
    <t>VivoMobileIndiaPrivateLimited-BU7</t>
  </si>
  <si>
    <t>General</t>
  </si>
  <si>
    <t>SaiChakraHotelsPvt.Ltd.</t>
  </si>
  <si>
    <t>NA</t>
  </si>
  <si>
    <t>GrandTotal</t>
  </si>
  <si>
    <t xml:space="preserve">727580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</si>
</sst>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5"/>
  <sheetViews>
    <sheetView tabSelected="1" zoomScaleSheetLayoutView="60" topLeftCell="A8" workbookViewId="0">
      <selection activeCell="B27" sqref="A1:L225"/>
    </sheetView>
  </sheetViews>
  <sheetFormatPr defaultColWidth="9.81818181818182" defaultRowHeight="14.5"/>
  <cols>
    <col min="1" max="1" width="60.7272727272727" customWidth="1"/>
    <col min="2" max="2" width="16.4545454545455" style="6" customWidth="1"/>
    <col min="3" max="4" width="12.8181818181818" style="6"/>
    <col min="5" max="5" width="11.7272727272727" style="6"/>
    <col min="6" max="6" width="34.4545454545455" style="6" customWidth="1"/>
    <col min="7" max="9" width="12.8181818181818" style="6"/>
    <col min="10" max="10" width="26" style="6" customWidth="1"/>
    <col min="11" max="12" width="11.7272727272727" style="6"/>
  </cols>
  <sheetData>
    <row r="1" spans="1:12">
      <c r="A1" s="2"/>
      <c r="B1" s="7"/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2</v>
      </c>
      <c r="J1" s="7" t="s">
        <v>3</v>
      </c>
      <c r="K1" s="7" t="s">
        <v>6</v>
      </c>
      <c r="L1" s="6" t="s">
        <v>7</v>
      </c>
    </row>
    <row r="2" spans="1:12">
      <c r="A2" s="2" t="s">
        <v>8</v>
      </c>
      <c r="B2" s="7" t="s">
        <v>9</v>
      </c>
      <c r="C2" s="7">
        <f>VLOOKUP(B2,'NS Balance'!D:F,3,FALSE)</f>
        <v>394474</v>
      </c>
      <c r="D2" s="7">
        <f>VLOOKUP(B2,'Tally Balance'!A:C,3,FALSE)</f>
        <v>394474</v>
      </c>
      <c r="E2" s="7" t="b">
        <f>C2=D2</f>
        <v>1</v>
      </c>
      <c r="F2" s="7"/>
      <c r="G2" s="7">
        <f>VLOOKUP(B2,'NS Balance'!D:G,4,FALSE)</f>
        <v>0</v>
      </c>
      <c r="H2" s="7">
        <f>VLOOKUP(B2,'Tally Balance'!A:D,4,FALSE)</f>
        <v>0</v>
      </c>
      <c r="I2" s="7" t="b">
        <f>G2=H2</f>
        <v>1</v>
      </c>
      <c r="J2" s="9"/>
      <c r="K2" s="7"/>
      <c r="L2" s="6">
        <f>VLOOKUP(B2,'Tally Balance'!A:E,5,FALSE)</f>
        <v>394474</v>
      </c>
    </row>
    <row r="3" spans="1:12">
      <c r="A3" s="2" t="s">
        <v>8</v>
      </c>
      <c r="B3" s="7" t="s">
        <v>10</v>
      </c>
      <c r="C3" s="7">
        <f>VLOOKUP(B3,'NS Balance'!D:F,3,FALSE)</f>
        <v>326914</v>
      </c>
      <c r="D3" s="7">
        <f>VLOOKUP(B3,'Tally Balance'!A:C,3,FALSE)</f>
        <v>326914</v>
      </c>
      <c r="E3" s="7" t="b">
        <f t="shared" ref="E3:E66" si="0">C3=D3</f>
        <v>1</v>
      </c>
      <c r="F3" s="7"/>
      <c r="G3" s="7">
        <f>VLOOKUP(B3,'NS Balance'!D:G,4,FALSE)</f>
        <v>309507</v>
      </c>
      <c r="H3" s="7">
        <f>VLOOKUP(B3,'Tally Balance'!A:D,4,FALSE)</f>
        <v>309507</v>
      </c>
      <c r="I3" s="7" t="b">
        <f t="shared" ref="I3:I66" si="1">G3=H3</f>
        <v>1</v>
      </c>
      <c r="J3" s="7"/>
      <c r="K3" s="7"/>
      <c r="L3" s="6">
        <f>VLOOKUP(B3,'Tally Balance'!A:E,5,FALSE)</f>
        <v>17407</v>
      </c>
    </row>
    <row r="4" spans="1:12">
      <c r="A4" s="2" t="s">
        <v>8</v>
      </c>
      <c r="B4" s="7" t="s">
        <v>11</v>
      </c>
      <c r="C4" s="7">
        <f>VLOOKUP(B4,'NS Balance'!D:F,3,FALSE)</f>
        <v>1800000</v>
      </c>
      <c r="D4" s="7">
        <f>VLOOKUP(B4,'Tally Balance'!A:C,3,FALSE)</f>
        <v>1800000</v>
      </c>
      <c r="E4" s="7" t="b">
        <f t="shared" si="0"/>
        <v>1</v>
      </c>
      <c r="F4" s="7"/>
      <c r="G4" s="7">
        <f>VLOOKUP(B4,'NS Balance'!D:G,4,FALSE)</f>
        <v>2400000</v>
      </c>
      <c r="H4" s="7">
        <f>VLOOKUP(B4,'Tally Balance'!A:D,4,FALSE)</f>
        <v>2400000</v>
      </c>
      <c r="I4" s="7" t="b">
        <f t="shared" si="1"/>
        <v>1</v>
      </c>
      <c r="J4" s="7"/>
      <c r="K4" s="7"/>
      <c r="L4" s="6">
        <f>VLOOKUP(B4,'Tally Balance'!A:E,5,FALSE)</f>
        <v>600000</v>
      </c>
    </row>
    <row r="5" spans="1:12">
      <c r="A5" s="2" t="s">
        <v>8</v>
      </c>
      <c r="B5" s="7" t="s">
        <v>12</v>
      </c>
      <c r="C5" s="7">
        <f>VLOOKUP(B5,'NS Balance'!D:F,3,FALSE)</f>
        <v>115008</v>
      </c>
      <c r="D5" s="7">
        <f>VLOOKUP(B5,'Tally Balance'!A:C,3,FALSE)</f>
        <v>115008</v>
      </c>
      <c r="E5" s="7" t="b">
        <f t="shared" si="0"/>
        <v>1</v>
      </c>
      <c r="F5" s="7"/>
      <c r="G5" s="7">
        <f>VLOOKUP(B5,'NS Balance'!D:G,4,FALSE)</f>
        <v>121792</v>
      </c>
      <c r="H5" s="7">
        <f>VLOOKUP(B5,'Tally Balance'!A:D,4,FALSE)</f>
        <v>121792</v>
      </c>
      <c r="I5" s="7" t="b">
        <f t="shared" si="1"/>
        <v>1</v>
      </c>
      <c r="J5" s="7"/>
      <c r="K5" s="7"/>
      <c r="L5" s="6">
        <f>VLOOKUP(B5,'Tally Balance'!A:E,5,FALSE)</f>
        <v>6784</v>
      </c>
    </row>
    <row r="6" spans="1:12">
      <c r="A6" s="2" t="s">
        <v>8</v>
      </c>
      <c r="B6" s="7" t="s">
        <v>13</v>
      </c>
      <c r="C6" s="7">
        <f>VLOOKUP(B6,'NS Balance'!D:F,3,FALSE)</f>
        <v>94380</v>
      </c>
      <c r="D6" s="7">
        <f>VLOOKUP(B6,'Tally Balance'!A:C,3,FALSE)</f>
        <v>94380</v>
      </c>
      <c r="E6" s="7" t="b">
        <f t="shared" si="0"/>
        <v>1</v>
      </c>
      <c r="F6" s="7"/>
      <c r="G6" s="7">
        <f>VLOOKUP(B6,'NS Balance'!D:G,4,FALSE)</f>
        <v>171050</v>
      </c>
      <c r="H6" s="7">
        <f>VLOOKUP(B6,'Tally Balance'!A:D,4,FALSE)</f>
        <v>171050</v>
      </c>
      <c r="I6" s="7" t="b">
        <f t="shared" si="1"/>
        <v>1</v>
      </c>
      <c r="J6" s="7"/>
      <c r="K6" s="7"/>
      <c r="L6" s="6">
        <f>VLOOKUP(B6,'Tally Balance'!A:E,5,FALSE)</f>
        <v>76670</v>
      </c>
    </row>
    <row r="7" spans="1:12">
      <c r="A7" s="2" t="s">
        <v>8</v>
      </c>
      <c r="B7" s="7" t="s">
        <v>14</v>
      </c>
      <c r="C7" s="7">
        <f>VLOOKUP(B7,'NS Balance'!D:F,3,FALSE)</f>
        <v>149700</v>
      </c>
      <c r="D7" s="7">
        <f>VLOOKUP(B7,'Tally Balance'!A:C,3,FALSE)</f>
        <v>149700</v>
      </c>
      <c r="E7" s="7" t="b">
        <f t="shared" si="0"/>
        <v>1</v>
      </c>
      <c r="F7" s="7"/>
      <c r="G7" s="7">
        <f>VLOOKUP(B7,'NS Balance'!D:G,4,FALSE)</f>
        <v>192016</v>
      </c>
      <c r="H7" s="7">
        <f>VLOOKUP(B7,'Tally Balance'!A:D,4,FALSE)</f>
        <v>192016</v>
      </c>
      <c r="I7" s="7" t="b">
        <f t="shared" si="1"/>
        <v>1</v>
      </c>
      <c r="J7" s="7"/>
      <c r="K7" s="7"/>
      <c r="L7" s="6">
        <f>VLOOKUP(B7,'Tally Balance'!A:E,5,FALSE)</f>
        <v>42316</v>
      </c>
    </row>
    <row r="8" spans="1:12">
      <c r="A8" s="2" t="s">
        <v>8</v>
      </c>
      <c r="B8" s="7" t="s">
        <v>15</v>
      </c>
      <c r="C8" s="7">
        <f>VLOOKUP(B8,'NS Balance'!D:F,3,FALSE)</f>
        <v>431402</v>
      </c>
      <c r="D8" s="7">
        <f>VLOOKUP(B8,'Tally Balance'!A:C,3,FALSE)</f>
        <v>431402</v>
      </c>
      <c r="E8" s="7" t="b">
        <f t="shared" si="0"/>
        <v>1</v>
      </c>
      <c r="F8" s="7"/>
      <c r="G8" s="7">
        <f>VLOOKUP(B8,'NS Balance'!D:G,4,FALSE)</f>
        <v>553080</v>
      </c>
      <c r="H8" s="7">
        <f>VLOOKUP(B8,'Tally Balance'!A:D,4,FALSE)</f>
        <v>553080</v>
      </c>
      <c r="I8" s="7" t="b">
        <f t="shared" si="1"/>
        <v>1</v>
      </c>
      <c r="J8" s="7"/>
      <c r="K8" s="7"/>
      <c r="L8" s="6">
        <f>VLOOKUP(B8,'Tally Balance'!A:E,5,FALSE)</f>
        <v>121678</v>
      </c>
    </row>
    <row r="9" spans="1:12">
      <c r="A9" s="2" t="s">
        <v>16</v>
      </c>
      <c r="B9" s="7" t="s">
        <v>17</v>
      </c>
      <c r="C9" s="7">
        <f>VLOOKUP(B9,'NS Balance'!D:F,3,FALSE)</f>
        <v>511290</v>
      </c>
      <c r="D9" s="7">
        <f>VLOOKUP(B9,'Tally Balance'!A:C,3,FALSE)</f>
        <v>511290</v>
      </c>
      <c r="E9" s="7" t="b">
        <f t="shared" si="0"/>
        <v>1</v>
      </c>
      <c r="F9" s="7"/>
      <c r="G9" s="7">
        <f>VLOOKUP(B9,'NS Balance'!D:G,4,FALSE)</f>
        <v>771075</v>
      </c>
      <c r="H9" s="7">
        <f>VLOOKUP(B9,'Tally Balance'!A:D,4,FALSE)</f>
        <v>771075</v>
      </c>
      <c r="I9" s="7" t="b">
        <f t="shared" si="1"/>
        <v>1</v>
      </c>
      <c r="J9" s="7"/>
      <c r="K9" s="7"/>
      <c r="L9" s="6">
        <f>VLOOKUP(B9,'Tally Balance'!A:E,5,FALSE)</f>
        <v>259785</v>
      </c>
    </row>
    <row r="10" spans="1:12">
      <c r="A10" s="2" t="s">
        <v>18</v>
      </c>
      <c r="B10" s="7" t="s">
        <v>19</v>
      </c>
      <c r="C10" s="7">
        <f>VLOOKUP(B10,'NS Balance'!D:F,3,FALSE)</f>
        <v>83600</v>
      </c>
      <c r="D10" s="7">
        <f>VLOOKUP(B10,'Tally Balance'!A:C,3,FALSE)</f>
        <v>83600</v>
      </c>
      <c r="E10" s="7" t="b">
        <f t="shared" si="0"/>
        <v>1</v>
      </c>
      <c r="F10" s="7"/>
      <c r="G10" s="7">
        <f>VLOOKUP(B10,'NS Balance'!D:G,4,FALSE)</f>
        <v>83600</v>
      </c>
      <c r="H10" s="7">
        <f>VLOOKUP(B10,'Tally Balance'!A:D,4,FALSE)</f>
        <v>83600</v>
      </c>
      <c r="I10" s="7" t="b">
        <f t="shared" si="1"/>
        <v>1</v>
      </c>
      <c r="J10" s="7"/>
      <c r="K10" s="7"/>
      <c r="L10" s="6">
        <f>VLOOKUP(B10,'Tally Balance'!A:E,5,FALSE)</f>
        <v>0</v>
      </c>
    </row>
    <row r="11" spans="1:12">
      <c r="A11" s="2" t="s">
        <v>20</v>
      </c>
      <c r="B11" s="8" t="s">
        <v>21</v>
      </c>
      <c r="C11" s="8">
        <f>VLOOKUP(B11,'NS Balance'!D:F,3,FALSE)</f>
        <v>727580</v>
      </c>
      <c r="D11" s="8">
        <f>VLOOKUP(B11,'Tally Balance'!A:C,3,FALSE)</f>
        <v>727110</v>
      </c>
      <c r="E11" s="8" t="b">
        <f t="shared" si="0"/>
        <v>0</v>
      </c>
      <c r="F11" s="9" t="s">
        <v>22</v>
      </c>
      <c r="G11" s="10">
        <f>VLOOKUP(B11,'NS Balance'!D:G,4,FALSE)</f>
        <v>1226174</v>
      </c>
      <c r="H11" s="10">
        <f>VLOOKUP(B11,'Tally Balance'!A:D,4,FALSE)</f>
        <v>1155224</v>
      </c>
      <c r="I11" s="10" t="b">
        <f t="shared" si="1"/>
        <v>0</v>
      </c>
      <c r="J11" s="7" t="s">
        <v>23</v>
      </c>
      <c r="K11" s="7"/>
      <c r="L11" s="6">
        <f>VLOOKUP(B11,'Tally Balance'!A:E,5,FALSE)</f>
        <v>428114</v>
      </c>
    </row>
    <row r="12" spans="1:12">
      <c r="A12" s="2" t="s">
        <v>24</v>
      </c>
      <c r="B12" s="7" t="s">
        <v>25</v>
      </c>
      <c r="C12" s="7">
        <f>VLOOKUP(B12,'NS Balance'!D:F,3,FALSE)</f>
        <v>1545455</v>
      </c>
      <c r="D12" s="7">
        <f>VLOOKUP(B12,'Tally Balance'!A:C,3,FALSE)</f>
        <v>1545455</v>
      </c>
      <c r="E12" s="7" t="b">
        <f t="shared" si="0"/>
        <v>1</v>
      </c>
      <c r="F12" s="7"/>
      <c r="G12" s="7">
        <f>VLOOKUP(B12,'NS Balance'!D:G,4,FALSE)</f>
        <v>1545455</v>
      </c>
      <c r="H12" s="7">
        <f>VLOOKUP(B12,'Tally Balance'!A:D,4,FALSE)</f>
        <v>1545455</v>
      </c>
      <c r="I12" s="7" t="b">
        <f t="shared" si="1"/>
        <v>1</v>
      </c>
      <c r="J12" s="7"/>
      <c r="K12" s="7"/>
      <c r="L12" s="6">
        <f>VLOOKUP(B12,'Tally Balance'!A:E,5,FALSE)</f>
        <v>0</v>
      </c>
    </row>
    <row r="13" spans="1:12">
      <c r="A13" s="2" t="s">
        <v>24</v>
      </c>
      <c r="B13" s="7" t="s">
        <v>26</v>
      </c>
      <c r="C13" s="7">
        <f>VLOOKUP(B13,'NS Balance'!D:F,3,FALSE)</f>
        <v>5842385.06</v>
      </c>
      <c r="D13" s="7">
        <f>VLOOKUP(B13,'Tally Balance'!A:C,3,FALSE)</f>
        <v>5842385.06</v>
      </c>
      <c r="E13" s="7" t="b">
        <f t="shared" si="0"/>
        <v>1</v>
      </c>
      <c r="F13" s="7"/>
      <c r="G13" s="7">
        <f>VLOOKUP(B13,'NS Balance'!D:G,4,FALSE)</f>
        <v>5842385.06</v>
      </c>
      <c r="H13" s="7">
        <f>VLOOKUP(B13,'Tally Balance'!A:D,4,FALSE)</f>
        <v>5842385.06</v>
      </c>
      <c r="I13" s="7" t="b">
        <f t="shared" si="1"/>
        <v>1</v>
      </c>
      <c r="J13" s="7"/>
      <c r="K13" s="7"/>
      <c r="L13" s="6">
        <f>VLOOKUP(B13,'Tally Balance'!A:E,5,FALSE)</f>
        <v>0</v>
      </c>
    </row>
    <row r="14" s="5" customFormat="1" spans="1:12">
      <c r="A14" s="11" t="s">
        <v>24</v>
      </c>
      <c r="B14" s="11" t="s">
        <v>27</v>
      </c>
      <c r="C14" s="11">
        <f>VLOOKUP(B14,'NS Balance'!D:F,3,FALSE)</f>
        <v>40227752.83</v>
      </c>
      <c r="D14" s="11">
        <f>VLOOKUP(B14,'Tally Balance'!A:C,3,FALSE)</f>
        <v>40227347.83</v>
      </c>
      <c r="E14" s="11" t="b">
        <f t="shared" si="0"/>
        <v>0</v>
      </c>
      <c r="F14" s="11" t="s">
        <v>28</v>
      </c>
      <c r="G14" s="11">
        <f>VLOOKUP(B14,'NS Balance'!D:G,4,FALSE)</f>
        <v>46041000</v>
      </c>
      <c r="H14" s="11">
        <f>VLOOKUP(B14,'Tally Balance'!A:D,4,FALSE)</f>
        <v>46041000</v>
      </c>
      <c r="I14" s="11" t="b">
        <f t="shared" si="1"/>
        <v>1</v>
      </c>
      <c r="J14" s="11"/>
      <c r="K14" s="11"/>
      <c r="L14" s="5">
        <f>VLOOKUP(B14,'Tally Balance'!A:E,5,FALSE)</f>
        <v>5813652.17</v>
      </c>
    </row>
    <row r="15" spans="1:12">
      <c r="A15" s="2" t="s">
        <v>29</v>
      </c>
      <c r="B15" s="7" t="s">
        <v>30</v>
      </c>
      <c r="C15" s="7">
        <f>VLOOKUP(B15,'NS Balance'!D:F,3,FALSE)</f>
        <v>14500</v>
      </c>
      <c r="D15" s="7">
        <f>VLOOKUP(B15,'Tally Balance'!A:C,3,FALSE)</f>
        <v>14500</v>
      </c>
      <c r="E15" s="7" t="b">
        <f t="shared" si="0"/>
        <v>1</v>
      </c>
      <c r="F15" s="7"/>
      <c r="G15" s="7">
        <f>VLOOKUP(B15,'NS Balance'!D:G,4,FALSE)</f>
        <v>14500</v>
      </c>
      <c r="H15" s="7">
        <f>VLOOKUP(B15,'Tally Balance'!A:D,4,FALSE)</f>
        <v>14500</v>
      </c>
      <c r="I15" s="7" t="b">
        <f t="shared" si="1"/>
        <v>1</v>
      </c>
      <c r="J15" s="7"/>
      <c r="K15" s="7"/>
      <c r="L15" s="6">
        <f>VLOOKUP(B15,'Tally Balance'!A:E,5,FALSE)</f>
        <v>0</v>
      </c>
    </row>
    <row r="16" spans="1:12">
      <c r="A16" s="2" t="s">
        <v>31</v>
      </c>
      <c r="B16" s="7" t="s">
        <v>32</v>
      </c>
      <c r="C16" s="7">
        <f>VLOOKUP(B16,'NS Balance'!D:F,3,FALSE)</f>
        <v>12350</v>
      </c>
      <c r="D16" s="7">
        <f>VLOOKUP(B16,'Tally Balance'!A:C,3,FALSE)</f>
        <v>12350</v>
      </c>
      <c r="E16" s="7" t="b">
        <f t="shared" si="0"/>
        <v>1</v>
      </c>
      <c r="F16" s="7"/>
      <c r="G16" s="7">
        <f>VLOOKUP(B16,'NS Balance'!D:G,4,FALSE)</f>
        <v>12350</v>
      </c>
      <c r="H16" s="7">
        <f>VLOOKUP(B16,'Tally Balance'!A:D,4,FALSE)</f>
        <v>12350</v>
      </c>
      <c r="I16" s="7" t="b">
        <f t="shared" si="1"/>
        <v>1</v>
      </c>
      <c r="J16" s="7"/>
      <c r="K16" s="7"/>
      <c r="L16" s="6">
        <f>VLOOKUP(B16,'Tally Balance'!A:E,5,FALSE)</f>
        <v>0</v>
      </c>
    </row>
    <row r="17" spans="1:12">
      <c r="A17" s="2" t="s">
        <v>33</v>
      </c>
      <c r="B17" s="7" t="s">
        <v>34</v>
      </c>
      <c r="C17" s="7">
        <f>VLOOKUP(B17,'NS Balance'!D:F,3,FALSE)</f>
        <v>2031969.5</v>
      </c>
      <c r="D17" s="7">
        <f>VLOOKUP(B17,'Tally Balance'!A:C,3,FALSE)</f>
        <v>2031969.5</v>
      </c>
      <c r="E17" s="7" t="b">
        <f t="shared" si="0"/>
        <v>1</v>
      </c>
      <c r="F17" s="7"/>
      <c r="G17" s="7">
        <f>VLOOKUP(B17,'NS Balance'!D:G,4,FALSE)</f>
        <v>2031969.5</v>
      </c>
      <c r="H17" s="7">
        <f>VLOOKUP(B17,'Tally Balance'!A:D,4,FALSE)</f>
        <v>2031969.5</v>
      </c>
      <c r="I17" s="7" t="b">
        <f t="shared" si="1"/>
        <v>1</v>
      </c>
      <c r="J17" s="7"/>
      <c r="K17" s="7"/>
      <c r="L17" s="6">
        <f>VLOOKUP(B17,'Tally Balance'!A:E,5,FALSE)</f>
        <v>0</v>
      </c>
    </row>
    <row r="18" spans="1:12">
      <c r="A18" s="2" t="s">
        <v>35</v>
      </c>
      <c r="B18" s="7" t="s">
        <v>36</v>
      </c>
      <c r="C18" s="7">
        <f>VLOOKUP(B18,'NS Balance'!D:F,3,FALSE)</f>
        <v>142488</v>
      </c>
      <c r="D18" s="7">
        <f>VLOOKUP(B18,'Tally Balance'!A:C,3,FALSE)</f>
        <v>142488</v>
      </c>
      <c r="E18" s="7" t="b">
        <f t="shared" si="0"/>
        <v>1</v>
      </c>
      <c r="F18" s="7"/>
      <c r="G18" s="7">
        <f>VLOOKUP(B18,'NS Balance'!D:G,4,FALSE)</f>
        <v>142488</v>
      </c>
      <c r="H18" s="7">
        <f>VLOOKUP(B18,'Tally Balance'!A:D,4,FALSE)</f>
        <v>142488</v>
      </c>
      <c r="I18" s="7" t="b">
        <f t="shared" si="1"/>
        <v>1</v>
      </c>
      <c r="J18" s="7"/>
      <c r="K18" s="7"/>
      <c r="L18" s="6">
        <f>VLOOKUP(B18,'Tally Balance'!A:E,5,FALSE)</f>
        <v>0</v>
      </c>
    </row>
    <row r="19" spans="1:12">
      <c r="A19" s="2" t="s">
        <v>35</v>
      </c>
      <c r="B19" s="7" t="s">
        <v>37</v>
      </c>
      <c r="C19" s="7">
        <f>VLOOKUP(B19,'NS Balance'!D:F,3,FALSE)</f>
        <v>1834097</v>
      </c>
      <c r="D19" s="7">
        <f>VLOOKUP(B19,'Tally Balance'!A:C,3,FALSE)</f>
        <v>1834097</v>
      </c>
      <c r="E19" s="7" t="b">
        <f t="shared" si="0"/>
        <v>1</v>
      </c>
      <c r="F19" s="7"/>
      <c r="G19" s="7">
        <f>VLOOKUP(B19,'NS Balance'!D:G,4,FALSE)</f>
        <v>1834097</v>
      </c>
      <c r="H19" s="7">
        <f>VLOOKUP(B19,'Tally Balance'!A:D,4,FALSE)</f>
        <v>1834097</v>
      </c>
      <c r="I19" s="7" t="b">
        <f t="shared" si="1"/>
        <v>1</v>
      </c>
      <c r="J19" s="7"/>
      <c r="K19" s="7"/>
      <c r="L19" s="6">
        <f>VLOOKUP(B19,'Tally Balance'!A:E,5,FALSE)</f>
        <v>0</v>
      </c>
    </row>
    <row r="20" spans="1:12">
      <c r="A20" s="2" t="s">
        <v>35</v>
      </c>
      <c r="B20" s="7" t="s">
        <v>38</v>
      </c>
      <c r="C20" s="7">
        <f>VLOOKUP(B20,'NS Balance'!D:F,3,FALSE)</f>
        <v>500000</v>
      </c>
      <c r="D20" s="7">
        <f>VLOOKUP(B20,'Tally Balance'!A:C,3,FALSE)</f>
        <v>500000</v>
      </c>
      <c r="E20" s="7" t="b">
        <f t="shared" si="0"/>
        <v>1</v>
      </c>
      <c r="F20" s="7"/>
      <c r="G20" s="7">
        <f>VLOOKUP(B20,'NS Balance'!D:G,4,FALSE)</f>
        <v>516000</v>
      </c>
      <c r="H20" s="7">
        <f>VLOOKUP(B20,'Tally Balance'!A:D,4,FALSE)</f>
        <v>516000</v>
      </c>
      <c r="I20" s="7" t="b">
        <f t="shared" si="1"/>
        <v>1</v>
      </c>
      <c r="J20" s="7"/>
      <c r="K20" s="7"/>
      <c r="L20" s="6">
        <f>VLOOKUP(B20,'Tally Balance'!A:E,5,FALSE)</f>
        <v>16000</v>
      </c>
    </row>
    <row r="21" spans="1:12">
      <c r="A21" s="2" t="s">
        <v>35</v>
      </c>
      <c r="B21" s="7" t="s">
        <v>39</v>
      </c>
      <c r="C21" s="7">
        <f>VLOOKUP(B21,'NS Balance'!D:F,3,FALSE)</f>
        <v>2800020</v>
      </c>
      <c r="D21" s="7">
        <f>VLOOKUP(B21,'Tally Balance'!A:C,3,FALSE)</f>
        <v>2800020</v>
      </c>
      <c r="E21" s="7" t="b">
        <f t="shared" si="0"/>
        <v>1</v>
      </c>
      <c r="F21" s="7"/>
      <c r="G21" s="10">
        <f>VLOOKUP(B21,'NS Balance'!D:G,4,FALSE)</f>
        <v>2839466</v>
      </c>
      <c r="H21" s="10">
        <f>VLOOKUP(B21,'Tally Balance'!A:D,4,FALSE)</f>
        <v>3500020</v>
      </c>
      <c r="I21" s="10" t="b">
        <f t="shared" si="1"/>
        <v>0</v>
      </c>
      <c r="J21" s="7"/>
      <c r="K21" s="7"/>
      <c r="L21" s="6">
        <f>VLOOKUP(B21,'Tally Balance'!A:E,5,FALSE)</f>
        <v>700000</v>
      </c>
    </row>
    <row r="22" spans="1:12">
      <c r="A22" s="2" t="s">
        <v>35</v>
      </c>
      <c r="B22" s="7" t="s">
        <v>40</v>
      </c>
      <c r="C22" s="7">
        <f>VLOOKUP(B22,'NS Balance'!D:F,3,FALSE)</f>
        <v>650000</v>
      </c>
      <c r="D22" s="7">
        <f>VLOOKUP(B22,'Tally Balance'!A:C,3,FALSE)</f>
        <v>650000</v>
      </c>
      <c r="E22" s="7" t="b">
        <f t="shared" si="0"/>
        <v>1</v>
      </c>
      <c r="F22" s="7"/>
      <c r="G22" s="7">
        <f>VLOOKUP(B22,'NS Balance'!D:G,4,FALSE)</f>
        <v>650000</v>
      </c>
      <c r="H22" s="7">
        <f>VLOOKUP(B22,'Tally Balance'!A:D,4,FALSE)</f>
        <v>650000</v>
      </c>
      <c r="I22" s="7" t="b">
        <f t="shared" si="1"/>
        <v>1</v>
      </c>
      <c r="J22" s="7"/>
      <c r="K22" s="7"/>
      <c r="L22" s="6">
        <f>VLOOKUP(B22,'Tally Balance'!A:E,5,FALSE)</f>
        <v>0</v>
      </c>
    </row>
    <row r="23" spans="1:12">
      <c r="A23" s="2" t="s">
        <v>35</v>
      </c>
      <c r="B23" s="7" t="s">
        <v>41</v>
      </c>
      <c r="C23" s="7">
        <f>VLOOKUP(B23,'NS Balance'!D:F,3,FALSE)</f>
        <v>485000</v>
      </c>
      <c r="D23" s="7">
        <f>VLOOKUP(B23,'Tally Balance'!A:C,3,FALSE)</f>
        <v>485000</v>
      </c>
      <c r="E23" s="7" t="b">
        <f t="shared" si="0"/>
        <v>1</v>
      </c>
      <c r="F23" s="7"/>
      <c r="G23" s="7">
        <f>VLOOKUP(B23,'NS Balance'!D:G,4,FALSE)</f>
        <v>617954</v>
      </c>
      <c r="H23" s="7">
        <f>VLOOKUP(B23,'Tally Balance'!A:D,4,FALSE)</f>
        <v>617954</v>
      </c>
      <c r="I23" s="7" t="b">
        <f t="shared" si="1"/>
        <v>1</v>
      </c>
      <c r="J23" s="7"/>
      <c r="K23" s="7"/>
      <c r="L23" s="6">
        <f>VLOOKUP(B23,'Tally Balance'!A:E,5,FALSE)</f>
        <v>132954</v>
      </c>
    </row>
    <row r="24" s="5" customFormat="1" spans="1:12">
      <c r="A24" s="11" t="s">
        <v>42</v>
      </c>
      <c r="B24" s="11" t="s">
        <v>43</v>
      </c>
      <c r="C24" s="11">
        <f>VLOOKUP(B24,'NS Balance'!D:F,3,FALSE)</f>
        <v>3404033</v>
      </c>
      <c r="D24" s="11">
        <f>VLOOKUP(B24,'Tally Balance'!A:C,3,FALSE)</f>
        <v>3404033</v>
      </c>
      <c r="E24" s="11" t="b">
        <f t="shared" si="0"/>
        <v>1</v>
      </c>
      <c r="F24" s="11"/>
      <c r="G24" s="11">
        <f>VLOOKUP(B24,'NS Balance'!D:G,4,FALSE)</f>
        <v>3381121</v>
      </c>
      <c r="H24" s="11">
        <f>VLOOKUP(B24,'Tally Balance'!A:D,4,FALSE)</f>
        <v>3381121</v>
      </c>
      <c r="I24" s="11" t="b">
        <f t="shared" si="1"/>
        <v>1</v>
      </c>
      <c r="J24" s="11"/>
      <c r="K24" s="11"/>
      <c r="L24" s="5">
        <f>VLOOKUP(B24,'Tally Balance'!A:E,5,FALSE)</f>
        <v>22912</v>
      </c>
    </row>
    <row r="25" spans="1:12">
      <c r="A25" s="2" t="s">
        <v>42</v>
      </c>
      <c r="B25" s="7" t="s">
        <v>44</v>
      </c>
      <c r="C25" s="7">
        <f>VLOOKUP(B25,'NS Balance'!D:F,3,FALSE)</f>
        <v>635518</v>
      </c>
      <c r="D25" s="7">
        <f>VLOOKUP(B25,'Tally Balance'!A:C,3,FALSE)</f>
        <v>635518</v>
      </c>
      <c r="E25" s="7" t="b">
        <f t="shared" si="0"/>
        <v>1</v>
      </c>
      <c r="F25" s="7"/>
      <c r="G25" s="10">
        <f>VLOOKUP(B25,'NS Balance'!D:G,4,FALSE)</f>
        <v>11800</v>
      </c>
      <c r="H25" s="10">
        <f>VLOOKUP(B25,'Tally Balance'!A:D,4,FALSE)</f>
        <v>885518</v>
      </c>
      <c r="I25" s="10" t="b">
        <f t="shared" si="1"/>
        <v>0</v>
      </c>
      <c r="J25" s="7"/>
      <c r="K25" s="7"/>
      <c r="L25" s="6">
        <f>VLOOKUP(B25,'Tally Balance'!A:E,5,FALSE)</f>
        <v>250000</v>
      </c>
    </row>
    <row r="26" spans="1:12">
      <c r="A26" s="2" t="s">
        <v>45</v>
      </c>
      <c r="B26" s="7" t="s">
        <v>46</v>
      </c>
      <c r="C26" s="7">
        <f>VLOOKUP(B26,'NS Balance'!D:F,3,FALSE)</f>
        <v>575640</v>
      </c>
      <c r="D26" s="7">
        <f>VLOOKUP(B26,'Tally Balance'!A:C,3,FALSE)</f>
        <v>575640</v>
      </c>
      <c r="E26" s="7" t="b">
        <f t="shared" si="0"/>
        <v>1</v>
      </c>
      <c r="F26" s="7"/>
      <c r="G26" s="7">
        <f>VLOOKUP(B26,'NS Balance'!D:G,4,FALSE)</f>
        <v>738000</v>
      </c>
      <c r="H26" s="7">
        <f>VLOOKUP(B26,'Tally Balance'!A:D,4,FALSE)</f>
        <v>738000</v>
      </c>
      <c r="I26" s="7" t="b">
        <f t="shared" si="1"/>
        <v>1</v>
      </c>
      <c r="J26" s="7"/>
      <c r="K26" s="7"/>
      <c r="L26" s="6">
        <f>VLOOKUP(B26,'Tally Balance'!A:E,5,FALSE)</f>
        <v>162360</v>
      </c>
    </row>
    <row r="27" spans="1:12">
      <c r="A27" s="2" t="s">
        <v>45</v>
      </c>
      <c r="B27" s="7" t="s">
        <v>47</v>
      </c>
      <c r="C27" s="7">
        <f>VLOOKUP(B27,'NS Balance'!D:F,3,FALSE)</f>
        <v>191318</v>
      </c>
      <c r="D27" s="7">
        <f>VLOOKUP(B27,'Tally Balance'!A:C,3,FALSE)</f>
        <v>191318</v>
      </c>
      <c r="E27" s="7" t="b">
        <f t="shared" si="0"/>
        <v>1</v>
      </c>
      <c r="F27" s="7"/>
      <c r="G27" s="10">
        <f>VLOOKUP(B27,'NS Balance'!D:G,4,FALSE)</f>
        <v>191318</v>
      </c>
      <c r="H27" s="10">
        <f>VLOOKUP(B27,'Tally Balance'!A:D,4,FALSE)</f>
        <v>193885.79</v>
      </c>
      <c r="I27" s="10" t="b">
        <f t="shared" si="1"/>
        <v>0</v>
      </c>
      <c r="J27" s="7"/>
      <c r="K27" s="7"/>
      <c r="L27" s="6">
        <f>VLOOKUP(B27,'Tally Balance'!A:E,5,FALSE)</f>
        <v>2567.79</v>
      </c>
    </row>
    <row r="28" spans="1:12">
      <c r="A28" s="2" t="s">
        <v>45</v>
      </c>
      <c r="B28" s="7" t="s">
        <v>48</v>
      </c>
      <c r="C28" s="7">
        <f>VLOOKUP(B28,'NS Balance'!D:F,3,FALSE)</f>
        <v>261201</v>
      </c>
      <c r="D28" s="7">
        <f>VLOOKUP(B28,'Tally Balance'!A:C,3,FALSE)</f>
        <v>261201</v>
      </c>
      <c r="E28" s="7" t="b">
        <f t="shared" si="0"/>
        <v>1</v>
      </c>
      <c r="F28" s="7"/>
      <c r="G28" s="7">
        <f>VLOOKUP(B28,'NS Balance'!D:G,4,FALSE)</f>
        <v>250771</v>
      </c>
      <c r="H28" s="7">
        <f>VLOOKUP(B28,'Tally Balance'!A:D,4,FALSE)</f>
        <v>250771</v>
      </c>
      <c r="I28" s="7" t="b">
        <f t="shared" si="1"/>
        <v>1</v>
      </c>
      <c r="J28" s="7"/>
      <c r="K28" s="7"/>
      <c r="L28" s="6">
        <f>VLOOKUP(B28,'Tally Balance'!A:E,5,FALSE)</f>
        <v>10430</v>
      </c>
    </row>
    <row r="29" spans="1:12">
      <c r="A29" s="2" t="s">
        <v>45</v>
      </c>
      <c r="B29" s="7" t="s">
        <v>49</v>
      </c>
      <c r="C29" s="7">
        <f>VLOOKUP(B29,'NS Balance'!D:F,3,FALSE)</f>
        <v>2194384</v>
      </c>
      <c r="D29" s="7">
        <f>VLOOKUP(B29,'Tally Balance'!A:C,3,FALSE)</f>
        <v>2194384</v>
      </c>
      <c r="E29" s="7" t="b">
        <f t="shared" si="0"/>
        <v>1</v>
      </c>
      <c r="F29" s="7"/>
      <c r="G29" s="7">
        <f>VLOOKUP(B29,'NS Balance'!D:G,4,FALSE)</f>
        <v>2465600</v>
      </c>
      <c r="H29" s="7">
        <f>VLOOKUP(B29,'Tally Balance'!A:D,4,FALSE)</f>
        <v>2465600</v>
      </c>
      <c r="I29" s="7" t="b">
        <f t="shared" si="1"/>
        <v>1</v>
      </c>
      <c r="J29" s="7"/>
      <c r="K29" s="7"/>
      <c r="L29" s="6">
        <f>VLOOKUP(B29,'Tally Balance'!A:E,5,FALSE)</f>
        <v>271216</v>
      </c>
    </row>
    <row r="30" spans="1:12">
      <c r="A30" s="2" t="s">
        <v>45</v>
      </c>
      <c r="B30" s="7" t="s">
        <v>50</v>
      </c>
      <c r="C30" s="7">
        <f>VLOOKUP(B30,'NS Balance'!D:F,3,FALSE)</f>
        <v>36329</v>
      </c>
      <c r="D30" s="7">
        <f>VLOOKUP(B30,'Tally Balance'!A:C,3,FALSE)</f>
        <v>36329</v>
      </c>
      <c r="E30" s="7" t="b">
        <f t="shared" si="0"/>
        <v>1</v>
      </c>
      <c r="F30" s="7"/>
      <c r="G30" s="7">
        <f>VLOOKUP(B30,'NS Balance'!D:G,4,FALSE)</f>
        <v>46575</v>
      </c>
      <c r="H30" s="7">
        <f>VLOOKUP(B30,'Tally Balance'!A:D,4,FALSE)</f>
        <v>46575</v>
      </c>
      <c r="I30" s="7" t="b">
        <f t="shared" si="1"/>
        <v>1</v>
      </c>
      <c r="J30" s="7"/>
      <c r="K30" s="7"/>
      <c r="L30" s="6">
        <f>VLOOKUP(B30,'Tally Balance'!A:E,5,FALSE)</f>
        <v>10246</v>
      </c>
    </row>
    <row r="31" spans="1:12">
      <c r="A31" s="2" t="s">
        <v>51</v>
      </c>
      <c r="B31" s="7" t="s">
        <v>52</v>
      </c>
      <c r="C31" s="7">
        <f>VLOOKUP(B31,'NS Balance'!D:F,3,FALSE)</f>
        <v>263100</v>
      </c>
      <c r="D31" s="7">
        <f>VLOOKUP(B31,'Tally Balance'!A:C,3,FALSE)</f>
        <v>263100</v>
      </c>
      <c r="E31" s="7" t="b">
        <f t="shared" si="0"/>
        <v>1</v>
      </c>
      <c r="F31" s="7"/>
      <c r="G31" s="7">
        <f>VLOOKUP(B31,'NS Balance'!D:G,4,FALSE)</f>
        <v>263100</v>
      </c>
      <c r="H31" s="7">
        <f>VLOOKUP(B31,'Tally Balance'!A:D,4,FALSE)</f>
        <v>263100</v>
      </c>
      <c r="I31" s="7" t="b">
        <f t="shared" si="1"/>
        <v>1</v>
      </c>
      <c r="J31" s="7"/>
      <c r="K31" s="7"/>
      <c r="L31" s="6">
        <f>VLOOKUP(B31,'Tally Balance'!A:E,5,FALSE)</f>
        <v>0</v>
      </c>
    </row>
    <row r="32" spans="1:12">
      <c r="A32" s="2" t="s">
        <v>51</v>
      </c>
      <c r="B32" s="7" t="s">
        <v>53</v>
      </c>
      <c r="C32" s="7">
        <f>VLOOKUP(B32,'NS Balance'!D:F,3,FALSE)</f>
        <v>4040276.31</v>
      </c>
      <c r="D32" s="7">
        <f>VLOOKUP(B32,'Tally Balance'!A:C,3,FALSE)</f>
        <v>4040276.31</v>
      </c>
      <c r="E32" s="7" t="b">
        <f t="shared" si="0"/>
        <v>1</v>
      </c>
      <c r="F32" s="7"/>
      <c r="G32" s="7">
        <f>VLOOKUP(B32,'NS Balance'!D:G,4,FALSE)</f>
        <v>4753266.25</v>
      </c>
      <c r="H32" s="7">
        <f>VLOOKUP(B32,'Tally Balance'!A:D,4,FALSE)</f>
        <v>4753266.25</v>
      </c>
      <c r="I32" s="7" t="b">
        <f t="shared" si="1"/>
        <v>1</v>
      </c>
      <c r="J32" s="7"/>
      <c r="K32" s="7"/>
      <c r="L32" s="6">
        <f>VLOOKUP(B32,'Tally Balance'!A:E,5,FALSE)</f>
        <v>712989.94</v>
      </c>
    </row>
    <row r="33" spans="1:12">
      <c r="A33" s="2" t="s">
        <v>51</v>
      </c>
      <c r="B33" s="7" t="s">
        <v>54</v>
      </c>
      <c r="C33" s="7">
        <f>VLOOKUP(B33,'NS Balance'!D:F,3,FALSE)</f>
        <v>23270</v>
      </c>
      <c r="D33" s="7">
        <f>VLOOKUP(B33,'Tally Balance'!A:C,3,FALSE)</f>
        <v>23270</v>
      </c>
      <c r="E33" s="7" t="b">
        <f t="shared" si="0"/>
        <v>1</v>
      </c>
      <c r="F33" s="7"/>
      <c r="G33" s="7">
        <f>VLOOKUP(B33,'NS Balance'!D:G,4,FALSE)</f>
        <v>29835</v>
      </c>
      <c r="H33" s="7">
        <f>VLOOKUP(B33,'Tally Balance'!A:D,4,FALSE)</f>
        <v>29835</v>
      </c>
      <c r="I33" s="7" t="b">
        <f t="shared" si="1"/>
        <v>1</v>
      </c>
      <c r="J33" s="7"/>
      <c r="K33" s="7"/>
      <c r="L33" s="6">
        <f>VLOOKUP(B33,'Tally Balance'!A:E,5,FALSE)</f>
        <v>6565</v>
      </c>
    </row>
    <row r="34" spans="1:12">
      <c r="A34" s="2" t="s">
        <v>51</v>
      </c>
      <c r="B34" s="7" t="s">
        <v>55</v>
      </c>
      <c r="C34" s="7">
        <f>VLOOKUP(B34,'NS Balance'!D:F,3,FALSE)</f>
        <v>262431</v>
      </c>
      <c r="D34" s="7">
        <f>VLOOKUP(B34,'Tally Balance'!A:C,3,FALSE)</f>
        <v>262431</v>
      </c>
      <c r="E34" s="7" t="b">
        <f t="shared" si="0"/>
        <v>1</v>
      </c>
      <c r="F34" s="7"/>
      <c r="G34" s="7">
        <f>VLOOKUP(B34,'NS Balance'!D:G,4,FALSE)</f>
        <v>336450</v>
      </c>
      <c r="H34" s="7">
        <f>VLOOKUP(B34,'Tally Balance'!A:D,4,FALSE)</f>
        <v>336450</v>
      </c>
      <c r="I34" s="7" t="b">
        <f t="shared" si="1"/>
        <v>1</v>
      </c>
      <c r="J34" s="7"/>
      <c r="K34" s="7"/>
      <c r="L34" s="6">
        <f>VLOOKUP(B34,'Tally Balance'!A:E,5,FALSE)</f>
        <v>74019</v>
      </c>
    </row>
    <row r="35" spans="1:12">
      <c r="A35" s="2" t="s">
        <v>56</v>
      </c>
      <c r="B35" s="7" t="s">
        <v>57</v>
      </c>
      <c r="C35" s="7">
        <f>VLOOKUP(B35,'NS Balance'!D:F,3,FALSE)</f>
        <v>153772.32</v>
      </c>
      <c r="D35" s="7">
        <f>VLOOKUP(B35,'Tally Balance'!A:C,3,FALSE)</f>
        <v>153772.32</v>
      </c>
      <c r="E35" s="7" t="b">
        <f t="shared" si="0"/>
        <v>1</v>
      </c>
      <c r="F35" s="7"/>
      <c r="G35" s="7">
        <f>VLOOKUP(B35,'NS Balance'!D:G,4,FALSE)</f>
        <v>197144</v>
      </c>
      <c r="H35" s="7">
        <f>VLOOKUP(B35,'Tally Balance'!A:D,4,FALSE)</f>
        <v>197144</v>
      </c>
      <c r="I35" s="7" t="b">
        <f t="shared" si="1"/>
        <v>1</v>
      </c>
      <c r="J35" s="7"/>
      <c r="K35" s="7"/>
      <c r="L35" s="6">
        <f>VLOOKUP(B35,'Tally Balance'!A:E,5,FALSE)</f>
        <v>43371.68</v>
      </c>
    </row>
    <row r="36" spans="1:12">
      <c r="A36" s="2" t="s">
        <v>58</v>
      </c>
      <c r="B36" s="7" t="s">
        <v>59</v>
      </c>
      <c r="C36" s="7">
        <f>VLOOKUP(B36,'NS Balance'!D:F,3,FALSE)</f>
        <v>17248</v>
      </c>
      <c r="D36" s="7">
        <f>VLOOKUP(B36,'Tally Balance'!A:C,3,FALSE)</f>
        <v>17248</v>
      </c>
      <c r="E36" s="7" t="b">
        <f t="shared" si="0"/>
        <v>1</v>
      </c>
      <c r="F36" s="7"/>
      <c r="G36" s="7">
        <f>VLOOKUP(B36,'NS Balance'!D:G,4,FALSE)</f>
        <v>17248</v>
      </c>
      <c r="H36" s="7">
        <f>VLOOKUP(B36,'Tally Balance'!A:D,4,FALSE)</f>
        <v>17248</v>
      </c>
      <c r="I36" s="7" t="b">
        <f t="shared" si="1"/>
        <v>1</v>
      </c>
      <c r="J36" s="7"/>
      <c r="K36" s="7"/>
      <c r="L36" s="6">
        <f>VLOOKUP(B36,'Tally Balance'!A:E,5,FALSE)</f>
        <v>0</v>
      </c>
    </row>
    <row r="37" spans="1:12">
      <c r="A37" s="2" t="s">
        <v>58</v>
      </c>
      <c r="B37" s="7" t="s">
        <v>60</v>
      </c>
      <c r="C37" s="7">
        <f>VLOOKUP(B37,'NS Balance'!D:F,3,FALSE)</f>
        <v>5066.88</v>
      </c>
      <c r="D37" s="7">
        <f>VLOOKUP(B37,'Tally Balance'!A:C,3,FALSE)</f>
        <v>5066.88</v>
      </c>
      <c r="E37" s="7" t="b">
        <f t="shared" si="0"/>
        <v>1</v>
      </c>
      <c r="F37" s="7"/>
      <c r="G37" s="7">
        <f>VLOOKUP(B37,'NS Balance'!D:G,4,FALSE)</f>
        <v>6496</v>
      </c>
      <c r="H37" s="7">
        <f>VLOOKUP(B37,'Tally Balance'!A:D,4,FALSE)</f>
        <v>6496</v>
      </c>
      <c r="I37" s="7" t="b">
        <f t="shared" si="1"/>
        <v>1</v>
      </c>
      <c r="J37" s="7"/>
      <c r="K37" s="7"/>
      <c r="L37" s="6">
        <f>VLOOKUP(B37,'Tally Balance'!A:E,5,FALSE)</f>
        <v>1429.12</v>
      </c>
    </row>
    <row r="38" spans="1:12">
      <c r="A38" s="2" t="s">
        <v>58</v>
      </c>
      <c r="B38" s="7" t="s">
        <v>61</v>
      </c>
      <c r="C38" s="7">
        <f>VLOOKUP(B38,'NS Balance'!D:F,3,FALSE)</f>
        <v>4567817.66</v>
      </c>
      <c r="D38" s="7">
        <f>VLOOKUP(B38,'Tally Balance'!A:C,3,FALSE)</f>
        <v>4567817.66</v>
      </c>
      <c r="E38" s="7" t="b">
        <f t="shared" si="0"/>
        <v>1</v>
      </c>
      <c r="F38" s="7"/>
      <c r="G38" s="10">
        <f>VLOOKUP(B38,'NS Balance'!D:G,4,FALSE)</f>
        <v>5998107</v>
      </c>
      <c r="H38" s="10">
        <f>VLOOKUP(B38,'Tally Balance'!A:D,4,FALSE)</f>
        <v>5907348</v>
      </c>
      <c r="I38" s="10" t="b">
        <f t="shared" si="1"/>
        <v>0</v>
      </c>
      <c r="J38" s="7"/>
      <c r="K38" s="7"/>
      <c r="L38" s="6">
        <f>VLOOKUP(B38,'Tally Balance'!A:E,5,FALSE)</f>
        <v>1339530.34</v>
      </c>
    </row>
    <row r="39" spans="1:12">
      <c r="A39" s="2" t="s">
        <v>62</v>
      </c>
      <c r="B39" s="7" t="s">
        <v>63</v>
      </c>
      <c r="C39" s="7">
        <f>VLOOKUP(B39,'NS Balance'!D:F,3,FALSE)</f>
        <v>155000</v>
      </c>
      <c r="D39" s="7">
        <f>VLOOKUP(B39,'Tally Balance'!A:C,3,FALSE)</f>
        <v>155000</v>
      </c>
      <c r="E39" s="7" t="b">
        <f t="shared" si="0"/>
        <v>1</v>
      </c>
      <c r="F39" s="7"/>
      <c r="G39" s="7">
        <f>VLOOKUP(B39,'NS Balance'!D:G,4,FALSE)</f>
        <v>198375</v>
      </c>
      <c r="H39" s="7">
        <f>VLOOKUP(B39,'Tally Balance'!A:D,4,FALSE)</f>
        <v>198375</v>
      </c>
      <c r="I39" s="7" t="b">
        <f t="shared" si="1"/>
        <v>1</v>
      </c>
      <c r="J39" s="7"/>
      <c r="K39" s="7"/>
      <c r="L39" s="6">
        <f>VLOOKUP(B39,'Tally Balance'!A:E,5,FALSE)</f>
        <v>43375</v>
      </c>
    </row>
    <row r="40" spans="1:12">
      <c r="A40" s="2" t="s">
        <v>64</v>
      </c>
      <c r="B40" s="7" t="s">
        <v>65</v>
      </c>
      <c r="C40" s="7">
        <f>VLOOKUP(B40,'NS Balance'!D:F,3,FALSE)</f>
        <v>1539808.6</v>
      </c>
      <c r="D40" s="7">
        <f>VLOOKUP(B40,'Tally Balance'!A:C,3,FALSE)</f>
        <v>1539808.6</v>
      </c>
      <c r="E40" s="7" t="b">
        <f t="shared" si="0"/>
        <v>1</v>
      </c>
      <c r="F40" s="7"/>
      <c r="G40" s="7">
        <f>VLOOKUP(B40,'NS Balance'!D:G,4,FALSE)</f>
        <v>1539808.6</v>
      </c>
      <c r="H40" s="7">
        <f>VLOOKUP(B40,'Tally Balance'!A:D,4,FALSE)</f>
        <v>1539808.6</v>
      </c>
      <c r="I40" s="7" t="b">
        <f t="shared" si="1"/>
        <v>1</v>
      </c>
      <c r="J40" s="7"/>
      <c r="K40" s="7"/>
      <c r="L40" s="6">
        <f>VLOOKUP(B40,'Tally Balance'!A:E,5,FALSE)</f>
        <v>0</v>
      </c>
    </row>
    <row r="41" spans="1:12">
      <c r="A41" s="2" t="s">
        <v>66</v>
      </c>
      <c r="B41" s="7" t="s">
        <v>67</v>
      </c>
      <c r="C41" s="7">
        <f>VLOOKUP(B41,'NS Balance'!D:F,3,FALSE)</f>
        <v>6000</v>
      </c>
      <c r="D41" s="7">
        <f>VLOOKUP(B41,'Tally Balance'!A:C,3,FALSE)</f>
        <v>6000</v>
      </c>
      <c r="E41" s="7" t="b">
        <f t="shared" si="0"/>
        <v>1</v>
      </c>
      <c r="F41" s="7"/>
      <c r="G41" s="7">
        <f>VLOOKUP(B41,'NS Balance'!D:G,4,FALSE)</f>
        <v>6000</v>
      </c>
      <c r="H41" s="7">
        <f>VLOOKUP(B41,'Tally Balance'!A:D,4,FALSE)</f>
        <v>6000</v>
      </c>
      <c r="I41" s="7" t="b">
        <f t="shared" si="1"/>
        <v>1</v>
      </c>
      <c r="J41" s="7"/>
      <c r="K41" s="7"/>
      <c r="L41" s="6">
        <f>VLOOKUP(B41,'Tally Balance'!A:E,5,FALSE)</f>
        <v>0</v>
      </c>
    </row>
    <row r="42" ht="22" customHeight="1" spans="1:12">
      <c r="A42" s="2" t="s">
        <v>66</v>
      </c>
      <c r="B42" s="8" t="s">
        <v>68</v>
      </c>
      <c r="C42" s="8">
        <f>VLOOKUP(B42,'NS Balance'!D:F,3,FALSE)</f>
        <v>3135421</v>
      </c>
      <c r="D42" s="8">
        <f>VLOOKUP(B42,'Tally Balance'!A:C,3,FALSE)</f>
        <v>3117506</v>
      </c>
      <c r="E42" s="8" t="b">
        <f t="shared" si="0"/>
        <v>0</v>
      </c>
      <c r="F42" s="9" t="s">
        <v>69</v>
      </c>
      <c r="G42" s="7">
        <f>VLOOKUP(B42,'NS Balance'!D:G,4,FALSE)</f>
        <v>2942744.04</v>
      </c>
      <c r="H42" s="7">
        <f>VLOOKUP(B42,'Tally Balance'!A:D,4,FALSE)</f>
        <v>2942744.04</v>
      </c>
      <c r="I42" s="7" t="b">
        <f t="shared" si="1"/>
        <v>1</v>
      </c>
      <c r="J42" s="7"/>
      <c r="K42" s="7"/>
      <c r="L42" s="6">
        <f>VLOOKUP(B42,'Tally Balance'!A:E,5,FALSE)</f>
        <v>174761.96</v>
      </c>
    </row>
    <row r="43" spans="1:12">
      <c r="A43" s="2" t="e">
        <v>#N/A</v>
      </c>
      <c r="B43" s="7" t="s">
        <v>70</v>
      </c>
      <c r="C43" s="7" t="e">
        <f>VLOOKUP(B43,'NS Balance'!D:F,3,FALSE)</f>
        <v>#N/A</v>
      </c>
      <c r="D43" s="7">
        <f>VLOOKUP(B43,'Tally Balance'!A:C,3,FALSE)</f>
        <v>0</v>
      </c>
      <c r="E43" s="7" t="e">
        <f t="shared" si="0"/>
        <v>#N/A</v>
      </c>
      <c r="F43" s="7"/>
      <c r="G43" s="7" t="e">
        <f>VLOOKUP(B43,'NS Balance'!D:G,4,FALSE)</f>
        <v>#N/A</v>
      </c>
      <c r="H43" s="7">
        <f>VLOOKUP(B43,'Tally Balance'!A:D,4,FALSE)</f>
        <v>434</v>
      </c>
      <c r="I43" s="7" t="e">
        <f t="shared" si="1"/>
        <v>#N/A</v>
      </c>
      <c r="J43" s="7"/>
      <c r="K43" s="7"/>
      <c r="L43" s="6">
        <f>VLOOKUP(B43,'Tally Balance'!A:E,5,FALSE)</f>
        <v>434</v>
      </c>
    </row>
    <row r="44" spans="1:12">
      <c r="A44" s="2" t="s">
        <v>66</v>
      </c>
      <c r="B44" s="7" t="s">
        <v>71</v>
      </c>
      <c r="C44" s="7">
        <f>VLOOKUP(B44,'NS Balance'!D:F,3,FALSE)</f>
        <v>17503.2</v>
      </c>
      <c r="D44" s="7">
        <f>VLOOKUP(B44,'Tally Balance'!A:C,3,FALSE)</f>
        <v>17503.2</v>
      </c>
      <c r="E44" s="7" t="b">
        <f t="shared" si="0"/>
        <v>1</v>
      </c>
      <c r="F44" s="7"/>
      <c r="G44" s="7">
        <f>VLOOKUP(B44,'NS Balance'!D:G,4,FALSE)</f>
        <v>24145</v>
      </c>
      <c r="H44" s="7">
        <f>VLOOKUP(B44,'Tally Balance'!A:D,4,FALSE)</f>
        <v>24145</v>
      </c>
      <c r="I44" s="7" t="b">
        <f t="shared" si="1"/>
        <v>1</v>
      </c>
      <c r="J44" s="7"/>
      <c r="K44" s="7"/>
      <c r="L44" s="6">
        <f>VLOOKUP(B44,'Tally Balance'!A:E,5,FALSE)</f>
        <v>6641.8</v>
      </c>
    </row>
    <row r="45" spans="1:12">
      <c r="A45" s="2" t="s">
        <v>66</v>
      </c>
      <c r="B45" s="7" t="s">
        <v>72</v>
      </c>
      <c r="C45" s="7">
        <f>VLOOKUP(B45,'NS Balance'!D:F,3,FALSE)</f>
        <v>9728.8</v>
      </c>
      <c r="D45" s="7">
        <f>VLOOKUP(B45,'Tally Balance'!A:C,3,FALSE)</f>
        <v>9728.8</v>
      </c>
      <c r="E45" s="7" t="b">
        <f t="shared" si="0"/>
        <v>1</v>
      </c>
      <c r="F45" s="7"/>
      <c r="G45" s="7">
        <f>VLOOKUP(B45,'NS Balance'!D:G,4,FALSE)</f>
        <v>55000</v>
      </c>
      <c r="H45" s="7">
        <f>VLOOKUP(B45,'Tally Balance'!A:D,4,FALSE)</f>
        <v>55000</v>
      </c>
      <c r="I45" s="7" t="b">
        <f t="shared" si="1"/>
        <v>1</v>
      </c>
      <c r="J45" s="7"/>
      <c r="K45" s="7"/>
      <c r="L45" s="6">
        <f>VLOOKUP(B45,'Tally Balance'!A:E,5,FALSE)</f>
        <v>45271.2</v>
      </c>
    </row>
    <row r="46" spans="1:12">
      <c r="A46" s="2" t="s">
        <v>73</v>
      </c>
      <c r="B46" s="7" t="s">
        <v>74</v>
      </c>
      <c r="C46" s="7">
        <f>VLOOKUP(B46,'NS Balance'!D:F,3,FALSE)</f>
        <v>2629750</v>
      </c>
      <c r="D46" s="7">
        <f>VLOOKUP(B46,'Tally Balance'!A:C,3,FALSE)</f>
        <v>2629750</v>
      </c>
      <c r="E46" s="7" t="b">
        <f t="shared" si="0"/>
        <v>1</v>
      </c>
      <c r="F46" s="7"/>
      <c r="G46" s="10">
        <f>VLOOKUP(B46,'NS Balance'!D:G,4,FALSE)</f>
        <v>3174301.4</v>
      </c>
      <c r="H46" s="10">
        <f>VLOOKUP(B46,'Tally Balance'!A:D,4,FALSE)</f>
        <v>3325307</v>
      </c>
      <c r="I46" s="10" t="b">
        <f t="shared" si="1"/>
        <v>0</v>
      </c>
      <c r="J46" s="7"/>
      <c r="K46" s="7"/>
      <c r="L46" s="6">
        <f>VLOOKUP(B46,'Tally Balance'!A:E,5,FALSE)</f>
        <v>695557</v>
      </c>
    </row>
    <row r="47" spans="1:12">
      <c r="A47" s="2" t="s">
        <v>75</v>
      </c>
      <c r="B47" s="7" t="s">
        <v>76</v>
      </c>
      <c r="C47" s="7">
        <f>VLOOKUP(B47,'NS Balance'!D:F,3,FALSE)</f>
        <v>666966.43</v>
      </c>
      <c r="D47" s="7">
        <f>VLOOKUP(B47,'Tally Balance'!A:C,3,FALSE)</f>
        <v>666966.43</v>
      </c>
      <c r="E47" s="7" t="b">
        <f t="shared" si="0"/>
        <v>1</v>
      </c>
      <c r="F47" s="7"/>
      <c r="G47" s="7">
        <f>VLOOKUP(B47,'NS Balance'!D:G,4,FALSE)</f>
        <v>1017327</v>
      </c>
      <c r="H47" s="7">
        <f>VLOOKUP(B47,'Tally Balance'!A:D,4,FALSE)</f>
        <v>1017327</v>
      </c>
      <c r="I47" s="7" t="b">
        <f t="shared" si="1"/>
        <v>1</v>
      </c>
      <c r="J47" s="7"/>
      <c r="K47" s="7"/>
      <c r="L47" s="6">
        <f>VLOOKUP(B47,'Tally Balance'!A:E,5,FALSE)</f>
        <v>350360.57</v>
      </c>
    </row>
    <row r="48" spans="1:12">
      <c r="A48" s="2" t="s">
        <v>75</v>
      </c>
      <c r="B48" s="7" t="s">
        <v>77</v>
      </c>
      <c r="C48" s="7">
        <f>VLOOKUP(B48,'NS Balance'!D:F,3,FALSE)</f>
        <v>435524</v>
      </c>
      <c r="D48" s="7">
        <f>VLOOKUP(B48,'Tally Balance'!A:C,3,FALSE)</f>
        <v>435524</v>
      </c>
      <c r="E48" s="7" t="b">
        <f t="shared" si="0"/>
        <v>1</v>
      </c>
      <c r="F48" s="7"/>
      <c r="G48" s="7">
        <f>VLOOKUP(B48,'NS Balance'!D:G,4,FALSE)</f>
        <v>835524</v>
      </c>
      <c r="H48" s="7">
        <f>VLOOKUP(B48,'Tally Balance'!A:D,4,FALSE)</f>
        <v>835524</v>
      </c>
      <c r="I48" s="7" t="b">
        <f t="shared" si="1"/>
        <v>1</v>
      </c>
      <c r="J48" s="7"/>
      <c r="K48" s="7"/>
      <c r="L48" s="6">
        <f>VLOOKUP(B48,'Tally Balance'!A:E,5,FALSE)</f>
        <v>400000</v>
      </c>
    </row>
    <row r="49" spans="1:12">
      <c r="A49" s="2" t="s">
        <v>75</v>
      </c>
      <c r="B49" s="7" t="s">
        <v>78</v>
      </c>
      <c r="C49" s="7">
        <f>VLOOKUP(B49,'NS Balance'!D:F,3,FALSE)</f>
        <v>88448</v>
      </c>
      <c r="D49" s="7">
        <f>VLOOKUP(B49,'Tally Balance'!A:C,3,FALSE)</f>
        <v>88448</v>
      </c>
      <c r="E49" s="7" t="b">
        <f t="shared" si="0"/>
        <v>1</v>
      </c>
      <c r="F49" s="7"/>
      <c r="G49" s="7">
        <f>VLOOKUP(B49,'NS Balance'!D:G,4,FALSE)</f>
        <v>138448</v>
      </c>
      <c r="H49" s="7">
        <f>VLOOKUP(B49,'Tally Balance'!A:D,4,FALSE)</f>
        <v>138448</v>
      </c>
      <c r="I49" s="7" t="b">
        <f t="shared" si="1"/>
        <v>1</v>
      </c>
      <c r="J49" s="7"/>
      <c r="K49" s="7"/>
      <c r="L49" s="6">
        <f>VLOOKUP(B49,'Tally Balance'!A:E,5,FALSE)</f>
        <v>50000</v>
      </c>
    </row>
    <row r="50" spans="1:12">
      <c r="A50" s="2" t="s">
        <v>79</v>
      </c>
      <c r="B50" s="7" t="s">
        <v>80</v>
      </c>
      <c r="C50" s="7">
        <f>VLOOKUP(B50,'NS Balance'!D:F,3,FALSE)</f>
        <v>10000</v>
      </c>
      <c r="D50" s="7">
        <f>VLOOKUP(B50,'Tally Balance'!A:C,3,FALSE)</f>
        <v>10000</v>
      </c>
      <c r="E50" s="7" t="b">
        <f t="shared" si="0"/>
        <v>1</v>
      </c>
      <c r="F50" s="7"/>
      <c r="G50" s="10">
        <f>VLOOKUP(B50,'NS Balance'!D:G,4,FALSE)</f>
        <v>0</v>
      </c>
      <c r="H50" s="10">
        <f>VLOOKUP(B50,'Tally Balance'!A:D,4,FALSE)</f>
        <v>11000</v>
      </c>
      <c r="I50" s="10" t="b">
        <f t="shared" si="1"/>
        <v>0</v>
      </c>
      <c r="J50" s="7"/>
      <c r="K50" s="7"/>
      <c r="L50" s="6">
        <f>VLOOKUP(B50,'Tally Balance'!A:E,5,FALSE)</f>
        <v>1000</v>
      </c>
    </row>
    <row r="51" spans="1:12">
      <c r="A51" s="2" t="s">
        <v>81</v>
      </c>
      <c r="B51" s="7" t="s">
        <v>82</v>
      </c>
      <c r="C51" s="7">
        <f>VLOOKUP(B51,'NS Balance'!D:F,3,FALSE)</f>
        <v>1301935</v>
      </c>
      <c r="D51" s="7">
        <f>VLOOKUP(B51,'Tally Balance'!A:C,3,FALSE)</f>
        <v>1301935</v>
      </c>
      <c r="E51" s="7" t="b">
        <f t="shared" si="0"/>
        <v>1</v>
      </c>
      <c r="F51" s="7"/>
      <c r="G51" s="7">
        <f>VLOOKUP(B51,'NS Balance'!D:G,4,FALSE)</f>
        <v>1440862</v>
      </c>
      <c r="H51" s="7">
        <f>VLOOKUP(B51,'Tally Balance'!A:D,4,FALSE)</f>
        <v>1440862</v>
      </c>
      <c r="I51" s="7" t="b">
        <f t="shared" si="1"/>
        <v>1</v>
      </c>
      <c r="J51" s="7"/>
      <c r="K51" s="7"/>
      <c r="L51" s="6">
        <f>VLOOKUP(B51,'Tally Balance'!A:E,5,FALSE)</f>
        <v>138927</v>
      </c>
    </row>
    <row r="52" spans="1:12">
      <c r="A52" s="2" t="s">
        <v>81</v>
      </c>
      <c r="B52" s="7" t="s">
        <v>83</v>
      </c>
      <c r="C52" s="7">
        <f>VLOOKUP(B52,'NS Balance'!D:F,3,FALSE)</f>
        <v>32000</v>
      </c>
      <c r="D52" s="7">
        <f>VLOOKUP(B52,'Tally Balance'!A:C,3,FALSE)</f>
        <v>32000</v>
      </c>
      <c r="E52" s="7" t="b">
        <f t="shared" si="0"/>
        <v>1</v>
      </c>
      <c r="F52" s="7"/>
      <c r="G52" s="7">
        <f>VLOOKUP(B52,'NS Balance'!D:G,4,FALSE)</f>
        <v>32000</v>
      </c>
      <c r="H52" s="7">
        <f>VLOOKUP(B52,'Tally Balance'!A:D,4,FALSE)</f>
        <v>32000</v>
      </c>
      <c r="I52" s="7" t="b">
        <f t="shared" si="1"/>
        <v>1</v>
      </c>
      <c r="J52" s="7"/>
      <c r="K52" s="7"/>
      <c r="L52" s="6">
        <f>VLOOKUP(B52,'Tally Balance'!A:E,5,FALSE)</f>
        <v>0</v>
      </c>
    </row>
    <row r="53" spans="1:12">
      <c r="A53" s="2" t="s">
        <v>81</v>
      </c>
      <c r="B53" s="7" t="s">
        <v>84</v>
      </c>
      <c r="C53" s="7">
        <f>VLOOKUP(B53,'NS Balance'!D:F,3,FALSE)</f>
        <v>3500</v>
      </c>
      <c r="D53" s="7">
        <f>VLOOKUP(B53,'Tally Balance'!A:C,3,FALSE)</f>
        <v>3500</v>
      </c>
      <c r="E53" s="7" t="b">
        <f t="shared" si="0"/>
        <v>1</v>
      </c>
      <c r="F53" s="7"/>
      <c r="G53" s="7">
        <f>VLOOKUP(B53,'NS Balance'!D:G,4,FALSE)</f>
        <v>3500</v>
      </c>
      <c r="H53" s="7">
        <f>VLOOKUP(B53,'Tally Balance'!A:D,4,FALSE)</f>
        <v>3500</v>
      </c>
      <c r="I53" s="7" t="b">
        <f t="shared" si="1"/>
        <v>1</v>
      </c>
      <c r="J53" s="7"/>
      <c r="K53" s="7"/>
      <c r="L53" s="6">
        <f>VLOOKUP(B53,'Tally Balance'!A:E,5,FALSE)</f>
        <v>0</v>
      </c>
    </row>
    <row r="54" spans="1:12">
      <c r="A54" s="2" t="s">
        <v>81</v>
      </c>
      <c r="B54" s="7" t="s">
        <v>85</v>
      </c>
      <c r="C54" s="7">
        <f>VLOOKUP(B54,'NS Balance'!D:F,3,FALSE)</f>
        <v>49700</v>
      </c>
      <c r="D54" s="7">
        <f>VLOOKUP(B54,'Tally Balance'!A:C,3,FALSE)</f>
        <v>49700</v>
      </c>
      <c r="E54" s="7" t="b">
        <f t="shared" si="0"/>
        <v>1</v>
      </c>
      <c r="F54" s="7"/>
      <c r="G54" s="7">
        <f>VLOOKUP(B54,'NS Balance'!D:G,4,FALSE)</f>
        <v>49700</v>
      </c>
      <c r="H54" s="7">
        <f>VLOOKUP(B54,'Tally Balance'!A:D,4,FALSE)</f>
        <v>49700</v>
      </c>
      <c r="I54" s="7" t="b">
        <f t="shared" si="1"/>
        <v>1</v>
      </c>
      <c r="J54" s="7"/>
      <c r="K54" s="7"/>
      <c r="L54" s="6">
        <f>VLOOKUP(B54,'Tally Balance'!A:E,5,FALSE)</f>
        <v>0</v>
      </c>
    </row>
    <row r="55" spans="1:12">
      <c r="A55" s="2" t="s">
        <v>81</v>
      </c>
      <c r="B55" s="7" t="s">
        <v>86</v>
      </c>
      <c r="C55" s="7">
        <f>VLOOKUP(B55,'NS Balance'!D:F,3,FALSE)</f>
        <v>40000</v>
      </c>
      <c r="D55" s="7">
        <f>VLOOKUP(B55,'Tally Balance'!A:C,3,FALSE)</f>
        <v>40000</v>
      </c>
      <c r="E55" s="7" t="b">
        <f t="shared" si="0"/>
        <v>1</v>
      </c>
      <c r="F55" s="7"/>
      <c r="G55" s="7">
        <f>VLOOKUP(B55,'NS Balance'!D:G,4,FALSE)</f>
        <v>40000</v>
      </c>
      <c r="H55" s="7">
        <f>VLOOKUP(B55,'Tally Balance'!A:D,4,FALSE)</f>
        <v>40000</v>
      </c>
      <c r="I55" s="7" t="b">
        <f t="shared" si="1"/>
        <v>1</v>
      </c>
      <c r="J55" s="7"/>
      <c r="K55" s="7"/>
      <c r="L55" s="6">
        <f>VLOOKUP(B55,'Tally Balance'!A:E,5,FALSE)</f>
        <v>0</v>
      </c>
    </row>
    <row r="56" spans="1:12">
      <c r="A56" s="2" t="s">
        <v>81</v>
      </c>
      <c r="B56" s="8" t="s">
        <v>87</v>
      </c>
      <c r="C56" s="8">
        <f>VLOOKUP(B56,'NS Balance'!D:F,3,FALSE)</f>
        <v>2511000</v>
      </c>
      <c r="D56" s="8">
        <f>VLOOKUP(B56,'Tally Balance'!A:C,3,FALSE)</f>
        <v>2656000</v>
      </c>
      <c r="E56" s="8" t="b">
        <f t="shared" si="0"/>
        <v>0</v>
      </c>
      <c r="F56" s="7" t="s">
        <v>88</v>
      </c>
      <c r="G56" s="7">
        <f>VLOOKUP(B56,'NS Balance'!D:G,4,FALSE)</f>
        <v>2656000</v>
      </c>
      <c r="H56" s="7">
        <f>VLOOKUP(B56,'Tally Balance'!A:D,4,FALSE)</f>
        <v>2656000</v>
      </c>
      <c r="I56" s="7" t="b">
        <f t="shared" si="1"/>
        <v>1</v>
      </c>
      <c r="J56" s="7"/>
      <c r="K56" s="7"/>
      <c r="L56" s="6">
        <f>VLOOKUP(B56,'Tally Balance'!A:E,5,FALSE)</f>
        <v>0</v>
      </c>
    </row>
    <row r="57" spans="1:12">
      <c r="A57" s="2" t="s">
        <v>81</v>
      </c>
      <c r="B57" s="8" t="s">
        <v>89</v>
      </c>
      <c r="C57" s="8">
        <f>VLOOKUP(B57,'NS Balance'!D:F,3,FALSE)</f>
        <v>21339791.06</v>
      </c>
      <c r="D57" s="8">
        <f>VLOOKUP(B57,'Tally Balance'!A:C,3,FALSE)</f>
        <v>21466457.06</v>
      </c>
      <c r="E57" s="8" t="b">
        <f t="shared" si="0"/>
        <v>0</v>
      </c>
      <c r="F57" s="7"/>
      <c r="G57" s="7">
        <f>VLOOKUP(B57,'NS Balance'!D:G,4,FALSE)</f>
        <v>21909874.19</v>
      </c>
      <c r="H57" s="7">
        <f>VLOOKUP(B57,'Tally Balance'!A:D,4,FALSE)</f>
        <v>21909874.19</v>
      </c>
      <c r="I57" s="7" t="b">
        <f t="shared" si="1"/>
        <v>1</v>
      </c>
      <c r="J57" s="7"/>
      <c r="K57" s="7"/>
      <c r="L57" s="6">
        <f>VLOOKUP(B57,'Tally Balance'!A:E,5,FALSE)</f>
        <v>443417.13</v>
      </c>
    </row>
    <row r="58" spans="1:12">
      <c r="A58" s="2" t="s">
        <v>81</v>
      </c>
      <c r="B58" s="7" t="s">
        <v>90</v>
      </c>
      <c r="C58" s="7">
        <f>VLOOKUP(B58,'NS Balance'!D:F,3,FALSE)</f>
        <v>658854</v>
      </c>
      <c r="D58" s="7">
        <f>VLOOKUP(B58,'Tally Balance'!A:C,3,FALSE)</f>
        <v>658854</v>
      </c>
      <c r="E58" s="7" t="b">
        <f t="shared" si="0"/>
        <v>1</v>
      </c>
      <c r="F58" s="7"/>
      <c r="G58" s="7">
        <f>VLOOKUP(B58,'NS Balance'!D:G,4,FALSE)</f>
        <v>658382</v>
      </c>
      <c r="H58" s="7">
        <f>VLOOKUP(B58,'Tally Balance'!A:D,4,FALSE)</f>
        <v>658382</v>
      </c>
      <c r="I58" s="7" t="b">
        <f t="shared" si="1"/>
        <v>1</v>
      </c>
      <c r="J58" s="7"/>
      <c r="K58" s="7"/>
      <c r="L58" s="6">
        <f>VLOOKUP(B58,'Tally Balance'!A:E,5,FALSE)</f>
        <v>472</v>
      </c>
    </row>
    <row r="59" spans="1:12">
      <c r="A59" s="2" t="s">
        <v>81</v>
      </c>
      <c r="B59" s="7" t="s">
        <v>91</v>
      </c>
      <c r="C59" s="7">
        <f>VLOOKUP(B59,'NS Balance'!D:F,3,FALSE)</f>
        <v>3600000</v>
      </c>
      <c r="D59" s="7">
        <f>VLOOKUP(B59,'Tally Balance'!A:C,3,FALSE)</f>
        <v>3600000</v>
      </c>
      <c r="E59" s="7" t="b">
        <f t="shared" si="0"/>
        <v>1</v>
      </c>
      <c r="F59" s="7"/>
      <c r="G59" s="7">
        <f>VLOOKUP(B59,'NS Balance'!D:G,4,FALSE)</f>
        <v>3600043</v>
      </c>
      <c r="H59" s="7">
        <f>VLOOKUP(B59,'Tally Balance'!A:D,4,FALSE)</f>
        <v>3600043</v>
      </c>
      <c r="I59" s="7" t="b">
        <f t="shared" si="1"/>
        <v>1</v>
      </c>
      <c r="J59" s="7"/>
      <c r="K59" s="7"/>
      <c r="L59" s="6">
        <f>VLOOKUP(B59,'Tally Balance'!A:E,5,FALSE)</f>
        <v>43</v>
      </c>
    </row>
    <row r="60" spans="1:12">
      <c r="A60" s="2" t="s">
        <v>81</v>
      </c>
      <c r="B60" s="7" t="s">
        <v>92</v>
      </c>
      <c r="C60" s="7">
        <f>VLOOKUP(B60,'NS Balance'!D:F,3,FALSE)</f>
        <v>751830.29</v>
      </c>
      <c r="D60" s="7">
        <f>VLOOKUP(B60,'Tally Balance'!A:C,3,FALSE)</f>
        <v>751830.29</v>
      </c>
      <c r="E60" s="7" t="b">
        <f t="shared" si="0"/>
        <v>1</v>
      </c>
      <c r="F60" s="7"/>
      <c r="G60" s="7">
        <f>VLOOKUP(B60,'NS Balance'!D:G,4,FALSE)</f>
        <v>790000</v>
      </c>
      <c r="H60" s="7">
        <f>VLOOKUP(B60,'Tally Balance'!A:D,4,FALSE)</f>
        <v>790000</v>
      </c>
      <c r="I60" s="7" t="b">
        <f t="shared" si="1"/>
        <v>1</v>
      </c>
      <c r="J60" s="7"/>
      <c r="K60" s="7"/>
      <c r="L60" s="6">
        <f>VLOOKUP(B60,'Tally Balance'!A:E,5,FALSE)</f>
        <v>38169.71</v>
      </c>
    </row>
    <row r="61" spans="1:12">
      <c r="A61" s="2" t="s">
        <v>81</v>
      </c>
      <c r="B61" s="7" t="s">
        <v>93</v>
      </c>
      <c r="C61" s="7">
        <f>VLOOKUP(B61,'NS Balance'!D:F,3,FALSE)</f>
        <v>4853673.57</v>
      </c>
      <c r="D61" s="7">
        <f>VLOOKUP(B61,'Tally Balance'!A:C,3,FALSE)</f>
        <v>4853673.57</v>
      </c>
      <c r="E61" s="7" t="b">
        <f t="shared" si="0"/>
        <v>1</v>
      </c>
      <c r="F61" s="7"/>
      <c r="G61" s="7">
        <f>VLOOKUP(B61,'NS Balance'!D:G,4,FALSE)</f>
        <v>4937670.57</v>
      </c>
      <c r="H61" s="7">
        <f>VLOOKUP(B61,'Tally Balance'!A:D,4,FALSE)</f>
        <v>4937670.57</v>
      </c>
      <c r="I61" s="7" t="b">
        <f t="shared" si="1"/>
        <v>1</v>
      </c>
      <c r="J61" s="7"/>
      <c r="K61" s="7"/>
      <c r="L61" s="6">
        <f>VLOOKUP(B61,'Tally Balance'!A:E,5,FALSE)</f>
        <v>83997</v>
      </c>
    </row>
    <row r="62" spans="1:12">
      <c r="A62" s="2" t="s">
        <v>81</v>
      </c>
      <c r="B62" s="8" t="s">
        <v>94</v>
      </c>
      <c r="C62" s="8">
        <f>VLOOKUP(B62,'NS Balance'!D:F,3,FALSE)</f>
        <v>2046351.4</v>
      </c>
      <c r="D62" s="8">
        <f>VLOOKUP(B62,'Tally Balance'!A:C,3,FALSE)</f>
        <v>2066531.4</v>
      </c>
      <c r="E62" s="8" t="b">
        <f t="shared" si="0"/>
        <v>0</v>
      </c>
      <c r="F62" s="7"/>
      <c r="G62" s="7">
        <f>VLOOKUP(B62,'NS Balance'!D:G,4,FALSE)</f>
        <v>2728972.4</v>
      </c>
      <c r="H62" s="7">
        <f>VLOOKUP(B62,'Tally Balance'!A:D,4,FALSE)</f>
        <v>2728972.4</v>
      </c>
      <c r="I62" s="7" t="b">
        <f t="shared" si="1"/>
        <v>1</v>
      </c>
      <c r="J62" s="7"/>
      <c r="K62" s="7"/>
      <c r="L62" s="6">
        <f>VLOOKUP(B62,'Tally Balance'!A:E,5,FALSE)</f>
        <v>662441</v>
      </c>
    </row>
    <row r="63" spans="1:12">
      <c r="A63" s="2" t="s">
        <v>81</v>
      </c>
      <c r="B63" s="7" t="s">
        <v>95</v>
      </c>
      <c r="C63" s="7">
        <f>VLOOKUP(B63,'NS Balance'!D:F,3,FALSE)</f>
        <v>712151.24</v>
      </c>
      <c r="D63" s="7">
        <f>VLOOKUP(B63,'Tally Balance'!A:C,3,FALSE)</f>
        <v>712151.24</v>
      </c>
      <c r="E63" s="7" t="b">
        <f t="shared" si="0"/>
        <v>1</v>
      </c>
      <c r="F63" s="7"/>
      <c r="G63" s="7">
        <f>VLOOKUP(B63,'NS Balance'!D:G,4,FALSE)</f>
        <v>1102551</v>
      </c>
      <c r="H63" s="7">
        <f>VLOOKUP(B63,'Tally Balance'!A:D,4,FALSE)</f>
        <v>1102551</v>
      </c>
      <c r="I63" s="7" t="b">
        <f t="shared" si="1"/>
        <v>1</v>
      </c>
      <c r="J63" s="7"/>
      <c r="K63" s="7"/>
      <c r="L63" s="6">
        <f>VLOOKUP(B63,'Tally Balance'!A:E,5,FALSE)</f>
        <v>390399.76</v>
      </c>
    </row>
    <row r="64" spans="1:12">
      <c r="A64" s="2" t="s">
        <v>81</v>
      </c>
      <c r="B64" s="7" t="s">
        <v>96</v>
      </c>
      <c r="C64" s="7">
        <f>VLOOKUP(B64,'NS Balance'!D:F,3,FALSE)</f>
        <v>2650000</v>
      </c>
      <c r="D64" s="7">
        <f>VLOOKUP(B64,'Tally Balance'!A:C,3,FALSE)</f>
        <v>2650000</v>
      </c>
      <c r="E64" s="7" t="b">
        <f t="shared" si="0"/>
        <v>1</v>
      </c>
      <c r="F64" s="7"/>
      <c r="G64" s="7">
        <f>VLOOKUP(B64,'NS Balance'!D:G,4,FALSE)</f>
        <v>4300000</v>
      </c>
      <c r="H64" s="7">
        <f>VLOOKUP(B64,'Tally Balance'!A:D,4,FALSE)</f>
        <v>4300000</v>
      </c>
      <c r="I64" s="7" t="b">
        <f t="shared" si="1"/>
        <v>1</v>
      </c>
      <c r="J64" s="7"/>
      <c r="K64" s="7"/>
      <c r="L64" s="6">
        <f>VLOOKUP(B64,'Tally Balance'!A:E,5,FALSE)</f>
        <v>1650000</v>
      </c>
    </row>
    <row r="65" spans="1:12">
      <c r="A65" s="2" t="s">
        <v>97</v>
      </c>
      <c r="B65" s="7" t="s">
        <v>98</v>
      </c>
      <c r="C65" s="7">
        <f>VLOOKUP(B65,'NS Balance'!D:F,3,FALSE)</f>
        <v>850000</v>
      </c>
      <c r="D65" s="7">
        <f>VLOOKUP(B65,'Tally Balance'!A:C,3,FALSE)</f>
        <v>850000</v>
      </c>
      <c r="E65" s="7" t="b">
        <f t="shared" si="0"/>
        <v>1</v>
      </c>
      <c r="F65" s="7"/>
      <c r="G65" s="7">
        <f>VLOOKUP(B65,'NS Balance'!D:G,4,FALSE)</f>
        <v>850000</v>
      </c>
      <c r="H65" s="7">
        <f>VLOOKUP(B65,'Tally Balance'!A:D,4,FALSE)</f>
        <v>850000</v>
      </c>
      <c r="I65" s="7" t="b">
        <f t="shared" si="1"/>
        <v>1</v>
      </c>
      <c r="J65" s="7"/>
      <c r="K65" s="7"/>
      <c r="L65" s="6">
        <f>VLOOKUP(B65,'Tally Balance'!A:E,5,FALSE)</f>
        <v>0</v>
      </c>
    </row>
    <row r="66" spans="1:12">
      <c r="A66" s="2" t="s">
        <v>97</v>
      </c>
      <c r="B66" s="7" t="s">
        <v>99</v>
      </c>
      <c r="C66" s="7">
        <f>VLOOKUP(B66,'NS Balance'!D:F,3,FALSE)</f>
        <v>556000</v>
      </c>
      <c r="D66" s="7">
        <f>VLOOKUP(B66,'Tally Balance'!A:C,3,FALSE)</f>
        <v>556000</v>
      </c>
      <c r="E66" s="7" t="b">
        <f t="shared" si="0"/>
        <v>1</v>
      </c>
      <c r="F66" s="7"/>
      <c r="G66" s="7">
        <f>VLOOKUP(B66,'NS Balance'!D:G,4,FALSE)</f>
        <v>713240</v>
      </c>
      <c r="H66" s="7">
        <f>VLOOKUP(B66,'Tally Balance'!A:D,4,FALSE)</f>
        <v>713240</v>
      </c>
      <c r="I66" s="7" t="b">
        <f t="shared" si="1"/>
        <v>1</v>
      </c>
      <c r="J66" s="7"/>
      <c r="K66" s="7"/>
      <c r="L66" s="6">
        <f>VLOOKUP(B66,'Tally Balance'!A:E,5,FALSE)</f>
        <v>157240</v>
      </c>
    </row>
    <row r="67" spans="1:12">
      <c r="A67" s="2" t="s">
        <v>100</v>
      </c>
      <c r="B67" s="7" t="s">
        <v>101</v>
      </c>
      <c r="C67" s="7">
        <f>VLOOKUP(B67,'NS Balance'!D:F,3,FALSE)</f>
        <v>138800</v>
      </c>
      <c r="D67" s="7">
        <f>VLOOKUP(B67,'Tally Balance'!A:C,3,FALSE)</f>
        <v>138800</v>
      </c>
      <c r="E67" s="7" t="b">
        <f t="shared" ref="E67:E130" si="2">C67=D67</f>
        <v>1</v>
      </c>
      <c r="F67" s="7"/>
      <c r="G67" s="7">
        <f>VLOOKUP(B67,'NS Balance'!D:G,4,FALSE)</f>
        <v>0</v>
      </c>
      <c r="H67" s="7">
        <f>VLOOKUP(B67,'Tally Balance'!A:D,4,FALSE)</f>
        <v>0</v>
      </c>
      <c r="I67" s="7" t="b">
        <f t="shared" ref="I67:I130" si="3">G67=H67</f>
        <v>1</v>
      </c>
      <c r="J67" s="7"/>
      <c r="K67" s="7"/>
      <c r="L67" s="6">
        <f>VLOOKUP(B67,'Tally Balance'!A:E,5,FALSE)</f>
        <v>138800</v>
      </c>
    </row>
    <row r="68" spans="1:12">
      <c r="A68" s="2" t="s">
        <v>102</v>
      </c>
      <c r="B68" s="8" t="s">
        <v>103</v>
      </c>
      <c r="C68" s="8">
        <f>VLOOKUP(B68,'NS Balance'!D:F,3,FALSE)</f>
        <v>1496500</v>
      </c>
      <c r="D68" s="8">
        <f>VLOOKUP(B68,'Tally Balance'!A:C,3,FALSE)</f>
        <v>1500000</v>
      </c>
      <c r="E68" s="8" t="b">
        <f t="shared" si="2"/>
        <v>0</v>
      </c>
      <c r="F68" s="7">
        <f>D68-C68</f>
        <v>3500</v>
      </c>
      <c r="G68" s="10">
        <f>VLOOKUP(B68,'NS Balance'!D:G,4,FALSE)</f>
        <v>0</v>
      </c>
      <c r="H68" s="10">
        <f>VLOOKUP(B68,'Tally Balance'!A:D,4,FALSE)</f>
        <v>1721092.49</v>
      </c>
      <c r="I68" s="10" t="b">
        <f t="shared" si="3"/>
        <v>0</v>
      </c>
      <c r="J68" s="7" t="s">
        <v>104</v>
      </c>
      <c r="K68" s="7"/>
      <c r="L68" s="6">
        <f>VLOOKUP(B68,'Tally Balance'!A:E,5,FALSE)</f>
        <v>221092.49</v>
      </c>
    </row>
    <row r="69" spans="1:12">
      <c r="A69" s="2" t="s">
        <v>105</v>
      </c>
      <c r="B69" s="7" t="s">
        <v>106</v>
      </c>
      <c r="C69" s="7">
        <f>VLOOKUP(B69,'NS Balance'!D:F,3,FALSE)</f>
        <v>6000</v>
      </c>
      <c r="D69" s="7">
        <f>VLOOKUP(B69,'Tally Balance'!A:C,3,FALSE)</f>
        <v>6000</v>
      </c>
      <c r="E69" s="7" t="b">
        <f t="shared" si="2"/>
        <v>1</v>
      </c>
      <c r="F69" s="7"/>
      <c r="G69" s="7">
        <f>VLOOKUP(B69,'NS Balance'!D:G,4,FALSE)</f>
        <v>6000</v>
      </c>
      <c r="H69" s="7">
        <f>VLOOKUP(B69,'Tally Balance'!A:D,4,FALSE)</f>
        <v>6000</v>
      </c>
      <c r="I69" s="7" t="b">
        <f t="shared" si="3"/>
        <v>1</v>
      </c>
      <c r="J69" s="7"/>
      <c r="K69" s="7"/>
      <c r="L69" s="6">
        <f>VLOOKUP(B69,'Tally Balance'!A:E,5,FALSE)</f>
        <v>0</v>
      </c>
    </row>
    <row r="70" spans="1:12">
      <c r="A70" s="2" t="s">
        <v>107</v>
      </c>
      <c r="B70" s="7" t="s">
        <v>108</v>
      </c>
      <c r="C70" s="7">
        <f>VLOOKUP(B70,'NS Balance'!D:F,3,FALSE)</f>
        <v>26000</v>
      </c>
      <c r="D70" s="7">
        <f>VLOOKUP(B70,'Tally Balance'!A:C,3,FALSE)</f>
        <v>26000</v>
      </c>
      <c r="E70" s="7" t="b">
        <f t="shared" si="2"/>
        <v>1</v>
      </c>
      <c r="F70" s="7"/>
      <c r="G70" s="7">
        <f>VLOOKUP(B70,'NS Balance'!D:G,4,FALSE)</f>
        <v>26000</v>
      </c>
      <c r="H70" s="7">
        <f>VLOOKUP(B70,'Tally Balance'!A:D,4,FALSE)</f>
        <v>26000</v>
      </c>
      <c r="I70" s="7" t="b">
        <f t="shared" si="3"/>
        <v>1</v>
      </c>
      <c r="J70" s="7"/>
      <c r="K70" s="7"/>
      <c r="L70" s="6">
        <f>VLOOKUP(B70,'Tally Balance'!A:E,5,FALSE)</f>
        <v>0</v>
      </c>
    </row>
    <row r="71" spans="1:12">
      <c r="A71" s="2" t="s">
        <v>107</v>
      </c>
      <c r="B71" s="7" t="s">
        <v>109</v>
      </c>
      <c r="C71" s="7">
        <f>VLOOKUP(B71,'NS Balance'!D:F,3,FALSE)</f>
        <v>778498</v>
      </c>
      <c r="D71" s="7">
        <f>VLOOKUP(B71,'Tally Balance'!A:C,3,FALSE)</f>
        <v>778498</v>
      </c>
      <c r="E71" s="7" t="b">
        <f t="shared" si="2"/>
        <v>1</v>
      </c>
      <c r="F71" s="7"/>
      <c r="G71" s="7">
        <f>VLOOKUP(B71,'NS Balance'!D:G,4,FALSE)</f>
        <v>825135</v>
      </c>
      <c r="H71" s="7">
        <f>VLOOKUP(B71,'Tally Balance'!A:D,4,FALSE)</f>
        <v>825135</v>
      </c>
      <c r="I71" s="7" t="b">
        <f t="shared" si="3"/>
        <v>1</v>
      </c>
      <c r="J71" s="7"/>
      <c r="K71" s="7"/>
      <c r="L71" s="6">
        <f>VLOOKUP(B71,'Tally Balance'!A:E,5,FALSE)</f>
        <v>46637</v>
      </c>
    </row>
    <row r="72" spans="1:12">
      <c r="A72" s="2" t="s">
        <v>110</v>
      </c>
      <c r="B72" s="8" t="s">
        <v>111</v>
      </c>
      <c r="C72" s="8">
        <f>VLOOKUP(B72,'NS Balance'!D:F,3,FALSE)</f>
        <v>76149.44</v>
      </c>
      <c r="D72" s="8">
        <f>VLOOKUP(B72,'Tally Balance'!A:C,3,FALSE)</f>
        <v>64700</v>
      </c>
      <c r="E72" s="8" t="b">
        <f t="shared" si="2"/>
        <v>0</v>
      </c>
      <c r="F72" s="7"/>
      <c r="G72" s="7">
        <f>VLOOKUP(B72,'NS Balance'!D:G,4,FALSE)</f>
        <v>64610</v>
      </c>
      <c r="H72" s="7">
        <f>VLOOKUP(B72,'Tally Balance'!A:D,4,FALSE)</f>
        <v>64610</v>
      </c>
      <c r="I72" s="7" t="b">
        <f t="shared" si="3"/>
        <v>1</v>
      </c>
      <c r="J72" s="7"/>
      <c r="K72" s="7"/>
      <c r="L72" s="6">
        <f>VLOOKUP(B72,'Tally Balance'!A:E,5,FALSE)</f>
        <v>90</v>
      </c>
    </row>
    <row r="73" spans="1:12">
      <c r="A73" s="2" t="s">
        <v>112</v>
      </c>
      <c r="B73" s="8" t="s">
        <v>113</v>
      </c>
      <c r="C73" s="8">
        <f>VLOOKUP(B73,'NS Balance'!D:F,3,FALSE)</f>
        <v>8869</v>
      </c>
      <c r="D73" s="8">
        <f>VLOOKUP(B73,'Tally Balance'!A:C,3,FALSE)</f>
        <v>19848.91</v>
      </c>
      <c r="E73" s="8" t="b">
        <f t="shared" si="2"/>
        <v>0</v>
      </c>
      <c r="F73" s="7"/>
      <c r="G73" s="7">
        <f>VLOOKUP(B73,'NS Balance'!D:G,4,FALSE)</f>
        <v>19848.91</v>
      </c>
      <c r="H73" s="7">
        <f>VLOOKUP(B73,'Tally Balance'!A:D,4,FALSE)</f>
        <v>19848.91</v>
      </c>
      <c r="I73" s="7" t="b">
        <f t="shared" si="3"/>
        <v>1</v>
      </c>
      <c r="J73" s="7"/>
      <c r="K73" s="7"/>
      <c r="L73" s="6">
        <f>VLOOKUP(B73,'Tally Balance'!A:E,5,FALSE)</f>
        <v>0</v>
      </c>
    </row>
    <row r="74" spans="1:12">
      <c r="A74" s="2" t="s">
        <v>114</v>
      </c>
      <c r="B74" s="7" t="s">
        <v>115</v>
      </c>
      <c r="C74" s="7">
        <f>VLOOKUP(B74,'NS Balance'!D:F,3,FALSE)</f>
        <v>3479909</v>
      </c>
      <c r="D74" s="7">
        <f>VLOOKUP(B74,'Tally Balance'!A:C,3,FALSE)</f>
        <v>3479909</v>
      </c>
      <c r="E74" s="7" t="b">
        <f t="shared" si="2"/>
        <v>1</v>
      </c>
      <c r="F74" s="7"/>
      <c r="G74" s="7">
        <f>VLOOKUP(B74,'NS Balance'!D:G,4,FALSE)</f>
        <v>3589563</v>
      </c>
      <c r="H74" s="7">
        <f>VLOOKUP(B74,'Tally Balance'!A:D,4,FALSE)</f>
        <v>3589563</v>
      </c>
      <c r="I74" s="7" t="b">
        <f t="shared" si="3"/>
        <v>1</v>
      </c>
      <c r="J74" s="7"/>
      <c r="K74" s="7"/>
      <c r="L74" s="6">
        <f>VLOOKUP(B74,'Tally Balance'!A:E,5,FALSE)</f>
        <v>109654</v>
      </c>
    </row>
    <row r="75" spans="1:12">
      <c r="A75" s="2" t="s">
        <v>116</v>
      </c>
      <c r="B75" s="7" t="s">
        <v>117</v>
      </c>
      <c r="C75" s="7">
        <f>VLOOKUP(B75,'NS Balance'!D:F,3,FALSE)</f>
        <v>0</v>
      </c>
      <c r="D75" s="7">
        <f>VLOOKUP(B75,'Tally Balance'!A:C,3,FALSE)</f>
        <v>0</v>
      </c>
      <c r="E75" s="7" t="b">
        <f t="shared" si="2"/>
        <v>1</v>
      </c>
      <c r="F75" s="7"/>
      <c r="G75" s="7">
        <f>VLOOKUP(B75,'NS Balance'!D:G,4,FALSE)</f>
        <v>15793.06</v>
      </c>
      <c r="H75" s="7">
        <f>VLOOKUP(B75,'Tally Balance'!A:D,4,FALSE)</f>
        <v>15793.06</v>
      </c>
      <c r="I75" s="7" t="b">
        <f t="shared" si="3"/>
        <v>1</v>
      </c>
      <c r="J75" s="7"/>
      <c r="K75" s="7"/>
      <c r="L75" s="6">
        <f>VLOOKUP(B75,'Tally Balance'!A:E,5,FALSE)</f>
        <v>15793.06</v>
      </c>
    </row>
    <row r="76" spans="1:12">
      <c r="A76" s="2" t="s">
        <v>116</v>
      </c>
      <c r="B76" s="7" t="s">
        <v>118</v>
      </c>
      <c r="C76" s="7">
        <f>VLOOKUP(B76,'NS Balance'!D:F,3,FALSE)</f>
        <v>559134.47</v>
      </c>
      <c r="D76" s="7">
        <f>VLOOKUP(B76,'Tally Balance'!A:C,3,FALSE)</f>
        <v>559134.47</v>
      </c>
      <c r="E76" s="7" t="b">
        <f t="shared" si="2"/>
        <v>1</v>
      </c>
      <c r="F76" s="7"/>
      <c r="G76" s="7">
        <f>VLOOKUP(B76,'NS Balance'!D:G,4,FALSE)</f>
        <v>559134.47</v>
      </c>
      <c r="H76" s="7">
        <f>VLOOKUP(B76,'Tally Balance'!A:D,4,FALSE)</f>
        <v>559134.47</v>
      </c>
      <c r="I76" s="7" t="b">
        <f t="shared" si="3"/>
        <v>1</v>
      </c>
      <c r="J76" s="7"/>
      <c r="K76" s="7"/>
      <c r="L76" s="6">
        <f>VLOOKUP(B76,'Tally Balance'!A:E,5,FALSE)</f>
        <v>0</v>
      </c>
    </row>
    <row r="77" spans="1:12">
      <c r="A77" s="2" t="s">
        <v>119</v>
      </c>
      <c r="B77" s="7" t="s">
        <v>120</v>
      </c>
      <c r="C77" s="7">
        <f>VLOOKUP(B77,'NS Balance'!D:F,3,FALSE)</f>
        <v>461394</v>
      </c>
      <c r="D77" s="7">
        <f>VLOOKUP(B77,'Tally Balance'!A:C,3,FALSE)</f>
        <v>461394</v>
      </c>
      <c r="E77" s="7" t="b">
        <f t="shared" si="2"/>
        <v>1</v>
      </c>
      <c r="F77" s="7"/>
      <c r="G77" s="7">
        <f>VLOOKUP(B77,'NS Balance'!D:G,4,FALSE)</f>
        <v>461394</v>
      </c>
      <c r="H77" s="7">
        <f>VLOOKUP(B77,'Tally Balance'!A:D,4,FALSE)</f>
        <v>461394</v>
      </c>
      <c r="I77" s="7" t="b">
        <f t="shared" si="3"/>
        <v>1</v>
      </c>
      <c r="J77" s="7"/>
      <c r="K77" s="7"/>
      <c r="L77" s="6">
        <f>VLOOKUP(B77,'Tally Balance'!A:E,5,FALSE)</f>
        <v>0</v>
      </c>
    </row>
    <row r="78" spans="1:12">
      <c r="A78" s="2" t="s">
        <v>119</v>
      </c>
      <c r="B78" s="7" t="s">
        <v>121</v>
      </c>
      <c r="C78" s="7">
        <f>VLOOKUP(B78,'NS Balance'!D:F,3,FALSE)</f>
        <v>162122.01</v>
      </c>
      <c r="D78" s="7">
        <f>VLOOKUP(B78,'Tally Balance'!A:C,3,FALSE)</f>
        <v>162122.01</v>
      </c>
      <c r="E78" s="7" t="b">
        <f t="shared" si="2"/>
        <v>1</v>
      </c>
      <c r="F78" s="7"/>
      <c r="G78" s="7">
        <f>VLOOKUP(B78,'NS Balance'!D:G,4,FALSE)</f>
        <v>162122.01</v>
      </c>
      <c r="H78" s="7">
        <f>VLOOKUP(B78,'Tally Balance'!A:D,4,FALSE)</f>
        <v>162122.01</v>
      </c>
      <c r="I78" s="7" t="b">
        <f t="shared" si="3"/>
        <v>1</v>
      </c>
      <c r="J78" s="7"/>
      <c r="K78" s="7"/>
      <c r="L78" s="6">
        <f>VLOOKUP(B78,'Tally Balance'!A:E,5,FALSE)</f>
        <v>0</v>
      </c>
    </row>
    <row r="79" spans="1:12">
      <c r="A79" s="2" t="s">
        <v>119</v>
      </c>
      <c r="B79" s="7" t="s">
        <v>122</v>
      </c>
      <c r="C79" s="7">
        <f>VLOOKUP(B79,'NS Balance'!D:F,3,FALSE)</f>
        <v>292462</v>
      </c>
      <c r="D79" s="7">
        <f>VLOOKUP(B79,'Tally Balance'!A:C,3,FALSE)</f>
        <v>292462</v>
      </c>
      <c r="E79" s="7" t="b">
        <f t="shared" si="2"/>
        <v>1</v>
      </c>
      <c r="F79" s="7"/>
      <c r="G79" s="7">
        <f>VLOOKUP(B79,'NS Balance'!D:G,4,FALSE)</f>
        <v>292464.5</v>
      </c>
      <c r="H79" s="7">
        <f>VLOOKUP(B79,'Tally Balance'!A:D,4,FALSE)</f>
        <v>292464.5</v>
      </c>
      <c r="I79" s="7" t="b">
        <f t="shared" si="3"/>
        <v>1</v>
      </c>
      <c r="J79" s="7"/>
      <c r="K79" s="7"/>
      <c r="L79" s="6">
        <f>VLOOKUP(B79,'Tally Balance'!A:E,5,FALSE)</f>
        <v>2.5</v>
      </c>
    </row>
    <row r="80" spans="1:12">
      <c r="A80" s="2" t="s">
        <v>119</v>
      </c>
      <c r="B80" s="7" t="s">
        <v>123</v>
      </c>
      <c r="C80" s="7">
        <f>VLOOKUP(B80,'NS Balance'!D:F,3,FALSE)</f>
        <v>3500</v>
      </c>
      <c r="D80" s="7">
        <f>VLOOKUP(B80,'Tally Balance'!A:C,3,FALSE)</f>
        <v>3500</v>
      </c>
      <c r="E80" s="7" t="b">
        <f t="shared" si="2"/>
        <v>1</v>
      </c>
      <c r="F80" s="7"/>
      <c r="G80" s="7">
        <f>VLOOKUP(B80,'NS Balance'!D:G,4,FALSE)</f>
        <v>3500</v>
      </c>
      <c r="H80" s="7">
        <f>VLOOKUP(B80,'Tally Balance'!A:D,4,FALSE)</f>
        <v>3500</v>
      </c>
      <c r="I80" s="7" t="b">
        <f t="shared" si="3"/>
        <v>1</v>
      </c>
      <c r="J80" s="7"/>
      <c r="K80" s="7"/>
      <c r="L80" s="6">
        <f>VLOOKUP(B80,'Tally Balance'!A:E,5,FALSE)</f>
        <v>0</v>
      </c>
    </row>
    <row r="81" spans="1:12">
      <c r="A81" s="2" t="s">
        <v>119</v>
      </c>
      <c r="B81" s="7" t="s">
        <v>124</v>
      </c>
      <c r="C81" s="7">
        <f>VLOOKUP(B81,'NS Balance'!D:F,3,FALSE)</f>
        <v>39500</v>
      </c>
      <c r="D81" s="7">
        <f>VLOOKUP(B81,'Tally Balance'!A:C,3,FALSE)</f>
        <v>39500</v>
      </c>
      <c r="E81" s="7" t="b">
        <f t="shared" si="2"/>
        <v>1</v>
      </c>
      <c r="F81" s="7"/>
      <c r="G81" s="7">
        <f>VLOOKUP(B81,'NS Balance'!D:G,4,FALSE)</f>
        <v>39500</v>
      </c>
      <c r="H81" s="7">
        <f>VLOOKUP(B81,'Tally Balance'!A:D,4,FALSE)</f>
        <v>39500</v>
      </c>
      <c r="I81" s="7" t="b">
        <f t="shared" si="3"/>
        <v>1</v>
      </c>
      <c r="J81" s="7"/>
      <c r="K81" s="7"/>
      <c r="L81" s="6">
        <f>VLOOKUP(B81,'Tally Balance'!A:E,5,FALSE)</f>
        <v>0</v>
      </c>
    </row>
    <row r="82" spans="1:12">
      <c r="A82" s="2" t="s">
        <v>119</v>
      </c>
      <c r="B82" s="7" t="s">
        <v>125</v>
      </c>
      <c r="C82" s="7">
        <f>VLOOKUP(B82,'NS Balance'!D:F,3,FALSE)</f>
        <v>399072.26</v>
      </c>
      <c r="D82" s="7">
        <f>VLOOKUP(B82,'Tally Balance'!A:C,3,FALSE)</f>
        <v>399072.26</v>
      </c>
      <c r="E82" s="7" t="b">
        <f t="shared" si="2"/>
        <v>1</v>
      </c>
      <c r="F82" s="7"/>
      <c r="G82" s="7">
        <f>VLOOKUP(B82,'NS Balance'!D:G,4,FALSE)</f>
        <v>399072.26</v>
      </c>
      <c r="H82" s="7">
        <f>VLOOKUP(B82,'Tally Balance'!A:D,4,FALSE)</f>
        <v>399072.26</v>
      </c>
      <c r="I82" s="7" t="b">
        <f t="shared" si="3"/>
        <v>1</v>
      </c>
      <c r="J82" s="7"/>
      <c r="K82" s="7"/>
      <c r="L82" s="6">
        <f>VLOOKUP(B82,'Tally Balance'!A:E,5,FALSE)</f>
        <v>0</v>
      </c>
    </row>
    <row r="83" spans="1:12">
      <c r="A83" s="2" t="s">
        <v>119</v>
      </c>
      <c r="B83" s="7" t="s">
        <v>126</v>
      </c>
      <c r="C83" s="7">
        <f>VLOOKUP(B83,'NS Balance'!D:F,3,FALSE)</f>
        <v>26000</v>
      </c>
      <c r="D83" s="7">
        <f>VLOOKUP(B83,'Tally Balance'!A:C,3,FALSE)</f>
        <v>26000</v>
      </c>
      <c r="E83" s="7" t="b">
        <f t="shared" si="2"/>
        <v>1</v>
      </c>
      <c r="F83" s="7"/>
      <c r="G83" s="7">
        <f>VLOOKUP(B83,'NS Balance'!D:G,4,FALSE)</f>
        <v>26000</v>
      </c>
      <c r="H83" s="7">
        <f>VLOOKUP(B83,'Tally Balance'!A:D,4,FALSE)</f>
        <v>26000</v>
      </c>
      <c r="I83" s="7" t="b">
        <f t="shared" si="3"/>
        <v>1</v>
      </c>
      <c r="J83" s="7"/>
      <c r="K83" s="7"/>
      <c r="L83" s="6">
        <f>VLOOKUP(B83,'Tally Balance'!A:E,5,FALSE)</f>
        <v>0</v>
      </c>
    </row>
    <row r="84" spans="1:12">
      <c r="A84" s="2" t="s">
        <v>119</v>
      </c>
      <c r="B84" s="7" t="s">
        <v>127</v>
      </c>
      <c r="C84" s="7">
        <f>VLOOKUP(B84,'NS Balance'!D:F,3,FALSE)</f>
        <v>180000</v>
      </c>
      <c r="D84" s="7">
        <f>VLOOKUP(B84,'Tally Balance'!A:C,3,FALSE)</f>
        <v>180000</v>
      </c>
      <c r="E84" s="7" t="b">
        <f t="shared" si="2"/>
        <v>1</v>
      </c>
      <c r="F84" s="7"/>
      <c r="G84" s="7">
        <f>VLOOKUP(B84,'NS Balance'!D:G,4,FALSE)</f>
        <v>180000</v>
      </c>
      <c r="H84" s="7">
        <f>VLOOKUP(B84,'Tally Balance'!A:D,4,FALSE)</f>
        <v>180000</v>
      </c>
      <c r="I84" s="7" t="b">
        <f t="shared" si="3"/>
        <v>1</v>
      </c>
      <c r="J84" s="7"/>
      <c r="K84" s="7"/>
      <c r="L84" s="6">
        <f>VLOOKUP(B84,'Tally Balance'!A:E,5,FALSE)</f>
        <v>0</v>
      </c>
    </row>
    <row r="85" spans="1:12">
      <c r="A85" s="2" t="s">
        <v>119</v>
      </c>
      <c r="B85" s="7" t="s">
        <v>128</v>
      </c>
      <c r="C85" s="7">
        <f>VLOOKUP(B85,'NS Balance'!D:F,3,FALSE)</f>
        <v>428608.3</v>
      </c>
      <c r="D85" s="7">
        <f>VLOOKUP(B85,'Tally Balance'!A:C,3,FALSE)</f>
        <v>428608.3</v>
      </c>
      <c r="E85" s="7" t="b">
        <f t="shared" si="2"/>
        <v>1</v>
      </c>
      <c r="F85" s="7"/>
      <c r="G85" s="7">
        <f>VLOOKUP(B85,'NS Balance'!D:G,4,FALSE)</f>
        <v>486500</v>
      </c>
      <c r="H85" s="7">
        <f>VLOOKUP(B85,'Tally Balance'!A:D,4,FALSE)</f>
        <v>486500</v>
      </c>
      <c r="I85" s="7" t="b">
        <f t="shared" si="3"/>
        <v>1</v>
      </c>
      <c r="J85" s="7"/>
      <c r="K85" s="7"/>
      <c r="L85" s="6">
        <f>VLOOKUP(B85,'Tally Balance'!A:E,5,FALSE)</f>
        <v>57891.7</v>
      </c>
    </row>
    <row r="86" spans="1:12">
      <c r="A86" s="2" t="s">
        <v>119</v>
      </c>
      <c r="B86" s="7" t="s">
        <v>129</v>
      </c>
      <c r="C86" s="7">
        <f>VLOOKUP(B86,'NS Balance'!D:F,3,FALSE)</f>
        <v>330000</v>
      </c>
      <c r="D86" s="7">
        <f>VLOOKUP(B86,'Tally Balance'!A:C,3,FALSE)</f>
        <v>330000</v>
      </c>
      <c r="E86" s="7" t="b">
        <f t="shared" si="2"/>
        <v>1</v>
      </c>
      <c r="F86" s="7"/>
      <c r="G86" s="7">
        <f>VLOOKUP(B86,'NS Balance'!D:G,4,FALSE)</f>
        <v>330000</v>
      </c>
      <c r="H86" s="7">
        <f>VLOOKUP(B86,'Tally Balance'!A:D,4,FALSE)</f>
        <v>330000</v>
      </c>
      <c r="I86" s="7" t="b">
        <f t="shared" si="3"/>
        <v>1</v>
      </c>
      <c r="J86" s="7"/>
      <c r="K86" s="7"/>
      <c r="L86" s="6">
        <f>VLOOKUP(B86,'Tally Balance'!A:E,5,FALSE)</f>
        <v>0</v>
      </c>
    </row>
    <row r="87" spans="1:12">
      <c r="A87" s="2" t="s">
        <v>119</v>
      </c>
      <c r="B87" s="7" t="s">
        <v>130</v>
      </c>
      <c r="C87" s="7">
        <f>VLOOKUP(B87,'NS Balance'!D:F,3,FALSE)</f>
        <v>395859.98</v>
      </c>
      <c r="D87" s="7">
        <f>VLOOKUP(B87,'Tally Balance'!A:C,3,FALSE)</f>
        <v>395859.98</v>
      </c>
      <c r="E87" s="7" t="b">
        <f t="shared" si="2"/>
        <v>1</v>
      </c>
      <c r="F87" s="7"/>
      <c r="G87" s="7">
        <f>VLOOKUP(B87,'NS Balance'!D:G,4,FALSE)</f>
        <v>380859.98</v>
      </c>
      <c r="H87" s="7">
        <f>VLOOKUP(B87,'Tally Balance'!A:D,4,FALSE)</f>
        <v>380859.98</v>
      </c>
      <c r="I87" s="7" t="b">
        <f t="shared" si="3"/>
        <v>1</v>
      </c>
      <c r="J87" s="7"/>
      <c r="K87" s="7"/>
      <c r="L87" s="6">
        <f>VLOOKUP(B87,'Tally Balance'!A:E,5,FALSE)</f>
        <v>15000</v>
      </c>
    </row>
    <row r="88" spans="1:12">
      <c r="A88" s="2" t="s">
        <v>119</v>
      </c>
      <c r="B88" s="8" t="s">
        <v>131</v>
      </c>
      <c r="C88" s="8">
        <f>VLOOKUP(B88,'NS Balance'!D:F,3,FALSE)</f>
        <v>3792486.56</v>
      </c>
      <c r="D88" s="8">
        <f>VLOOKUP(B88,'Tally Balance'!A:C,3,FALSE)</f>
        <v>3833936</v>
      </c>
      <c r="E88" s="8" t="b">
        <f t="shared" si="2"/>
        <v>0</v>
      </c>
      <c r="F88" s="7"/>
      <c r="G88" s="7">
        <f>VLOOKUP(B88,'NS Balance'!D:G,4,FALSE)</f>
        <v>5333936.81</v>
      </c>
      <c r="H88" s="7">
        <f>VLOOKUP(B88,'Tally Balance'!A:D,4,FALSE)</f>
        <v>5333936.81</v>
      </c>
      <c r="I88" s="7" t="b">
        <f t="shared" si="3"/>
        <v>1</v>
      </c>
      <c r="J88" s="7"/>
      <c r="K88" s="7"/>
      <c r="L88" s="6">
        <f>VLOOKUP(B88,'Tally Balance'!A:E,5,FALSE)</f>
        <v>1500000.81</v>
      </c>
    </row>
    <row r="89" spans="1:12">
      <c r="A89" s="2" t="s">
        <v>119</v>
      </c>
      <c r="B89" s="7" t="s">
        <v>132</v>
      </c>
      <c r="C89" s="7">
        <f>VLOOKUP(B89,'NS Balance'!D:F,3,FALSE)</f>
        <v>722000</v>
      </c>
      <c r="D89" s="7">
        <f>VLOOKUP(B89,'Tally Balance'!A:C,3,FALSE)</f>
        <v>722000</v>
      </c>
      <c r="E89" s="7" t="b">
        <f t="shared" si="2"/>
        <v>1</v>
      </c>
      <c r="F89" s="7"/>
      <c r="G89" s="7">
        <f>VLOOKUP(B89,'NS Balance'!D:G,4,FALSE)</f>
        <v>1022599</v>
      </c>
      <c r="H89" s="7">
        <f>VLOOKUP(B89,'Tally Balance'!A:D,4,FALSE)</f>
        <v>1022599</v>
      </c>
      <c r="I89" s="7" t="b">
        <f t="shared" si="3"/>
        <v>1</v>
      </c>
      <c r="J89" s="7"/>
      <c r="K89" s="7"/>
      <c r="L89" s="6">
        <f>VLOOKUP(B89,'Tally Balance'!A:E,5,FALSE)</f>
        <v>300599</v>
      </c>
    </row>
    <row r="90" spans="1:12">
      <c r="A90" s="2" t="s">
        <v>119</v>
      </c>
      <c r="B90" s="7" t="s">
        <v>133</v>
      </c>
      <c r="C90" s="7">
        <f>VLOOKUP(B90,'NS Balance'!D:F,3,FALSE)</f>
        <v>463862.83</v>
      </c>
      <c r="D90" s="7">
        <f>VLOOKUP(B90,'Tally Balance'!A:C,3,FALSE)</f>
        <v>463862.83</v>
      </c>
      <c r="E90" s="7" t="b">
        <f t="shared" si="2"/>
        <v>1</v>
      </c>
      <c r="F90" s="7"/>
      <c r="G90" s="7">
        <f>VLOOKUP(B90,'NS Balance'!D:G,4,FALSE)</f>
        <v>564513.83</v>
      </c>
      <c r="H90" s="7">
        <f>VLOOKUP(B90,'Tally Balance'!A:D,4,FALSE)</f>
        <v>564513.83</v>
      </c>
      <c r="I90" s="7" t="b">
        <f t="shared" si="3"/>
        <v>1</v>
      </c>
      <c r="J90" s="7"/>
      <c r="K90" s="7"/>
      <c r="L90" s="6">
        <f>VLOOKUP(B90,'Tally Balance'!A:E,5,FALSE)</f>
        <v>100651</v>
      </c>
    </row>
    <row r="91" spans="1:12">
      <c r="A91" s="2" t="s">
        <v>119</v>
      </c>
      <c r="B91" s="7" t="s">
        <v>134</v>
      </c>
      <c r="C91" s="7">
        <f>VLOOKUP(B91,'NS Balance'!D:F,3,FALSE)</f>
        <v>910000</v>
      </c>
      <c r="D91" s="7">
        <f>VLOOKUP(B91,'Tally Balance'!A:C,3,FALSE)</f>
        <v>910000</v>
      </c>
      <c r="E91" s="7" t="b">
        <f t="shared" si="2"/>
        <v>1</v>
      </c>
      <c r="F91" s="7"/>
      <c r="G91" s="7">
        <f>VLOOKUP(B91,'NS Balance'!D:G,4,FALSE)</f>
        <v>1077740.44</v>
      </c>
      <c r="H91" s="7">
        <f>VLOOKUP(B91,'Tally Balance'!A:D,4,FALSE)</f>
        <v>1077740.44</v>
      </c>
      <c r="I91" s="7" t="b">
        <f t="shared" si="3"/>
        <v>1</v>
      </c>
      <c r="J91" s="7"/>
      <c r="K91" s="7"/>
      <c r="L91" s="6">
        <f>VLOOKUP(B91,'Tally Balance'!A:E,5,FALSE)</f>
        <v>167740.44</v>
      </c>
    </row>
    <row r="92" spans="1:12">
      <c r="A92" s="2" t="s">
        <v>119</v>
      </c>
      <c r="B92" s="7" t="s">
        <v>135</v>
      </c>
      <c r="C92" s="7">
        <f>VLOOKUP(B92,'NS Balance'!D:F,3,FALSE)</f>
        <v>89700</v>
      </c>
      <c r="D92" s="7">
        <f>VLOOKUP(B92,'Tally Balance'!A:C,3,FALSE)</f>
        <v>89700</v>
      </c>
      <c r="E92" s="7" t="b">
        <f t="shared" si="2"/>
        <v>1</v>
      </c>
      <c r="F92" s="7"/>
      <c r="G92" s="7">
        <f>VLOOKUP(B92,'NS Balance'!D:G,4,FALSE)</f>
        <v>115000</v>
      </c>
      <c r="H92" s="7">
        <f>VLOOKUP(B92,'Tally Balance'!A:D,4,FALSE)</f>
        <v>115000</v>
      </c>
      <c r="I92" s="7" t="b">
        <f t="shared" si="3"/>
        <v>1</v>
      </c>
      <c r="J92" s="7"/>
      <c r="K92" s="7"/>
      <c r="L92" s="6">
        <f>VLOOKUP(B92,'Tally Balance'!A:E,5,FALSE)</f>
        <v>25300</v>
      </c>
    </row>
    <row r="93" spans="1:12">
      <c r="A93" s="2" t="s">
        <v>136</v>
      </c>
      <c r="B93" s="7" t="s">
        <v>137</v>
      </c>
      <c r="C93" s="7">
        <f>VLOOKUP(B93,'NS Balance'!D:F,3,FALSE)</f>
        <v>58146.67</v>
      </c>
      <c r="D93" s="7">
        <f>VLOOKUP(B93,'Tally Balance'!A:C,3,FALSE)</f>
        <v>58146.67</v>
      </c>
      <c r="E93" s="7" t="b">
        <f t="shared" si="2"/>
        <v>1</v>
      </c>
      <c r="F93" s="7"/>
      <c r="G93" s="7">
        <f>VLOOKUP(B93,'NS Balance'!D:G,4,FALSE)</f>
        <v>438503</v>
      </c>
      <c r="H93" s="7">
        <f>VLOOKUP(B93,'Tally Balance'!A:D,4,FALSE)</f>
        <v>438503</v>
      </c>
      <c r="I93" s="7" t="b">
        <f t="shared" si="3"/>
        <v>1</v>
      </c>
      <c r="J93" s="7"/>
      <c r="K93" s="7"/>
      <c r="L93" s="6">
        <f>VLOOKUP(B93,'Tally Balance'!A:E,5,FALSE)</f>
        <v>380356.33</v>
      </c>
    </row>
    <row r="94" spans="1:12">
      <c r="A94" s="2" t="s">
        <v>138</v>
      </c>
      <c r="B94" s="7" t="s">
        <v>139</v>
      </c>
      <c r="C94" s="7">
        <f>VLOOKUP(B94,'NS Balance'!D:F,3,FALSE)</f>
        <v>3733273.4</v>
      </c>
      <c r="D94" s="7">
        <f>VLOOKUP(B94,'Tally Balance'!A:C,3,FALSE)</f>
        <v>3733273.4</v>
      </c>
      <c r="E94" s="7" t="b">
        <f t="shared" si="2"/>
        <v>1</v>
      </c>
      <c r="F94" s="7"/>
      <c r="G94" s="7">
        <f>VLOOKUP(B94,'NS Balance'!D:G,4,FALSE)</f>
        <v>3752856.8</v>
      </c>
      <c r="H94" s="7">
        <f>VLOOKUP(B94,'Tally Balance'!A:D,4,FALSE)</f>
        <v>3752856.8</v>
      </c>
      <c r="I94" s="7" t="b">
        <f t="shared" si="3"/>
        <v>1</v>
      </c>
      <c r="J94" s="7"/>
      <c r="K94" s="7"/>
      <c r="L94" s="6">
        <f>VLOOKUP(B94,'Tally Balance'!A:E,5,FALSE)</f>
        <v>19583.4</v>
      </c>
    </row>
    <row r="95" spans="1:12">
      <c r="A95" s="2" t="s">
        <v>140</v>
      </c>
      <c r="B95" s="7" t="s">
        <v>141</v>
      </c>
      <c r="C95" s="7">
        <f>VLOOKUP(B95,'NS Balance'!D:F,3,FALSE)</f>
        <v>1691</v>
      </c>
      <c r="D95" s="7">
        <f>VLOOKUP(B95,'Tally Balance'!A:C,3,FALSE)</f>
        <v>1691</v>
      </c>
      <c r="E95" s="7" t="b">
        <f t="shared" si="2"/>
        <v>1</v>
      </c>
      <c r="F95" s="7"/>
      <c r="G95" s="7">
        <f>VLOOKUP(B95,'NS Balance'!D:G,4,FALSE)</f>
        <v>1691</v>
      </c>
      <c r="H95" s="7">
        <f>VLOOKUP(B95,'Tally Balance'!A:D,4,FALSE)</f>
        <v>1691</v>
      </c>
      <c r="I95" s="7" t="b">
        <f t="shared" si="3"/>
        <v>1</v>
      </c>
      <c r="J95" s="7"/>
      <c r="K95" s="7"/>
      <c r="L95" s="6">
        <f>VLOOKUP(B95,'Tally Balance'!A:E,5,FALSE)</f>
        <v>0</v>
      </c>
    </row>
    <row r="96" spans="1:12">
      <c r="A96" s="2" t="s">
        <v>142</v>
      </c>
      <c r="B96" s="7" t="s">
        <v>143</v>
      </c>
      <c r="C96" s="7">
        <f>VLOOKUP(B96,'NS Balance'!D:F,3,FALSE)</f>
        <v>133500</v>
      </c>
      <c r="D96" s="7">
        <f>VLOOKUP(B96,'Tally Balance'!A:C,3,FALSE)</f>
        <v>133500</v>
      </c>
      <c r="E96" s="7" t="b">
        <f t="shared" si="2"/>
        <v>1</v>
      </c>
      <c r="F96" s="7"/>
      <c r="G96" s="7">
        <f>VLOOKUP(B96,'NS Balance'!D:G,4,FALSE)</f>
        <v>133500</v>
      </c>
      <c r="H96" s="7">
        <f>VLOOKUP(B96,'Tally Balance'!A:D,4,FALSE)</f>
        <v>133500</v>
      </c>
      <c r="I96" s="7" t="b">
        <f t="shared" si="3"/>
        <v>1</v>
      </c>
      <c r="J96" s="7"/>
      <c r="K96" s="7"/>
      <c r="L96" s="6">
        <f>VLOOKUP(B96,'Tally Balance'!A:E,5,FALSE)</f>
        <v>0</v>
      </c>
    </row>
    <row r="97" spans="1:12">
      <c r="A97" s="2" t="s">
        <v>144</v>
      </c>
      <c r="B97" s="8" t="s">
        <v>145</v>
      </c>
      <c r="C97" s="8">
        <f>VLOOKUP(B97,'NS Balance'!D:F,3,FALSE)</f>
        <v>0</v>
      </c>
      <c r="D97" s="8">
        <f>VLOOKUP(B97,'Tally Balance'!A:C,3,FALSE)</f>
        <v>37050</v>
      </c>
      <c r="E97" s="8" t="b">
        <f t="shared" si="2"/>
        <v>0</v>
      </c>
      <c r="F97" s="7"/>
      <c r="G97" s="7">
        <f>VLOOKUP(B97,'NS Balance'!D:G,4,FALSE)</f>
        <v>37050</v>
      </c>
      <c r="H97" s="7">
        <f>VLOOKUP(B97,'Tally Balance'!A:D,4,FALSE)</f>
        <v>37050</v>
      </c>
      <c r="I97" s="7" t="b">
        <f t="shared" si="3"/>
        <v>1</v>
      </c>
      <c r="J97" s="7"/>
      <c r="K97" s="7"/>
      <c r="L97" s="6">
        <f>VLOOKUP(B97,'Tally Balance'!A:E,5,FALSE)</f>
        <v>0</v>
      </c>
    </row>
    <row r="98" spans="1:12">
      <c r="A98" s="2" t="s">
        <v>144</v>
      </c>
      <c r="B98" s="7" t="s">
        <v>146</v>
      </c>
      <c r="C98" s="7">
        <f>VLOOKUP(B98,'NS Balance'!D:F,3,FALSE)</f>
        <v>7552</v>
      </c>
      <c r="D98" s="7">
        <f>VLOOKUP(B98,'Tally Balance'!A:C,3,FALSE)</f>
        <v>7552</v>
      </c>
      <c r="E98" s="7" t="b">
        <f t="shared" si="2"/>
        <v>1</v>
      </c>
      <c r="F98" s="7"/>
      <c r="G98" s="7">
        <f>VLOOKUP(B98,'NS Balance'!D:G,4,FALSE)</f>
        <v>7552</v>
      </c>
      <c r="H98" s="7">
        <f>VLOOKUP(B98,'Tally Balance'!A:D,4,FALSE)</f>
        <v>7552</v>
      </c>
      <c r="I98" s="7" t="b">
        <f t="shared" si="3"/>
        <v>1</v>
      </c>
      <c r="J98" s="7"/>
      <c r="K98" s="7"/>
      <c r="L98" s="6">
        <f>VLOOKUP(B98,'Tally Balance'!A:E,5,FALSE)</f>
        <v>0</v>
      </c>
    </row>
    <row r="99" spans="1:12">
      <c r="A99" s="2" t="s">
        <v>144</v>
      </c>
      <c r="B99" s="7" t="s">
        <v>147</v>
      </c>
      <c r="C99" s="7">
        <f>VLOOKUP(B99,'NS Balance'!D:F,3,FALSE)</f>
        <v>36830</v>
      </c>
      <c r="D99" s="7">
        <f>VLOOKUP(B99,'Tally Balance'!A:C,3,FALSE)</f>
        <v>36830</v>
      </c>
      <c r="E99" s="7" t="b">
        <f t="shared" si="2"/>
        <v>1</v>
      </c>
      <c r="F99" s="7"/>
      <c r="G99" s="7">
        <f>VLOOKUP(B99,'NS Balance'!D:G,4,FALSE)</f>
        <v>36830</v>
      </c>
      <c r="H99" s="7">
        <f>VLOOKUP(B99,'Tally Balance'!A:D,4,FALSE)</f>
        <v>36830</v>
      </c>
      <c r="I99" s="7" t="b">
        <f t="shared" si="3"/>
        <v>1</v>
      </c>
      <c r="J99" s="7"/>
      <c r="K99" s="7"/>
      <c r="L99" s="6">
        <f>VLOOKUP(B99,'Tally Balance'!A:E,5,FALSE)</f>
        <v>0</v>
      </c>
    </row>
    <row r="100" spans="1:12">
      <c r="A100" s="2" t="s">
        <v>144</v>
      </c>
      <c r="B100" s="7" t="s">
        <v>148</v>
      </c>
      <c r="C100" s="7">
        <f>VLOOKUP(B100,'NS Balance'!D:F,3,FALSE)</f>
        <v>8391</v>
      </c>
      <c r="D100" s="7">
        <f>VLOOKUP(B100,'Tally Balance'!A:C,3,FALSE)</f>
        <v>8391</v>
      </c>
      <c r="E100" s="7" t="b">
        <f t="shared" si="2"/>
        <v>1</v>
      </c>
      <c r="F100" s="7"/>
      <c r="G100" s="10">
        <f>VLOOKUP(B100,'NS Balance'!D:G,4,FALSE)</f>
        <v>8681</v>
      </c>
      <c r="H100" s="10">
        <f>VLOOKUP(B100,'Tally Balance'!A:D,4,FALSE)</f>
        <v>8391</v>
      </c>
      <c r="I100" s="10" t="b">
        <f t="shared" si="3"/>
        <v>0</v>
      </c>
      <c r="J100" s="7"/>
      <c r="K100" s="7"/>
      <c r="L100" s="6">
        <f>VLOOKUP(B100,'Tally Balance'!A:E,5,FALSE)</f>
        <v>0</v>
      </c>
    </row>
    <row r="101" spans="1:12">
      <c r="A101" s="2" t="s">
        <v>144</v>
      </c>
      <c r="B101" s="7" t="s">
        <v>149</v>
      </c>
      <c r="C101" s="7">
        <f>VLOOKUP(B101,'NS Balance'!D:F,3,FALSE)</f>
        <v>22800</v>
      </c>
      <c r="D101" s="7">
        <f>VLOOKUP(B101,'Tally Balance'!A:C,3,FALSE)</f>
        <v>22800</v>
      </c>
      <c r="E101" s="7" t="b">
        <f t="shared" si="2"/>
        <v>1</v>
      </c>
      <c r="F101" s="7"/>
      <c r="G101" s="7">
        <f>VLOOKUP(B101,'NS Balance'!D:G,4,FALSE)</f>
        <v>22800</v>
      </c>
      <c r="H101" s="7">
        <f>VLOOKUP(B101,'Tally Balance'!A:D,4,FALSE)</f>
        <v>22800</v>
      </c>
      <c r="I101" s="7" t="b">
        <f t="shared" si="3"/>
        <v>1</v>
      </c>
      <c r="J101" s="7"/>
      <c r="K101" s="7"/>
      <c r="L101" s="6">
        <f>VLOOKUP(B101,'Tally Balance'!A:E,5,FALSE)</f>
        <v>0</v>
      </c>
    </row>
    <row r="102" spans="1:12">
      <c r="A102" s="2" t="s">
        <v>144</v>
      </c>
      <c r="B102" s="7" t="s">
        <v>150</v>
      </c>
      <c r="C102" s="7">
        <f>VLOOKUP(B102,'NS Balance'!D:F,3,FALSE)</f>
        <v>42110</v>
      </c>
      <c r="D102" s="7">
        <f>VLOOKUP(B102,'Tally Balance'!A:C,3,FALSE)</f>
        <v>42110</v>
      </c>
      <c r="E102" s="7" t="b">
        <f t="shared" si="2"/>
        <v>1</v>
      </c>
      <c r="F102" s="7"/>
      <c r="G102" s="7">
        <f>VLOOKUP(B102,'NS Balance'!D:G,4,FALSE)</f>
        <v>42110</v>
      </c>
      <c r="H102" s="7">
        <f>VLOOKUP(B102,'Tally Balance'!A:D,4,FALSE)</f>
        <v>42110</v>
      </c>
      <c r="I102" s="7" t="b">
        <f t="shared" si="3"/>
        <v>1</v>
      </c>
      <c r="J102" s="7"/>
      <c r="K102" s="7"/>
      <c r="L102" s="6">
        <f>VLOOKUP(B102,'Tally Balance'!A:E,5,FALSE)</f>
        <v>0</v>
      </c>
    </row>
    <row r="103" spans="1:12">
      <c r="A103" s="2" t="s">
        <v>144</v>
      </c>
      <c r="B103" s="7" t="s">
        <v>151</v>
      </c>
      <c r="C103" s="7">
        <f>VLOOKUP(B103,'NS Balance'!D:F,3,FALSE)</f>
        <v>15000</v>
      </c>
      <c r="D103" s="7">
        <f>VLOOKUP(B103,'Tally Balance'!A:C,3,FALSE)</f>
        <v>15000</v>
      </c>
      <c r="E103" s="7" t="b">
        <f t="shared" si="2"/>
        <v>1</v>
      </c>
      <c r="F103" s="7"/>
      <c r="G103" s="7">
        <f>VLOOKUP(B103,'NS Balance'!D:G,4,FALSE)</f>
        <v>15000</v>
      </c>
      <c r="H103" s="7">
        <f>VLOOKUP(B103,'Tally Balance'!A:D,4,FALSE)</f>
        <v>15000</v>
      </c>
      <c r="I103" s="7" t="b">
        <f t="shared" si="3"/>
        <v>1</v>
      </c>
      <c r="J103" s="7"/>
      <c r="K103" s="7"/>
      <c r="L103" s="6">
        <f>VLOOKUP(B103,'Tally Balance'!A:E,5,FALSE)</f>
        <v>0</v>
      </c>
    </row>
    <row r="104" spans="1:12">
      <c r="A104" s="2" t="s">
        <v>144</v>
      </c>
      <c r="B104" s="7" t="s">
        <v>152</v>
      </c>
      <c r="C104" s="7">
        <f>VLOOKUP(B104,'NS Balance'!D:F,3,FALSE)</f>
        <v>52056</v>
      </c>
      <c r="D104" s="7">
        <f>VLOOKUP(B104,'Tally Balance'!A:C,3,FALSE)</f>
        <v>52056</v>
      </c>
      <c r="E104" s="7" t="b">
        <f t="shared" si="2"/>
        <v>1</v>
      </c>
      <c r="F104" s="7"/>
      <c r="G104" s="7">
        <f>VLOOKUP(B104,'NS Balance'!D:G,4,FALSE)</f>
        <v>52056</v>
      </c>
      <c r="H104" s="7">
        <f>VLOOKUP(B104,'Tally Balance'!A:D,4,FALSE)</f>
        <v>52056</v>
      </c>
      <c r="I104" s="7" t="b">
        <f t="shared" si="3"/>
        <v>1</v>
      </c>
      <c r="J104" s="7"/>
      <c r="K104" s="7"/>
      <c r="L104" s="6">
        <f>VLOOKUP(B104,'Tally Balance'!A:E,5,FALSE)</f>
        <v>0</v>
      </c>
    </row>
    <row r="105" spans="1:12">
      <c r="A105" s="2" t="s">
        <v>144</v>
      </c>
      <c r="B105" s="7" t="s">
        <v>153</v>
      </c>
      <c r="C105" s="7">
        <f>VLOOKUP(B105,'NS Balance'!D:F,3,FALSE)</f>
        <v>22000</v>
      </c>
      <c r="D105" s="7">
        <f>VLOOKUP(B105,'Tally Balance'!A:C,3,FALSE)</f>
        <v>22000</v>
      </c>
      <c r="E105" s="7" t="b">
        <f t="shared" si="2"/>
        <v>1</v>
      </c>
      <c r="F105" s="7"/>
      <c r="G105" s="7">
        <f>VLOOKUP(B105,'NS Balance'!D:G,4,FALSE)</f>
        <v>33583</v>
      </c>
      <c r="H105" s="7">
        <f>VLOOKUP(B105,'Tally Balance'!A:D,4,FALSE)</f>
        <v>33583</v>
      </c>
      <c r="I105" s="7" t="b">
        <f t="shared" si="3"/>
        <v>1</v>
      </c>
      <c r="J105" s="7"/>
      <c r="K105" s="7"/>
      <c r="L105" s="6">
        <f>VLOOKUP(B105,'Tally Balance'!A:E,5,FALSE)</f>
        <v>11583</v>
      </c>
    </row>
    <row r="106" spans="1:12">
      <c r="A106" s="2" t="s">
        <v>144</v>
      </c>
      <c r="B106" s="7" t="s">
        <v>154</v>
      </c>
      <c r="C106" s="7">
        <f>VLOOKUP(B106,'NS Balance'!D:F,3,FALSE)</f>
        <v>23000</v>
      </c>
      <c r="D106" s="7">
        <f>VLOOKUP(B106,'Tally Balance'!A:C,3,FALSE)</f>
        <v>23000</v>
      </c>
      <c r="E106" s="7" t="b">
        <f t="shared" si="2"/>
        <v>1</v>
      </c>
      <c r="F106" s="7"/>
      <c r="G106" s="7">
        <f>VLOOKUP(B106,'NS Balance'!D:G,4,FALSE)</f>
        <v>34100</v>
      </c>
      <c r="H106" s="7">
        <f>VLOOKUP(B106,'Tally Balance'!A:D,4,FALSE)</f>
        <v>34100</v>
      </c>
      <c r="I106" s="7" t="b">
        <f t="shared" si="3"/>
        <v>1</v>
      </c>
      <c r="J106" s="7"/>
      <c r="K106" s="7"/>
      <c r="L106" s="6">
        <f>VLOOKUP(B106,'Tally Balance'!A:E,5,FALSE)</f>
        <v>11100</v>
      </c>
    </row>
    <row r="107" spans="1:12">
      <c r="A107" s="2" t="s">
        <v>144</v>
      </c>
      <c r="B107" s="7" t="s">
        <v>155</v>
      </c>
      <c r="C107" s="7">
        <f>VLOOKUP(B107,'NS Balance'!D:F,3,FALSE)</f>
        <v>708765</v>
      </c>
      <c r="D107" s="7">
        <f>VLOOKUP(B107,'Tally Balance'!A:C,3,FALSE)</f>
        <v>708765</v>
      </c>
      <c r="E107" s="7" t="b">
        <f t="shared" si="2"/>
        <v>1</v>
      </c>
      <c r="F107" s="7"/>
      <c r="G107" s="7">
        <f>VLOOKUP(B107,'NS Balance'!D:G,4,FALSE)</f>
        <v>1014046</v>
      </c>
      <c r="H107" s="7">
        <f>VLOOKUP(B107,'Tally Balance'!A:D,4,FALSE)</f>
        <v>1014046</v>
      </c>
      <c r="I107" s="7" t="b">
        <f t="shared" si="3"/>
        <v>1</v>
      </c>
      <c r="J107" s="7"/>
      <c r="K107" s="7"/>
      <c r="L107" s="6">
        <f>VLOOKUP(B107,'Tally Balance'!A:E,5,FALSE)</f>
        <v>305281</v>
      </c>
    </row>
    <row r="108" spans="1:12">
      <c r="A108" s="2" t="s">
        <v>144</v>
      </c>
      <c r="B108" s="7" t="s">
        <v>156</v>
      </c>
      <c r="C108" s="7">
        <f>VLOOKUP(B108,'NS Balance'!D:F,3,FALSE)</f>
        <v>40000</v>
      </c>
      <c r="D108" s="7">
        <f>VLOOKUP(B108,'Tally Balance'!A:C,3,FALSE)</f>
        <v>40000</v>
      </c>
      <c r="E108" s="7" t="b">
        <f t="shared" si="2"/>
        <v>1</v>
      </c>
      <c r="F108" s="7"/>
      <c r="G108" s="7">
        <f>VLOOKUP(B108,'NS Balance'!D:G,4,FALSE)</f>
        <v>71500</v>
      </c>
      <c r="H108" s="7">
        <f>VLOOKUP(B108,'Tally Balance'!A:D,4,FALSE)</f>
        <v>71500</v>
      </c>
      <c r="I108" s="7" t="b">
        <f t="shared" si="3"/>
        <v>1</v>
      </c>
      <c r="J108" s="7"/>
      <c r="K108" s="7"/>
      <c r="L108" s="6">
        <f>VLOOKUP(B108,'Tally Balance'!A:E,5,FALSE)</f>
        <v>31500</v>
      </c>
    </row>
    <row r="109" spans="1:12">
      <c r="A109" s="2" t="s">
        <v>144</v>
      </c>
      <c r="B109" s="7" t="s">
        <v>157</v>
      </c>
      <c r="C109" s="7">
        <f>VLOOKUP(B109,'NS Balance'!D:F,3,FALSE)</f>
        <v>120000</v>
      </c>
      <c r="D109" s="7">
        <f>VLOOKUP(B109,'Tally Balance'!A:C,3,FALSE)</f>
        <v>120000</v>
      </c>
      <c r="E109" s="7" t="b">
        <f t="shared" si="2"/>
        <v>1</v>
      </c>
      <c r="F109" s="7"/>
      <c r="G109" s="7">
        <f>VLOOKUP(B109,'NS Balance'!D:G,4,FALSE)</f>
        <v>179520</v>
      </c>
      <c r="H109" s="7">
        <f>VLOOKUP(B109,'Tally Balance'!A:D,4,FALSE)</f>
        <v>179520</v>
      </c>
      <c r="I109" s="7" t="b">
        <f t="shared" si="3"/>
        <v>1</v>
      </c>
      <c r="J109" s="7"/>
      <c r="K109" s="7"/>
      <c r="L109" s="6">
        <f>VLOOKUP(B109,'Tally Balance'!A:E,5,FALSE)</f>
        <v>59520</v>
      </c>
    </row>
    <row r="110" spans="1:12">
      <c r="A110" s="2" t="s">
        <v>144</v>
      </c>
      <c r="B110" s="7" t="s">
        <v>158</v>
      </c>
      <c r="C110" s="7">
        <f>VLOOKUP(B110,'NS Balance'!D:F,3,FALSE)</f>
        <v>55014</v>
      </c>
      <c r="D110" s="7">
        <f>VLOOKUP(B110,'Tally Balance'!A:C,3,FALSE)</f>
        <v>55014</v>
      </c>
      <c r="E110" s="7" t="b">
        <f t="shared" si="2"/>
        <v>1</v>
      </c>
      <c r="F110" s="7"/>
      <c r="G110" s="7">
        <f>VLOOKUP(B110,'NS Balance'!D:G,4,FALSE)</f>
        <v>80014</v>
      </c>
      <c r="H110" s="7">
        <f>VLOOKUP(B110,'Tally Balance'!A:D,4,FALSE)</f>
        <v>80014</v>
      </c>
      <c r="I110" s="7" t="b">
        <f t="shared" si="3"/>
        <v>1</v>
      </c>
      <c r="J110" s="7"/>
      <c r="K110" s="7"/>
      <c r="L110" s="6">
        <f>VLOOKUP(B110,'Tally Balance'!A:E,5,FALSE)</f>
        <v>25000</v>
      </c>
    </row>
    <row r="111" spans="1:12">
      <c r="A111" s="2" t="s">
        <v>144</v>
      </c>
      <c r="B111" s="7" t="s">
        <v>159</v>
      </c>
      <c r="C111" s="7">
        <f>VLOOKUP(B111,'NS Balance'!D:F,3,FALSE)</f>
        <v>310000</v>
      </c>
      <c r="D111" s="7">
        <f>VLOOKUP(B111,'Tally Balance'!A:C,3,FALSE)</f>
        <v>310000</v>
      </c>
      <c r="E111" s="7" t="b">
        <f t="shared" si="2"/>
        <v>1</v>
      </c>
      <c r="F111" s="7"/>
      <c r="G111" s="7">
        <f>VLOOKUP(B111,'NS Balance'!D:G,4,FALSE)</f>
        <v>437059</v>
      </c>
      <c r="H111" s="7">
        <f>VLOOKUP(B111,'Tally Balance'!A:D,4,FALSE)</f>
        <v>437059</v>
      </c>
      <c r="I111" s="7" t="b">
        <f t="shared" si="3"/>
        <v>1</v>
      </c>
      <c r="J111" s="7"/>
      <c r="K111" s="7"/>
      <c r="L111" s="6">
        <f>VLOOKUP(B111,'Tally Balance'!A:E,5,FALSE)</f>
        <v>127059</v>
      </c>
    </row>
    <row r="112" spans="1:12">
      <c r="A112" s="2" t="s">
        <v>144</v>
      </c>
      <c r="B112" s="7" t="s">
        <v>160</v>
      </c>
      <c r="C112" s="7">
        <f>VLOOKUP(B112,'NS Balance'!D:F,3,FALSE)</f>
        <v>7500</v>
      </c>
      <c r="D112" s="7">
        <f>VLOOKUP(B112,'Tally Balance'!A:C,3,FALSE)</f>
        <v>7500</v>
      </c>
      <c r="E112" s="7" t="b">
        <f t="shared" si="2"/>
        <v>1</v>
      </c>
      <c r="F112" s="7"/>
      <c r="G112" s="7">
        <f>VLOOKUP(B112,'NS Balance'!D:G,4,FALSE)</f>
        <v>10010</v>
      </c>
      <c r="H112" s="7">
        <f>VLOOKUP(B112,'Tally Balance'!A:D,4,FALSE)</f>
        <v>10010</v>
      </c>
      <c r="I112" s="7" t="b">
        <f t="shared" si="3"/>
        <v>1</v>
      </c>
      <c r="J112" s="7"/>
      <c r="K112" s="7"/>
      <c r="L112" s="6">
        <f>VLOOKUP(B112,'Tally Balance'!A:E,5,FALSE)</f>
        <v>2510</v>
      </c>
    </row>
    <row r="113" spans="1:12">
      <c r="A113" s="2" t="s">
        <v>144</v>
      </c>
      <c r="B113" s="7" t="s">
        <v>161</v>
      </c>
      <c r="C113" s="7">
        <f>VLOOKUP(B113,'NS Balance'!D:F,3,FALSE)</f>
        <v>150000</v>
      </c>
      <c r="D113" s="7">
        <f>VLOOKUP(B113,'Tally Balance'!A:C,3,FALSE)</f>
        <v>150000</v>
      </c>
      <c r="E113" s="7" t="b">
        <f t="shared" si="2"/>
        <v>1</v>
      </c>
      <c r="F113" s="7"/>
      <c r="G113" s="7">
        <f>VLOOKUP(B113,'NS Balance'!D:G,4,FALSE)</f>
        <v>209293</v>
      </c>
      <c r="H113" s="7">
        <f>VLOOKUP(B113,'Tally Balance'!A:D,4,FALSE)</f>
        <v>209293</v>
      </c>
      <c r="I113" s="7" t="b">
        <f t="shared" si="3"/>
        <v>1</v>
      </c>
      <c r="J113" s="7"/>
      <c r="K113" s="7"/>
      <c r="L113" s="6">
        <f>VLOOKUP(B113,'Tally Balance'!A:E,5,FALSE)</f>
        <v>59293</v>
      </c>
    </row>
    <row r="114" spans="1:12">
      <c r="A114" s="2" t="s">
        <v>144</v>
      </c>
      <c r="B114" s="7" t="s">
        <v>162</v>
      </c>
      <c r="C114" s="7">
        <f>VLOOKUP(B114,'NS Balance'!D:F,3,FALSE)</f>
        <v>140000</v>
      </c>
      <c r="D114" s="7">
        <f>VLOOKUP(B114,'Tally Balance'!A:C,3,FALSE)</f>
        <v>140000</v>
      </c>
      <c r="E114" s="7" t="b">
        <f t="shared" si="2"/>
        <v>1</v>
      </c>
      <c r="F114" s="7"/>
      <c r="G114" s="7">
        <f>VLOOKUP(B114,'NS Balance'!D:G,4,FALSE)</f>
        <v>178178</v>
      </c>
      <c r="H114" s="7">
        <f>VLOOKUP(B114,'Tally Balance'!A:D,4,FALSE)</f>
        <v>178178</v>
      </c>
      <c r="I114" s="7" t="b">
        <f t="shared" si="3"/>
        <v>1</v>
      </c>
      <c r="J114" s="7"/>
      <c r="K114" s="7"/>
      <c r="L114" s="6">
        <f>VLOOKUP(B114,'Tally Balance'!A:E,5,FALSE)</f>
        <v>38178</v>
      </c>
    </row>
    <row r="115" spans="1:12">
      <c r="A115" s="2" t="s">
        <v>163</v>
      </c>
      <c r="B115" s="8" t="s">
        <v>164</v>
      </c>
      <c r="C115" s="8">
        <f>VLOOKUP(B115,'NS Balance'!D:F,3,FALSE)</f>
        <v>1657971</v>
      </c>
      <c r="D115" s="8">
        <f>VLOOKUP(B115,'Tally Balance'!A:C,3,FALSE)</f>
        <v>1648971</v>
      </c>
      <c r="E115" s="8" t="b">
        <f t="shared" si="2"/>
        <v>0</v>
      </c>
      <c r="F115" s="7"/>
      <c r="G115" s="7">
        <f>VLOOKUP(B115,'NS Balance'!D:G,4,FALSE)</f>
        <v>1815931</v>
      </c>
      <c r="H115" s="7">
        <f>VLOOKUP(B115,'Tally Balance'!A:D,4,FALSE)</f>
        <v>1815931</v>
      </c>
      <c r="I115" s="7" t="b">
        <f t="shared" si="3"/>
        <v>1</v>
      </c>
      <c r="J115" s="7"/>
      <c r="K115" s="7"/>
      <c r="L115" s="6">
        <f>VLOOKUP(B115,'Tally Balance'!A:E,5,FALSE)</f>
        <v>166960</v>
      </c>
    </row>
    <row r="116" spans="1:12">
      <c r="A116" s="2" t="s">
        <v>165</v>
      </c>
      <c r="B116" s="7" t="s">
        <v>166</v>
      </c>
      <c r="C116" s="7">
        <f>VLOOKUP(B116,'NS Balance'!D:F,3,FALSE)</f>
        <v>660000</v>
      </c>
      <c r="D116" s="7">
        <f>VLOOKUP(B116,'Tally Balance'!A:C,3,FALSE)</f>
        <v>660000</v>
      </c>
      <c r="E116" s="7" t="b">
        <f t="shared" si="2"/>
        <v>1</v>
      </c>
      <c r="F116" s="7"/>
      <c r="G116" s="10">
        <f>VLOOKUP(B116,'NS Balance'!D:G,4,FALSE)</f>
        <v>0</v>
      </c>
      <c r="H116" s="10">
        <f>VLOOKUP(B116,'Tally Balance'!A:D,4,FALSE)</f>
        <v>660000</v>
      </c>
      <c r="I116" s="10" t="b">
        <f t="shared" si="3"/>
        <v>0</v>
      </c>
      <c r="J116" s="7"/>
      <c r="K116" s="7"/>
      <c r="L116" s="6">
        <f>VLOOKUP(B116,'Tally Balance'!A:E,5,FALSE)</f>
        <v>0</v>
      </c>
    </row>
    <row r="117" spans="1:12">
      <c r="A117" s="2" t="s">
        <v>165</v>
      </c>
      <c r="B117" s="7" t="s">
        <v>167</v>
      </c>
      <c r="C117" s="7">
        <f>VLOOKUP(B117,'NS Balance'!D:F,3,FALSE)</f>
        <v>1838410</v>
      </c>
      <c r="D117" s="7">
        <f>VLOOKUP(B117,'Tally Balance'!A:C,3,FALSE)</f>
        <v>1838410</v>
      </c>
      <c r="E117" s="7" t="b">
        <f t="shared" si="2"/>
        <v>1</v>
      </c>
      <c r="F117" s="7"/>
      <c r="G117" s="10">
        <f>VLOOKUP(B117,'NS Balance'!D:G,4,FALSE)</f>
        <v>28800</v>
      </c>
      <c r="H117" s="10">
        <f>VLOOKUP(B117,'Tally Balance'!A:D,4,FALSE)</f>
        <v>1820810</v>
      </c>
      <c r="I117" s="10" t="b">
        <f t="shared" si="3"/>
        <v>0</v>
      </c>
      <c r="J117" s="7"/>
      <c r="K117" s="7"/>
      <c r="L117" s="6">
        <f>VLOOKUP(B117,'Tally Balance'!A:E,5,FALSE)</f>
        <v>17600</v>
      </c>
    </row>
    <row r="118" spans="1:12">
      <c r="A118" s="2" t="s">
        <v>165</v>
      </c>
      <c r="B118" s="7" t="s">
        <v>168</v>
      </c>
      <c r="C118" s="7">
        <f>VLOOKUP(B118,'NS Balance'!D:F,3,FALSE)</f>
        <v>104037</v>
      </c>
      <c r="D118" s="7">
        <f>VLOOKUP(B118,'Tally Balance'!A:C,3,FALSE)</f>
        <v>104037</v>
      </c>
      <c r="E118" s="7" t="b">
        <f t="shared" si="2"/>
        <v>1</v>
      </c>
      <c r="F118" s="7"/>
      <c r="G118" s="7">
        <f>VLOOKUP(B118,'NS Balance'!D:G,4,FALSE)</f>
        <v>104037</v>
      </c>
      <c r="H118" s="7">
        <f>VLOOKUP(B118,'Tally Balance'!A:D,4,FALSE)</f>
        <v>104037</v>
      </c>
      <c r="I118" s="7" t="b">
        <f t="shared" si="3"/>
        <v>1</v>
      </c>
      <c r="J118" s="7"/>
      <c r="K118" s="7"/>
      <c r="L118" s="6">
        <f>VLOOKUP(B118,'Tally Balance'!A:E,5,FALSE)</f>
        <v>0</v>
      </c>
    </row>
    <row r="119" spans="1:12">
      <c r="A119" s="2" t="s">
        <v>169</v>
      </c>
      <c r="B119" s="7" t="s">
        <v>170</v>
      </c>
      <c r="C119" s="7">
        <f>VLOOKUP(B119,'NS Balance'!D:F,3,FALSE)</f>
        <v>129923</v>
      </c>
      <c r="D119" s="7">
        <f>VLOOKUP(B119,'Tally Balance'!A:C,3,FALSE)</f>
        <v>129923</v>
      </c>
      <c r="E119" s="7" t="b">
        <f t="shared" si="2"/>
        <v>1</v>
      </c>
      <c r="F119" s="7"/>
      <c r="G119" s="7">
        <f>VLOOKUP(B119,'NS Balance'!D:G,4,FALSE)</f>
        <v>129923</v>
      </c>
      <c r="H119" s="7">
        <f>VLOOKUP(B119,'Tally Balance'!A:D,4,FALSE)</f>
        <v>129923</v>
      </c>
      <c r="I119" s="7" t="b">
        <f t="shared" si="3"/>
        <v>1</v>
      </c>
      <c r="J119" s="7"/>
      <c r="K119" s="7"/>
      <c r="L119" s="6">
        <f>VLOOKUP(B119,'Tally Balance'!A:E,5,FALSE)</f>
        <v>0</v>
      </c>
    </row>
    <row r="120" spans="1:12">
      <c r="A120" s="2" t="s">
        <v>169</v>
      </c>
      <c r="B120" s="7" t="s">
        <v>171</v>
      </c>
      <c r="C120" s="7">
        <f>VLOOKUP(B120,'NS Balance'!D:F,3,FALSE)</f>
        <v>110000</v>
      </c>
      <c r="D120" s="7">
        <f>VLOOKUP(B120,'Tally Balance'!A:C,3,FALSE)</f>
        <v>110000</v>
      </c>
      <c r="E120" s="7" t="b">
        <f t="shared" si="2"/>
        <v>1</v>
      </c>
      <c r="F120" s="7"/>
      <c r="G120" s="7">
        <f>VLOOKUP(B120,'NS Balance'!D:G,4,FALSE)</f>
        <v>110000</v>
      </c>
      <c r="H120" s="7">
        <f>VLOOKUP(B120,'Tally Balance'!A:D,4,FALSE)</f>
        <v>110000</v>
      </c>
      <c r="I120" s="7" t="b">
        <f t="shared" si="3"/>
        <v>1</v>
      </c>
      <c r="J120" s="7"/>
      <c r="K120" s="7"/>
      <c r="L120" s="6">
        <f>VLOOKUP(B120,'Tally Balance'!A:E,5,FALSE)</f>
        <v>0</v>
      </c>
    </row>
    <row r="121" spans="1:12">
      <c r="A121" s="2" t="s">
        <v>169</v>
      </c>
      <c r="B121" s="7" t="s">
        <v>172</v>
      </c>
      <c r="C121" s="7">
        <f>VLOOKUP(B121,'NS Balance'!D:F,3,FALSE)</f>
        <v>8702148.2</v>
      </c>
      <c r="D121" s="7">
        <f>VLOOKUP(B121,'Tally Balance'!A:C,3,FALSE)</f>
        <v>8702148.2</v>
      </c>
      <c r="E121" s="7" t="b">
        <f t="shared" si="2"/>
        <v>1</v>
      </c>
      <c r="F121" s="7"/>
      <c r="G121" s="10">
        <f>VLOOKUP(B121,'NS Balance'!D:G,4,FALSE)</f>
        <v>5666925</v>
      </c>
      <c r="H121" s="10">
        <f>VLOOKUP(B121,'Tally Balance'!A:D,4,FALSE)</f>
        <v>8678548.2</v>
      </c>
      <c r="I121" s="10" t="b">
        <f t="shared" si="3"/>
        <v>0</v>
      </c>
      <c r="J121" s="7"/>
      <c r="K121" s="7"/>
      <c r="L121" s="6">
        <f>VLOOKUP(B121,'Tally Balance'!A:E,5,FALSE)</f>
        <v>23600</v>
      </c>
    </row>
    <row r="122" spans="1:12">
      <c r="A122" s="2" t="s">
        <v>169</v>
      </c>
      <c r="B122" s="7" t="s">
        <v>173</v>
      </c>
      <c r="C122" s="7">
        <f>VLOOKUP(B122,'NS Balance'!D:F,3,FALSE)</f>
        <v>5499236.5</v>
      </c>
      <c r="D122" s="7">
        <f>VLOOKUP(B122,'Tally Balance'!A:C,3,FALSE)</f>
        <v>5499236.5</v>
      </c>
      <c r="E122" s="7" t="b">
        <f t="shared" si="2"/>
        <v>1</v>
      </c>
      <c r="F122" s="7"/>
      <c r="G122" s="10">
        <f>VLOOKUP(B122,'NS Balance'!D:G,4,FALSE)</f>
        <v>1944867</v>
      </c>
      <c r="H122" s="10">
        <f>VLOOKUP(B122,'Tally Balance'!A:D,4,FALSE)</f>
        <v>5361736.5</v>
      </c>
      <c r="I122" s="10" t="b">
        <f t="shared" si="3"/>
        <v>0</v>
      </c>
      <c r="J122" s="7" t="s">
        <v>174</v>
      </c>
      <c r="K122" s="7"/>
      <c r="L122" s="6">
        <f>VLOOKUP(B122,'Tally Balance'!A:E,5,FALSE)</f>
        <v>137500</v>
      </c>
    </row>
    <row r="123" spans="1:12">
      <c r="A123" s="2" t="s">
        <v>169</v>
      </c>
      <c r="B123" s="8" t="s">
        <v>175</v>
      </c>
      <c r="C123" s="8">
        <f>VLOOKUP(B123,'NS Balance'!D:F,3,FALSE)</f>
        <v>1021439</v>
      </c>
      <c r="D123" s="8">
        <f>VLOOKUP(B123,'Tally Balance'!A:C,3,FALSE)</f>
        <v>2393496.5</v>
      </c>
      <c r="E123" s="8" t="b">
        <f t="shared" si="2"/>
        <v>0</v>
      </c>
      <c r="F123" s="7" t="s">
        <v>176</v>
      </c>
      <c r="G123" s="10">
        <f>VLOOKUP(B123,'NS Balance'!D:G,4,FALSE)</f>
        <v>1021439</v>
      </c>
      <c r="H123" s="10">
        <f>VLOOKUP(B123,'Tally Balance'!A:D,4,FALSE)</f>
        <v>2393496.5</v>
      </c>
      <c r="I123" s="10" t="b">
        <f t="shared" si="3"/>
        <v>0</v>
      </c>
      <c r="J123" s="7" t="s">
        <v>176</v>
      </c>
      <c r="K123" s="7"/>
      <c r="L123" s="6">
        <f>VLOOKUP(B123,'Tally Balance'!A:E,5,FALSE)</f>
        <v>0</v>
      </c>
    </row>
    <row r="124" spans="1:12">
      <c r="A124" s="2" t="s">
        <v>169</v>
      </c>
      <c r="B124" s="7" t="s">
        <v>177</v>
      </c>
      <c r="C124" s="7">
        <f>VLOOKUP(B124,'NS Balance'!D:F,3,FALSE)</f>
        <v>400000</v>
      </c>
      <c r="D124" s="7">
        <f>VLOOKUP(B124,'Tally Balance'!A:C,3,FALSE)</f>
        <v>400000</v>
      </c>
      <c r="E124" s="7" t="b">
        <f t="shared" si="2"/>
        <v>1</v>
      </c>
      <c r="F124" s="7"/>
      <c r="G124" s="7">
        <f>VLOOKUP(B124,'NS Balance'!D:G,4,FALSE)</f>
        <v>440000</v>
      </c>
      <c r="H124" s="7">
        <f>VLOOKUP(B124,'Tally Balance'!A:D,4,FALSE)</f>
        <v>440000</v>
      </c>
      <c r="I124" s="7" t="b">
        <f t="shared" si="3"/>
        <v>1</v>
      </c>
      <c r="J124" s="7"/>
      <c r="K124" s="7"/>
      <c r="L124" s="6">
        <f>VLOOKUP(B124,'Tally Balance'!A:E,5,FALSE)</f>
        <v>40000</v>
      </c>
    </row>
    <row r="125" spans="1:12">
      <c r="A125" s="2" t="s">
        <v>178</v>
      </c>
      <c r="B125" s="7" t="s">
        <v>179</v>
      </c>
      <c r="C125" s="7">
        <f>VLOOKUP(B125,'NS Balance'!D:F,3,FALSE)</f>
        <v>221945</v>
      </c>
      <c r="D125" s="7">
        <f>VLOOKUP(B125,'Tally Balance'!A:C,3,FALSE)</f>
        <v>221945</v>
      </c>
      <c r="E125" s="7" t="b">
        <f t="shared" si="2"/>
        <v>1</v>
      </c>
      <c r="F125" s="7"/>
      <c r="G125" s="7">
        <f>VLOOKUP(B125,'NS Balance'!D:G,4,FALSE)</f>
        <v>381205</v>
      </c>
      <c r="H125" s="7">
        <f>VLOOKUP(B125,'Tally Balance'!A:D,4,FALSE)</f>
        <v>381205</v>
      </c>
      <c r="I125" s="7" t="b">
        <f t="shared" si="3"/>
        <v>1</v>
      </c>
      <c r="J125" s="7"/>
      <c r="K125" s="7"/>
      <c r="L125" s="6">
        <f>VLOOKUP(B125,'Tally Balance'!A:E,5,FALSE)</f>
        <v>159260</v>
      </c>
    </row>
    <row r="126" spans="1:12">
      <c r="A126" s="2" t="s">
        <v>180</v>
      </c>
      <c r="B126" s="7" t="s">
        <v>181</v>
      </c>
      <c r="C126" s="7">
        <f>VLOOKUP(B126,'NS Balance'!D:F,3,FALSE)</f>
        <v>374590</v>
      </c>
      <c r="D126" s="7">
        <f>VLOOKUP(B126,'Tally Balance'!A:C,3,FALSE)</f>
        <v>374590</v>
      </c>
      <c r="E126" s="7" t="b">
        <f t="shared" si="2"/>
        <v>1</v>
      </c>
      <c r="F126" s="7"/>
      <c r="G126" s="7">
        <f>VLOOKUP(B126,'NS Balance'!D:G,4,FALSE)</f>
        <v>374590</v>
      </c>
      <c r="H126" s="7">
        <f>VLOOKUP(B126,'Tally Balance'!A:D,4,FALSE)</f>
        <v>374590</v>
      </c>
      <c r="I126" s="7" t="b">
        <f t="shared" si="3"/>
        <v>1</v>
      </c>
      <c r="J126" s="7"/>
      <c r="K126" s="7"/>
      <c r="L126" s="6">
        <f>VLOOKUP(B126,'Tally Balance'!A:E,5,FALSE)</f>
        <v>0</v>
      </c>
    </row>
    <row r="127" spans="1:12">
      <c r="A127" s="2" t="s">
        <v>182</v>
      </c>
      <c r="B127" s="7" t="s">
        <v>183</v>
      </c>
      <c r="C127" s="7">
        <f>VLOOKUP(B127,'NS Balance'!D:F,3,FALSE)</f>
        <v>65000</v>
      </c>
      <c r="D127" s="7">
        <f>VLOOKUP(B127,'Tally Balance'!A:C,3,FALSE)</f>
        <v>65000</v>
      </c>
      <c r="E127" s="7" t="b">
        <f t="shared" si="2"/>
        <v>1</v>
      </c>
      <c r="F127" s="7"/>
      <c r="G127" s="7">
        <f>VLOOKUP(B127,'NS Balance'!D:G,4,FALSE)</f>
        <v>97440</v>
      </c>
      <c r="H127" s="7">
        <f>VLOOKUP(B127,'Tally Balance'!A:D,4,FALSE)</f>
        <v>97440</v>
      </c>
      <c r="I127" s="7" t="b">
        <f t="shared" si="3"/>
        <v>1</v>
      </c>
      <c r="J127" s="7"/>
      <c r="K127" s="7"/>
      <c r="L127" s="6">
        <f>VLOOKUP(B127,'Tally Balance'!A:E,5,FALSE)</f>
        <v>32440</v>
      </c>
    </row>
    <row r="128" spans="1:12">
      <c r="A128" s="2" t="s">
        <v>102</v>
      </c>
      <c r="B128" s="7" t="s">
        <v>184</v>
      </c>
      <c r="C128" s="7">
        <f>VLOOKUP(B128,'NS Balance'!D:F,3,FALSE)</f>
        <v>209354</v>
      </c>
      <c r="D128" s="7">
        <f>VLOOKUP(B128,'Tally Balance'!A:C,3,FALSE)</f>
        <v>209354</v>
      </c>
      <c r="E128" s="7" t="b">
        <f t="shared" si="2"/>
        <v>1</v>
      </c>
      <c r="F128" s="7"/>
      <c r="G128" s="7">
        <f>VLOOKUP(B128,'NS Balance'!D:G,4,FALSE)</f>
        <v>531854</v>
      </c>
      <c r="H128" s="7">
        <f>VLOOKUP(B128,'Tally Balance'!A:D,4,FALSE)</f>
        <v>531854</v>
      </c>
      <c r="I128" s="7" t="b">
        <f t="shared" si="3"/>
        <v>1</v>
      </c>
      <c r="J128" s="7"/>
      <c r="K128" s="7"/>
      <c r="L128" s="6">
        <f>VLOOKUP(B128,'Tally Balance'!A:E,5,FALSE)</f>
        <v>322500</v>
      </c>
    </row>
    <row r="129" spans="1:12">
      <c r="A129" s="2" t="s">
        <v>102</v>
      </c>
      <c r="B129" s="7" t="s">
        <v>185</v>
      </c>
      <c r="C129" s="7">
        <f>VLOOKUP(B129,'NS Balance'!D:F,3,FALSE)</f>
        <v>1113051.28</v>
      </c>
      <c r="D129" s="7">
        <f>VLOOKUP(B129,'Tally Balance'!A:C,3,FALSE)</f>
        <v>1113051.28</v>
      </c>
      <c r="E129" s="7" t="b">
        <f t="shared" si="2"/>
        <v>1</v>
      </c>
      <c r="F129" s="7"/>
      <c r="G129" s="7">
        <f>VLOOKUP(B129,'NS Balance'!D:G,4,FALSE)</f>
        <v>1263051.28</v>
      </c>
      <c r="H129" s="7">
        <f>VLOOKUP(B129,'Tally Balance'!A:D,4,FALSE)</f>
        <v>1263051.28</v>
      </c>
      <c r="I129" s="7" t="b">
        <f t="shared" si="3"/>
        <v>1</v>
      </c>
      <c r="J129" s="7"/>
      <c r="K129" s="7"/>
      <c r="L129" s="6">
        <f>VLOOKUP(B129,'Tally Balance'!A:E,5,FALSE)</f>
        <v>150000</v>
      </c>
    </row>
    <row r="130" spans="1:12">
      <c r="A130" s="2" t="s">
        <v>102</v>
      </c>
      <c r="B130" s="7" t="s">
        <v>186</v>
      </c>
      <c r="C130" s="7">
        <f>VLOOKUP(B130,'NS Balance'!D:F,3,FALSE)</f>
        <v>24164</v>
      </c>
      <c r="D130" s="7">
        <f>VLOOKUP(B130,'Tally Balance'!A:C,3,FALSE)</f>
        <v>24164</v>
      </c>
      <c r="E130" s="7" t="b">
        <f t="shared" si="2"/>
        <v>1</v>
      </c>
      <c r="F130" s="7"/>
      <c r="G130" s="7">
        <f>VLOOKUP(B130,'NS Balance'!D:G,4,FALSE)</f>
        <v>24024</v>
      </c>
      <c r="H130" s="7">
        <f>VLOOKUP(B130,'Tally Balance'!A:D,4,FALSE)</f>
        <v>24024</v>
      </c>
      <c r="I130" s="7" t="b">
        <f t="shared" si="3"/>
        <v>1</v>
      </c>
      <c r="J130" s="7"/>
      <c r="K130" s="7"/>
      <c r="L130" s="6">
        <f>VLOOKUP(B130,'Tally Balance'!A:E,5,FALSE)</f>
        <v>140</v>
      </c>
    </row>
    <row r="131" spans="1:12">
      <c r="A131" s="2" t="s">
        <v>102</v>
      </c>
      <c r="B131" s="7" t="s">
        <v>187</v>
      </c>
      <c r="C131" s="7">
        <f>VLOOKUP(B131,'NS Balance'!D:F,3,FALSE)</f>
        <v>9400</v>
      </c>
      <c r="D131" s="7">
        <f>VLOOKUP(B131,'Tally Balance'!A:C,3,FALSE)</f>
        <v>9400</v>
      </c>
      <c r="E131" s="7" t="b">
        <f t="shared" ref="E131:E194" si="4">C131=D131</f>
        <v>1</v>
      </c>
      <c r="F131" s="7"/>
      <c r="G131" s="7">
        <f>VLOOKUP(B131,'NS Balance'!D:G,4,FALSE)</f>
        <v>13492.5</v>
      </c>
      <c r="H131" s="7">
        <f>VLOOKUP(B131,'Tally Balance'!A:D,4,FALSE)</f>
        <v>13492.5</v>
      </c>
      <c r="I131" s="7" t="b">
        <f t="shared" ref="I131:I194" si="5">G131=H131</f>
        <v>1</v>
      </c>
      <c r="J131" s="7"/>
      <c r="K131" s="7"/>
      <c r="L131" s="6">
        <f>VLOOKUP(B131,'Tally Balance'!A:E,5,FALSE)</f>
        <v>4092.5</v>
      </c>
    </row>
    <row r="132" spans="1:12">
      <c r="A132" s="2" t="s">
        <v>188</v>
      </c>
      <c r="B132" s="7" t="s">
        <v>189</v>
      </c>
      <c r="C132" s="7">
        <f>VLOOKUP(B132,'NS Balance'!D:F,3,FALSE)</f>
        <v>33353</v>
      </c>
      <c r="D132" s="7">
        <f>VLOOKUP(B132,'Tally Balance'!A:C,3,FALSE)</f>
        <v>33353</v>
      </c>
      <c r="E132" s="7" t="b">
        <f t="shared" si="4"/>
        <v>1</v>
      </c>
      <c r="F132" s="7"/>
      <c r="G132" s="7">
        <f>VLOOKUP(B132,'NS Balance'!D:G,4,FALSE)</f>
        <v>33353</v>
      </c>
      <c r="H132" s="7">
        <f>VLOOKUP(B132,'Tally Balance'!A:D,4,FALSE)</f>
        <v>33353</v>
      </c>
      <c r="I132" s="7" t="b">
        <f t="shared" si="5"/>
        <v>1</v>
      </c>
      <c r="J132" s="7"/>
      <c r="K132" s="7"/>
      <c r="L132" s="6">
        <f>VLOOKUP(B132,'Tally Balance'!A:E,5,FALSE)</f>
        <v>0</v>
      </c>
    </row>
    <row r="133" spans="1:12">
      <c r="A133" s="2" t="s">
        <v>188</v>
      </c>
      <c r="B133" s="7" t="s">
        <v>190</v>
      </c>
      <c r="C133" s="7">
        <f>VLOOKUP(B133,'NS Balance'!D:F,3,FALSE)</f>
        <v>24000</v>
      </c>
      <c r="D133" s="7">
        <f>VLOOKUP(B133,'Tally Balance'!A:C,3,FALSE)</f>
        <v>24000</v>
      </c>
      <c r="E133" s="7" t="b">
        <f t="shared" si="4"/>
        <v>1</v>
      </c>
      <c r="F133" s="7"/>
      <c r="G133" s="7">
        <f>VLOOKUP(B133,'NS Balance'!D:G,4,FALSE)</f>
        <v>30800</v>
      </c>
      <c r="H133" s="7">
        <f>VLOOKUP(B133,'Tally Balance'!A:D,4,FALSE)</f>
        <v>30800</v>
      </c>
      <c r="I133" s="7" t="b">
        <f t="shared" si="5"/>
        <v>1</v>
      </c>
      <c r="J133" s="7"/>
      <c r="K133" s="7"/>
      <c r="L133" s="6">
        <f>VLOOKUP(B133,'Tally Balance'!A:E,5,FALSE)</f>
        <v>6800</v>
      </c>
    </row>
    <row r="134" spans="1:12">
      <c r="A134" s="2" t="s">
        <v>191</v>
      </c>
      <c r="B134" s="7" t="s">
        <v>192</v>
      </c>
      <c r="C134" s="7">
        <f>VLOOKUP(B134,'NS Balance'!D:F,3,FALSE)</f>
        <v>25000</v>
      </c>
      <c r="D134" s="7">
        <f>VLOOKUP(B134,'Tally Balance'!A:C,3,FALSE)</f>
        <v>25000</v>
      </c>
      <c r="E134" s="7" t="b">
        <f t="shared" si="4"/>
        <v>1</v>
      </c>
      <c r="F134" s="7"/>
      <c r="G134" s="7">
        <f>VLOOKUP(B134,'NS Balance'!D:G,4,FALSE)</f>
        <v>72600</v>
      </c>
      <c r="H134" s="7">
        <f>VLOOKUP(B134,'Tally Balance'!A:D,4,FALSE)</f>
        <v>72600</v>
      </c>
      <c r="I134" s="7" t="b">
        <f t="shared" si="5"/>
        <v>1</v>
      </c>
      <c r="J134" s="7"/>
      <c r="K134" s="7"/>
      <c r="L134" s="6">
        <f>VLOOKUP(B134,'Tally Balance'!A:E,5,FALSE)</f>
        <v>47600</v>
      </c>
    </row>
    <row r="135" spans="1:12">
      <c r="A135" s="2" t="s">
        <v>193</v>
      </c>
      <c r="B135" s="7" t="s">
        <v>194</v>
      </c>
      <c r="C135" s="7">
        <f>VLOOKUP(B135,'NS Balance'!D:F,3,FALSE)</f>
        <v>4000</v>
      </c>
      <c r="D135" s="7">
        <f>VLOOKUP(B135,'Tally Balance'!A:C,3,FALSE)</f>
        <v>4000</v>
      </c>
      <c r="E135" s="7" t="b">
        <f t="shared" si="4"/>
        <v>1</v>
      </c>
      <c r="F135" s="7"/>
      <c r="G135" s="7">
        <f>VLOOKUP(B135,'NS Balance'!D:G,4,FALSE)</f>
        <v>4000</v>
      </c>
      <c r="H135" s="7">
        <f>VLOOKUP(B135,'Tally Balance'!A:D,4,FALSE)</f>
        <v>4000</v>
      </c>
      <c r="I135" s="7" t="b">
        <f t="shared" si="5"/>
        <v>1</v>
      </c>
      <c r="J135" s="7"/>
      <c r="K135" s="7"/>
      <c r="L135" s="6">
        <f>VLOOKUP(B135,'Tally Balance'!A:E,5,FALSE)</f>
        <v>0</v>
      </c>
    </row>
    <row r="136" spans="1:12">
      <c r="A136" s="2" t="s">
        <v>195</v>
      </c>
      <c r="B136" s="7" t="s">
        <v>196</v>
      </c>
      <c r="C136" s="7">
        <f>VLOOKUP(B136,'NS Balance'!D:F,3,FALSE)</f>
        <v>585000.79</v>
      </c>
      <c r="D136" s="7">
        <f>VLOOKUP(B136,'Tally Balance'!A:C,3,FALSE)</f>
        <v>585000.79</v>
      </c>
      <c r="E136" s="7" t="b">
        <f t="shared" si="4"/>
        <v>1</v>
      </c>
      <c r="F136" s="7"/>
      <c r="G136" s="7">
        <f>VLOOKUP(B136,'NS Balance'!D:G,4,FALSE)</f>
        <v>585000.79</v>
      </c>
      <c r="H136" s="7">
        <f>VLOOKUP(B136,'Tally Balance'!A:D,4,FALSE)</f>
        <v>585000.79</v>
      </c>
      <c r="I136" s="7" t="b">
        <f t="shared" si="5"/>
        <v>1</v>
      </c>
      <c r="J136" s="7"/>
      <c r="K136" s="7"/>
      <c r="L136" s="6">
        <f>VLOOKUP(B136,'Tally Balance'!A:E,5,FALSE)</f>
        <v>0</v>
      </c>
    </row>
    <row r="137" spans="1:12">
      <c r="A137" s="2" t="s">
        <v>195</v>
      </c>
      <c r="B137" s="7" t="s">
        <v>197</v>
      </c>
      <c r="C137" s="7">
        <f>VLOOKUP(B137,'NS Balance'!D:F,3,FALSE)</f>
        <v>625180</v>
      </c>
      <c r="D137" s="7">
        <f>VLOOKUP(B137,'Tally Balance'!A:C,3,FALSE)</f>
        <v>625180</v>
      </c>
      <c r="E137" s="7" t="b">
        <f t="shared" si="4"/>
        <v>1</v>
      </c>
      <c r="F137" s="7"/>
      <c r="G137" s="7">
        <f>VLOOKUP(B137,'NS Balance'!D:G,4,FALSE)</f>
        <v>703084</v>
      </c>
      <c r="H137" s="7">
        <f>VLOOKUP(B137,'Tally Balance'!A:D,4,FALSE)</f>
        <v>703084</v>
      </c>
      <c r="I137" s="7" t="b">
        <f t="shared" si="5"/>
        <v>1</v>
      </c>
      <c r="J137" s="7"/>
      <c r="K137" s="7"/>
      <c r="L137" s="6">
        <f>VLOOKUP(B137,'Tally Balance'!A:E,5,FALSE)</f>
        <v>77904</v>
      </c>
    </row>
    <row r="138" spans="1:12">
      <c r="A138" s="2" t="s">
        <v>198</v>
      </c>
      <c r="B138" s="7" t="s">
        <v>199</v>
      </c>
      <c r="C138" s="7">
        <f>VLOOKUP(B138,'NS Balance'!D:F,3,FALSE)</f>
        <v>0</v>
      </c>
      <c r="D138" s="7">
        <f>VLOOKUP(B138,'Tally Balance'!A:C,3,FALSE)</f>
        <v>0</v>
      </c>
      <c r="E138" s="7" t="b">
        <f t="shared" si="4"/>
        <v>1</v>
      </c>
      <c r="F138" s="7"/>
      <c r="G138" s="7">
        <f>VLOOKUP(B138,'NS Balance'!D:G,4,FALSE)</f>
        <v>4350</v>
      </c>
      <c r="H138" s="7">
        <f>VLOOKUP(B138,'Tally Balance'!A:D,4,FALSE)</f>
        <v>4350</v>
      </c>
      <c r="I138" s="7" t="b">
        <f t="shared" si="5"/>
        <v>1</v>
      </c>
      <c r="J138" s="7"/>
      <c r="K138" s="7"/>
      <c r="L138" s="6">
        <f>VLOOKUP(B138,'Tally Balance'!A:E,5,FALSE)</f>
        <v>4350</v>
      </c>
    </row>
    <row r="139" spans="1:12">
      <c r="A139" s="2" t="s">
        <v>198</v>
      </c>
      <c r="B139" s="7" t="s">
        <v>200</v>
      </c>
      <c r="C139" s="7">
        <f>VLOOKUP(B139,'NS Balance'!D:F,3,FALSE)</f>
        <v>397913</v>
      </c>
      <c r="D139" s="7">
        <f>VLOOKUP(B139,'Tally Balance'!A:C,3,FALSE)</f>
        <v>397913</v>
      </c>
      <c r="E139" s="7" t="b">
        <f t="shared" si="4"/>
        <v>1</v>
      </c>
      <c r="F139" s="7"/>
      <c r="G139" s="7">
        <f>VLOOKUP(B139,'NS Balance'!D:G,4,FALSE)</f>
        <v>397913</v>
      </c>
      <c r="H139" s="7">
        <f>VLOOKUP(B139,'Tally Balance'!A:D,4,FALSE)</f>
        <v>397913</v>
      </c>
      <c r="I139" s="7" t="b">
        <f t="shared" si="5"/>
        <v>1</v>
      </c>
      <c r="J139" s="7"/>
      <c r="K139" s="7"/>
      <c r="L139" s="6">
        <f>VLOOKUP(B139,'Tally Balance'!A:E,5,FALSE)</f>
        <v>0</v>
      </c>
    </row>
    <row r="140" spans="1:12">
      <c r="A140" s="2" t="s">
        <v>201</v>
      </c>
      <c r="B140" s="7" t="s">
        <v>202</v>
      </c>
      <c r="C140" s="7">
        <f>VLOOKUP(B140,'NS Balance'!D:F,3,FALSE)</f>
        <v>70000</v>
      </c>
      <c r="D140" s="7">
        <f>VLOOKUP(B140,'Tally Balance'!A:C,3,FALSE)</f>
        <v>70000</v>
      </c>
      <c r="E140" s="7" t="b">
        <f t="shared" si="4"/>
        <v>1</v>
      </c>
      <c r="F140" s="7"/>
      <c r="G140" s="7">
        <f>VLOOKUP(B140,'NS Balance'!D:G,4,FALSE)</f>
        <v>70000</v>
      </c>
      <c r="H140" s="7">
        <f>VLOOKUP(B140,'Tally Balance'!A:D,4,FALSE)</f>
        <v>70000</v>
      </c>
      <c r="I140" s="7" t="b">
        <f t="shared" si="5"/>
        <v>1</v>
      </c>
      <c r="J140" s="7"/>
      <c r="K140" s="7"/>
      <c r="L140" s="6">
        <f>VLOOKUP(B140,'Tally Balance'!A:E,5,FALSE)</f>
        <v>0</v>
      </c>
    </row>
    <row r="141" spans="1:12">
      <c r="A141" s="2" t="s">
        <v>201</v>
      </c>
      <c r="B141" s="7" t="s">
        <v>203</v>
      </c>
      <c r="C141" s="7">
        <f>VLOOKUP(B141,'NS Balance'!D:F,3,FALSE)</f>
        <v>1014.12</v>
      </c>
      <c r="D141" s="7">
        <f>VLOOKUP(B141,'Tally Balance'!A:C,3,FALSE)</f>
        <v>1014.12</v>
      </c>
      <c r="E141" s="7" t="b">
        <f t="shared" si="4"/>
        <v>1</v>
      </c>
      <c r="F141" s="7"/>
      <c r="G141" s="7">
        <f>VLOOKUP(B141,'NS Balance'!D:G,4,FALSE)</f>
        <v>1014.12</v>
      </c>
      <c r="H141" s="7">
        <f>VLOOKUP(B141,'Tally Balance'!A:D,4,FALSE)</f>
        <v>1014.12</v>
      </c>
      <c r="I141" s="7" t="b">
        <f t="shared" si="5"/>
        <v>1</v>
      </c>
      <c r="J141" s="7"/>
      <c r="K141" s="7"/>
      <c r="L141" s="6">
        <f>VLOOKUP(B141,'Tally Balance'!A:E,5,FALSE)</f>
        <v>0</v>
      </c>
    </row>
    <row r="142" spans="1:12">
      <c r="A142" s="2" t="s">
        <v>201</v>
      </c>
      <c r="B142" s="7" t="s">
        <v>204</v>
      </c>
      <c r="C142" s="7">
        <f>VLOOKUP(B142,'NS Balance'!D:F,3,FALSE)</f>
        <v>1273618</v>
      </c>
      <c r="D142" s="7">
        <f>VLOOKUP(B142,'Tally Balance'!A:C,3,FALSE)</f>
        <v>1273618</v>
      </c>
      <c r="E142" s="7" t="b">
        <f t="shared" si="4"/>
        <v>1</v>
      </c>
      <c r="F142" s="7"/>
      <c r="G142" s="7">
        <f>VLOOKUP(B142,'NS Balance'!D:G,4,FALSE)</f>
        <v>2000000</v>
      </c>
      <c r="H142" s="7">
        <f>VLOOKUP(B142,'Tally Balance'!A:D,4,FALSE)</f>
        <v>2000000</v>
      </c>
      <c r="I142" s="7" t="b">
        <f t="shared" si="5"/>
        <v>1</v>
      </c>
      <c r="J142" s="7"/>
      <c r="K142" s="7"/>
      <c r="L142" s="6">
        <f>VLOOKUP(B142,'Tally Balance'!A:E,5,FALSE)</f>
        <v>726382</v>
      </c>
    </row>
    <row r="143" spans="1:12">
      <c r="A143" s="2" t="s">
        <v>201</v>
      </c>
      <c r="B143" s="7" t="s">
        <v>205</v>
      </c>
      <c r="C143" s="7">
        <f>VLOOKUP(B143,'NS Balance'!D:F,3,FALSE)</f>
        <v>561491</v>
      </c>
      <c r="D143" s="7">
        <f>VLOOKUP(B143,'Tally Balance'!A:C,3,FALSE)</f>
        <v>561491</v>
      </c>
      <c r="E143" s="7" t="b">
        <f t="shared" si="4"/>
        <v>1</v>
      </c>
      <c r="F143" s="7"/>
      <c r="G143" s="10">
        <f>VLOOKUP(B143,'NS Balance'!D:G,4,FALSE)</f>
        <v>0</v>
      </c>
      <c r="H143" s="10">
        <f>VLOOKUP(B143,'Tally Balance'!A:D,4,FALSE)</f>
        <v>644498</v>
      </c>
      <c r="I143" s="10" t="b">
        <f t="shared" si="5"/>
        <v>0</v>
      </c>
      <c r="J143" s="7"/>
      <c r="K143" s="7"/>
      <c r="L143" s="6">
        <f>VLOOKUP(B143,'Tally Balance'!A:E,5,FALSE)</f>
        <v>83007</v>
      </c>
    </row>
    <row r="144" spans="1:12">
      <c r="A144" s="2" t="s">
        <v>206</v>
      </c>
      <c r="B144" s="7" t="s">
        <v>207</v>
      </c>
      <c r="C144" s="7">
        <f>VLOOKUP(B144,'NS Balance'!D:F,3,FALSE)</f>
        <v>375615.5</v>
      </c>
      <c r="D144" s="7">
        <f>VLOOKUP(B144,'Tally Balance'!A:C,3,FALSE)</f>
        <v>375615.5</v>
      </c>
      <c r="E144" s="7" t="b">
        <f t="shared" si="4"/>
        <v>1</v>
      </c>
      <c r="F144" s="7"/>
      <c r="G144" s="7">
        <f>VLOOKUP(B144,'NS Balance'!D:G,4,FALSE)</f>
        <v>375615.9</v>
      </c>
      <c r="H144" s="7">
        <f>VLOOKUP(B144,'Tally Balance'!A:D,4,FALSE)</f>
        <v>375615.9</v>
      </c>
      <c r="I144" s="7" t="b">
        <f t="shared" si="5"/>
        <v>1</v>
      </c>
      <c r="J144" s="7"/>
      <c r="K144" s="7"/>
      <c r="L144" s="6">
        <f>VLOOKUP(B144,'Tally Balance'!A:E,5,FALSE)</f>
        <v>0.4</v>
      </c>
    </row>
    <row r="145" spans="1:12">
      <c r="A145" s="2" t="s">
        <v>208</v>
      </c>
      <c r="B145" s="7" t="s">
        <v>209</v>
      </c>
      <c r="C145" s="7">
        <f>VLOOKUP(B145,'NS Balance'!D:F,3,FALSE)</f>
        <v>126201.2</v>
      </c>
      <c r="D145" s="7">
        <f>VLOOKUP(B145,'Tally Balance'!A:C,3,FALSE)</f>
        <v>126201.2</v>
      </c>
      <c r="E145" s="7" t="b">
        <f t="shared" si="4"/>
        <v>1</v>
      </c>
      <c r="F145" s="7"/>
      <c r="G145" s="10">
        <f>VLOOKUP(B145,'NS Balance'!D:G,4,FALSE)</f>
        <v>0</v>
      </c>
      <c r="H145" s="10">
        <f>VLOOKUP(B145,'Tally Balance'!A:D,4,FALSE)</f>
        <v>126201.2</v>
      </c>
      <c r="I145" s="10" t="b">
        <f t="shared" si="5"/>
        <v>0</v>
      </c>
      <c r="J145" s="7"/>
      <c r="K145" s="7"/>
      <c r="L145" s="6">
        <f>VLOOKUP(B145,'Tally Balance'!A:E,5,FALSE)</f>
        <v>0</v>
      </c>
    </row>
    <row r="146" spans="1:12">
      <c r="A146" s="2" t="s">
        <v>208</v>
      </c>
      <c r="B146" s="7" t="s">
        <v>210</v>
      </c>
      <c r="C146" s="7">
        <f>VLOOKUP(B146,'NS Balance'!D:F,3,FALSE)</f>
        <v>4200</v>
      </c>
      <c r="D146" s="7">
        <f>VLOOKUP(B146,'Tally Balance'!A:C,3,FALSE)</f>
        <v>4200</v>
      </c>
      <c r="E146" s="7" t="b">
        <f t="shared" si="4"/>
        <v>1</v>
      </c>
      <c r="F146" s="7"/>
      <c r="G146" s="7">
        <f>VLOOKUP(B146,'NS Balance'!D:G,4,FALSE)</f>
        <v>4200</v>
      </c>
      <c r="H146" s="7">
        <f>VLOOKUP(B146,'Tally Balance'!A:D,4,FALSE)</f>
        <v>4200</v>
      </c>
      <c r="I146" s="7" t="b">
        <f t="shared" si="5"/>
        <v>1</v>
      </c>
      <c r="J146" s="7"/>
      <c r="K146" s="7"/>
      <c r="L146" s="6">
        <f>VLOOKUP(B146,'Tally Balance'!A:E,5,FALSE)</f>
        <v>0</v>
      </c>
    </row>
    <row r="147" spans="1:12">
      <c r="A147" s="2" t="s">
        <v>211</v>
      </c>
      <c r="B147" s="7" t="s">
        <v>212</v>
      </c>
      <c r="C147" s="7">
        <f>VLOOKUP(B147,'NS Balance'!D:F,3,FALSE)</f>
        <v>355442.1</v>
      </c>
      <c r="D147" s="7">
        <f>VLOOKUP(B147,'Tally Balance'!A:C,3,FALSE)</f>
        <v>355442.1</v>
      </c>
      <c r="E147" s="7" t="b">
        <f t="shared" si="4"/>
        <v>1</v>
      </c>
      <c r="F147" s="7"/>
      <c r="G147" s="7">
        <f>VLOOKUP(B147,'NS Balance'!D:G,4,FALSE)</f>
        <v>451386</v>
      </c>
      <c r="H147" s="7">
        <f>VLOOKUP(B147,'Tally Balance'!A:D,4,FALSE)</f>
        <v>451386</v>
      </c>
      <c r="I147" s="7" t="b">
        <f t="shared" si="5"/>
        <v>1</v>
      </c>
      <c r="J147" s="7"/>
      <c r="K147" s="7"/>
      <c r="L147" s="6">
        <f>VLOOKUP(B147,'Tally Balance'!A:E,5,FALSE)</f>
        <v>95943.9</v>
      </c>
    </row>
    <row r="148" spans="1:12">
      <c r="A148" s="2" t="s">
        <v>213</v>
      </c>
      <c r="B148" s="7" t="s">
        <v>214</v>
      </c>
      <c r="C148" s="7">
        <f>VLOOKUP(B148,'NS Balance'!D:F,3,FALSE)</f>
        <v>3949340</v>
      </c>
      <c r="D148" s="7">
        <f>VLOOKUP(B148,'Tally Balance'!A:C,3,FALSE)</f>
        <v>3949340</v>
      </c>
      <c r="E148" s="7" t="b">
        <f t="shared" si="4"/>
        <v>1</v>
      </c>
      <c r="F148" s="7"/>
      <c r="G148" s="7">
        <f>VLOOKUP(B148,'NS Balance'!D:G,4,FALSE)</f>
        <v>4949340</v>
      </c>
      <c r="H148" s="7">
        <f>VLOOKUP(B148,'Tally Balance'!A:D,4,FALSE)</f>
        <v>4949340</v>
      </c>
      <c r="I148" s="7" t="b">
        <f t="shared" si="5"/>
        <v>1</v>
      </c>
      <c r="J148" s="7"/>
      <c r="K148" s="7"/>
      <c r="L148" s="6">
        <f>VLOOKUP(B148,'Tally Balance'!A:E,5,FALSE)</f>
        <v>1000000</v>
      </c>
    </row>
    <row r="149" spans="1:12">
      <c r="A149" s="2" t="s">
        <v>215</v>
      </c>
      <c r="B149" s="7" t="s">
        <v>216</v>
      </c>
      <c r="C149" s="7">
        <f>VLOOKUP(B149,'NS Balance'!D:F,3,FALSE)</f>
        <v>425700</v>
      </c>
      <c r="D149" s="7">
        <f>VLOOKUP(B149,'Tally Balance'!A:C,3,FALSE)</f>
        <v>425700</v>
      </c>
      <c r="E149" s="7" t="b">
        <f t="shared" si="4"/>
        <v>1</v>
      </c>
      <c r="F149" s="7"/>
      <c r="G149" s="7">
        <f>VLOOKUP(B149,'NS Balance'!D:G,4,FALSE)</f>
        <v>535700</v>
      </c>
      <c r="H149" s="7">
        <f>VLOOKUP(B149,'Tally Balance'!A:D,4,FALSE)</f>
        <v>535700</v>
      </c>
      <c r="I149" s="7" t="b">
        <f t="shared" si="5"/>
        <v>1</v>
      </c>
      <c r="J149" s="7"/>
      <c r="K149" s="7"/>
      <c r="L149" s="6">
        <f>VLOOKUP(B149,'Tally Balance'!A:E,5,FALSE)</f>
        <v>110000</v>
      </c>
    </row>
    <row r="150" spans="1:12">
      <c r="A150" s="2" t="s">
        <v>215</v>
      </c>
      <c r="B150" s="7" t="s">
        <v>217</v>
      </c>
      <c r="C150" s="7">
        <f>VLOOKUP(B150,'NS Balance'!D:F,3,FALSE)</f>
        <v>1418704</v>
      </c>
      <c r="D150" s="7">
        <f>VLOOKUP(B150,'Tally Balance'!A:C,3,FALSE)</f>
        <v>1418704</v>
      </c>
      <c r="E150" s="7" t="b">
        <f t="shared" si="4"/>
        <v>1</v>
      </c>
      <c r="F150" s="7"/>
      <c r="G150" s="7">
        <f>VLOOKUP(B150,'NS Balance'!D:G,4,FALSE)</f>
        <v>1784284</v>
      </c>
      <c r="H150" s="7">
        <f>VLOOKUP(B150,'Tally Balance'!A:D,4,FALSE)</f>
        <v>1784284</v>
      </c>
      <c r="I150" s="7" t="b">
        <f t="shared" si="5"/>
        <v>1</v>
      </c>
      <c r="J150" s="7"/>
      <c r="K150" s="7"/>
      <c r="L150" s="6">
        <f>VLOOKUP(B150,'Tally Balance'!A:E,5,FALSE)</f>
        <v>365580</v>
      </c>
    </row>
    <row r="151" spans="1:12">
      <c r="A151" s="2" t="s">
        <v>218</v>
      </c>
      <c r="B151" s="7" t="s">
        <v>219</v>
      </c>
      <c r="C151" s="7">
        <f>VLOOKUP(B151,'NS Balance'!D:F,3,FALSE)</f>
        <v>69072</v>
      </c>
      <c r="D151" s="7">
        <f>VLOOKUP(B151,'Tally Balance'!A:C,3,FALSE)</f>
        <v>69072</v>
      </c>
      <c r="E151" s="7" t="b">
        <f t="shared" si="4"/>
        <v>1</v>
      </c>
      <c r="F151" s="7"/>
      <c r="G151" s="10">
        <f>VLOOKUP(B151,'NS Balance'!D:G,4,FALSE)</f>
        <v>94072.04</v>
      </c>
      <c r="H151" s="10">
        <f>VLOOKUP(B151,'Tally Balance'!A:D,4,FALSE)</f>
        <v>94072</v>
      </c>
      <c r="I151" s="10" t="b">
        <f t="shared" si="5"/>
        <v>0</v>
      </c>
      <c r="J151" s="7"/>
      <c r="K151" s="7"/>
      <c r="L151" s="6">
        <f>VLOOKUP(B151,'Tally Balance'!A:E,5,FALSE)</f>
        <v>25000</v>
      </c>
    </row>
    <row r="152" spans="1:12">
      <c r="A152" s="2" t="s">
        <v>220</v>
      </c>
      <c r="B152" s="7" t="s">
        <v>221</v>
      </c>
      <c r="C152" s="7">
        <f>VLOOKUP(B152,'NS Balance'!D:F,3,FALSE)</f>
        <v>11500</v>
      </c>
      <c r="D152" s="7">
        <f>VLOOKUP(B152,'Tally Balance'!A:C,3,FALSE)</f>
        <v>11500</v>
      </c>
      <c r="E152" s="7" t="b">
        <f t="shared" si="4"/>
        <v>1</v>
      </c>
      <c r="F152" s="7"/>
      <c r="G152" s="7">
        <f>VLOOKUP(B152,'NS Balance'!D:G,4,FALSE)</f>
        <v>11500</v>
      </c>
      <c r="H152" s="7">
        <f>VLOOKUP(B152,'Tally Balance'!A:D,4,FALSE)</f>
        <v>11500</v>
      </c>
      <c r="I152" s="7" t="b">
        <f t="shared" si="5"/>
        <v>1</v>
      </c>
      <c r="J152" s="7"/>
      <c r="K152" s="7"/>
      <c r="L152" s="6">
        <f>VLOOKUP(B152,'Tally Balance'!A:E,5,FALSE)</f>
        <v>0</v>
      </c>
    </row>
    <row r="153" ht="29" spans="1:12">
      <c r="A153" s="2" t="s">
        <v>220</v>
      </c>
      <c r="B153" s="7" t="s">
        <v>222</v>
      </c>
      <c r="C153" s="7">
        <f>VLOOKUP(B153,'NS Balance'!D:F,3,FALSE)</f>
        <v>34233</v>
      </c>
      <c r="D153" s="7">
        <f>VLOOKUP(B153,'Tally Balance'!A:C,3,FALSE)</f>
        <v>34233</v>
      </c>
      <c r="E153" s="7" t="b">
        <f t="shared" si="4"/>
        <v>1</v>
      </c>
      <c r="F153" s="9" t="s">
        <v>223</v>
      </c>
      <c r="G153" s="7">
        <f>VLOOKUP(B153,'NS Balance'!D:G,4,FALSE)</f>
        <v>126649</v>
      </c>
      <c r="H153" s="7">
        <f>VLOOKUP(B153,'Tally Balance'!A:D,4,FALSE)</f>
        <v>126649</v>
      </c>
      <c r="I153" s="7" t="b">
        <f t="shared" si="5"/>
        <v>1</v>
      </c>
      <c r="J153" s="7"/>
      <c r="K153" s="7"/>
      <c r="L153" s="6">
        <f>VLOOKUP(B153,'Tally Balance'!A:E,5,FALSE)</f>
        <v>92416</v>
      </c>
    </row>
    <row r="154" spans="1:12">
      <c r="A154" s="2" t="s">
        <v>220</v>
      </c>
      <c r="B154" s="7" t="s">
        <v>224</v>
      </c>
      <c r="C154" s="7">
        <f>VLOOKUP(B154,'NS Balance'!D:F,3,FALSE)</f>
        <v>1668425</v>
      </c>
      <c r="D154" s="7">
        <f>VLOOKUP(B154,'Tally Balance'!A:C,3,FALSE)</f>
        <v>1668425</v>
      </c>
      <c r="E154" s="7" t="b">
        <f t="shared" si="4"/>
        <v>1</v>
      </c>
      <c r="F154" s="7"/>
      <c r="G154" s="7">
        <f>VLOOKUP(B154,'NS Balance'!D:G,4,FALSE)</f>
        <v>1668425</v>
      </c>
      <c r="H154" s="7">
        <f>VLOOKUP(B154,'Tally Balance'!A:D,4,FALSE)</f>
        <v>1668425</v>
      </c>
      <c r="I154" s="7" t="b">
        <f t="shared" si="5"/>
        <v>1</v>
      </c>
      <c r="J154" s="7"/>
      <c r="K154" s="7"/>
      <c r="L154" s="6">
        <f>VLOOKUP(B154,'Tally Balance'!A:E,5,FALSE)</f>
        <v>0</v>
      </c>
    </row>
    <row r="155" spans="1:12">
      <c r="A155" s="2" t="s">
        <v>220</v>
      </c>
      <c r="B155" s="8" t="s">
        <v>225</v>
      </c>
      <c r="C155" s="8">
        <f>VLOOKUP(B155,'NS Balance'!D:F,3,FALSE)</f>
        <v>6693299.87</v>
      </c>
      <c r="D155" s="8">
        <f>VLOOKUP(B155,'Tally Balance'!A:C,3,FALSE)</f>
        <v>5861860.6</v>
      </c>
      <c r="E155" s="8" t="b">
        <f t="shared" si="4"/>
        <v>0</v>
      </c>
      <c r="F155" s="7"/>
      <c r="G155" s="7">
        <f>VLOOKUP(B155,'NS Balance'!D:G,4,FALSE)</f>
        <v>5892632</v>
      </c>
      <c r="H155" s="7">
        <f>VLOOKUP(B155,'Tally Balance'!A:D,4,FALSE)</f>
        <v>5892632</v>
      </c>
      <c r="I155" s="7" t="b">
        <f t="shared" si="5"/>
        <v>1</v>
      </c>
      <c r="J155" s="7"/>
      <c r="K155" s="7"/>
      <c r="L155" s="6">
        <f>VLOOKUP(B155,'Tally Balance'!A:E,5,FALSE)</f>
        <v>30771.4</v>
      </c>
    </row>
    <row r="156" spans="1:12">
      <c r="A156" s="2" t="s">
        <v>220</v>
      </c>
      <c r="B156" s="7" t="s">
        <v>226</v>
      </c>
      <c r="C156" s="7">
        <f>VLOOKUP(B156,'NS Balance'!D:F,3,FALSE)</f>
        <v>1147085</v>
      </c>
      <c r="D156" s="7">
        <f>VLOOKUP(B156,'Tally Balance'!A:C,3,FALSE)</f>
        <v>1147085</v>
      </c>
      <c r="E156" s="7" t="b">
        <f t="shared" si="4"/>
        <v>1</v>
      </c>
      <c r="F156" s="7"/>
      <c r="G156" s="7">
        <f>VLOOKUP(B156,'NS Balance'!D:G,4,FALSE)</f>
        <v>1147085</v>
      </c>
      <c r="H156" s="7">
        <f>VLOOKUP(B156,'Tally Balance'!A:D,4,FALSE)</f>
        <v>1147085</v>
      </c>
      <c r="I156" s="7" t="b">
        <f t="shared" si="5"/>
        <v>1</v>
      </c>
      <c r="J156" s="7"/>
      <c r="K156" s="7"/>
      <c r="L156" s="6">
        <f>VLOOKUP(B156,'Tally Balance'!A:E,5,FALSE)</f>
        <v>0</v>
      </c>
    </row>
    <row r="157" ht="29" spans="1:12">
      <c r="A157" s="2" t="s">
        <v>220</v>
      </c>
      <c r="B157" s="7" t="s">
        <v>227</v>
      </c>
      <c r="C157" s="7">
        <f>VLOOKUP(B157,'NS Balance'!D:F,3,FALSE)</f>
        <v>724751</v>
      </c>
      <c r="D157" s="7">
        <f>VLOOKUP(B157,'Tally Balance'!A:C,3,FALSE)</f>
        <v>724751</v>
      </c>
      <c r="E157" s="7" t="b">
        <f t="shared" si="4"/>
        <v>1</v>
      </c>
      <c r="F157" s="9" t="s">
        <v>228</v>
      </c>
      <c r="G157" s="7">
        <f>VLOOKUP(B157,'NS Balance'!D:G,4,FALSE)</f>
        <v>909447</v>
      </c>
      <c r="H157" s="7">
        <f>VLOOKUP(B157,'Tally Balance'!A:D,4,FALSE)</f>
        <v>909447</v>
      </c>
      <c r="I157" s="7" t="b">
        <f t="shared" si="5"/>
        <v>1</v>
      </c>
      <c r="J157" s="7"/>
      <c r="K157" s="7"/>
      <c r="L157" s="6">
        <f>VLOOKUP(B157,'Tally Balance'!A:E,5,FALSE)</f>
        <v>184696</v>
      </c>
    </row>
    <row r="158" spans="1:12">
      <c r="A158" s="2" t="s">
        <v>220</v>
      </c>
      <c r="B158" s="7" t="s">
        <v>229</v>
      </c>
      <c r="C158" s="7">
        <f>VLOOKUP(B158,'NS Balance'!D:F,3,FALSE)</f>
        <v>330740</v>
      </c>
      <c r="D158" s="7">
        <f>VLOOKUP(B158,'Tally Balance'!A:C,3,FALSE)</f>
        <v>330740</v>
      </c>
      <c r="E158" s="7" t="b">
        <f t="shared" si="4"/>
        <v>1</v>
      </c>
      <c r="F158" s="7"/>
      <c r="G158" s="7">
        <f>VLOOKUP(B158,'NS Balance'!D:G,4,FALSE)</f>
        <v>330740</v>
      </c>
      <c r="H158" s="7">
        <f>VLOOKUP(B158,'Tally Balance'!A:D,4,FALSE)</f>
        <v>330740</v>
      </c>
      <c r="I158" s="7" t="b">
        <f t="shared" si="5"/>
        <v>1</v>
      </c>
      <c r="J158" s="7"/>
      <c r="K158" s="7"/>
      <c r="L158" s="6">
        <f>VLOOKUP(B158,'Tally Balance'!A:E,5,FALSE)</f>
        <v>0</v>
      </c>
    </row>
    <row r="159" spans="1:12">
      <c r="A159" s="2" t="s">
        <v>220</v>
      </c>
      <c r="B159" s="7" t="s">
        <v>230</v>
      </c>
      <c r="C159" s="7">
        <f>VLOOKUP(B159,'NS Balance'!D:F,3,FALSE)</f>
        <v>180250</v>
      </c>
      <c r="D159" s="7">
        <f>VLOOKUP(B159,'Tally Balance'!A:C,3,FALSE)</f>
        <v>180250</v>
      </c>
      <c r="E159" s="7" t="b">
        <f t="shared" si="4"/>
        <v>1</v>
      </c>
      <c r="F159" s="7"/>
      <c r="G159" s="7">
        <f>VLOOKUP(B159,'NS Balance'!D:G,4,FALSE)</f>
        <v>224730</v>
      </c>
      <c r="H159" s="7">
        <f>VLOOKUP(B159,'Tally Balance'!A:D,4,FALSE)</f>
        <v>224730</v>
      </c>
      <c r="I159" s="7" t="b">
        <f t="shared" si="5"/>
        <v>1</v>
      </c>
      <c r="J159" s="7"/>
      <c r="K159" s="7"/>
      <c r="L159" s="6">
        <f>VLOOKUP(B159,'Tally Balance'!A:E,5,FALSE)</f>
        <v>44480</v>
      </c>
    </row>
    <row r="160" spans="1:12">
      <c r="A160" s="2" t="s">
        <v>220</v>
      </c>
      <c r="B160" s="8" t="s">
        <v>231</v>
      </c>
      <c r="C160" s="8">
        <f>VLOOKUP(B160,'NS Balance'!D:F,3,FALSE)</f>
        <v>205805</v>
      </c>
      <c r="D160" s="8">
        <f>VLOOKUP(B160,'Tally Balance'!A:C,3,FALSE)</f>
        <v>241305</v>
      </c>
      <c r="E160" s="8" t="b">
        <f t="shared" si="4"/>
        <v>0</v>
      </c>
      <c r="F160" s="7"/>
      <c r="G160" s="7">
        <f>VLOOKUP(B160,'NS Balance'!D:G,4,FALSE)</f>
        <v>268279</v>
      </c>
      <c r="H160" s="7">
        <f>VLOOKUP(B160,'Tally Balance'!A:D,4,FALSE)</f>
        <v>268279</v>
      </c>
      <c r="I160" s="7" t="b">
        <f t="shared" si="5"/>
        <v>1</v>
      </c>
      <c r="J160" s="7"/>
      <c r="K160" s="7"/>
      <c r="L160" s="6">
        <f>VLOOKUP(B160,'Tally Balance'!A:E,5,FALSE)</f>
        <v>26974</v>
      </c>
    </row>
    <row r="161" spans="1:12">
      <c r="A161" s="2" t="s">
        <v>220</v>
      </c>
      <c r="B161" s="7" t="s">
        <v>232</v>
      </c>
      <c r="C161" s="7">
        <f>VLOOKUP(B161,'NS Balance'!D:F,3,FALSE)</f>
        <v>569191.04</v>
      </c>
      <c r="D161" s="7">
        <f>VLOOKUP(B161,'Tally Balance'!A:C,3,FALSE)</f>
        <v>569191.04</v>
      </c>
      <c r="E161" s="7" t="b">
        <f t="shared" si="4"/>
        <v>1</v>
      </c>
      <c r="F161" s="7"/>
      <c r="G161" s="7">
        <f>VLOOKUP(B161,'NS Balance'!D:G,4,FALSE)</f>
        <v>706801.7</v>
      </c>
      <c r="H161" s="7">
        <f>VLOOKUP(B161,'Tally Balance'!A:D,4,FALSE)</f>
        <v>706801.7</v>
      </c>
      <c r="I161" s="7" t="b">
        <f t="shared" si="5"/>
        <v>1</v>
      </c>
      <c r="J161" s="7"/>
      <c r="K161" s="7"/>
      <c r="L161" s="6">
        <f>VLOOKUP(B161,'Tally Balance'!A:E,5,FALSE)</f>
        <v>137610.66</v>
      </c>
    </row>
    <row r="162" spans="1:12">
      <c r="A162" s="2" t="s">
        <v>220</v>
      </c>
      <c r="B162" s="7" t="s">
        <v>233</v>
      </c>
      <c r="C162" s="7">
        <f>VLOOKUP(B162,'NS Balance'!D:F,3,FALSE)</f>
        <v>19734</v>
      </c>
      <c r="D162" s="7">
        <f>VLOOKUP(B162,'Tally Balance'!A:C,3,FALSE)</f>
        <v>19734</v>
      </c>
      <c r="E162" s="7" t="b">
        <f t="shared" si="4"/>
        <v>1</v>
      </c>
      <c r="F162" s="7"/>
      <c r="G162" s="7">
        <f>VLOOKUP(B162,'NS Balance'!D:G,4,FALSE)</f>
        <v>25300</v>
      </c>
      <c r="H162" s="7">
        <f>VLOOKUP(B162,'Tally Balance'!A:D,4,FALSE)</f>
        <v>25300</v>
      </c>
      <c r="I162" s="7" t="b">
        <f t="shared" si="5"/>
        <v>1</v>
      </c>
      <c r="J162" s="7"/>
      <c r="K162" s="7"/>
      <c r="L162" s="6">
        <f>VLOOKUP(B162,'Tally Balance'!A:E,5,FALSE)</f>
        <v>5566</v>
      </c>
    </row>
    <row r="163" spans="1:12">
      <c r="A163" s="2" t="s">
        <v>220</v>
      </c>
      <c r="B163" s="7" t="s">
        <v>234</v>
      </c>
      <c r="C163" s="7">
        <f>VLOOKUP(B163,'NS Balance'!D:F,3,FALSE)</f>
        <v>85000</v>
      </c>
      <c r="D163" s="7">
        <f>VLOOKUP(B163,'Tally Balance'!A:C,3,FALSE)</f>
        <v>85000</v>
      </c>
      <c r="E163" s="7" t="b">
        <f t="shared" si="4"/>
        <v>1</v>
      </c>
      <c r="F163" s="7"/>
      <c r="G163" s="7">
        <f>VLOOKUP(B163,'NS Balance'!D:G,4,FALSE)</f>
        <v>100100</v>
      </c>
      <c r="H163" s="7">
        <f>VLOOKUP(B163,'Tally Balance'!A:D,4,FALSE)</f>
        <v>100100</v>
      </c>
      <c r="I163" s="7" t="b">
        <f t="shared" si="5"/>
        <v>1</v>
      </c>
      <c r="J163" s="7"/>
      <c r="K163" s="7"/>
      <c r="L163" s="6">
        <f>VLOOKUP(B163,'Tally Balance'!A:E,5,FALSE)</f>
        <v>15100</v>
      </c>
    </row>
    <row r="164" spans="1:12">
      <c r="A164" s="2" t="s">
        <v>235</v>
      </c>
      <c r="B164" s="7" t="s">
        <v>236</v>
      </c>
      <c r="C164" s="7">
        <f>VLOOKUP(B164,'NS Balance'!D:F,3,FALSE)</f>
        <v>34233</v>
      </c>
      <c r="D164" s="7" t="e">
        <f>VLOOKUP(B164,'Tally Balance'!A:C,3,FALSE)</f>
        <v>#N/A</v>
      </c>
      <c r="E164" s="7" t="e">
        <f t="shared" si="4"/>
        <v>#N/A</v>
      </c>
      <c r="F164" s="7"/>
      <c r="G164" s="7">
        <f>VLOOKUP(B164,'NS Balance'!D:G,4,FALSE)</f>
        <v>34233</v>
      </c>
      <c r="H164" s="7" t="e">
        <f>VLOOKUP(B164,'Tally Balance'!A:D,4,FALSE)</f>
        <v>#N/A</v>
      </c>
      <c r="I164" s="7" t="e">
        <f t="shared" si="5"/>
        <v>#N/A</v>
      </c>
      <c r="J164" s="7"/>
      <c r="K164" s="7"/>
      <c r="L164" s="6" t="e">
        <f>VLOOKUP(B164,'Tally Balance'!A:E,5,FALSE)</f>
        <v>#N/A</v>
      </c>
    </row>
    <row r="165" spans="1:12">
      <c r="A165" s="2" t="s">
        <v>237</v>
      </c>
      <c r="B165" s="7" t="s">
        <v>238</v>
      </c>
      <c r="C165" s="7">
        <f>VLOOKUP(B165,'NS Balance'!D:F,3,FALSE)</f>
        <v>308665</v>
      </c>
      <c r="D165" s="7">
        <f>VLOOKUP(B165,'Tally Balance'!A:C,3,FALSE)</f>
        <v>308665</v>
      </c>
      <c r="E165" s="7" t="b">
        <f t="shared" si="4"/>
        <v>1</v>
      </c>
      <c r="F165" s="7"/>
      <c r="G165" s="7">
        <f>VLOOKUP(B165,'NS Balance'!D:G,4,FALSE)</f>
        <v>308665</v>
      </c>
      <c r="H165" s="7">
        <f>VLOOKUP(B165,'Tally Balance'!A:D,4,FALSE)</f>
        <v>308665</v>
      </c>
      <c r="I165" s="7" t="b">
        <f t="shared" si="5"/>
        <v>1</v>
      </c>
      <c r="J165" s="7"/>
      <c r="K165" s="7"/>
      <c r="L165" s="6">
        <f>VLOOKUP(B165,'Tally Balance'!A:E,5,FALSE)</f>
        <v>0</v>
      </c>
    </row>
    <row r="166" spans="1:12">
      <c r="A166" s="2" t="s">
        <v>237</v>
      </c>
      <c r="B166" s="7" t="s">
        <v>239</v>
      </c>
      <c r="C166" s="7">
        <f>VLOOKUP(B166,'NS Balance'!D:F,3,FALSE)</f>
        <v>592700</v>
      </c>
      <c r="D166" s="7">
        <f>VLOOKUP(B166,'Tally Balance'!A:C,3,FALSE)</f>
        <v>592700</v>
      </c>
      <c r="E166" s="7" t="b">
        <f t="shared" si="4"/>
        <v>1</v>
      </c>
      <c r="F166" s="7"/>
      <c r="G166" s="7">
        <f>VLOOKUP(B166,'NS Balance'!D:G,4,FALSE)</f>
        <v>592700</v>
      </c>
      <c r="H166" s="7">
        <f>VLOOKUP(B166,'Tally Balance'!A:D,4,FALSE)</f>
        <v>592700</v>
      </c>
      <c r="I166" s="7" t="b">
        <f t="shared" si="5"/>
        <v>1</v>
      </c>
      <c r="J166" s="7"/>
      <c r="K166" s="7"/>
      <c r="L166" s="6">
        <f>VLOOKUP(B166,'Tally Balance'!A:E,5,FALSE)</f>
        <v>0</v>
      </c>
    </row>
    <row r="167" spans="1:12">
      <c r="A167" s="2" t="s">
        <v>237</v>
      </c>
      <c r="B167" s="7" t="s">
        <v>240</v>
      </c>
      <c r="C167" s="7">
        <f>VLOOKUP(B167,'NS Balance'!D:F,3,FALSE)</f>
        <v>282265</v>
      </c>
      <c r="D167" s="7">
        <f>VLOOKUP(B167,'Tally Balance'!A:C,3,FALSE)</f>
        <v>282265</v>
      </c>
      <c r="E167" s="7" t="b">
        <f t="shared" si="4"/>
        <v>1</v>
      </c>
      <c r="F167" s="7"/>
      <c r="G167" s="7">
        <f>VLOOKUP(B167,'NS Balance'!D:G,4,FALSE)</f>
        <v>361880</v>
      </c>
      <c r="H167" s="7">
        <f>VLOOKUP(B167,'Tally Balance'!A:D,4,FALSE)</f>
        <v>361880</v>
      </c>
      <c r="I167" s="7" t="b">
        <f t="shared" si="5"/>
        <v>1</v>
      </c>
      <c r="J167" s="7"/>
      <c r="K167" s="7"/>
      <c r="L167" s="6">
        <f>VLOOKUP(B167,'Tally Balance'!A:E,5,FALSE)</f>
        <v>79615</v>
      </c>
    </row>
    <row r="168" spans="1:12">
      <c r="A168" s="2" t="s">
        <v>237</v>
      </c>
      <c r="B168" s="7" t="s">
        <v>241</v>
      </c>
      <c r="C168" s="7">
        <f>VLOOKUP(B168,'NS Balance'!D:F,3,FALSE)</f>
        <v>272820</v>
      </c>
      <c r="D168" s="7">
        <f>VLOOKUP(B168,'Tally Balance'!A:C,3,FALSE)</f>
        <v>272820</v>
      </c>
      <c r="E168" s="7" t="b">
        <f t="shared" si="4"/>
        <v>1</v>
      </c>
      <c r="F168" s="7"/>
      <c r="G168" s="7">
        <f>VLOOKUP(B168,'NS Balance'!D:G,4,FALSE)</f>
        <v>349765</v>
      </c>
      <c r="H168" s="7">
        <f>VLOOKUP(B168,'Tally Balance'!A:D,4,FALSE)</f>
        <v>349765</v>
      </c>
      <c r="I168" s="7" t="b">
        <f t="shared" si="5"/>
        <v>1</v>
      </c>
      <c r="J168" s="7"/>
      <c r="K168" s="7"/>
      <c r="L168" s="6">
        <f>VLOOKUP(B168,'Tally Balance'!A:E,5,FALSE)</f>
        <v>76945</v>
      </c>
    </row>
    <row r="169" spans="1:12">
      <c r="A169" s="2" t="s">
        <v>242</v>
      </c>
      <c r="B169" s="7" t="s">
        <v>243</v>
      </c>
      <c r="C169" s="7">
        <f>VLOOKUP(B169,'NS Balance'!D:F,3,FALSE)</f>
        <v>81200</v>
      </c>
      <c r="D169" s="7">
        <f>VLOOKUP(B169,'Tally Balance'!A:C,3,FALSE)</f>
        <v>81200</v>
      </c>
      <c r="E169" s="7" t="b">
        <f t="shared" si="4"/>
        <v>1</v>
      </c>
      <c r="F169" s="7"/>
      <c r="G169" s="7">
        <f>VLOOKUP(B169,'NS Balance'!D:G,4,FALSE)</f>
        <v>81200</v>
      </c>
      <c r="H169" s="7">
        <f>VLOOKUP(B169,'Tally Balance'!A:D,4,FALSE)</f>
        <v>81200</v>
      </c>
      <c r="I169" s="7" t="b">
        <f t="shared" si="5"/>
        <v>1</v>
      </c>
      <c r="J169" s="7"/>
      <c r="K169" s="7"/>
      <c r="L169" s="6">
        <f>VLOOKUP(B169,'Tally Balance'!A:E,5,FALSE)</f>
        <v>0</v>
      </c>
    </row>
    <row r="170" spans="1:12">
      <c r="A170" s="2" t="s">
        <v>242</v>
      </c>
      <c r="B170" s="7" t="s">
        <v>244</v>
      </c>
      <c r="C170" s="7">
        <f>VLOOKUP(B170,'NS Balance'!D:F,3,FALSE)</f>
        <v>201450</v>
      </c>
      <c r="D170" s="7">
        <f>VLOOKUP(B170,'Tally Balance'!A:C,3,FALSE)</f>
        <v>201450</v>
      </c>
      <c r="E170" s="7" t="b">
        <f t="shared" si="4"/>
        <v>1</v>
      </c>
      <c r="F170" s="7"/>
      <c r="G170" s="7">
        <f>VLOOKUP(B170,'NS Balance'!D:G,4,FALSE)</f>
        <v>201450</v>
      </c>
      <c r="H170" s="7">
        <f>VLOOKUP(B170,'Tally Balance'!A:D,4,FALSE)</f>
        <v>201450</v>
      </c>
      <c r="I170" s="7" t="b">
        <f t="shared" si="5"/>
        <v>1</v>
      </c>
      <c r="J170" s="7"/>
      <c r="K170" s="7"/>
      <c r="L170" s="6">
        <f>VLOOKUP(B170,'Tally Balance'!A:E,5,FALSE)</f>
        <v>0</v>
      </c>
    </row>
    <row r="171" spans="1:12">
      <c r="A171" s="2" t="s">
        <v>242</v>
      </c>
      <c r="B171" s="7" t="s">
        <v>245</v>
      </c>
      <c r="C171" s="7">
        <f>VLOOKUP(B171,'NS Balance'!D:F,3,FALSE)</f>
        <v>700000</v>
      </c>
      <c r="D171" s="7">
        <f>VLOOKUP(B171,'Tally Balance'!A:C,3,FALSE)</f>
        <v>700000</v>
      </c>
      <c r="E171" s="7" t="b">
        <f t="shared" si="4"/>
        <v>1</v>
      </c>
      <c r="F171" s="7"/>
      <c r="G171" s="7">
        <f>VLOOKUP(B171,'NS Balance'!D:G,4,FALSE)</f>
        <v>891616</v>
      </c>
      <c r="H171" s="7">
        <f>VLOOKUP(B171,'Tally Balance'!A:D,4,FALSE)</f>
        <v>891616</v>
      </c>
      <c r="I171" s="7" t="b">
        <f t="shared" si="5"/>
        <v>1</v>
      </c>
      <c r="J171" s="7"/>
      <c r="K171" s="7"/>
      <c r="L171" s="6">
        <f>VLOOKUP(B171,'Tally Balance'!A:E,5,FALSE)</f>
        <v>191616</v>
      </c>
    </row>
    <row r="172" spans="1:12">
      <c r="A172" s="2" t="s">
        <v>246</v>
      </c>
      <c r="B172" s="7" t="s">
        <v>247</v>
      </c>
      <c r="C172" s="7">
        <f>VLOOKUP(B172,'NS Balance'!D:F,3,FALSE)</f>
        <v>15407</v>
      </c>
      <c r="D172" s="7">
        <f>VLOOKUP(B172,'Tally Balance'!A:C,3,FALSE)</f>
        <v>15407</v>
      </c>
      <c r="E172" s="7" t="b">
        <f t="shared" si="4"/>
        <v>1</v>
      </c>
      <c r="F172" s="7"/>
      <c r="G172" s="7">
        <f>VLOOKUP(B172,'NS Balance'!D:G,4,FALSE)</f>
        <v>15407</v>
      </c>
      <c r="H172" s="7">
        <f>VLOOKUP(B172,'Tally Balance'!A:D,4,FALSE)</f>
        <v>15407</v>
      </c>
      <c r="I172" s="7" t="b">
        <f t="shared" si="5"/>
        <v>1</v>
      </c>
      <c r="J172" s="7"/>
      <c r="K172" s="7"/>
      <c r="L172" s="6">
        <f>VLOOKUP(B172,'Tally Balance'!A:E,5,FALSE)</f>
        <v>0</v>
      </c>
    </row>
    <row r="173" spans="1:12">
      <c r="A173" s="2" t="s">
        <v>246</v>
      </c>
      <c r="B173" s="7" t="s">
        <v>248</v>
      </c>
      <c r="C173" s="7">
        <f>VLOOKUP(B173,'NS Balance'!D:F,3,FALSE)</f>
        <v>15150</v>
      </c>
      <c r="D173" s="7">
        <f>VLOOKUP(B173,'Tally Balance'!A:C,3,FALSE)</f>
        <v>15150</v>
      </c>
      <c r="E173" s="7" t="b">
        <f t="shared" si="4"/>
        <v>1</v>
      </c>
      <c r="F173" s="7"/>
      <c r="G173" s="7">
        <f>VLOOKUP(B173,'NS Balance'!D:G,4,FALSE)</f>
        <v>16125</v>
      </c>
      <c r="H173" s="7">
        <f>VLOOKUP(B173,'Tally Balance'!A:D,4,FALSE)</f>
        <v>16125</v>
      </c>
      <c r="I173" s="7" t="b">
        <f t="shared" si="5"/>
        <v>1</v>
      </c>
      <c r="J173" s="7"/>
      <c r="K173" s="7"/>
      <c r="L173" s="6">
        <f>VLOOKUP(B173,'Tally Balance'!A:E,5,FALSE)</f>
        <v>975</v>
      </c>
    </row>
    <row r="174" spans="1:12">
      <c r="A174" s="2" t="s">
        <v>249</v>
      </c>
      <c r="B174" s="8" t="s">
        <v>250</v>
      </c>
      <c r="C174" s="8">
        <f>VLOOKUP(B174,'NS Balance'!D:F,3,FALSE)</f>
        <v>250000</v>
      </c>
      <c r="D174" s="8">
        <f>VLOOKUP(B174,'Tally Balance'!A:C,3,FALSE)</f>
        <v>750000</v>
      </c>
      <c r="E174" s="8" t="b">
        <f t="shared" si="4"/>
        <v>0</v>
      </c>
      <c r="F174" s="7"/>
      <c r="G174" s="7">
        <f>VLOOKUP(B174,'NS Balance'!D:G,4,FALSE)</f>
        <v>1456000</v>
      </c>
      <c r="H174" s="7">
        <f>VLOOKUP(B174,'Tally Balance'!A:D,4,FALSE)</f>
        <v>1456000</v>
      </c>
      <c r="I174" s="7" t="b">
        <f t="shared" si="5"/>
        <v>1</v>
      </c>
      <c r="J174" s="7"/>
      <c r="K174" s="7"/>
      <c r="L174" s="6">
        <f>VLOOKUP(B174,'Tally Balance'!A:E,5,FALSE)</f>
        <v>706000</v>
      </c>
    </row>
    <row r="175" spans="1:12">
      <c r="A175" s="2" t="s">
        <v>251</v>
      </c>
      <c r="B175" s="8" t="s">
        <v>252</v>
      </c>
      <c r="C175" s="8">
        <f>VLOOKUP(B175,'NS Balance'!D:F,3,FALSE)</f>
        <v>4266428.5</v>
      </c>
      <c r="D175" s="8">
        <f>VLOOKUP(B175,'Tally Balance'!A:C,3,FALSE)</f>
        <v>4259805.5</v>
      </c>
      <c r="E175" s="8" t="b">
        <f t="shared" si="4"/>
        <v>0</v>
      </c>
      <c r="F175" s="7"/>
      <c r="G175" s="7">
        <f>VLOOKUP(B175,'NS Balance'!D:G,4,FALSE)</f>
        <v>4259806</v>
      </c>
      <c r="H175" s="7">
        <f>VLOOKUP(B175,'Tally Balance'!A:D,4,FALSE)</f>
        <v>4259806</v>
      </c>
      <c r="I175" s="7" t="b">
        <f t="shared" si="5"/>
        <v>1</v>
      </c>
      <c r="J175" s="7"/>
      <c r="K175" s="7"/>
      <c r="L175" s="6">
        <f>VLOOKUP(B175,'Tally Balance'!A:E,5,FALSE)</f>
        <v>0.5</v>
      </c>
    </row>
    <row r="176" spans="1:12">
      <c r="A176" s="2" t="s">
        <v>251</v>
      </c>
      <c r="B176" s="7" t="s">
        <v>253</v>
      </c>
      <c r="C176" s="7">
        <f>VLOOKUP(B176,'NS Balance'!D:F,3,FALSE)</f>
        <v>5313598</v>
      </c>
      <c r="D176" s="7">
        <f>VLOOKUP(B176,'Tally Balance'!A:C,3,FALSE)</f>
        <v>5313598</v>
      </c>
      <c r="E176" s="7" t="b">
        <f t="shared" si="4"/>
        <v>1</v>
      </c>
      <c r="F176" s="7"/>
      <c r="G176" s="7">
        <f>VLOOKUP(B176,'NS Balance'!D:G,4,FALSE)</f>
        <v>5313598</v>
      </c>
      <c r="H176" s="7">
        <f>VLOOKUP(B176,'Tally Balance'!A:D,4,FALSE)</f>
        <v>5313598</v>
      </c>
      <c r="I176" s="7" t="b">
        <f t="shared" si="5"/>
        <v>1</v>
      </c>
      <c r="J176" s="7"/>
      <c r="K176" s="7"/>
      <c r="L176" s="6">
        <f>VLOOKUP(B176,'Tally Balance'!A:E,5,FALSE)</f>
        <v>0</v>
      </c>
    </row>
    <row r="177" spans="1:12">
      <c r="A177" s="2" t="s">
        <v>251</v>
      </c>
      <c r="B177" s="7" t="s">
        <v>254</v>
      </c>
      <c r="C177" s="7">
        <f>VLOOKUP(B177,'NS Balance'!D:F,3,FALSE)</f>
        <v>6315157</v>
      </c>
      <c r="D177" s="7">
        <f>VLOOKUP(B177,'Tally Balance'!A:C,3,FALSE)</f>
        <v>6315157</v>
      </c>
      <c r="E177" s="7" t="b">
        <f t="shared" si="4"/>
        <v>1</v>
      </c>
      <c r="F177" s="7"/>
      <c r="G177" s="7">
        <f>VLOOKUP(B177,'NS Balance'!D:G,4,FALSE)</f>
        <v>8059490</v>
      </c>
      <c r="H177" s="7">
        <f>VLOOKUP(B177,'Tally Balance'!A:D,4,FALSE)</f>
        <v>8059490</v>
      </c>
      <c r="I177" s="7" t="b">
        <f t="shared" si="5"/>
        <v>1</v>
      </c>
      <c r="J177" s="7"/>
      <c r="K177" s="7"/>
      <c r="L177" s="6">
        <f>VLOOKUP(B177,'Tally Balance'!A:E,5,FALSE)</f>
        <v>1744333</v>
      </c>
    </row>
    <row r="178" spans="1:12">
      <c r="A178" s="2" t="s">
        <v>255</v>
      </c>
      <c r="B178" s="7" t="s">
        <v>256</v>
      </c>
      <c r="C178" s="7">
        <f>VLOOKUP(B178,'NS Balance'!D:F,3,FALSE)</f>
        <v>4006150</v>
      </c>
      <c r="D178" s="7">
        <f>VLOOKUP(B178,'Tally Balance'!A:C,3,FALSE)</f>
        <v>4006150</v>
      </c>
      <c r="E178" s="7" t="b">
        <f t="shared" si="4"/>
        <v>1</v>
      </c>
      <c r="F178" s="7"/>
      <c r="G178" s="10">
        <f>VLOOKUP(B178,'NS Balance'!D:G,4,FALSE)</f>
        <v>5861668</v>
      </c>
      <c r="H178" s="10">
        <f>VLOOKUP(B178,'Tally Balance'!A:D,4,FALSE)</f>
        <v>7059508</v>
      </c>
      <c r="I178" s="10" t="b">
        <f t="shared" si="5"/>
        <v>0</v>
      </c>
      <c r="J178" s="7"/>
      <c r="K178" s="7"/>
      <c r="L178" s="6">
        <f>VLOOKUP(B178,'Tally Balance'!A:E,5,FALSE)</f>
        <v>3053358</v>
      </c>
    </row>
    <row r="179" spans="1:12">
      <c r="A179" s="2" t="s">
        <v>257</v>
      </c>
      <c r="B179" s="7" t="s">
        <v>258</v>
      </c>
      <c r="C179" s="7">
        <f>VLOOKUP(B179,'NS Balance'!D:F,3,FALSE)</f>
        <v>480693</v>
      </c>
      <c r="D179" s="7">
        <f>VLOOKUP(B179,'Tally Balance'!A:C,3,FALSE)</f>
        <v>480693</v>
      </c>
      <c r="E179" s="7" t="b">
        <f t="shared" si="4"/>
        <v>1</v>
      </c>
      <c r="F179" s="7"/>
      <c r="G179" s="7">
        <f>VLOOKUP(B179,'NS Balance'!D:G,4,FALSE)</f>
        <v>484950</v>
      </c>
      <c r="H179" s="7">
        <f>VLOOKUP(B179,'Tally Balance'!A:D,4,FALSE)</f>
        <v>484950</v>
      </c>
      <c r="I179" s="7" t="b">
        <f t="shared" si="5"/>
        <v>1</v>
      </c>
      <c r="J179" s="7"/>
      <c r="K179" s="7"/>
      <c r="L179" s="6">
        <f>VLOOKUP(B179,'Tally Balance'!A:E,5,FALSE)</f>
        <v>4257</v>
      </c>
    </row>
    <row r="180" spans="1:12">
      <c r="A180" s="2" t="s">
        <v>259</v>
      </c>
      <c r="B180" s="8" t="s">
        <v>260</v>
      </c>
      <c r="C180" s="8">
        <f>VLOOKUP(B180,'NS Balance'!D:F,3,FALSE)</f>
        <v>17773002</v>
      </c>
      <c r="D180" s="8">
        <f>VLOOKUP(B180,'Tally Balance'!A:C,3,FALSE)</f>
        <v>17812618</v>
      </c>
      <c r="E180" s="8" t="b">
        <f t="shared" si="4"/>
        <v>0</v>
      </c>
      <c r="F180" s="7"/>
      <c r="G180" s="10">
        <f>VLOOKUP(B180,'NS Balance'!D:G,4,FALSE)</f>
        <v>21145098</v>
      </c>
      <c r="H180" s="10">
        <f>VLOOKUP(B180,'Tally Balance'!A:D,4,FALSE)</f>
        <v>24995098</v>
      </c>
      <c r="I180" s="10" t="b">
        <f t="shared" si="5"/>
        <v>0</v>
      </c>
      <c r="J180" s="7"/>
      <c r="K180" s="7"/>
      <c r="L180" s="6">
        <f>VLOOKUP(B180,'Tally Balance'!A:E,5,FALSE)</f>
        <v>7182480</v>
      </c>
    </row>
    <row r="181" spans="1:12">
      <c r="A181" s="2" t="s">
        <v>259</v>
      </c>
      <c r="B181" s="8" t="s">
        <v>261</v>
      </c>
      <c r="C181" s="8">
        <f>VLOOKUP(B181,'NS Balance'!D:F,3,FALSE)</f>
        <v>1860395.71</v>
      </c>
      <c r="D181" s="8">
        <f>VLOOKUP(B181,'Tally Balance'!A:C,3,FALSE)</f>
        <v>1799035.11</v>
      </c>
      <c r="E181" s="8" t="b">
        <f t="shared" si="4"/>
        <v>0</v>
      </c>
      <c r="F181" s="7"/>
      <c r="G181" s="10">
        <f>VLOOKUP(B181,'NS Balance'!D:G,4,FALSE)</f>
        <v>1728084.76</v>
      </c>
      <c r="H181" s="10">
        <f>VLOOKUP(B181,'Tally Balance'!A:D,4,FALSE)</f>
        <v>1799034.76</v>
      </c>
      <c r="I181" s="10" t="b">
        <f t="shared" si="5"/>
        <v>0</v>
      </c>
      <c r="J181" s="7"/>
      <c r="K181" s="7"/>
      <c r="L181" s="6">
        <f>VLOOKUP(B181,'Tally Balance'!A:E,5,FALSE)</f>
        <v>0.35</v>
      </c>
    </row>
    <row r="182" spans="1:12">
      <c r="A182" s="2" t="s">
        <v>259</v>
      </c>
      <c r="B182" s="8" t="s">
        <v>262</v>
      </c>
      <c r="C182" s="8">
        <f>VLOOKUP(B182,'NS Balance'!D:F,3,FALSE)</f>
        <v>319500</v>
      </c>
      <c r="D182" s="8">
        <f>VLOOKUP(B182,'Tally Balance'!A:C,3,FALSE)</f>
        <v>329500</v>
      </c>
      <c r="E182" s="8" t="b">
        <f t="shared" si="4"/>
        <v>0</v>
      </c>
      <c r="F182" s="7"/>
      <c r="G182" s="7">
        <f>VLOOKUP(B182,'NS Balance'!D:G,4,FALSE)</f>
        <v>329500</v>
      </c>
      <c r="H182" s="7">
        <f>VLOOKUP(B182,'Tally Balance'!A:D,4,FALSE)</f>
        <v>329500</v>
      </c>
      <c r="I182" s="7" t="b">
        <f t="shared" si="5"/>
        <v>1</v>
      </c>
      <c r="J182" s="7"/>
      <c r="K182" s="7"/>
      <c r="L182" s="6">
        <f>VLOOKUP(B182,'Tally Balance'!A:E,5,FALSE)</f>
        <v>0</v>
      </c>
    </row>
    <row r="183" spans="1:12">
      <c r="A183" s="2" t="s">
        <v>259</v>
      </c>
      <c r="B183" s="7" t="s">
        <v>263</v>
      </c>
      <c r="C183" s="7">
        <f>VLOOKUP(B183,'NS Balance'!D:F,3,FALSE)</f>
        <v>2121223.19</v>
      </c>
      <c r="D183" s="7">
        <f>VLOOKUP(B183,'Tally Balance'!A:C,3,FALSE)</f>
        <v>2121223.19</v>
      </c>
      <c r="E183" s="7" t="b">
        <f t="shared" si="4"/>
        <v>1</v>
      </c>
      <c r="F183" s="7"/>
      <c r="G183" s="10">
        <f>VLOOKUP(B183,'NS Balance'!D:G,4,FALSE)</f>
        <v>2311661.5</v>
      </c>
      <c r="H183" s="10">
        <f>VLOOKUP(B183,'Tally Balance'!A:D,4,FALSE)</f>
        <v>2121223</v>
      </c>
      <c r="I183" s="10" t="b">
        <f t="shared" si="5"/>
        <v>0</v>
      </c>
      <c r="J183" s="7"/>
      <c r="K183" s="7"/>
      <c r="L183" s="6">
        <f>VLOOKUP(B183,'Tally Balance'!A:E,5,FALSE)</f>
        <v>0.19</v>
      </c>
    </row>
    <row r="184" spans="1:12">
      <c r="A184" s="2" t="s">
        <v>259</v>
      </c>
      <c r="B184" s="8" t="s">
        <v>264</v>
      </c>
      <c r="C184" s="8">
        <f>VLOOKUP(B184,'NS Balance'!D:F,3,FALSE)</f>
        <v>8211500</v>
      </c>
      <c r="D184" s="8">
        <f>VLOOKUP(B184,'Tally Balance'!A:C,3,FALSE)</f>
        <v>8700000</v>
      </c>
      <c r="E184" s="8" t="b">
        <f t="shared" si="4"/>
        <v>0</v>
      </c>
      <c r="F184" s="7"/>
      <c r="G184" s="10">
        <f>VLOOKUP(B184,'NS Balance'!D:G,4,FALSE)</f>
        <v>0</v>
      </c>
      <c r="H184" s="10">
        <f>VLOOKUP(B184,'Tally Balance'!A:D,4,FALSE)</f>
        <v>10700000</v>
      </c>
      <c r="I184" s="10" t="b">
        <f t="shared" si="5"/>
        <v>0</v>
      </c>
      <c r="J184" s="7"/>
      <c r="K184" s="7"/>
      <c r="L184" s="6">
        <f>VLOOKUP(B184,'Tally Balance'!A:E,5,FALSE)</f>
        <v>2000000</v>
      </c>
    </row>
    <row r="185" spans="1:12">
      <c r="A185" s="2" t="s">
        <v>259</v>
      </c>
      <c r="B185" s="7" t="s">
        <v>265</v>
      </c>
      <c r="C185" s="7">
        <f>VLOOKUP(B185,'NS Balance'!D:F,3,FALSE)</f>
        <v>4821802</v>
      </c>
      <c r="D185" s="7">
        <f>VLOOKUP(B185,'Tally Balance'!A:C,3,FALSE)</f>
        <v>4821802</v>
      </c>
      <c r="E185" s="7" t="b">
        <f t="shared" si="4"/>
        <v>1</v>
      </c>
      <c r="F185" s="7"/>
      <c r="G185" s="7">
        <f>VLOOKUP(B185,'NS Balance'!D:G,4,FALSE)</f>
        <v>4821802</v>
      </c>
      <c r="H185" s="7">
        <f>VLOOKUP(B185,'Tally Balance'!A:D,4,FALSE)</f>
        <v>4821802</v>
      </c>
      <c r="I185" s="7" t="b">
        <f t="shared" si="5"/>
        <v>1</v>
      </c>
      <c r="J185" s="7"/>
      <c r="K185" s="7"/>
      <c r="L185" s="6">
        <f>VLOOKUP(B185,'Tally Balance'!A:E,5,FALSE)</f>
        <v>0</v>
      </c>
    </row>
    <row r="186" spans="1:12">
      <c r="A186" s="2" t="s">
        <v>266</v>
      </c>
      <c r="B186" s="7" t="s">
        <v>267</v>
      </c>
      <c r="C186" s="7">
        <f>VLOOKUP(B186,'NS Balance'!D:F,3,FALSE)</f>
        <v>3108350</v>
      </c>
      <c r="D186" s="7">
        <f>VLOOKUP(B186,'Tally Balance'!A:C,3,FALSE)</f>
        <v>3108350</v>
      </c>
      <c r="E186" s="7" t="b">
        <f t="shared" si="4"/>
        <v>1</v>
      </c>
      <c r="F186" s="7"/>
      <c r="G186" s="7">
        <f>VLOOKUP(B186,'NS Balance'!D:G,4,FALSE)</f>
        <v>3108350</v>
      </c>
      <c r="H186" s="7">
        <f>VLOOKUP(B186,'Tally Balance'!A:D,4,FALSE)</f>
        <v>3108350</v>
      </c>
      <c r="I186" s="7" t="b">
        <f t="shared" si="5"/>
        <v>1</v>
      </c>
      <c r="J186" s="7"/>
      <c r="K186" s="7"/>
      <c r="L186" s="6">
        <f>VLOOKUP(B186,'Tally Balance'!A:E,5,FALSE)</f>
        <v>0</v>
      </c>
    </row>
    <row r="187" spans="1:12">
      <c r="A187" s="2" t="s">
        <v>268</v>
      </c>
      <c r="B187" s="8" t="s">
        <v>269</v>
      </c>
      <c r="C187" s="8">
        <f>VLOOKUP(B187,'NS Balance'!D:F,3,FALSE)</f>
        <v>9992403</v>
      </c>
      <c r="D187" s="8">
        <f>VLOOKUP(B187,'Tally Balance'!A:C,3,FALSE)</f>
        <v>9937403</v>
      </c>
      <c r="E187" s="8" t="b">
        <f t="shared" si="4"/>
        <v>0</v>
      </c>
      <c r="F187" s="7"/>
      <c r="G187" s="10">
        <f>VLOOKUP(B187,'NS Balance'!D:G,4,FALSE)</f>
        <v>12365224</v>
      </c>
      <c r="H187" s="10">
        <f>VLOOKUP(B187,'Tally Balance'!A:D,4,FALSE)</f>
        <v>12358878</v>
      </c>
      <c r="I187" s="10" t="b">
        <f t="shared" si="5"/>
        <v>0</v>
      </c>
      <c r="J187" s="7"/>
      <c r="K187" s="7"/>
      <c r="L187" s="6">
        <f>VLOOKUP(B187,'Tally Balance'!A:E,5,FALSE)</f>
        <v>2421475</v>
      </c>
    </row>
    <row r="188" spans="1:12">
      <c r="A188" s="2" t="s">
        <v>268</v>
      </c>
      <c r="B188" s="7" t="s">
        <v>270</v>
      </c>
      <c r="C188" s="7">
        <f>VLOOKUP(B188,'NS Balance'!D:F,3,FALSE)</f>
        <v>10725</v>
      </c>
      <c r="D188" s="7">
        <f>VLOOKUP(B188,'Tally Balance'!A:C,3,FALSE)</f>
        <v>10725</v>
      </c>
      <c r="E188" s="7" t="b">
        <f t="shared" si="4"/>
        <v>1</v>
      </c>
      <c r="F188" s="7"/>
      <c r="G188" s="7">
        <f>VLOOKUP(B188,'NS Balance'!D:G,4,FALSE)</f>
        <v>10725</v>
      </c>
      <c r="H188" s="7">
        <f>VLOOKUP(B188,'Tally Balance'!A:D,4,FALSE)</f>
        <v>10725</v>
      </c>
      <c r="I188" s="7" t="b">
        <f t="shared" si="5"/>
        <v>1</v>
      </c>
      <c r="J188" s="7"/>
      <c r="K188" s="7"/>
      <c r="L188" s="6">
        <f>VLOOKUP(B188,'Tally Balance'!A:E,5,FALSE)</f>
        <v>0</v>
      </c>
    </row>
    <row r="189" spans="1:12">
      <c r="A189" s="2" t="s">
        <v>268</v>
      </c>
      <c r="B189" s="7" t="s">
        <v>271</v>
      </c>
      <c r="C189" s="7">
        <f>VLOOKUP(B189,'NS Balance'!D:F,3,FALSE)</f>
        <v>284211</v>
      </c>
      <c r="D189" s="7">
        <f>VLOOKUP(B189,'Tally Balance'!A:C,3,FALSE)</f>
        <v>284211</v>
      </c>
      <c r="E189" s="7" t="b">
        <f t="shared" si="4"/>
        <v>1</v>
      </c>
      <c r="F189" s="7"/>
      <c r="G189" s="7">
        <f>VLOOKUP(B189,'NS Balance'!D:G,4,FALSE)</f>
        <v>284211</v>
      </c>
      <c r="H189" s="7">
        <f>VLOOKUP(B189,'Tally Balance'!A:D,4,FALSE)</f>
        <v>284211</v>
      </c>
      <c r="I189" s="7" t="b">
        <f t="shared" si="5"/>
        <v>1</v>
      </c>
      <c r="J189" s="7"/>
      <c r="K189" s="7"/>
      <c r="L189" s="6">
        <f>VLOOKUP(B189,'Tally Balance'!A:E,5,FALSE)</f>
        <v>0</v>
      </c>
    </row>
    <row r="190" spans="1:12">
      <c r="A190" s="2" t="s">
        <v>272</v>
      </c>
      <c r="B190" s="7" t="s">
        <v>273</v>
      </c>
      <c r="C190" s="7">
        <f>VLOOKUP(B190,'NS Balance'!D:F,3,FALSE)</f>
        <v>1599625</v>
      </c>
      <c r="D190" s="7">
        <f>VLOOKUP(B190,'Tally Balance'!A:C,3,FALSE)</f>
        <v>1599625</v>
      </c>
      <c r="E190" s="7" t="b">
        <f t="shared" si="4"/>
        <v>1</v>
      </c>
      <c r="F190" s="7"/>
      <c r="G190" s="7">
        <f>VLOOKUP(B190,'NS Balance'!D:G,4,FALSE)</f>
        <v>2099625</v>
      </c>
      <c r="H190" s="7">
        <f>VLOOKUP(B190,'Tally Balance'!A:D,4,FALSE)</f>
        <v>2099625</v>
      </c>
      <c r="I190" s="7" t="b">
        <f t="shared" si="5"/>
        <v>1</v>
      </c>
      <c r="J190" s="7"/>
      <c r="K190" s="7"/>
      <c r="L190" s="6">
        <f>VLOOKUP(B190,'Tally Balance'!A:E,5,FALSE)</f>
        <v>500000</v>
      </c>
    </row>
    <row r="191" spans="1:12">
      <c r="A191" s="2" t="s">
        <v>274</v>
      </c>
      <c r="B191" s="7" t="s">
        <v>275</v>
      </c>
      <c r="C191" s="7">
        <f>VLOOKUP(B191,'NS Balance'!D:F,3,FALSE)</f>
        <v>30000</v>
      </c>
      <c r="D191" s="7">
        <f>VLOOKUP(B191,'Tally Balance'!A:C,3,FALSE)</f>
        <v>30000</v>
      </c>
      <c r="E191" s="7" t="b">
        <f t="shared" si="4"/>
        <v>1</v>
      </c>
      <c r="F191" s="7"/>
      <c r="G191" s="7">
        <f>VLOOKUP(B191,'NS Balance'!D:G,4,FALSE)</f>
        <v>30000</v>
      </c>
      <c r="H191" s="7">
        <f>VLOOKUP(B191,'Tally Balance'!A:D,4,FALSE)</f>
        <v>30000</v>
      </c>
      <c r="I191" s="7" t="b">
        <f t="shared" si="5"/>
        <v>1</v>
      </c>
      <c r="J191" s="7"/>
      <c r="K191" s="7"/>
      <c r="L191" s="6">
        <f>VLOOKUP(B191,'Tally Balance'!A:E,5,FALSE)</f>
        <v>0</v>
      </c>
    </row>
    <row r="192" spans="1:12">
      <c r="A192" s="2" t="s">
        <v>276</v>
      </c>
      <c r="B192" s="7" t="s">
        <v>277</v>
      </c>
      <c r="C192" s="7">
        <f>VLOOKUP(B192,'NS Balance'!D:F,3,FALSE)</f>
        <v>1553200</v>
      </c>
      <c r="D192" s="7">
        <f>VLOOKUP(B192,'Tally Balance'!A:C,3,FALSE)</f>
        <v>1553200</v>
      </c>
      <c r="E192" s="7" t="b">
        <f t="shared" si="4"/>
        <v>1</v>
      </c>
      <c r="F192" s="7"/>
      <c r="G192" s="7">
        <f>VLOOKUP(B192,'NS Balance'!D:G,4,FALSE)</f>
        <v>1553200</v>
      </c>
      <c r="H192" s="7">
        <f>VLOOKUP(B192,'Tally Balance'!A:D,4,FALSE)</f>
        <v>1553200</v>
      </c>
      <c r="I192" s="7" t="b">
        <f t="shared" si="5"/>
        <v>1</v>
      </c>
      <c r="J192" s="7"/>
      <c r="K192" s="7"/>
      <c r="L192" s="6">
        <f>VLOOKUP(B192,'Tally Balance'!A:E,5,FALSE)</f>
        <v>0</v>
      </c>
    </row>
    <row r="193" spans="1:12">
      <c r="A193" s="2" t="s">
        <v>278</v>
      </c>
      <c r="B193" s="7" t="s">
        <v>279</v>
      </c>
      <c r="C193" s="7">
        <f>VLOOKUP(B193,'NS Balance'!D:F,3,FALSE)</f>
        <v>928816</v>
      </c>
      <c r="D193" s="7">
        <f>VLOOKUP(B193,'Tally Balance'!A:C,3,FALSE)</f>
        <v>928816</v>
      </c>
      <c r="E193" s="7" t="b">
        <f t="shared" si="4"/>
        <v>1</v>
      </c>
      <c r="F193" s="7"/>
      <c r="G193" s="10">
        <f>VLOOKUP(B193,'NS Balance'!D:G,4,FALSE)</f>
        <v>0</v>
      </c>
      <c r="H193" s="10">
        <f>VLOOKUP(B193,'Tally Balance'!A:D,4,FALSE)</f>
        <v>928816</v>
      </c>
      <c r="I193" s="10" t="b">
        <f t="shared" si="5"/>
        <v>0</v>
      </c>
      <c r="J193" s="7"/>
      <c r="K193" s="7"/>
      <c r="L193" s="6">
        <f>VLOOKUP(B193,'Tally Balance'!A:E,5,FALSE)</f>
        <v>0</v>
      </c>
    </row>
    <row r="194" spans="1:12">
      <c r="A194" s="2" t="s">
        <v>280</v>
      </c>
      <c r="B194" s="7" t="s">
        <v>281</v>
      </c>
      <c r="C194" s="7">
        <f>VLOOKUP(B194,'NS Balance'!D:F,3,FALSE)</f>
        <v>337265</v>
      </c>
      <c r="D194" s="7">
        <f>VLOOKUP(B194,'Tally Balance'!A:C,3,FALSE)</f>
        <v>337265</v>
      </c>
      <c r="E194" s="7" t="b">
        <f t="shared" si="4"/>
        <v>1</v>
      </c>
      <c r="F194" s="7"/>
      <c r="G194" s="7">
        <f>VLOOKUP(B194,'NS Balance'!D:G,4,FALSE)</f>
        <v>437265</v>
      </c>
      <c r="H194" s="7">
        <f>VLOOKUP(B194,'Tally Balance'!A:D,4,FALSE)</f>
        <v>437265</v>
      </c>
      <c r="I194" s="7" t="b">
        <f t="shared" si="5"/>
        <v>1</v>
      </c>
      <c r="J194" s="7"/>
      <c r="K194" s="7"/>
      <c r="L194" s="6">
        <f>VLOOKUP(B194,'Tally Balance'!A:E,5,FALSE)</f>
        <v>100000</v>
      </c>
    </row>
    <row r="195" spans="1:12">
      <c r="A195" s="2" t="s">
        <v>282</v>
      </c>
      <c r="B195" s="8" t="s">
        <v>283</v>
      </c>
      <c r="C195" s="8">
        <f>VLOOKUP(B195,'NS Balance'!D:F,3,FALSE)</f>
        <v>701150</v>
      </c>
      <c r="D195" s="8">
        <f>VLOOKUP(B195,'Tally Balance'!A:C,3,FALSE)</f>
        <v>692150</v>
      </c>
      <c r="E195" s="8" t="b">
        <f t="shared" ref="E195:E225" si="6">C195=D195</f>
        <v>0</v>
      </c>
      <c r="F195" s="7"/>
      <c r="G195" s="10">
        <f>VLOOKUP(B195,'NS Balance'!D:G,4,FALSE)</f>
        <v>181650</v>
      </c>
      <c r="H195" s="10">
        <f>VLOOKUP(B195,'Tally Balance'!A:D,4,FALSE)</f>
        <v>692150</v>
      </c>
      <c r="I195" s="10" t="b">
        <f t="shared" ref="I195:I225" si="7">G195=H195</f>
        <v>0</v>
      </c>
      <c r="J195" s="7"/>
      <c r="K195" s="7"/>
      <c r="L195" s="6">
        <f>VLOOKUP(B195,'Tally Balance'!A:E,5,FALSE)</f>
        <v>0</v>
      </c>
    </row>
    <row r="196" spans="1:12">
      <c r="A196" s="2" t="s">
        <v>284</v>
      </c>
      <c r="B196" s="7" t="s">
        <v>285</v>
      </c>
      <c r="C196" s="7">
        <f>VLOOKUP(B196,'NS Balance'!D:F,3,FALSE)</f>
        <v>3075000</v>
      </c>
      <c r="D196" s="7">
        <f>VLOOKUP(B196,'Tally Balance'!A:C,3,FALSE)</f>
        <v>3075000</v>
      </c>
      <c r="E196" s="7" t="b">
        <f t="shared" si="6"/>
        <v>1</v>
      </c>
      <c r="F196" s="7"/>
      <c r="G196" s="7">
        <f>VLOOKUP(B196,'NS Balance'!D:G,4,FALSE)</f>
        <v>3075000</v>
      </c>
      <c r="H196" s="7">
        <f>VLOOKUP(B196,'Tally Balance'!A:D,4,FALSE)</f>
        <v>3075000</v>
      </c>
      <c r="I196" s="7" t="b">
        <f t="shared" si="7"/>
        <v>1</v>
      </c>
      <c r="J196" s="7"/>
      <c r="K196" s="7"/>
      <c r="L196" s="6">
        <f>VLOOKUP(B196,'Tally Balance'!A:E,5,FALSE)</f>
        <v>0</v>
      </c>
    </row>
    <row r="197" spans="1:12">
      <c r="A197" s="2" t="s">
        <v>284</v>
      </c>
      <c r="B197" s="7" t="s">
        <v>286</v>
      </c>
      <c r="C197" s="7">
        <f>VLOOKUP(B197,'NS Balance'!D:F,3,FALSE)</f>
        <v>119741.6</v>
      </c>
      <c r="D197" s="7">
        <f>VLOOKUP(B197,'Tally Balance'!A:C,3,FALSE)</f>
        <v>119741.6</v>
      </c>
      <c r="E197" s="7" t="b">
        <f t="shared" si="6"/>
        <v>1</v>
      </c>
      <c r="F197" s="7"/>
      <c r="G197" s="7">
        <f>VLOOKUP(B197,'NS Balance'!D:G,4,FALSE)</f>
        <v>119741</v>
      </c>
      <c r="H197" s="7">
        <f>VLOOKUP(B197,'Tally Balance'!A:D,4,FALSE)</f>
        <v>119741</v>
      </c>
      <c r="I197" s="7" t="b">
        <f t="shared" si="7"/>
        <v>1</v>
      </c>
      <c r="J197" s="7"/>
      <c r="K197" s="7"/>
      <c r="L197" s="6">
        <f>VLOOKUP(B197,'Tally Balance'!A:E,5,FALSE)</f>
        <v>0.6</v>
      </c>
    </row>
    <row r="198" spans="1:12">
      <c r="A198" s="2" t="s">
        <v>284</v>
      </c>
      <c r="B198" s="8" t="s">
        <v>287</v>
      </c>
      <c r="C198" s="8">
        <f>VLOOKUP(B198,'NS Balance'!D:F,3,FALSE)</f>
        <v>993844</v>
      </c>
      <c r="D198" s="8">
        <f>VLOOKUP(B198,'Tally Balance'!A:C,3,FALSE)</f>
        <v>1003014</v>
      </c>
      <c r="E198" s="8" t="b">
        <f t="shared" si="6"/>
        <v>0</v>
      </c>
      <c r="F198" s="7"/>
      <c r="G198" s="7">
        <f>VLOOKUP(B198,'NS Balance'!D:G,4,FALSE)</f>
        <v>1003014</v>
      </c>
      <c r="H198" s="7">
        <f>VLOOKUP(B198,'Tally Balance'!A:D,4,FALSE)</f>
        <v>1003014</v>
      </c>
      <c r="I198" s="7" t="b">
        <f t="shared" si="7"/>
        <v>1</v>
      </c>
      <c r="J198" s="7"/>
      <c r="K198" s="7"/>
      <c r="L198" s="6">
        <f>VLOOKUP(B198,'Tally Balance'!A:E,5,FALSE)</f>
        <v>0</v>
      </c>
    </row>
    <row r="199" spans="1:12">
      <c r="A199" s="2" t="s">
        <v>284</v>
      </c>
      <c r="B199" s="7" t="s">
        <v>288</v>
      </c>
      <c r="C199" s="7">
        <f>VLOOKUP(B199,'NS Balance'!D:F,3,FALSE)</f>
        <v>138700</v>
      </c>
      <c r="D199" s="7">
        <f>VLOOKUP(B199,'Tally Balance'!A:C,3,FALSE)</f>
        <v>138700</v>
      </c>
      <c r="E199" s="7" t="b">
        <f t="shared" si="6"/>
        <v>1</v>
      </c>
      <c r="F199" s="7"/>
      <c r="G199" s="7">
        <f>VLOOKUP(B199,'NS Balance'!D:G,4,FALSE)</f>
        <v>138700</v>
      </c>
      <c r="H199" s="7">
        <f>VLOOKUP(B199,'Tally Balance'!A:D,4,FALSE)</f>
        <v>138700</v>
      </c>
      <c r="I199" s="7" t="b">
        <f t="shared" si="7"/>
        <v>1</v>
      </c>
      <c r="J199" s="7"/>
      <c r="K199" s="7"/>
      <c r="L199" s="6">
        <f>VLOOKUP(B199,'Tally Balance'!A:E,5,FALSE)</f>
        <v>0</v>
      </c>
    </row>
    <row r="200" spans="1:12">
      <c r="A200" s="2" t="s">
        <v>284</v>
      </c>
      <c r="B200" s="8" t="s">
        <v>289</v>
      </c>
      <c r="C200" s="8">
        <f>VLOOKUP(B200,'NS Balance'!D:F,3,FALSE)</f>
        <v>1573179.01</v>
      </c>
      <c r="D200" s="8">
        <f>VLOOKUP(B200,'Tally Balance'!A:C,3,FALSE)</f>
        <v>1621179</v>
      </c>
      <c r="E200" s="8" t="b">
        <f t="shared" si="6"/>
        <v>0</v>
      </c>
      <c r="F200" s="7"/>
      <c r="G200" s="7">
        <f>VLOOKUP(B200,'NS Balance'!D:G,4,FALSE)</f>
        <v>2156689</v>
      </c>
      <c r="H200" s="7">
        <f>VLOOKUP(B200,'Tally Balance'!A:D,4,FALSE)</f>
        <v>2156689</v>
      </c>
      <c r="I200" s="7" t="b">
        <f t="shared" si="7"/>
        <v>1</v>
      </c>
      <c r="J200" s="7"/>
      <c r="K200" s="7"/>
      <c r="L200" s="6">
        <f>VLOOKUP(B200,'Tally Balance'!A:E,5,FALSE)</f>
        <v>535510</v>
      </c>
    </row>
    <row r="201" spans="1:12">
      <c r="A201" s="2" t="s">
        <v>284</v>
      </c>
      <c r="B201" s="7" t="s">
        <v>290</v>
      </c>
      <c r="C201" s="7">
        <f>VLOOKUP(B201,'NS Balance'!D:F,3,FALSE)</f>
        <v>575537</v>
      </c>
      <c r="D201" s="7">
        <f>VLOOKUP(B201,'Tally Balance'!A:C,3,FALSE)</f>
        <v>575537</v>
      </c>
      <c r="E201" s="7" t="b">
        <f t="shared" si="6"/>
        <v>1</v>
      </c>
      <c r="F201" s="7"/>
      <c r="G201" s="7">
        <f>VLOOKUP(B201,'NS Balance'!D:G,4,FALSE)</f>
        <v>725537</v>
      </c>
      <c r="H201" s="7">
        <f>VLOOKUP(B201,'Tally Balance'!A:D,4,FALSE)</f>
        <v>725537</v>
      </c>
      <c r="I201" s="7" t="b">
        <f t="shared" si="7"/>
        <v>1</v>
      </c>
      <c r="J201" s="7"/>
      <c r="K201" s="7"/>
      <c r="L201" s="6">
        <f>VLOOKUP(B201,'Tally Balance'!A:E,5,FALSE)</f>
        <v>150000</v>
      </c>
    </row>
    <row r="202" spans="1:12">
      <c r="A202" s="2" t="s">
        <v>291</v>
      </c>
      <c r="B202" s="7" t="s">
        <v>292</v>
      </c>
      <c r="C202" s="7">
        <f>VLOOKUP(B202,'NS Balance'!D:F,3,FALSE)</f>
        <v>45000</v>
      </c>
      <c r="D202" s="7">
        <f>VLOOKUP(B202,'Tally Balance'!A:C,3,FALSE)</f>
        <v>45000</v>
      </c>
      <c r="E202" s="7" t="b">
        <f t="shared" si="6"/>
        <v>1</v>
      </c>
      <c r="F202" s="7"/>
      <c r="G202" s="7">
        <f>VLOOKUP(B202,'NS Balance'!D:G,4,FALSE)</f>
        <v>45000</v>
      </c>
      <c r="H202" s="7">
        <f>VLOOKUP(B202,'Tally Balance'!A:D,4,FALSE)</f>
        <v>45000</v>
      </c>
      <c r="I202" s="7" t="b">
        <f t="shared" si="7"/>
        <v>1</v>
      </c>
      <c r="J202" s="7"/>
      <c r="K202" s="7"/>
      <c r="L202" s="6">
        <f>VLOOKUP(B202,'Tally Balance'!A:E,5,FALSE)</f>
        <v>0</v>
      </c>
    </row>
    <row r="203" spans="1:12">
      <c r="A203" s="2" t="s">
        <v>293</v>
      </c>
      <c r="B203" s="7" t="s">
        <v>294</v>
      </c>
      <c r="C203" s="7">
        <f>VLOOKUP(B203,'NS Balance'!D:F,3,FALSE)</f>
        <v>541000</v>
      </c>
      <c r="D203" s="7">
        <f>VLOOKUP(B203,'Tally Balance'!A:C,3,FALSE)</f>
        <v>541000</v>
      </c>
      <c r="E203" s="7" t="b">
        <f t="shared" si="6"/>
        <v>1</v>
      </c>
      <c r="F203" s="7"/>
      <c r="G203" s="7">
        <f>VLOOKUP(B203,'NS Balance'!D:G,4,FALSE)</f>
        <v>541000</v>
      </c>
      <c r="H203" s="7">
        <f>VLOOKUP(B203,'Tally Balance'!A:D,4,FALSE)</f>
        <v>541000</v>
      </c>
      <c r="I203" s="7" t="b">
        <f t="shared" si="7"/>
        <v>1</v>
      </c>
      <c r="J203" s="7"/>
      <c r="K203" s="7"/>
      <c r="L203" s="6">
        <f>VLOOKUP(B203,'Tally Balance'!A:E,5,FALSE)</f>
        <v>0</v>
      </c>
    </row>
    <row r="204" spans="1:12">
      <c r="A204" s="2" t="s">
        <v>295</v>
      </c>
      <c r="B204" s="7" t="s">
        <v>296</v>
      </c>
      <c r="C204" s="7">
        <f>VLOOKUP(B204,'NS Balance'!D:F,3,FALSE)</f>
        <v>8898</v>
      </c>
      <c r="D204" s="7">
        <f>VLOOKUP(B204,'Tally Balance'!A:C,3,FALSE)</f>
        <v>8898</v>
      </c>
      <c r="E204" s="7" t="b">
        <f t="shared" si="6"/>
        <v>1</v>
      </c>
      <c r="F204" s="7"/>
      <c r="G204" s="7">
        <f>VLOOKUP(B204,'NS Balance'!D:G,4,FALSE)</f>
        <v>8898</v>
      </c>
      <c r="H204" s="7">
        <f>VLOOKUP(B204,'Tally Balance'!A:D,4,FALSE)</f>
        <v>8898</v>
      </c>
      <c r="I204" s="7" t="b">
        <f t="shared" si="7"/>
        <v>1</v>
      </c>
      <c r="J204" s="7"/>
      <c r="K204" s="7"/>
      <c r="L204" s="6">
        <f>VLOOKUP(B204,'Tally Balance'!A:E,5,FALSE)</f>
        <v>0</v>
      </c>
    </row>
    <row r="205" spans="1:12">
      <c r="A205" s="2" t="s">
        <v>297</v>
      </c>
      <c r="B205" s="7" t="s">
        <v>298</v>
      </c>
      <c r="C205" s="7">
        <f>VLOOKUP(B205,'NS Balance'!D:F,3,FALSE)</f>
        <v>54004</v>
      </c>
      <c r="D205" s="7">
        <f>VLOOKUP(B205,'Tally Balance'!A:C,3,FALSE)</f>
        <v>54004</v>
      </c>
      <c r="E205" s="7" t="b">
        <f t="shared" si="6"/>
        <v>1</v>
      </c>
      <c r="F205" s="7"/>
      <c r="G205" s="7">
        <f>VLOOKUP(B205,'NS Balance'!D:G,4,FALSE)</f>
        <v>0</v>
      </c>
      <c r="H205" s="7">
        <f>VLOOKUP(B205,'Tally Balance'!A:D,4,FALSE)</f>
        <v>0</v>
      </c>
      <c r="I205" s="7" t="b">
        <f t="shared" si="7"/>
        <v>1</v>
      </c>
      <c r="J205" s="7"/>
      <c r="K205" s="7"/>
      <c r="L205" s="6">
        <f>VLOOKUP(B205,'Tally Balance'!A:E,5,FALSE)</f>
        <v>54004</v>
      </c>
    </row>
    <row r="206" spans="1:12">
      <c r="A206" s="2" t="s">
        <v>297</v>
      </c>
      <c r="B206" s="7" t="s">
        <v>299</v>
      </c>
      <c r="C206" s="7">
        <f>VLOOKUP(B206,'NS Balance'!D:F,3,FALSE)</f>
        <v>55000</v>
      </c>
      <c r="D206" s="7">
        <f>VLOOKUP(B206,'Tally Balance'!A:C,3,FALSE)</f>
        <v>55000</v>
      </c>
      <c r="E206" s="7" t="b">
        <f t="shared" si="6"/>
        <v>1</v>
      </c>
      <c r="F206" s="7"/>
      <c r="G206" s="7">
        <f>VLOOKUP(B206,'NS Balance'!D:G,4,FALSE)</f>
        <v>55000</v>
      </c>
      <c r="H206" s="7">
        <f>VLOOKUP(B206,'Tally Balance'!A:D,4,FALSE)</f>
        <v>55000</v>
      </c>
      <c r="I206" s="7" t="b">
        <f t="shared" si="7"/>
        <v>1</v>
      </c>
      <c r="J206" s="7"/>
      <c r="K206" s="7"/>
      <c r="L206" s="6">
        <f>VLOOKUP(B206,'Tally Balance'!A:E,5,FALSE)</f>
        <v>0</v>
      </c>
    </row>
    <row r="207" spans="1:12">
      <c r="A207" s="2" t="s">
        <v>297</v>
      </c>
      <c r="B207" s="8" t="s">
        <v>300</v>
      </c>
      <c r="C207" s="8">
        <f>VLOOKUP(B207,'NS Balance'!D:F,3,FALSE)</f>
        <v>364772.75</v>
      </c>
      <c r="D207" s="8">
        <f>VLOOKUP(B207,'Tally Balance'!A:C,3,FALSE)</f>
        <v>8867050.75</v>
      </c>
      <c r="E207" s="8" t="b">
        <f t="shared" si="6"/>
        <v>0</v>
      </c>
      <c r="F207" s="7">
        <f>D207-C207</f>
        <v>8502278</v>
      </c>
      <c r="G207" s="7">
        <f>VLOOKUP(B207,'NS Balance'!D:G,4,FALSE)</f>
        <v>8867050.75</v>
      </c>
      <c r="H207" s="7">
        <f>VLOOKUP(B207,'Tally Balance'!A:D,4,FALSE)</f>
        <v>8867050.75</v>
      </c>
      <c r="I207" s="7" t="b">
        <f t="shared" si="7"/>
        <v>1</v>
      </c>
      <c r="J207" s="7"/>
      <c r="K207" s="7"/>
      <c r="L207" s="6">
        <f>VLOOKUP(B207,'Tally Balance'!A:E,5,FALSE)</f>
        <v>0</v>
      </c>
    </row>
    <row r="208" spans="1:12">
      <c r="A208" s="2" t="s">
        <v>297</v>
      </c>
      <c r="B208" s="7" t="s">
        <v>301</v>
      </c>
      <c r="C208" s="7">
        <f>VLOOKUP(B208,'NS Balance'!D:F,3,FALSE)</f>
        <v>2810770</v>
      </c>
      <c r="D208" s="7">
        <f>VLOOKUP(B208,'Tally Balance'!A:C,3,FALSE)</f>
        <v>2810770</v>
      </c>
      <c r="E208" s="7" t="b">
        <f t="shared" si="6"/>
        <v>1</v>
      </c>
      <c r="F208" s="7"/>
      <c r="G208" s="10">
        <f>VLOOKUP(B208,'NS Balance'!D:G,4,FALSE)</f>
        <v>3518535</v>
      </c>
      <c r="H208" s="10">
        <f>VLOOKUP(B208,'Tally Balance'!A:D,4,FALSE)</f>
        <v>3522770</v>
      </c>
      <c r="I208" s="10" t="b">
        <f t="shared" si="7"/>
        <v>0</v>
      </c>
      <c r="J208" s="7"/>
      <c r="K208" s="7"/>
      <c r="L208" s="6">
        <f>VLOOKUP(B208,'Tally Balance'!A:E,5,FALSE)</f>
        <v>712000</v>
      </c>
    </row>
    <row r="209" spans="1:12">
      <c r="A209" s="2" t="s">
        <v>249</v>
      </c>
      <c r="B209" s="7" t="s">
        <v>302</v>
      </c>
      <c r="C209" s="7">
        <f>VLOOKUP(B209,'NS Balance'!D:F,3,FALSE)</f>
        <v>1389500</v>
      </c>
      <c r="D209" s="7">
        <f>VLOOKUP(B209,'Tally Balance'!A:C,3,FALSE)</f>
        <v>1389500</v>
      </c>
      <c r="E209" s="7" t="b">
        <f t="shared" si="6"/>
        <v>1</v>
      </c>
      <c r="F209" s="7"/>
      <c r="G209" s="7">
        <f>VLOOKUP(B209,'NS Balance'!D:G,4,FALSE)</f>
        <v>1389500</v>
      </c>
      <c r="H209" s="7">
        <f>VLOOKUP(B209,'Tally Balance'!A:D,4,FALSE)</f>
        <v>1389500</v>
      </c>
      <c r="I209" s="7" t="b">
        <f t="shared" si="7"/>
        <v>1</v>
      </c>
      <c r="J209" s="7"/>
      <c r="K209" s="7"/>
      <c r="L209" s="6">
        <f>VLOOKUP(B209,'Tally Balance'!A:E,5,FALSE)</f>
        <v>0</v>
      </c>
    </row>
    <row r="210" spans="1:12">
      <c r="A210" s="2" t="s">
        <v>274</v>
      </c>
      <c r="B210" s="7" t="s">
        <v>303</v>
      </c>
      <c r="C210" s="7">
        <f>VLOOKUP(B210,'NS Balance'!D:F,3,FALSE)</f>
        <v>1850500</v>
      </c>
      <c r="D210" s="7">
        <f>VLOOKUP(B210,'Tally Balance'!A:C,3,FALSE)</f>
        <v>1850500</v>
      </c>
      <c r="E210" s="7" t="b">
        <f t="shared" si="6"/>
        <v>1</v>
      </c>
      <c r="F210" s="7"/>
      <c r="G210" s="7">
        <f>VLOOKUP(B210,'NS Balance'!D:G,4,FALSE)</f>
        <v>2150500</v>
      </c>
      <c r="H210" s="7">
        <f>VLOOKUP(B210,'Tally Balance'!A:D,4,FALSE)</f>
        <v>2150500</v>
      </c>
      <c r="I210" s="7" t="b">
        <f t="shared" si="7"/>
        <v>1</v>
      </c>
      <c r="J210" s="7"/>
      <c r="K210" s="7"/>
      <c r="L210" s="6">
        <f>VLOOKUP(B210,'Tally Balance'!A:E,5,FALSE)</f>
        <v>300000</v>
      </c>
    </row>
    <row r="211" s="5" customFormat="1" ht="27" customHeight="1" spans="1:12">
      <c r="A211" s="11" t="s">
        <v>274</v>
      </c>
      <c r="B211" s="11" t="s">
        <v>304</v>
      </c>
      <c r="C211" s="11">
        <f>VLOOKUP(B211,'NS Balance'!D:F,3,FALSE)</f>
        <v>1358300</v>
      </c>
      <c r="D211" s="11">
        <f>VLOOKUP(B211,'Tally Balance'!A:C,3,FALSE)</f>
        <v>1348800</v>
      </c>
      <c r="E211" s="11" t="b">
        <f t="shared" si="6"/>
        <v>0</v>
      </c>
      <c r="F211" s="11" t="s">
        <v>305</v>
      </c>
      <c r="G211" s="11">
        <f>VLOOKUP(B211,'NS Balance'!D:G,4,FALSE)</f>
        <v>1548800</v>
      </c>
      <c r="H211" s="11">
        <f>VLOOKUP(B211,'Tally Balance'!A:D,4,FALSE)</f>
        <v>1548800</v>
      </c>
      <c r="I211" s="11" t="b">
        <f t="shared" si="7"/>
        <v>1</v>
      </c>
      <c r="J211" s="11"/>
      <c r="K211" s="11"/>
      <c r="L211" s="5">
        <f>VLOOKUP(B211,'Tally Balance'!A:E,5,FALSE)</f>
        <v>200000</v>
      </c>
    </row>
    <row r="212" spans="1:12">
      <c r="A212" s="2" t="s">
        <v>274</v>
      </c>
      <c r="B212" s="8" t="s">
        <v>306</v>
      </c>
      <c r="C212" s="8">
        <f>VLOOKUP(B212,'NS Balance'!D:F,3,FALSE)</f>
        <v>1412610</v>
      </c>
      <c r="D212" s="8">
        <f>VLOOKUP(B212,'Tally Balance'!A:C,3,FALSE)</f>
        <v>1419960</v>
      </c>
      <c r="E212" s="8" t="b">
        <f t="shared" si="6"/>
        <v>0</v>
      </c>
      <c r="F212" s="7"/>
      <c r="G212" s="7">
        <f>VLOOKUP(B212,'NS Balance'!D:G,4,FALSE)</f>
        <v>1719960</v>
      </c>
      <c r="H212" s="7">
        <f>VLOOKUP(B212,'Tally Balance'!A:D,4,FALSE)</f>
        <v>1719960</v>
      </c>
      <c r="I212" s="7" t="b">
        <f t="shared" si="7"/>
        <v>1</v>
      </c>
      <c r="J212" s="7"/>
      <c r="K212" s="7"/>
      <c r="L212" s="6">
        <f>VLOOKUP(B212,'Tally Balance'!A:E,5,FALSE)</f>
        <v>300000</v>
      </c>
    </row>
    <row r="213" spans="1:12">
      <c r="A213" s="2" t="s">
        <v>307</v>
      </c>
      <c r="B213" s="8" t="s">
        <v>308</v>
      </c>
      <c r="C213" s="8">
        <f>VLOOKUP(B213,'NS Balance'!D:F,3,FALSE)</f>
        <v>11909897</v>
      </c>
      <c r="D213" s="8">
        <f>VLOOKUP(B213,'Tally Balance'!A:C,3,FALSE)</f>
        <v>11953547</v>
      </c>
      <c r="E213" s="8" t="b">
        <f t="shared" si="6"/>
        <v>0</v>
      </c>
      <c r="F213" s="7">
        <f>D213-C213</f>
        <v>43650</v>
      </c>
      <c r="G213" s="7">
        <f>VLOOKUP(B213,'NS Balance'!D:G,4,FALSE)</f>
        <v>13072154</v>
      </c>
      <c r="H213" s="7">
        <f>VLOOKUP(B213,'Tally Balance'!A:D,4,FALSE)</f>
        <v>13072154</v>
      </c>
      <c r="I213" s="7" t="b">
        <f t="shared" si="7"/>
        <v>1</v>
      </c>
      <c r="J213" s="7"/>
      <c r="K213" s="7"/>
      <c r="L213" s="6">
        <f>VLOOKUP(B213,'Tally Balance'!A:E,5,FALSE)</f>
        <v>1118607</v>
      </c>
    </row>
    <row r="214" spans="1:12">
      <c r="A214" s="2" t="s">
        <v>307</v>
      </c>
      <c r="B214" s="7" t="s">
        <v>309</v>
      </c>
      <c r="C214" s="7">
        <f>VLOOKUP(B214,'NS Balance'!D:F,3,FALSE)</f>
        <v>2780404.14</v>
      </c>
      <c r="D214" s="7">
        <f>VLOOKUP(B214,'Tally Balance'!A:C,3,FALSE)</f>
        <v>2780404.14</v>
      </c>
      <c r="E214" s="7" t="b">
        <f t="shared" si="6"/>
        <v>1</v>
      </c>
      <c r="F214" s="7"/>
      <c r="G214" s="10">
        <f>VLOOKUP(B214,'NS Balance'!D:G,4,FALSE)</f>
        <v>1211650</v>
      </c>
      <c r="H214" s="10">
        <f>VLOOKUP(B214,'Tally Balance'!A:D,4,FALSE)</f>
        <v>2780403</v>
      </c>
      <c r="I214" s="10" t="b">
        <f t="shared" si="7"/>
        <v>0</v>
      </c>
      <c r="J214" s="7"/>
      <c r="K214" s="7"/>
      <c r="L214" s="6">
        <f>VLOOKUP(B214,'Tally Balance'!A:E,5,FALSE)</f>
        <v>1.14</v>
      </c>
    </row>
    <row r="215" spans="1:12">
      <c r="A215" s="2" t="s">
        <v>310</v>
      </c>
      <c r="B215" s="7" t="s">
        <v>311</v>
      </c>
      <c r="C215" s="7">
        <f>VLOOKUP(B215,'NS Balance'!D:F,3,FALSE)</f>
        <v>1312055</v>
      </c>
      <c r="D215" s="7">
        <f>VLOOKUP(B215,'Tally Balance'!A:C,3,FALSE)</f>
        <v>1312055</v>
      </c>
      <c r="E215" s="7" t="b">
        <f t="shared" si="6"/>
        <v>1</v>
      </c>
      <c r="F215" s="7"/>
      <c r="G215" s="7">
        <f>VLOOKUP(B215,'NS Balance'!D:G,4,FALSE)</f>
        <v>1312055</v>
      </c>
      <c r="H215" s="7">
        <f>VLOOKUP(B215,'Tally Balance'!A:D,4,FALSE)</f>
        <v>1312055</v>
      </c>
      <c r="I215" s="7" t="b">
        <f t="shared" si="7"/>
        <v>1</v>
      </c>
      <c r="J215" s="7"/>
      <c r="K215" s="7"/>
      <c r="L215" s="6">
        <f>VLOOKUP(B215,'Tally Balance'!A:E,5,FALSE)</f>
        <v>0</v>
      </c>
    </row>
    <row r="216" spans="1:12">
      <c r="A216" s="2" t="s">
        <v>310</v>
      </c>
      <c r="B216" s="7" t="s">
        <v>312</v>
      </c>
      <c r="C216" s="7">
        <f>VLOOKUP(B216,'NS Balance'!D:F,3,FALSE)</f>
        <v>2663100</v>
      </c>
      <c r="D216" s="7">
        <f>VLOOKUP(B216,'Tally Balance'!A:C,3,FALSE)</f>
        <v>2663100</v>
      </c>
      <c r="E216" s="7" t="b">
        <f t="shared" si="6"/>
        <v>1</v>
      </c>
      <c r="F216" s="7"/>
      <c r="G216" s="7">
        <f>VLOOKUP(B216,'NS Balance'!D:G,4,FALSE)</f>
        <v>2663100</v>
      </c>
      <c r="H216" s="7">
        <f>VLOOKUP(B216,'Tally Balance'!A:D,4,FALSE)</f>
        <v>2663100</v>
      </c>
      <c r="I216" s="7" t="b">
        <f t="shared" si="7"/>
        <v>1</v>
      </c>
      <c r="J216" s="7"/>
      <c r="K216" s="7"/>
      <c r="L216" s="6">
        <f>VLOOKUP(B216,'Tally Balance'!A:E,5,FALSE)</f>
        <v>0</v>
      </c>
    </row>
    <row r="217" spans="1:12">
      <c r="A217" s="2" t="s">
        <v>310</v>
      </c>
      <c r="B217" s="7" t="s">
        <v>313</v>
      </c>
      <c r="C217" s="7">
        <f>VLOOKUP(B217,'NS Balance'!D:F,3,FALSE)</f>
        <v>632754</v>
      </c>
      <c r="D217" s="7">
        <f>VLOOKUP(B217,'Tally Balance'!A:C,3,FALSE)</f>
        <v>632754</v>
      </c>
      <c r="E217" s="7" t="b">
        <f t="shared" si="6"/>
        <v>1</v>
      </c>
      <c r="F217" s="7"/>
      <c r="G217" s="7">
        <f>VLOOKUP(B217,'NS Balance'!D:G,4,FALSE)</f>
        <v>832754</v>
      </c>
      <c r="H217" s="7">
        <f>VLOOKUP(B217,'Tally Balance'!A:D,4,FALSE)</f>
        <v>832754</v>
      </c>
      <c r="I217" s="7" t="b">
        <f t="shared" si="7"/>
        <v>1</v>
      </c>
      <c r="J217" s="7"/>
      <c r="K217" s="7"/>
      <c r="L217" s="6">
        <f>VLOOKUP(B217,'Tally Balance'!A:E,5,FALSE)</f>
        <v>200000</v>
      </c>
    </row>
    <row r="218" spans="1:12">
      <c r="A218" s="2" t="s">
        <v>310</v>
      </c>
      <c r="B218" s="8" t="s">
        <v>314</v>
      </c>
      <c r="C218" s="8">
        <f>VLOOKUP(B218,'NS Balance'!D:F,3,FALSE)</f>
        <v>555000</v>
      </c>
      <c r="D218" s="8">
        <f>VLOOKUP(B218,'Tally Balance'!A:C,3,FALSE)</f>
        <v>600000</v>
      </c>
      <c r="E218" s="8" t="b">
        <f t="shared" si="6"/>
        <v>0</v>
      </c>
      <c r="F218" s="7"/>
      <c r="G218" s="7">
        <f>VLOOKUP(B218,'NS Balance'!D:G,4,FALSE)</f>
        <v>862426</v>
      </c>
      <c r="H218" s="7">
        <f>VLOOKUP(B218,'Tally Balance'!A:D,4,FALSE)</f>
        <v>862426</v>
      </c>
      <c r="I218" s="7" t="b">
        <f t="shared" si="7"/>
        <v>1</v>
      </c>
      <c r="J218" s="7"/>
      <c r="K218" s="7"/>
      <c r="L218" s="6">
        <f>VLOOKUP(B218,'Tally Balance'!A:E,5,FALSE)</f>
        <v>262426</v>
      </c>
    </row>
    <row r="219" spans="1:12">
      <c r="A219" s="2" t="s">
        <v>315</v>
      </c>
      <c r="B219" s="7" t="s">
        <v>316</v>
      </c>
      <c r="C219" s="7">
        <f>VLOOKUP(B219,'NS Balance'!D:F,3,FALSE)</f>
        <v>1000000</v>
      </c>
      <c r="D219" s="7">
        <f>VLOOKUP(B219,'Tally Balance'!A:C,3,FALSE)</f>
        <v>1000000</v>
      </c>
      <c r="E219" s="7" t="b">
        <f t="shared" si="6"/>
        <v>1</v>
      </c>
      <c r="F219" s="7"/>
      <c r="G219" s="7">
        <f>VLOOKUP(B219,'NS Balance'!D:G,4,FALSE)</f>
        <v>1610670</v>
      </c>
      <c r="H219" s="7">
        <f>VLOOKUP(B219,'Tally Balance'!A:D,4,FALSE)</f>
        <v>1610670</v>
      </c>
      <c r="I219" s="7" t="b">
        <f t="shared" si="7"/>
        <v>1</v>
      </c>
      <c r="J219" s="7"/>
      <c r="K219" s="7"/>
      <c r="L219" s="6">
        <f>VLOOKUP(B219,'Tally Balance'!A:E,5,FALSE)</f>
        <v>610670</v>
      </c>
    </row>
    <row r="220" spans="1:12">
      <c r="A220" s="2" t="s">
        <v>317</v>
      </c>
      <c r="B220" s="7" t="s">
        <v>318</v>
      </c>
      <c r="C220" s="7">
        <f>VLOOKUP(B220,'NS Balance'!D:F,3,FALSE)</f>
        <v>12729309</v>
      </c>
      <c r="D220" s="7">
        <f>VLOOKUP(B220,'Tally Balance'!A:C,3,FALSE)</f>
        <v>12729309</v>
      </c>
      <c r="E220" s="7" t="b">
        <f t="shared" si="6"/>
        <v>1</v>
      </c>
      <c r="F220" s="7"/>
      <c r="G220" s="10">
        <f>VLOOKUP(B220,'NS Balance'!D:G,4,FALSE)</f>
        <v>4835049</v>
      </c>
      <c r="H220" s="10">
        <f>VLOOKUP(B220,'Tally Balance'!A:D,4,FALSE)</f>
        <v>12727929</v>
      </c>
      <c r="I220" s="10" t="b">
        <f t="shared" si="7"/>
        <v>0</v>
      </c>
      <c r="J220" s="7">
        <f>H220-G220</f>
        <v>7892880</v>
      </c>
      <c r="K220" s="7"/>
      <c r="L220" s="6">
        <f>VLOOKUP(B220,'Tally Balance'!A:E,5,FALSE)</f>
        <v>1380</v>
      </c>
    </row>
    <row r="221" spans="1:12">
      <c r="A221" s="2" t="s">
        <v>319</v>
      </c>
      <c r="B221" s="7" t="s">
        <v>320</v>
      </c>
      <c r="C221" s="7">
        <f>VLOOKUP(B221,'NS Balance'!D:F,3,FALSE)</f>
        <v>11025023</v>
      </c>
      <c r="D221" s="7">
        <f>VLOOKUP(B221,'Tally Balance'!A:C,3,FALSE)</f>
        <v>11025023</v>
      </c>
      <c r="E221" s="7" t="b">
        <f t="shared" si="6"/>
        <v>1</v>
      </c>
      <c r="F221" s="7"/>
      <c r="G221" s="7">
        <f>VLOOKUP(B221,'NS Balance'!D:G,4,FALSE)</f>
        <v>9178650</v>
      </c>
      <c r="H221" s="7">
        <f>VLOOKUP(B221,'Tally Balance'!A:D,4,FALSE)</f>
        <v>9178650</v>
      </c>
      <c r="I221" s="7" t="b">
        <f t="shared" si="7"/>
        <v>1</v>
      </c>
      <c r="J221" s="7"/>
      <c r="K221" s="7"/>
      <c r="L221" s="6">
        <f>VLOOKUP(B221,'Tally Balance'!A:E,5,FALSE)</f>
        <v>1846373</v>
      </c>
    </row>
    <row r="222" spans="1:12">
      <c r="A222" s="2" t="s">
        <v>319</v>
      </c>
      <c r="B222" s="7" t="s">
        <v>321</v>
      </c>
      <c r="C222" s="7">
        <f>VLOOKUP(B222,'NS Balance'!D:F,3,FALSE)</f>
        <v>6873500</v>
      </c>
      <c r="D222" s="7">
        <f>VLOOKUP(B222,'Tally Balance'!A:C,3,FALSE)</f>
        <v>6873500</v>
      </c>
      <c r="E222" s="7" t="b">
        <f t="shared" si="6"/>
        <v>1</v>
      </c>
      <c r="F222" s="7"/>
      <c r="G222" s="7">
        <f>VLOOKUP(B222,'NS Balance'!D:G,4,FALSE)</f>
        <v>6873500</v>
      </c>
      <c r="H222" s="7">
        <f>VLOOKUP(B222,'Tally Balance'!A:D,4,FALSE)</f>
        <v>6873500</v>
      </c>
      <c r="I222" s="7" t="b">
        <f t="shared" si="7"/>
        <v>1</v>
      </c>
      <c r="J222" s="7"/>
      <c r="K222" s="7"/>
      <c r="L222" s="6">
        <f>VLOOKUP(B222,'Tally Balance'!A:E,5,FALSE)</f>
        <v>0</v>
      </c>
    </row>
    <row r="223" spans="1:12">
      <c r="A223" s="2" t="s">
        <v>322</v>
      </c>
      <c r="B223" s="8" t="s">
        <v>323</v>
      </c>
      <c r="C223" s="8">
        <f>VLOOKUP(B223,'NS Balance'!D:F,3,FALSE)</f>
        <v>16369032</v>
      </c>
      <c r="D223" s="8">
        <f>VLOOKUP(B223,'Tally Balance'!A:C,3,FALSE)</f>
        <v>17619032</v>
      </c>
      <c r="E223" s="8" t="b">
        <f t="shared" si="6"/>
        <v>0</v>
      </c>
      <c r="F223" s="7">
        <f>D223-C223</f>
        <v>1250000</v>
      </c>
      <c r="G223" s="7">
        <f>VLOOKUP(B223,'NS Balance'!D:G,4,FALSE)</f>
        <v>17619032</v>
      </c>
      <c r="H223" s="7">
        <f>VLOOKUP(B223,'Tally Balance'!A:D,4,FALSE)</f>
        <v>17619032</v>
      </c>
      <c r="I223" s="7" t="b">
        <f t="shared" si="7"/>
        <v>1</v>
      </c>
      <c r="J223" s="7"/>
      <c r="K223" s="7"/>
      <c r="L223" s="6">
        <f>VLOOKUP(B223,'Tally Balance'!A:E,5,FALSE)</f>
        <v>0</v>
      </c>
    </row>
    <row r="224" spans="1:12">
      <c r="A224" s="2" t="s">
        <v>322</v>
      </c>
      <c r="B224" s="8" t="s">
        <v>324</v>
      </c>
      <c r="C224" s="8">
        <f>VLOOKUP(B224,'NS Balance'!D:F,3,FALSE)</f>
        <v>12381975</v>
      </c>
      <c r="D224" s="8">
        <f>VLOOKUP(B224,'Tally Balance'!A:C,3,FALSE)</f>
        <v>12400000</v>
      </c>
      <c r="E224" s="8" t="b">
        <f t="shared" si="6"/>
        <v>0</v>
      </c>
      <c r="F224" s="7"/>
      <c r="G224" s="7">
        <f>VLOOKUP(B224,'NS Balance'!D:G,4,FALSE)</f>
        <v>14513390</v>
      </c>
      <c r="H224" s="7">
        <f>VLOOKUP(B224,'Tally Balance'!A:D,4,FALSE)</f>
        <v>14513390</v>
      </c>
      <c r="I224" s="7" t="b">
        <f t="shared" si="7"/>
        <v>1</v>
      </c>
      <c r="J224" s="7"/>
      <c r="K224" s="7"/>
      <c r="L224" s="6">
        <f>VLOOKUP(B224,'Tally Balance'!A:E,5,FALSE)</f>
        <v>2113390</v>
      </c>
    </row>
    <row r="225" spans="1:12">
      <c r="A225" s="2" t="e">
        <v>#N/A</v>
      </c>
      <c r="B225" s="7" t="s">
        <v>325</v>
      </c>
      <c r="C225" s="7" t="e">
        <f>VLOOKUP(B225,'NS Balance'!D:F,3,FALSE)</f>
        <v>#N/A</v>
      </c>
      <c r="D225" s="7">
        <f>VLOOKUP(B225,'Tally Balance'!A:C,3,FALSE)</f>
        <v>0</v>
      </c>
      <c r="E225" s="7" t="e">
        <f t="shared" si="6"/>
        <v>#N/A</v>
      </c>
      <c r="F225" s="7"/>
      <c r="G225" s="7" t="e">
        <f>VLOOKUP(B225,'NS Balance'!D:G,4,FALSE)</f>
        <v>#N/A</v>
      </c>
      <c r="H225" s="7">
        <f>VLOOKUP(B225,'Tally Balance'!A:D,4,FALSE)</f>
        <v>134164</v>
      </c>
      <c r="I225" s="7" t="e">
        <f t="shared" si="7"/>
        <v>#N/A</v>
      </c>
      <c r="J225" s="7"/>
      <c r="K225" s="7"/>
      <c r="L225" s="6">
        <f>VLOOKUP(B225,'Tally Balance'!A:E,5,FALSE)</f>
        <v>134164</v>
      </c>
    </row>
  </sheetData>
  <autoFilter xmlns:etc="http://www.wps.cn/officeDocument/2017/etCustomData" ref="A1:R22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6"/>
  <sheetViews>
    <sheetView topLeftCell="C211" workbookViewId="0">
      <selection activeCell="F231" sqref="F231"/>
    </sheetView>
  </sheetViews>
  <sheetFormatPr defaultColWidth="8.72727272727273" defaultRowHeight="14.5"/>
  <cols>
    <col min="1" max="1" width="8.54545454545454" customWidth="1"/>
    <col min="2" max="2" width="11.9090909090909" customWidth="1"/>
    <col min="3" max="3" width="66.9090909090909" customWidth="1"/>
    <col min="4" max="4" width="8.54545454545454" customWidth="1"/>
    <col min="5" max="5" width="16.1818181818182" customWidth="1"/>
    <col min="6" max="7" width="12.8181818181818" customWidth="1"/>
    <col min="8" max="8" width="14.9090909090909" customWidth="1"/>
  </cols>
  <sheetData>
    <row r="1" spans="1:8">
      <c r="A1" s="3" t="s">
        <v>326</v>
      </c>
      <c r="B1" s="3" t="s">
        <v>327</v>
      </c>
      <c r="C1" s="3" t="s">
        <v>328</v>
      </c>
      <c r="D1" s="3" t="s">
        <v>329</v>
      </c>
      <c r="E1" s="3" t="s">
        <v>330</v>
      </c>
      <c r="F1" s="3" t="s">
        <v>331</v>
      </c>
      <c r="G1" s="3" t="s">
        <v>332</v>
      </c>
      <c r="H1" s="3" t="s">
        <v>333</v>
      </c>
    </row>
    <row r="2" spans="1:8">
      <c r="A2" s="3"/>
      <c r="B2" s="3"/>
      <c r="C2" s="3" t="s">
        <v>334</v>
      </c>
      <c r="D2" s="3"/>
      <c r="E2" s="3"/>
      <c r="F2" s="3">
        <v>4006150</v>
      </c>
      <c r="G2" s="3">
        <v>5861668</v>
      </c>
      <c r="H2" s="3">
        <v>1855518</v>
      </c>
    </row>
    <row r="3" spans="1:8">
      <c r="A3" s="3"/>
      <c r="B3" s="3"/>
      <c r="C3" s="3"/>
      <c r="D3" s="3" t="s">
        <v>256</v>
      </c>
      <c r="E3" s="3"/>
      <c r="F3" s="3">
        <v>4006150</v>
      </c>
      <c r="G3" s="3">
        <v>5861668</v>
      </c>
      <c r="H3" s="3">
        <v>1855518</v>
      </c>
    </row>
    <row r="4" spans="1:8">
      <c r="A4" s="3"/>
      <c r="B4" s="3"/>
      <c r="C4" s="3" t="s">
        <v>335</v>
      </c>
      <c r="D4" s="3"/>
      <c r="E4" s="3"/>
      <c r="F4" s="3">
        <v>1000000</v>
      </c>
      <c r="G4" s="3">
        <v>1610670</v>
      </c>
      <c r="H4" s="3">
        <v>610670</v>
      </c>
    </row>
    <row r="5" spans="1:8">
      <c r="A5" s="3"/>
      <c r="B5" s="3"/>
      <c r="C5" s="3"/>
      <c r="D5" s="3" t="s">
        <v>316</v>
      </c>
      <c r="E5" s="3"/>
      <c r="F5" s="3">
        <v>1000000</v>
      </c>
      <c r="G5" s="3">
        <v>1610670</v>
      </c>
      <c r="H5" s="3">
        <v>610670</v>
      </c>
    </row>
    <row r="6" spans="1:8">
      <c r="A6" s="3"/>
      <c r="B6" s="3"/>
      <c r="C6" s="3" t="s">
        <v>336</v>
      </c>
      <c r="D6" s="3"/>
      <c r="E6" s="3"/>
      <c r="F6" s="3">
        <v>804498</v>
      </c>
      <c r="G6" s="3">
        <v>851135</v>
      </c>
      <c r="H6" s="3">
        <v>46637</v>
      </c>
    </row>
    <row r="7" spans="1:8">
      <c r="A7" s="3"/>
      <c r="B7" s="3"/>
      <c r="C7" s="3"/>
      <c r="D7" s="3" t="s">
        <v>108</v>
      </c>
      <c r="E7" s="3"/>
      <c r="F7" s="3">
        <v>26000</v>
      </c>
      <c r="G7" s="3">
        <v>26000</v>
      </c>
      <c r="H7" s="3">
        <v>0</v>
      </c>
    </row>
    <row r="8" spans="1:8">
      <c r="A8" s="3"/>
      <c r="B8" s="3"/>
      <c r="C8" s="3"/>
      <c r="D8" s="3" t="s">
        <v>109</v>
      </c>
      <c r="E8" s="3"/>
      <c r="F8" s="3">
        <v>778498</v>
      </c>
      <c r="G8" s="3">
        <v>825135</v>
      </c>
      <c r="H8" s="3">
        <v>46637</v>
      </c>
    </row>
    <row r="9" spans="1:8">
      <c r="A9" s="3"/>
      <c r="B9" s="3"/>
      <c r="C9" s="3" t="s">
        <v>337</v>
      </c>
      <c r="D9" s="3"/>
      <c r="E9" s="3"/>
      <c r="F9" s="3">
        <v>374590</v>
      </c>
      <c r="G9" s="3">
        <v>374590</v>
      </c>
      <c r="H9" s="3">
        <v>0</v>
      </c>
    </row>
    <row r="10" spans="1:8">
      <c r="A10" s="3"/>
      <c r="B10" s="3"/>
      <c r="C10" s="3"/>
      <c r="D10" s="3" t="s">
        <v>181</v>
      </c>
      <c r="E10" s="3"/>
      <c r="F10" s="3">
        <v>374590</v>
      </c>
      <c r="G10" s="3">
        <v>374590</v>
      </c>
      <c r="H10" s="3">
        <v>0</v>
      </c>
    </row>
    <row r="11" spans="1:8">
      <c r="A11" s="3"/>
      <c r="B11" s="3"/>
      <c r="C11" s="3" t="s">
        <v>338</v>
      </c>
      <c r="D11" s="3"/>
      <c r="E11" s="3"/>
      <c r="F11" s="3">
        <v>138800</v>
      </c>
      <c r="G11" s="3">
        <v>0</v>
      </c>
      <c r="H11" s="3">
        <v>138800</v>
      </c>
    </row>
    <row r="12" spans="1:8">
      <c r="A12" s="3"/>
      <c r="B12" s="3"/>
      <c r="C12" s="3"/>
      <c r="D12" s="3" t="s">
        <v>101</v>
      </c>
      <c r="E12" s="3"/>
      <c r="F12" s="3">
        <v>138800</v>
      </c>
      <c r="G12" s="3">
        <v>0</v>
      </c>
      <c r="H12" s="3">
        <v>138800</v>
      </c>
    </row>
    <row r="13" spans="1:10">
      <c r="A13" s="3"/>
      <c r="B13" s="3"/>
      <c r="C13" s="3" t="s">
        <v>339</v>
      </c>
      <c r="D13" s="3"/>
      <c r="E13" s="3"/>
      <c r="F13" s="3">
        <v>3311878</v>
      </c>
      <c r="G13" s="3">
        <v>3873646.2</v>
      </c>
      <c r="H13" s="3">
        <v>1385530.2</v>
      </c>
      <c r="J13" s="4">
        <f>SUM(F14:F21)</f>
        <v>3311878</v>
      </c>
    </row>
    <row r="14" spans="1:8">
      <c r="A14" s="3"/>
      <c r="B14" s="3"/>
      <c r="C14" s="3"/>
      <c r="D14" s="3" t="s">
        <v>15</v>
      </c>
      <c r="E14" s="3"/>
      <c r="F14" s="3">
        <v>431402</v>
      </c>
      <c r="G14" s="3">
        <v>553080</v>
      </c>
      <c r="H14" s="3">
        <v>121678</v>
      </c>
    </row>
    <row r="15" spans="1:8">
      <c r="A15" s="3"/>
      <c r="B15" s="3"/>
      <c r="C15" s="3"/>
      <c r="D15" s="3" t="s">
        <v>14</v>
      </c>
      <c r="E15" s="3"/>
      <c r="F15" s="3">
        <v>149700</v>
      </c>
      <c r="G15" s="3">
        <v>192016</v>
      </c>
      <c r="H15" s="3">
        <v>42316</v>
      </c>
    </row>
    <row r="16" spans="1:8">
      <c r="A16" s="3"/>
      <c r="B16" s="3"/>
      <c r="C16" s="3"/>
      <c r="D16" s="3" t="s">
        <v>11</v>
      </c>
      <c r="E16" s="3"/>
      <c r="F16" s="3">
        <v>1800000</v>
      </c>
      <c r="G16" s="3">
        <v>2400000</v>
      </c>
      <c r="H16" s="3">
        <v>600000</v>
      </c>
    </row>
    <row r="17" spans="1:8">
      <c r="A17" s="3"/>
      <c r="B17" s="3"/>
      <c r="C17" s="3"/>
      <c r="D17" s="3" t="s">
        <v>10</v>
      </c>
      <c r="E17" s="3"/>
      <c r="F17" s="3">
        <v>326914</v>
      </c>
      <c r="G17" s="3">
        <v>309507</v>
      </c>
      <c r="H17" s="3">
        <v>17407</v>
      </c>
    </row>
    <row r="18" spans="1:8">
      <c r="A18" s="3"/>
      <c r="B18" s="3"/>
      <c r="C18" s="3"/>
      <c r="D18" s="3" t="s">
        <v>13</v>
      </c>
      <c r="E18" s="3"/>
      <c r="F18" s="3">
        <v>94380</v>
      </c>
      <c r="G18" s="3">
        <v>171050</v>
      </c>
      <c r="H18" s="3">
        <v>76670</v>
      </c>
    </row>
    <row r="19" spans="1:8">
      <c r="A19" s="3"/>
      <c r="B19" s="3"/>
      <c r="C19" s="3"/>
      <c r="D19" s="3" t="s">
        <v>12</v>
      </c>
      <c r="E19" s="3"/>
      <c r="F19" s="3">
        <v>115008</v>
      </c>
      <c r="G19" s="3">
        <v>121792</v>
      </c>
      <c r="H19" s="3">
        <v>6784</v>
      </c>
    </row>
    <row r="20" spans="1:8">
      <c r="A20" s="3"/>
      <c r="B20" s="3"/>
      <c r="C20" s="3"/>
      <c r="D20" s="3" t="s">
        <v>9</v>
      </c>
      <c r="E20" s="3"/>
      <c r="F20" s="3">
        <v>394474</v>
      </c>
      <c r="G20" s="3">
        <v>0</v>
      </c>
      <c r="H20" s="3">
        <v>394474</v>
      </c>
    </row>
    <row r="21" spans="1:8">
      <c r="A21" s="3"/>
      <c r="B21" s="3"/>
      <c r="C21" s="3"/>
      <c r="D21" s="3" t="s">
        <v>340</v>
      </c>
      <c r="E21" s="3"/>
      <c r="F21" s="3">
        <v>0</v>
      </c>
      <c r="G21" s="3">
        <v>126201.2</v>
      </c>
      <c r="H21" s="3">
        <v>126201.2</v>
      </c>
    </row>
    <row r="22" spans="1:8">
      <c r="A22" s="3"/>
      <c r="B22" s="3"/>
      <c r="C22" s="3" t="s">
        <v>341</v>
      </c>
      <c r="D22" s="3"/>
      <c r="E22" s="3"/>
      <c r="F22" s="3">
        <v>1639500</v>
      </c>
      <c r="G22" s="3">
        <v>2845500</v>
      </c>
      <c r="H22" s="3">
        <v>1206000</v>
      </c>
    </row>
    <row r="23" spans="1:8">
      <c r="A23" s="3"/>
      <c r="B23" s="3"/>
      <c r="C23" s="3"/>
      <c r="D23" s="3" t="s">
        <v>302</v>
      </c>
      <c r="E23" s="3"/>
      <c r="F23" s="3">
        <v>1389500</v>
      </c>
      <c r="G23" s="3">
        <v>1389500</v>
      </c>
      <c r="H23" s="3">
        <v>0</v>
      </c>
    </row>
    <row r="24" spans="1:8">
      <c r="A24" s="3"/>
      <c r="B24" s="3"/>
      <c r="C24" s="3"/>
      <c r="D24" s="3" t="s">
        <v>250</v>
      </c>
      <c r="E24" s="3"/>
      <c r="F24" s="3">
        <v>250000</v>
      </c>
      <c r="G24" s="3">
        <v>1456000</v>
      </c>
      <c r="H24" s="3">
        <v>1206000</v>
      </c>
    </row>
    <row r="25" spans="1:8">
      <c r="A25" s="3"/>
      <c r="B25" s="3"/>
      <c r="C25" s="3" t="s">
        <v>342</v>
      </c>
      <c r="D25" s="3"/>
      <c r="E25" s="3"/>
      <c r="F25" s="3">
        <v>133500</v>
      </c>
      <c r="G25" s="3">
        <v>133500</v>
      </c>
      <c r="H25" s="3">
        <v>0</v>
      </c>
    </row>
    <row r="26" spans="1:8">
      <c r="A26" s="3"/>
      <c r="B26" s="3"/>
      <c r="C26" s="3"/>
      <c r="D26" s="3" t="s">
        <v>143</v>
      </c>
      <c r="E26" s="3"/>
      <c r="F26" s="3">
        <v>133500</v>
      </c>
      <c r="G26" s="3">
        <v>133500</v>
      </c>
      <c r="H26" s="3">
        <v>0</v>
      </c>
    </row>
    <row r="27" spans="1:10">
      <c r="A27" s="3"/>
      <c r="B27" s="3"/>
      <c r="C27" s="3" t="s">
        <v>343</v>
      </c>
      <c r="D27" s="3"/>
      <c r="E27" s="3"/>
      <c r="F27" s="3">
        <v>1761018</v>
      </c>
      <c r="G27" s="3">
        <v>2469382</v>
      </c>
      <c r="H27" s="3">
        <v>708364</v>
      </c>
      <c r="I27" s="4"/>
      <c r="J27" s="4"/>
    </row>
    <row r="28" spans="1:8">
      <c r="A28" s="3"/>
      <c r="B28" s="3"/>
      <c r="C28" s="3"/>
      <c r="D28" s="3" t="s">
        <v>150</v>
      </c>
      <c r="E28" s="3"/>
      <c r="F28" s="3">
        <v>42110</v>
      </c>
      <c r="G28" s="3">
        <v>42110</v>
      </c>
      <c r="H28" s="3">
        <v>0</v>
      </c>
    </row>
    <row r="29" spans="1:8">
      <c r="A29" s="3"/>
      <c r="B29" s="3"/>
      <c r="C29" s="3"/>
      <c r="D29" s="3" t="s">
        <v>157</v>
      </c>
      <c r="E29" s="3"/>
      <c r="F29" s="3">
        <v>120000</v>
      </c>
      <c r="G29" s="3">
        <v>179520</v>
      </c>
      <c r="H29" s="3">
        <v>59520</v>
      </c>
    </row>
    <row r="30" spans="1:8">
      <c r="A30" s="3"/>
      <c r="B30" s="3"/>
      <c r="C30" s="3"/>
      <c r="D30" s="3" t="s">
        <v>154</v>
      </c>
      <c r="E30" s="3"/>
      <c r="F30" s="3">
        <v>23000</v>
      </c>
      <c r="G30" s="3">
        <v>34100</v>
      </c>
      <c r="H30" s="3">
        <v>11100</v>
      </c>
    </row>
    <row r="31" spans="1:8">
      <c r="A31" s="3"/>
      <c r="B31" s="3"/>
      <c r="C31" s="3"/>
      <c r="D31" s="3" t="s">
        <v>160</v>
      </c>
      <c r="E31" s="3"/>
      <c r="F31" s="3">
        <v>7500</v>
      </c>
      <c r="G31" s="3">
        <v>10010</v>
      </c>
      <c r="H31" s="3">
        <v>2510</v>
      </c>
    </row>
    <row r="32" spans="1:8">
      <c r="A32" s="3"/>
      <c r="B32" s="3"/>
      <c r="C32" s="3"/>
      <c r="D32" s="3" t="s">
        <v>148</v>
      </c>
      <c r="E32" s="3"/>
      <c r="F32" s="3">
        <v>8391</v>
      </c>
      <c r="G32" s="3">
        <v>8681</v>
      </c>
      <c r="H32" s="3">
        <v>290</v>
      </c>
    </row>
    <row r="33" spans="1:8">
      <c r="A33" s="3"/>
      <c r="B33" s="3"/>
      <c r="C33" s="3"/>
      <c r="D33" s="3" t="s">
        <v>147</v>
      </c>
      <c r="E33" s="3"/>
      <c r="F33" s="3">
        <v>36830</v>
      </c>
      <c r="G33" s="3">
        <v>36830</v>
      </c>
      <c r="H33" s="3">
        <v>0</v>
      </c>
    </row>
    <row r="34" spans="1:8">
      <c r="A34" s="3"/>
      <c r="B34" s="3"/>
      <c r="C34" s="3"/>
      <c r="D34" s="3" t="s">
        <v>149</v>
      </c>
      <c r="E34" s="3"/>
      <c r="F34" s="3">
        <v>22800</v>
      </c>
      <c r="G34" s="3">
        <v>22800</v>
      </c>
      <c r="H34" s="3">
        <v>0</v>
      </c>
    </row>
    <row r="35" spans="1:8">
      <c r="A35" s="3"/>
      <c r="B35" s="3"/>
      <c r="C35" s="3"/>
      <c r="D35" s="3" t="s">
        <v>162</v>
      </c>
      <c r="E35" s="3"/>
      <c r="F35" s="3">
        <v>140000</v>
      </c>
      <c r="G35" s="3">
        <v>178178</v>
      </c>
      <c r="H35" s="3">
        <v>38178</v>
      </c>
    </row>
    <row r="36" spans="1:8">
      <c r="A36" s="3"/>
      <c r="B36" s="3"/>
      <c r="C36" s="3"/>
      <c r="D36" s="3" t="s">
        <v>151</v>
      </c>
      <c r="E36" s="3"/>
      <c r="F36" s="3">
        <v>15000</v>
      </c>
      <c r="G36" s="3">
        <v>15000</v>
      </c>
      <c r="H36" s="3">
        <v>0</v>
      </c>
    </row>
    <row r="37" spans="1:8">
      <c r="A37" s="3"/>
      <c r="B37" s="3"/>
      <c r="C37" s="3"/>
      <c r="D37" s="3" t="s">
        <v>155</v>
      </c>
      <c r="E37" s="3"/>
      <c r="F37" s="3">
        <v>708765</v>
      </c>
      <c r="G37" s="3">
        <v>1014046</v>
      </c>
      <c r="H37" s="3">
        <v>305281</v>
      </c>
    </row>
    <row r="38" spans="1:8">
      <c r="A38" s="3"/>
      <c r="B38" s="3"/>
      <c r="C38" s="3"/>
      <c r="D38" s="3" t="s">
        <v>152</v>
      </c>
      <c r="E38" s="3"/>
      <c r="F38" s="3">
        <v>52056</v>
      </c>
      <c r="G38" s="3">
        <v>52056</v>
      </c>
      <c r="H38" s="3">
        <v>0</v>
      </c>
    </row>
    <row r="39" spans="1:8">
      <c r="A39" s="3"/>
      <c r="B39" s="3"/>
      <c r="C39" s="3"/>
      <c r="D39" s="3" t="s">
        <v>153</v>
      </c>
      <c r="E39" s="3"/>
      <c r="F39" s="3">
        <v>22000</v>
      </c>
      <c r="G39" s="3">
        <v>33583</v>
      </c>
      <c r="H39" s="3">
        <v>11583</v>
      </c>
    </row>
    <row r="40" spans="1:8">
      <c r="A40" s="3"/>
      <c r="B40" s="3"/>
      <c r="C40" s="3"/>
      <c r="D40" s="3" t="s">
        <v>146</v>
      </c>
      <c r="E40" s="3"/>
      <c r="F40" s="3">
        <v>7552</v>
      </c>
      <c r="G40" s="3">
        <v>7552</v>
      </c>
      <c r="H40" s="3">
        <v>0</v>
      </c>
    </row>
    <row r="41" spans="1:8">
      <c r="A41" s="3"/>
      <c r="B41" s="3"/>
      <c r="C41" s="3"/>
      <c r="D41" s="3" t="s">
        <v>159</v>
      </c>
      <c r="E41" s="3"/>
      <c r="F41" s="3">
        <v>310000</v>
      </c>
      <c r="G41" s="3">
        <v>437059</v>
      </c>
      <c r="H41" s="3">
        <v>127059</v>
      </c>
    </row>
    <row r="42" spans="1:8">
      <c r="A42" s="3"/>
      <c r="B42" s="3"/>
      <c r="C42" s="3"/>
      <c r="D42" s="3" t="s">
        <v>161</v>
      </c>
      <c r="E42" s="3"/>
      <c r="F42" s="3">
        <v>150000</v>
      </c>
      <c r="G42" s="3">
        <v>209293</v>
      </c>
      <c r="H42" s="3">
        <v>59293</v>
      </c>
    </row>
    <row r="43" spans="1:8">
      <c r="A43" s="3"/>
      <c r="B43" s="3"/>
      <c r="C43" s="3"/>
      <c r="D43" s="3" t="s">
        <v>158</v>
      </c>
      <c r="E43" s="3"/>
      <c r="F43" s="3">
        <v>55014</v>
      </c>
      <c r="G43" s="3">
        <v>80014</v>
      </c>
      <c r="H43" s="3">
        <v>25000</v>
      </c>
    </row>
    <row r="44" spans="1:8">
      <c r="A44" s="3"/>
      <c r="B44" s="3"/>
      <c r="C44" s="3"/>
      <c r="D44" s="3" t="s">
        <v>156</v>
      </c>
      <c r="E44" s="3"/>
      <c r="F44" s="3">
        <v>40000</v>
      </c>
      <c r="G44" s="3">
        <v>71500</v>
      </c>
      <c r="H44" s="3">
        <v>31500</v>
      </c>
    </row>
    <row r="45" spans="1:8">
      <c r="A45" s="3"/>
      <c r="B45" s="3"/>
      <c r="C45" s="3"/>
      <c r="D45" s="3" t="s">
        <v>145</v>
      </c>
      <c r="E45" s="3"/>
      <c r="F45" s="3">
        <v>0</v>
      </c>
      <c r="G45" s="3">
        <v>37050</v>
      </c>
      <c r="H45" s="3">
        <v>37050</v>
      </c>
    </row>
    <row r="46" spans="1:8">
      <c r="A46" s="3"/>
      <c r="B46" s="3"/>
      <c r="C46" s="3" t="s">
        <v>344</v>
      </c>
      <c r="D46" s="3"/>
      <c r="E46" s="3"/>
      <c r="F46" s="3">
        <v>15895183.5</v>
      </c>
      <c r="G46" s="3">
        <v>17632894</v>
      </c>
      <c r="H46" s="3">
        <v>1750955.5</v>
      </c>
    </row>
    <row r="47" spans="1:8">
      <c r="A47" s="3"/>
      <c r="B47" s="3"/>
      <c r="C47" s="3"/>
      <c r="D47" s="3" t="s">
        <v>252</v>
      </c>
      <c r="E47" s="3"/>
      <c r="F47" s="3">
        <v>4266428.5</v>
      </c>
      <c r="G47" s="3">
        <v>4259806</v>
      </c>
      <c r="H47" s="3">
        <v>6622.5</v>
      </c>
    </row>
    <row r="48" spans="1:8">
      <c r="A48" s="3"/>
      <c r="B48" s="3"/>
      <c r="C48" s="3"/>
      <c r="D48" s="3" t="s">
        <v>253</v>
      </c>
      <c r="E48" s="3"/>
      <c r="F48" s="3">
        <v>5313598</v>
      </c>
      <c r="G48" s="3">
        <v>5313598</v>
      </c>
      <c r="H48" s="3">
        <v>0</v>
      </c>
    </row>
    <row r="49" spans="1:8">
      <c r="A49" s="3"/>
      <c r="B49" s="3"/>
      <c r="C49" s="3"/>
      <c r="D49" s="3" t="s">
        <v>254</v>
      </c>
      <c r="E49" s="3"/>
      <c r="F49" s="3">
        <v>6315157</v>
      </c>
      <c r="G49" s="3">
        <v>8059490</v>
      </c>
      <c r="H49" s="3">
        <v>1744333</v>
      </c>
    </row>
    <row r="50" spans="1:8">
      <c r="A50" s="3"/>
      <c r="B50" s="3"/>
      <c r="C50" s="3" t="s">
        <v>345</v>
      </c>
      <c r="D50" s="3"/>
      <c r="E50" s="3"/>
      <c r="F50" s="3">
        <v>1657971</v>
      </c>
      <c r="G50" s="3">
        <v>1815931</v>
      </c>
      <c r="H50" s="3">
        <v>157960</v>
      </c>
    </row>
    <row r="51" spans="1:8">
      <c r="A51" s="3"/>
      <c r="B51" s="3"/>
      <c r="C51" s="3"/>
      <c r="D51" s="3" t="s">
        <v>164</v>
      </c>
      <c r="E51" s="3"/>
      <c r="F51" s="3">
        <v>1657971</v>
      </c>
      <c r="G51" s="3">
        <v>1815931</v>
      </c>
      <c r="H51" s="3">
        <v>157960</v>
      </c>
    </row>
    <row r="52" spans="1:8">
      <c r="A52" s="3"/>
      <c r="B52" s="3"/>
      <c r="C52" s="3" t="s">
        <v>346</v>
      </c>
      <c r="D52" s="3"/>
      <c r="E52" s="3"/>
      <c r="F52" s="3">
        <v>69072</v>
      </c>
      <c r="G52" s="3">
        <v>94072.04</v>
      </c>
      <c r="H52" s="3">
        <v>25000.04</v>
      </c>
    </row>
    <row r="53" spans="1:8">
      <c r="A53" s="3"/>
      <c r="B53" s="3"/>
      <c r="C53" s="3"/>
      <c r="D53" s="3" t="s">
        <v>219</v>
      </c>
      <c r="E53" s="3"/>
      <c r="F53" s="3">
        <v>69072</v>
      </c>
      <c r="G53" s="3">
        <v>94072.04</v>
      </c>
      <c r="H53" s="3">
        <v>25000.04</v>
      </c>
    </row>
    <row r="54" spans="1:8">
      <c r="A54" s="3"/>
      <c r="B54" s="3"/>
      <c r="C54" s="3" t="s">
        <v>347</v>
      </c>
      <c r="D54" s="3"/>
      <c r="E54" s="3"/>
      <c r="F54" s="3">
        <v>12350</v>
      </c>
      <c r="G54" s="3">
        <v>12350</v>
      </c>
      <c r="H54" s="3">
        <v>0</v>
      </c>
    </row>
    <row r="55" spans="1:8">
      <c r="A55" s="3"/>
      <c r="B55" s="3"/>
      <c r="C55" s="3"/>
      <c r="D55" s="3" t="s">
        <v>32</v>
      </c>
      <c r="E55" s="3"/>
      <c r="F55" s="3">
        <v>12350</v>
      </c>
      <c r="G55" s="3">
        <v>12350</v>
      </c>
      <c r="H55" s="3">
        <v>0</v>
      </c>
    </row>
    <row r="56" spans="1:8">
      <c r="A56" s="3"/>
      <c r="B56" s="3"/>
      <c r="C56" s="3" t="s">
        <v>348</v>
      </c>
      <c r="D56" s="3"/>
      <c r="E56" s="3"/>
      <c r="F56" s="3">
        <v>1190938.43</v>
      </c>
      <c r="G56" s="3">
        <v>1991299</v>
      </c>
      <c r="H56" s="3">
        <v>800360.57</v>
      </c>
    </row>
    <row r="57" spans="1:8">
      <c r="A57" s="3"/>
      <c r="B57" s="3"/>
      <c r="C57" s="3"/>
      <c r="D57" s="3" t="s">
        <v>76</v>
      </c>
      <c r="E57" s="3"/>
      <c r="F57" s="3">
        <v>666966.43</v>
      </c>
      <c r="G57" s="3">
        <v>1017327</v>
      </c>
      <c r="H57" s="3">
        <v>350360.57</v>
      </c>
    </row>
    <row r="58" spans="1:8">
      <c r="A58" s="3"/>
      <c r="B58" s="3"/>
      <c r="C58" s="3"/>
      <c r="D58" s="3" t="s">
        <v>77</v>
      </c>
      <c r="E58" s="3"/>
      <c r="F58" s="3">
        <v>435524</v>
      </c>
      <c r="G58" s="3">
        <v>835524</v>
      </c>
      <c r="H58" s="3">
        <v>400000</v>
      </c>
    </row>
    <row r="59" spans="1:8">
      <c r="A59" s="3"/>
      <c r="B59" s="3"/>
      <c r="C59" s="3"/>
      <c r="D59" s="3" t="s">
        <v>78</v>
      </c>
      <c r="E59" s="3"/>
      <c r="F59" s="3">
        <v>88448</v>
      </c>
      <c r="G59" s="3">
        <v>138448</v>
      </c>
      <c r="H59" s="3">
        <v>50000</v>
      </c>
    </row>
    <row r="60" spans="1:8">
      <c r="A60" s="3"/>
      <c r="B60" s="3"/>
      <c r="C60" s="3" t="s">
        <v>349</v>
      </c>
      <c r="D60" s="3"/>
      <c r="E60" s="3"/>
      <c r="F60" s="3">
        <v>15862746.7</v>
      </c>
      <c r="G60" s="3">
        <v>9313154</v>
      </c>
      <c r="H60" s="3">
        <v>6629592.7</v>
      </c>
    </row>
    <row r="61" spans="1:8">
      <c r="A61" s="3"/>
      <c r="B61" s="3"/>
      <c r="C61" s="3"/>
      <c r="D61" s="3" t="s">
        <v>170</v>
      </c>
      <c r="E61" s="3"/>
      <c r="F61" s="3">
        <v>129923</v>
      </c>
      <c r="G61" s="3">
        <v>129923</v>
      </c>
      <c r="H61" s="3">
        <v>0</v>
      </c>
    </row>
    <row r="62" spans="1:8">
      <c r="A62" s="3"/>
      <c r="B62" s="3"/>
      <c r="C62" s="3"/>
      <c r="D62" s="3" t="s">
        <v>177</v>
      </c>
      <c r="E62" s="3"/>
      <c r="F62" s="3">
        <v>400000</v>
      </c>
      <c r="G62" s="3">
        <v>440000</v>
      </c>
      <c r="H62" s="3">
        <v>40000</v>
      </c>
    </row>
    <row r="63" spans="1:8">
      <c r="A63" s="3"/>
      <c r="B63" s="3"/>
      <c r="C63" s="3"/>
      <c r="D63" s="3" t="s">
        <v>175</v>
      </c>
      <c r="E63" s="3"/>
      <c r="F63" s="3">
        <v>1021439</v>
      </c>
      <c r="G63" s="3">
        <v>1021439</v>
      </c>
      <c r="H63" s="3">
        <v>0</v>
      </c>
    </row>
    <row r="64" spans="1:8">
      <c r="A64" s="3"/>
      <c r="B64" s="3"/>
      <c r="C64" s="3"/>
      <c r="D64" s="3" t="s">
        <v>171</v>
      </c>
      <c r="E64" s="3"/>
      <c r="F64" s="3">
        <v>110000</v>
      </c>
      <c r="G64" s="3">
        <v>110000</v>
      </c>
      <c r="H64" s="3">
        <v>0</v>
      </c>
    </row>
    <row r="65" spans="1:8">
      <c r="A65" s="3"/>
      <c r="B65" s="3"/>
      <c r="C65" s="3"/>
      <c r="D65" s="3" t="s">
        <v>172</v>
      </c>
      <c r="E65" s="3"/>
      <c r="F65" s="3">
        <v>8702148.2</v>
      </c>
      <c r="G65" s="3">
        <v>5666925</v>
      </c>
      <c r="H65" s="3">
        <v>3035223.2</v>
      </c>
    </row>
    <row r="66" spans="1:8">
      <c r="A66" s="3"/>
      <c r="B66" s="3"/>
      <c r="C66" s="3"/>
      <c r="D66" s="3" t="s">
        <v>173</v>
      </c>
      <c r="E66" s="3"/>
      <c r="F66" s="3">
        <v>5499236.5</v>
      </c>
      <c r="G66" s="3">
        <v>1944867</v>
      </c>
      <c r="H66" s="3">
        <v>3554369.5</v>
      </c>
    </row>
    <row r="67" spans="1:8">
      <c r="A67" s="3"/>
      <c r="B67" s="3"/>
      <c r="C67" s="3" t="s">
        <v>350</v>
      </c>
      <c r="D67" s="3"/>
      <c r="E67" s="3"/>
      <c r="F67" s="3">
        <v>480693</v>
      </c>
      <c r="G67" s="3">
        <v>484950</v>
      </c>
      <c r="H67" s="3">
        <v>4257</v>
      </c>
    </row>
    <row r="68" spans="1:8">
      <c r="A68" s="3"/>
      <c r="B68" s="3"/>
      <c r="C68" s="3"/>
      <c r="D68" s="3" t="s">
        <v>258</v>
      </c>
      <c r="E68" s="3"/>
      <c r="F68" s="3">
        <v>480693</v>
      </c>
      <c r="G68" s="3">
        <v>484950</v>
      </c>
      <c r="H68" s="3">
        <v>4257</v>
      </c>
    </row>
    <row r="69" spans="1:8">
      <c r="A69" s="3"/>
      <c r="B69" s="3"/>
      <c r="C69" s="3" t="s">
        <v>351</v>
      </c>
      <c r="D69" s="3"/>
      <c r="E69" s="3"/>
      <c r="F69" s="3">
        <v>2031969.5</v>
      </c>
      <c r="G69" s="3">
        <v>2031969.5</v>
      </c>
      <c r="H69" s="3">
        <v>0</v>
      </c>
    </row>
    <row r="70" spans="1:8">
      <c r="A70" s="3"/>
      <c r="B70" s="3"/>
      <c r="C70" s="3"/>
      <c r="D70" s="3" t="s">
        <v>34</v>
      </c>
      <c r="E70" s="3"/>
      <c r="F70" s="3">
        <v>2031969.5</v>
      </c>
      <c r="G70" s="3">
        <v>2031969.5</v>
      </c>
      <c r="H70" s="3">
        <v>0</v>
      </c>
    </row>
    <row r="71" spans="1:8">
      <c r="A71" s="3"/>
      <c r="B71" s="3"/>
      <c r="C71" s="3" t="s">
        <v>352</v>
      </c>
      <c r="D71" s="3"/>
      <c r="E71" s="3"/>
      <c r="F71" s="3">
        <v>10000</v>
      </c>
      <c r="G71" s="3">
        <v>0</v>
      </c>
      <c r="H71" s="3">
        <v>10000</v>
      </c>
    </row>
    <row r="72" spans="1:8">
      <c r="A72" s="3"/>
      <c r="B72" s="3"/>
      <c r="C72" s="3"/>
      <c r="D72" s="3" t="s">
        <v>80</v>
      </c>
      <c r="E72" s="3"/>
      <c r="F72" s="3">
        <v>10000</v>
      </c>
      <c r="G72" s="3">
        <v>0</v>
      </c>
      <c r="H72" s="3">
        <v>10000</v>
      </c>
    </row>
    <row r="73" spans="1:8">
      <c r="A73" s="3"/>
      <c r="B73" s="3"/>
      <c r="C73" s="3" t="s">
        <v>353</v>
      </c>
      <c r="D73" s="3"/>
      <c r="E73" s="3"/>
      <c r="F73" s="3">
        <v>511290</v>
      </c>
      <c r="G73" s="3">
        <v>771075</v>
      </c>
      <c r="H73" s="3">
        <v>259785</v>
      </c>
    </row>
    <row r="74" spans="1:8">
      <c r="A74" s="3"/>
      <c r="B74" s="3"/>
      <c r="C74" s="3"/>
      <c r="D74" s="3" t="s">
        <v>17</v>
      </c>
      <c r="E74" s="3"/>
      <c r="F74" s="3">
        <v>511290</v>
      </c>
      <c r="G74" s="3">
        <v>771075</v>
      </c>
      <c r="H74" s="3">
        <v>259785</v>
      </c>
    </row>
    <row r="75" spans="1:8">
      <c r="A75" s="3"/>
      <c r="B75" s="3"/>
      <c r="C75" s="3" t="s">
        <v>354</v>
      </c>
      <c r="D75" s="3"/>
      <c r="E75" s="3"/>
      <c r="F75" s="3">
        <v>11670013.91</v>
      </c>
      <c r="G75" s="3">
        <v>11411688.7</v>
      </c>
      <c r="H75" s="3">
        <v>1343010.53</v>
      </c>
    </row>
    <row r="76" spans="1:8">
      <c r="A76" s="3"/>
      <c r="B76" s="3"/>
      <c r="C76" s="3"/>
      <c r="D76" s="3" t="s">
        <v>224</v>
      </c>
      <c r="E76" s="3"/>
      <c r="F76" s="3">
        <v>1668425</v>
      </c>
      <c r="G76" s="3">
        <v>1668425</v>
      </c>
      <c r="H76" s="3">
        <v>0</v>
      </c>
    </row>
    <row r="77" spans="1:8">
      <c r="A77" s="3"/>
      <c r="B77" s="3"/>
      <c r="C77" s="3"/>
      <c r="D77" s="3" t="s">
        <v>226</v>
      </c>
      <c r="E77" s="3"/>
      <c r="F77" s="3">
        <v>1147085</v>
      </c>
      <c r="G77" s="3">
        <v>1147085</v>
      </c>
      <c r="H77" s="3">
        <v>0</v>
      </c>
    </row>
    <row r="78" spans="1:8">
      <c r="A78" s="3"/>
      <c r="B78" s="3"/>
      <c r="C78" s="3"/>
      <c r="D78" s="3" t="s">
        <v>231</v>
      </c>
      <c r="E78" s="3"/>
      <c r="F78" s="3">
        <v>205805</v>
      </c>
      <c r="G78" s="3">
        <v>268279</v>
      </c>
      <c r="H78" s="3">
        <v>62474</v>
      </c>
    </row>
    <row r="79" spans="1:8">
      <c r="A79" s="3"/>
      <c r="B79" s="3"/>
      <c r="C79" s="3"/>
      <c r="D79" s="3" t="s">
        <v>221</v>
      </c>
      <c r="E79" s="3"/>
      <c r="F79" s="3">
        <v>11500</v>
      </c>
      <c r="G79" s="3">
        <v>11500</v>
      </c>
      <c r="H79" s="3">
        <v>0</v>
      </c>
    </row>
    <row r="80" spans="1:8">
      <c r="A80" s="3"/>
      <c r="B80" s="3"/>
      <c r="C80" s="3"/>
      <c r="D80" s="3" t="s">
        <v>222</v>
      </c>
      <c r="E80" s="3"/>
      <c r="F80" s="3">
        <v>34233</v>
      </c>
      <c r="G80" s="3">
        <v>126649</v>
      </c>
      <c r="H80" s="3">
        <v>92416</v>
      </c>
    </row>
    <row r="81" spans="1:8">
      <c r="A81" s="3"/>
      <c r="B81" s="3"/>
      <c r="C81" s="3"/>
      <c r="D81" s="3" t="s">
        <v>230</v>
      </c>
      <c r="E81" s="3"/>
      <c r="F81" s="3">
        <v>180250</v>
      </c>
      <c r="G81" s="3">
        <v>224730</v>
      </c>
      <c r="H81" s="3">
        <v>44480</v>
      </c>
    </row>
    <row r="82" spans="1:8">
      <c r="A82" s="3"/>
      <c r="B82" s="3"/>
      <c r="C82" s="3"/>
      <c r="D82" s="3" t="s">
        <v>233</v>
      </c>
      <c r="E82" s="3"/>
      <c r="F82" s="3">
        <v>19734</v>
      </c>
      <c r="G82" s="3">
        <v>25300</v>
      </c>
      <c r="H82" s="3">
        <v>5566</v>
      </c>
    </row>
    <row r="83" spans="1:8">
      <c r="A83" s="3"/>
      <c r="B83" s="3"/>
      <c r="C83" s="3"/>
      <c r="D83" s="3" t="s">
        <v>232</v>
      </c>
      <c r="E83" s="3"/>
      <c r="F83" s="3">
        <v>569191.04</v>
      </c>
      <c r="G83" s="3">
        <v>706801.7</v>
      </c>
      <c r="H83" s="3">
        <v>137610.66</v>
      </c>
    </row>
    <row r="84" spans="1:8">
      <c r="A84" s="3"/>
      <c r="B84" s="3"/>
      <c r="C84" s="3"/>
      <c r="D84" s="3" t="s">
        <v>234</v>
      </c>
      <c r="E84" s="3"/>
      <c r="F84" s="3">
        <v>85000</v>
      </c>
      <c r="G84" s="3">
        <v>100100</v>
      </c>
      <c r="H84" s="3">
        <v>15100</v>
      </c>
    </row>
    <row r="85" spans="1:8">
      <c r="A85" s="3"/>
      <c r="B85" s="3"/>
      <c r="C85" s="3"/>
      <c r="D85" s="3" t="s">
        <v>225</v>
      </c>
      <c r="E85" s="3"/>
      <c r="F85" s="3">
        <v>6693299.87</v>
      </c>
      <c r="G85" s="3">
        <v>5892632</v>
      </c>
      <c r="H85" s="3">
        <v>800667.87</v>
      </c>
    </row>
    <row r="86" spans="1:8">
      <c r="A86" s="3"/>
      <c r="B86" s="3"/>
      <c r="C86" s="3"/>
      <c r="D86" s="3" t="s">
        <v>227</v>
      </c>
      <c r="E86" s="3"/>
      <c r="F86" s="3">
        <v>724751</v>
      </c>
      <c r="G86" s="3">
        <v>909447</v>
      </c>
      <c r="H86" s="3">
        <v>184696</v>
      </c>
    </row>
    <row r="87" spans="1:8">
      <c r="A87" s="3"/>
      <c r="B87" s="3"/>
      <c r="C87" s="3"/>
      <c r="D87" s="3" t="s">
        <v>229</v>
      </c>
      <c r="E87" s="3"/>
      <c r="F87" s="3">
        <v>330740</v>
      </c>
      <c r="G87" s="3">
        <v>330740</v>
      </c>
      <c r="H87" s="3">
        <v>0</v>
      </c>
    </row>
    <row r="88" spans="1:8">
      <c r="A88" s="3"/>
      <c r="B88" s="3"/>
      <c r="C88" s="3" t="s">
        <v>355</v>
      </c>
      <c r="D88" s="3"/>
      <c r="E88" s="3"/>
      <c r="F88" s="3">
        <v>3313653</v>
      </c>
      <c r="G88" s="3">
        <v>3027889.04</v>
      </c>
      <c r="H88" s="3">
        <v>389589.96</v>
      </c>
    </row>
    <row r="89" spans="1:8">
      <c r="A89" s="3"/>
      <c r="B89" s="3"/>
      <c r="C89" s="3"/>
      <c r="D89" s="3" t="s">
        <v>68</v>
      </c>
      <c r="E89" s="3"/>
      <c r="F89" s="3">
        <v>3135421</v>
      </c>
      <c r="G89" s="3">
        <v>2942744.04</v>
      </c>
      <c r="H89" s="3">
        <v>192676.96</v>
      </c>
    </row>
    <row r="90" spans="1:8">
      <c r="A90" s="3"/>
      <c r="B90" s="3"/>
      <c r="C90" s="3"/>
      <c r="D90" s="3" t="s">
        <v>71</v>
      </c>
      <c r="E90" s="3"/>
      <c r="F90" s="3">
        <v>17503.2</v>
      </c>
      <c r="G90" s="3">
        <v>24145</v>
      </c>
      <c r="H90" s="3">
        <v>6641.8</v>
      </c>
    </row>
    <row r="91" spans="1:8">
      <c r="A91" s="3"/>
      <c r="B91" s="3"/>
      <c r="C91" s="3"/>
      <c r="D91" s="3" t="s">
        <v>356</v>
      </c>
      <c r="E91" s="3"/>
      <c r="F91" s="3">
        <v>145000</v>
      </c>
      <c r="G91" s="3">
        <v>0</v>
      </c>
      <c r="H91" s="3">
        <v>145000</v>
      </c>
    </row>
    <row r="92" spans="1:8">
      <c r="A92" s="3"/>
      <c r="B92" s="3"/>
      <c r="C92" s="3"/>
      <c r="D92" s="3" t="s">
        <v>72</v>
      </c>
      <c r="E92" s="3"/>
      <c r="F92" s="3">
        <v>9728.8</v>
      </c>
      <c r="G92" s="3">
        <v>55000</v>
      </c>
      <c r="H92" s="3">
        <v>45271.2</v>
      </c>
    </row>
    <row r="93" spans="1:8">
      <c r="A93" s="3"/>
      <c r="B93" s="3"/>
      <c r="C93" s="3"/>
      <c r="D93" s="3" t="s">
        <v>67</v>
      </c>
      <c r="E93" s="3"/>
      <c r="F93" s="3">
        <v>6000</v>
      </c>
      <c r="G93" s="3">
        <v>6000</v>
      </c>
      <c r="H93" s="3">
        <v>0</v>
      </c>
    </row>
    <row r="94" spans="1:8">
      <c r="A94" s="3"/>
      <c r="B94" s="3"/>
      <c r="C94" s="3" t="s">
        <v>357</v>
      </c>
      <c r="D94" s="3"/>
      <c r="E94" s="3"/>
      <c r="F94" s="3">
        <v>35116592.9</v>
      </c>
      <c r="G94" s="3">
        <v>30379351.26</v>
      </c>
      <c r="H94" s="3">
        <v>11968720.26</v>
      </c>
    </row>
    <row r="95" spans="1:8">
      <c r="A95" s="3"/>
      <c r="B95" s="3"/>
      <c r="C95" s="3"/>
      <c r="D95" s="3" t="s">
        <v>262</v>
      </c>
      <c r="E95" s="3"/>
      <c r="F95" s="3">
        <v>319500</v>
      </c>
      <c r="G95" s="3">
        <v>329500</v>
      </c>
      <c r="H95" s="3">
        <v>10000</v>
      </c>
    </row>
    <row r="96" spans="1:8">
      <c r="A96" s="3"/>
      <c r="B96" s="3"/>
      <c r="C96" s="3"/>
      <c r="D96" s="3" t="s">
        <v>260</v>
      </c>
      <c r="E96" s="3"/>
      <c r="F96" s="3">
        <v>17773002</v>
      </c>
      <c r="G96" s="3">
        <v>21145098</v>
      </c>
      <c r="H96" s="3">
        <v>3372096</v>
      </c>
    </row>
    <row r="97" spans="1:8">
      <c r="A97" s="3"/>
      <c r="B97" s="3"/>
      <c r="C97" s="3"/>
      <c r="D97" s="3" t="s">
        <v>265</v>
      </c>
      <c r="E97" s="3"/>
      <c r="F97" s="3">
        <v>4821802</v>
      </c>
      <c r="G97" s="3">
        <v>4821802</v>
      </c>
      <c r="H97" s="3">
        <v>0</v>
      </c>
    </row>
    <row r="98" spans="1:8">
      <c r="A98" s="3"/>
      <c r="B98" s="3"/>
      <c r="C98" s="3"/>
      <c r="D98" s="3" t="s">
        <v>263</v>
      </c>
      <c r="E98" s="3"/>
      <c r="F98" s="3">
        <v>2121223.19</v>
      </c>
      <c r="G98" s="3">
        <v>2311661.5</v>
      </c>
      <c r="H98" s="3">
        <v>190438.31</v>
      </c>
    </row>
    <row r="99" spans="1:8">
      <c r="A99" s="3"/>
      <c r="B99" s="3"/>
      <c r="C99" s="3"/>
      <c r="D99" s="3" t="s">
        <v>264</v>
      </c>
      <c r="E99" s="3"/>
      <c r="F99" s="3">
        <v>8211500</v>
      </c>
      <c r="G99" s="3">
        <v>0</v>
      </c>
      <c r="H99" s="3">
        <v>8211500</v>
      </c>
    </row>
    <row r="100" spans="1:8">
      <c r="A100" s="3"/>
      <c r="B100" s="3"/>
      <c r="C100" s="3"/>
      <c r="D100" s="3" t="s">
        <v>261</v>
      </c>
      <c r="E100" s="3"/>
      <c r="F100" s="3">
        <v>1860395.71</v>
      </c>
      <c r="G100" s="3">
        <v>1728084.76</v>
      </c>
      <c r="H100" s="3">
        <v>132310.95</v>
      </c>
    </row>
    <row r="101" spans="1:8">
      <c r="A101" s="3"/>
      <c r="B101" s="3"/>
      <c r="C101" s="3"/>
      <c r="D101" s="3" t="s">
        <v>358</v>
      </c>
      <c r="E101" s="3"/>
      <c r="F101" s="3">
        <v>9170</v>
      </c>
      <c r="G101" s="3">
        <v>0</v>
      </c>
      <c r="H101" s="3">
        <v>9170</v>
      </c>
    </row>
    <row r="102" spans="1:8">
      <c r="A102" s="3"/>
      <c r="B102" s="3"/>
      <c r="C102" s="3"/>
      <c r="D102" s="3" t="s">
        <v>359</v>
      </c>
      <c r="E102" s="3"/>
      <c r="F102" s="3">
        <v>0</v>
      </c>
      <c r="G102" s="3">
        <v>8163</v>
      </c>
      <c r="H102" s="3">
        <v>8163</v>
      </c>
    </row>
    <row r="103" spans="1:8">
      <c r="A103" s="3"/>
      <c r="B103" s="3"/>
      <c r="C103" s="3"/>
      <c r="D103" s="3" t="s">
        <v>360</v>
      </c>
      <c r="E103" s="3"/>
      <c r="F103" s="3">
        <v>0</v>
      </c>
      <c r="G103" s="3">
        <v>10634</v>
      </c>
      <c r="H103" s="3">
        <v>10634</v>
      </c>
    </row>
    <row r="104" spans="1:8">
      <c r="A104" s="3"/>
      <c r="B104" s="3"/>
      <c r="C104" s="3"/>
      <c r="D104" s="3" t="s">
        <v>361</v>
      </c>
      <c r="E104" s="3"/>
      <c r="F104" s="3">
        <v>0</v>
      </c>
      <c r="G104" s="3">
        <v>24408</v>
      </c>
      <c r="H104" s="3">
        <v>24408</v>
      </c>
    </row>
    <row r="105" spans="1:8">
      <c r="A105" s="3"/>
      <c r="B105" s="3"/>
      <c r="C105" s="3" t="s">
        <v>362</v>
      </c>
      <c r="D105" s="3"/>
      <c r="E105" s="3"/>
      <c r="F105" s="3">
        <v>10287339</v>
      </c>
      <c r="G105" s="3">
        <v>12660160</v>
      </c>
      <c r="H105" s="3">
        <v>2372821</v>
      </c>
    </row>
    <row r="106" spans="1:8">
      <c r="A106" s="3"/>
      <c r="B106" s="3"/>
      <c r="C106" s="3"/>
      <c r="D106" s="3" t="s">
        <v>271</v>
      </c>
      <c r="E106" s="3"/>
      <c r="F106" s="3">
        <v>284211</v>
      </c>
      <c r="G106" s="3">
        <v>284211</v>
      </c>
      <c r="H106" s="3">
        <v>0</v>
      </c>
    </row>
    <row r="107" spans="1:8">
      <c r="A107" s="3"/>
      <c r="B107" s="3"/>
      <c r="C107" s="3"/>
      <c r="D107" s="3" t="s">
        <v>269</v>
      </c>
      <c r="E107" s="3"/>
      <c r="F107" s="3">
        <v>9992403</v>
      </c>
      <c r="G107" s="3">
        <v>12365224</v>
      </c>
      <c r="H107" s="3">
        <v>2372821</v>
      </c>
    </row>
    <row r="108" spans="1:8">
      <c r="A108" s="3"/>
      <c r="B108" s="3"/>
      <c r="C108" s="3"/>
      <c r="D108" s="3" t="s">
        <v>270</v>
      </c>
      <c r="E108" s="3"/>
      <c r="F108" s="3">
        <v>10725</v>
      </c>
      <c r="G108" s="3">
        <v>10725</v>
      </c>
      <c r="H108" s="3">
        <v>0</v>
      </c>
    </row>
    <row r="109" spans="1:8">
      <c r="A109" s="3"/>
      <c r="B109" s="3"/>
      <c r="C109" s="3" t="s">
        <v>363</v>
      </c>
      <c r="D109" s="3"/>
      <c r="E109" s="3"/>
      <c r="F109" s="3">
        <v>14690301.14</v>
      </c>
      <c r="G109" s="3">
        <v>14283804</v>
      </c>
      <c r="H109" s="3">
        <v>2731011.14</v>
      </c>
    </row>
    <row r="110" spans="1:8">
      <c r="A110" s="3"/>
      <c r="B110" s="3"/>
      <c r="C110" s="3"/>
      <c r="D110" s="3" t="s">
        <v>308</v>
      </c>
      <c r="E110" s="3"/>
      <c r="F110" s="3">
        <v>11909897</v>
      </c>
      <c r="G110" s="3">
        <v>13072154</v>
      </c>
      <c r="H110" s="3">
        <v>1162257</v>
      </c>
    </row>
    <row r="111" spans="1:8">
      <c r="A111" s="3"/>
      <c r="B111" s="3"/>
      <c r="C111" s="3"/>
      <c r="D111" s="3" t="s">
        <v>309</v>
      </c>
      <c r="E111" s="3"/>
      <c r="F111" s="3">
        <v>2780404.14</v>
      </c>
      <c r="G111" s="3">
        <v>1211650</v>
      </c>
      <c r="H111" s="3">
        <v>1568754.14</v>
      </c>
    </row>
    <row r="112" spans="1:8">
      <c r="A112" s="3"/>
      <c r="B112" s="3"/>
      <c r="C112" s="3" t="s">
        <v>364</v>
      </c>
      <c r="D112" s="3"/>
      <c r="E112" s="3"/>
      <c r="F112" s="3">
        <v>1599625</v>
      </c>
      <c r="G112" s="3">
        <v>2099625</v>
      </c>
      <c r="H112" s="3">
        <v>500000</v>
      </c>
    </row>
    <row r="113" spans="1:8">
      <c r="A113" s="3"/>
      <c r="B113" s="3"/>
      <c r="C113" s="3"/>
      <c r="D113" s="3" t="s">
        <v>273</v>
      </c>
      <c r="E113" s="3"/>
      <c r="F113" s="3">
        <v>1599625</v>
      </c>
      <c r="G113" s="3">
        <v>2099625</v>
      </c>
      <c r="H113" s="3">
        <v>500000</v>
      </c>
    </row>
    <row r="114" spans="1:8">
      <c r="A114" s="3"/>
      <c r="B114" s="3"/>
      <c r="C114" s="3" t="s">
        <v>365</v>
      </c>
      <c r="D114" s="3"/>
      <c r="E114" s="3"/>
      <c r="F114" s="3">
        <v>5162909</v>
      </c>
      <c r="G114" s="3">
        <v>5670335</v>
      </c>
      <c r="H114" s="3">
        <v>507426</v>
      </c>
    </row>
    <row r="115" spans="1:8">
      <c r="A115" s="3"/>
      <c r="B115" s="3"/>
      <c r="C115" s="3"/>
      <c r="D115" s="3" t="s">
        <v>313</v>
      </c>
      <c r="E115" s="3"/>
      <c r="F115" s="3">
        <v>632754</v>
      </c>
      <c r="G115" s="3">
        <v>832754</v>
      </c>
      <c r="H115" s="3">
        <v>200000</v>
      </c>
    </row>
    <row r="116" spans="1:8">
      <c r="A116" s="3"/>
      <c r="B116" s="3"/>
      <c r="C116" s="3"/>
      <c r="D116" s="3" t="s">
        <v>311</v>
      </c>
      <c r="E116" s="3"/>
      <c r="F116" s="3">
        <v>1312055</v>
      </c>
      <c r="G116" s="3">
        <v>1312055</v>
      </c>
      <c r="H116" s="3">
        <v>0</v>
      </c>
    </row>
    <row r="117" spans="1:8">
      <c r="A117" s="3"/>
      <c r="B117" s="3"/>
      <c r="C117" s="3"/>
      <c r="D117" s="3" t="s">
        <v>314</v>
      </c>
      <c r="E117" s="3"/>
      <c r="F117" s="3">
        <v>555000</v>
      </c>
      <c r="G117" s="3">
        <v>862426</v>
      </c>
      <c r="H117" s="3">
        <v>307426</v>
      </c>
    </row>
    <row r="118" spans="1:8">
      <c r="A118" s="3"/>
      <c r="B118" s="3"/>
      <c r="C118" s="3"/>
      <c r="D118" s="3" t="s">
        <v>312</v>
      </c>
      <c r="E118" s="3"/>
      <c r="F118" s="3">
        <v>2663100</v>
      </c>
      <c r="G118" s="3">
        <v>2663100</v>
      </c>
      <c r="H118" s="3">
        <v>0</v>
      </c>
    </row>
    <row r="119" spans="1:8">
      <c r="A119" s="3"/>
      <c r="B119" s="3"/>
      <c r="C119" s="3" t="s">
        <v>366</v>
      </c>
      <c r="D119" s="3"/>
      <c r="E119" s="3"/>
      <c r="F119" s="3">
        <v>4651410</v>
      </c>
      <c r="G119" s="3">
        <v>5449260</v>
      </c>
      <c r="H119" s="3">
        <v>797850</v>
      </c>
    </row>
    <row r="120" spans="1:8">
      <c r="A120" s="3"/>
      <c r="B120" s="3"/>
      <c r="C120" s="3"/>
      <c r="D120" s="3" t="s">
        <v>306</v>
      </c>
      <c r="E120" s="3"/>
      <c r="F120" s="3">
        <v>1412610</v>
      </c>
      <c r="G120" s="3">
        <v>1719960</v>
      </c>
      <c r="H120" s="3">
        <v>307350</v>
      </c>
    </row>
    <row r="121" spans="1:8">
      <c r="A121" s="3"/>
      <c r="B121" s="3"/>
      <c r="C121" s="3"/>
      <c r="D121" s="3" t="s">
        <v>275</v>
      </c>
      <c r="E121" s="3"/>
      <c r="F121" s="3">
        <v>30000</v>
      </c>
      <c r="G121" s="3">
        <v>30000</v>
      </c>
      <c r="H121" s="3">
        <v>0</v>
      </c>
    </row>
    <row r="122" spans="1:8">
      <c r="A122" s="3"/>
      <c r="B122" s="3"/>
      <c r="C122" s="3"/>
      <c r="D122" s="3" t="s">
        <v>304</v>
      </c>
      <c r="E122" s="3"/>
      <c r="F122" s="3">
        <v>1358300</v>
      </c>
      <c r="G122" s="3">
        <v>1548800</v>
      </c>
      <c r="H122" s="3">
        <v>190500</v>
      </c>
    </row>
    <row r="123" spans="1:8">
      <c r="A123" s="3"/>
      <c r="B123" s="3"/>
      <c r="C123" s="3"/>
      <c r="D123" s="3" t="s">
        <v>303</v>
      </c>
      <c r="E123" s="3"/>
      <c r="F123" s="3">
        <v>1850500</v>
      </c>
      <c r="G123" s="3">
        <v>2150500</v>
      </c>
      <c r="H123" s="3">
        <v>300000</v>
      </c>
    </row>
    <row r="124" spans="1:8">
      <c r="A124" s="3"/>
      <c r="B124" s="3"/>
      <c r="C124" s="3" t="s">
        <v>367</v>
      </c>
      <c r="D124" s="3"/>
      <c r="E124" s="3"/>
      <c r="F124" s="3">
        <v>40550786.56</v>
      </c>
      <c r="G124" s="3">
        <v>44249555.16</v>
      </c>
      <c r="H124" s="3">
        <v>3699712.6</v>
      </c>
    </row>
    <row r="125" spans="1:8">
      <c r="A125" s="3"/>
      <c r="B125" s="3"/>
      <c r="C125" s="3"/>
      <c r="D125" s="3" t="s">
        <v>93</v>
      </c>
      <c r="E125" s="3"/>
      <c r="F125" s="3">
        <v>4853673.57</v>
      </c>
      <c r="G125" s="3">
        <v>4937670.57</v>
      </c>
      <c r="H125" s="3">
        <v>83997</v>
      </c>
    </row>
    <row r="126" spans="1:8">
      <c r="A126" s="3"/>
      <c r="B126" s="3"/>
      <c r="C126" s="3"/>
      <c r="D126" s="3" t="s">
        <v>82</v>
      </c>
      <c r="E126" s="3"/>
      <c r="F126" s="3">
        <v>1301935</v>
      </c>
      <c r="G126" s="3">
        <v>1440862</v>
      </c>
      <c r="H126" s="3">
        <v>138927</v>
      </c>
    </row>
    <row r="127" spans="1:8">
      <c r="A127" s="3"/>
      <c r="B127" s="3"/>
      <c r="C127" s="3"/>
      <c r="D127" s="3" t="s">
        <v>87</v>
      </c>
      <c r="E127" s="3"/>
      <c r="F127" s="3">
        <v>2511000</v>
      </c>
      <c r="G127" s="3">
        <v>2656000</v>
      </c>
      <c r="H127" s="3">
        <v>145000</v>
      </c>
    </row>
    <row r="128" spans="1:8">
      <c r="A128" s="3"/>
      <c r="B128" s="3"/>
      <c r="C128" s="3"/>
      <c r="D128" s="3" t="s">
        <v>85</v>
      </c>
      <c r="E128" s="3"/>
      <c r="F128" s="3">
        <v>49700</v>
      </c>
      <c r="G128" s="3">
        <v>49700</v>
      </c>
      <c r="H128" s="3">
        <v>0</v>
      </c>
    </row>
    <row r="129" spans="1:8">
      <c r="A129" s="3"/>
      <c r="B129" s="3"/>
      <c r="C129" s="3"/>
      <c r="D129" s="3" t="s">
        <v>84</v>
      </c>
      <c r="E129" s="3"/>
      <c r="F129" s="3">
        <v>3500</v>
      </c>
      <c r="G129" s="3">
        <v>3500</v>
      </c>
      <c r="H129" s="3">
        <v>0</v>
      </c>
    </row>
    <row r="130" spans="1:8">
      <c r="A130" s="3"/>
      <c r="B130" s="3"/>
      <c r="C130" s="3"/>
      <c r="D130" s="3" t="s">
        <v>86</v>
      </c>
      <c r="E130" s="3"/>
      <c r="F130" s="3">
        <v>40000</v>
      </c>
      <c r="G130" s="3">
        <v>40000</v>
      </c>
      <c r="H130" s="3">
        <v>0</v>
      </c>
    </row>
    <row r="131" spans="1:8">
      <c r="A131" s="3"/>
      <c r="B131" s="3"/>
      <c r="C131" s="3"/>
      <c r="D131" s="3" t="s">
        <v>95</v>
      </c>
      <c r="E131" s="3"/>
      <c r="F131" s="3">
        <v>712151.24</v>
      </c>
      <c r="G131" s="3">
        <v>1102551</v>
      </c>
      <c r="H131" s="3">
        <v>390399.76</v>
      </c>
    </row>
    <row r="132" spans="1:8">
      <c r="A132" s="3"/>
      <c r="B132" s="3"/>
      <c r="C132" s="3"/>
      <c r="D132" s="3" t="s">
        <v>94</v>
      </c>
      <c r="E132" s="3"/>
      <c r="F132" s="3">
        <v>2046351.4</v>
      </c>
      <c r="G132" s="3">
        <v>2728972.4</v>
      </c>
      <c r="H132" s="3">
        <v>682621</v>
      </c>
    </row>
    <row r="133" spans="1:8">
      <c r="A133" s="3"/>
      <c r="B133" s="3"/>
      <c r="C133" s="3"/>
      <c r="D133" s="3" t="s">
        <v>83</v>
      </c>
      <c r="E133" s="3"/>
      <c r="F133" s="3">
        <v>32000</v>
      </c>
      <c r="G133" s="3">
        <v>32000</v>
      </c>
      <c r="H133" s="3">
        <v>0</v>
      </c>
    </row>
    <row r="134" spans="1:8">
      <c r="A134" s="3"/>
      <c r="B134" s="3"/>
      <c r="C134" s="3"/>
      <c r="D134" s="3" t="s">
        <v>91</v>
      </c>
      <c r="E134" s="3"/>
      <c r="F134" s="3">
        <v>3600000</v>
      </c>
      <c r="G134" s="3">
        <v>3600043</v>
      </c>
      <c r="H134" s="3">
        <v>43</v>
      </c>
    </row>
    <row r="135" spans="1:8">
      <c r="A135" s="3"/>
      <c r="B135" s="3"/>
      <c r="C135" s="3"/>
      <c r="D135" s="3" t="s">
        <v>90</v>
      </c>
      <c r="E135" s="3"/>
      <c r="F135" s="3">
        <v>658854</v>
      </c>
      <c r="G135" s="3">
        <v>658382</v>
      </c>
      <c r="H135" s="3">
        <v>472</v>
      </c>
    </row>
    <row r="136" spans="1:8">
      <c r="A136" s="3"/>
      <c r="B136" s="3"/>
      <c r="C136" s="3"/>
      <c r="D136" s="3" t="s">
        <v>92</v>
      </c>
      <c r="E136" s="3"/>
      <c r="F136" s="3">
        <v>751830.29</v>
      </c>
      <c r="G136" s="3">
        <v>790000</v>
      </c>
      <c r="H136" s="3">
        <v>38169.71</v>
      </c>
    </row>
    <row r="137" spans="1:8">
      <c r="A137" s="3"/>
      <c r="B137" s="3"/>
      <c r="C137" s="3"/>
      <c r="D137" s="3" t="s">
        <v>96</v>
      </c>
      <c r="E137" s="3"/>
      <c r="F137" s="3">
        <v>2650000</v>
      </c>
      <c r="G137" s="3">
        <v>4300000</v>
      </c>
      <c r="H137" s="3">
        <v>1650000</v>
      </c>
    </row>
    <row r="138" spans="1:8">
      <c r="A138" s="3"/>
      <c r="B138" s="3"/>
      <c r="C138" s="3"/>
      <c r="D138" s="3" t="s">
        <v>89</v>
      </c>
      <c r="E138" s="3"/>
      <c r="F138" s="3">
        <v>21339791.06</v>
      </c>
      <c r="G138" s="3">
        <v>21909874.19</v>
      </c>
      <c r="H138" s="3">
        <v>570083.13</v>
      </c>
    </row>
    <row r="139" spans="1:8">
      <c r="A139" s="3"/>
      <c r="B139" s="3"/>
      <c r="C139" s="3" t="s">
        <v>368</v>
      </c>
      <c r="D139" s="3"/>
      <c r="E139" s="3"/>
      <c r="F139" s="3">
        <v>6411605</v>
      </c>
      <c r="G139" s="3">
        <v>6600005</v>
      </c>
      <c r="H139" s="3">
        <v>188400</v>
      </c>
    </row>
    <row r="140" spans="1:8">
      <c r="A140" s="3"/>
      <c r="B140" s="3"/>
      <c r="C140" s="3"/>
      <c r="D140" s="3" t="s">
        <v>38</v>
      </c>
      <c r="E140" s="3"/>
      <c r="F140" s="3">
        <v>500000</v>
      </c>
      <c r="G140" s="3">
        <v>516000</v>
      </c>
      <c r="H140" s="3">
        <v>16000</v>
      </c>
    </row>
    <row r="141" spans="1:8">
      <c r="A141" s="3"/>
      <c r="B141" s="3"/>
      <c r="C141" s="3"/>
      <c r="D141" s="3" t="s">
        <v>39</v>
      </c>
      <c r="E141" s="3"/>
      <c r="F141" s="3">
        <v>2800020</v>
      </c>
      <c r="G141" s="3">
        <v>2839466</v>
      </c>
      <c r="H141" s="3">
        <v>39446</v>
      </c>
    </row>
    <row r="142" spans="1:8">
      <c r="A142" s="3"/>
      <c r="B142" s="3"/>
      <c r="C142" s="3"/>
      <c r="D142" s="3" t="s">
        <v>37</v>
      </c>
      <c r="E142" s="3"/>
      <c r="F142" s="3">
        <v>1834097</v>
      </c>
      <c r="G142" s="3">
        <v>1834097</v>
      </c>
      <c r="H142" s="3">
        <v>0</v>
      </c>
    </row>
    <row r="143" spans="1:8">
      <c r="A143" s="3"/>
      <c r="B143" s="3"/>
      <c r="C143" s="3"/>
      <c r="D143" s="3" t="s">
        <v>36</v>
      </c>
      <c r="E143" s="3"/>
      <c r="F143" s="3">
        <v>142488</v>
      </c>
      <c r="G143" s="3">
        <v>142488</v>
      </c>
      <c r="H143" s="3">
        <v>0</v>
      </c>
    </row>
    <row r="144" spans="1:8">
      <c r="A144" s="3"/>
      <c r="B144" s="3"/>
      <c r="C144" s="3"/>
      <c r="D144" s="3" t="s">
        <v>40</v>
      </c>
      <c r="E144" s="3"/>
      <c r="F144" s="3">
        <v>650000</v>
      </c>
      <c r="G144" s="3">
        <v>650000</v>
      </c>
      <c r="H144" s="3">
        <v>0</v>
      </c>
    </row>
    <row r="145" spans="1:8">
      <c r="A145" s="3"/>
      <c r="B145" s="3"/>
      <c r="C145" s="3"/>
      <c r="D145" s="3" t="s">
        <v>41</v>
      </c>
      <c r="E145" s="3"/>
      <c r="F145" s="3">
        <v>485000</v>
      </c>
      <c r="G145" s="3">
        <v>617954</v>
      </c>
      <c r="H145" s="3">
        <v>132954</v>
      </c>
    </row>
    <row r="146" spans="1:8">
      <c r="A146" s="3"/>
      <c r="B146" s="3"/>
      <c r="C146" s="3" t="s">
        <v>369</v>
      </c>
      <c r="D146" s="3"/>
      <c r="E146" s="3"/>
      <c r="F146" s="3">
        <v>1406000</v>
      </c>
      <c r="G146" s="3">
        <v>1563240</v>
      </c>
      <c r="H146" s="3">
        <v>157240</v>
      </c>
    </row>
    <row r="147" spans="1:8">
      <c r="A147" s="3"/>
      <c r="B147" s="3"/>
      <c r="C147" s="3"/>
      <c r="D147" s="3" t="s">
        <v>99</v>
      </c>
      <c r="E147" s="3"/>
      <c r="F147" s="3">
        <v>556000</v>
      </c>
      <c r="G147" s="3">
        <v>713240</v>
      </c>
      <c r="H147" s="3">
        <v>157240</v>
      </c>
    </row>
    <row r="148" spans="1:8">
      <c r="A148" s="3"/>
      <c r="B148" s="3"/>
      <c r="C148" s="3"/>
      <c r="D148" s="3" t="s">
        <v>98</v>
      </c>
      <c r="E148" s="3"/>
      <c r="F148" s="3">
        <v>850000</v>
      </c>
      <c r="G148" s="3">
        <v>850000</v>
      </c>
      <c r="H148" s="3">
        <v>0</v>
      </c>
    </row>
    <row r="149" spans="1:8">
      <c r="A149" s="3"/>
      <c r="B149" s="3"/>
      <c r="C149" s="3" t="s">
        <v>370</v>
      </c>
      <c r="D149" s="3"/>
      <c r="E149" s="3"/>
      <c r="F149" s="3">
        <v>1553200</v>
      </c>
      <c r="G149" s="3">
        <v>1553200</v>
      </c>
      <c r="H149" s="3">
        <v>0</v>
      </c>
    </row>
    <row r="150" spans="1:8">
      <c r="A150" s="3"/>
      <c r="B150" s="3"/>
      <c r="C150" s="3"/>
      <c r="D150" s="3" t="s">
        <v>277</v>
      </c>
      <c r="E150" s="3"/>
      <c r="F150" s="3">
        <v>1553200</v>
      </c>
      <c r="G150" s="3">
        <v>1553200</v>
      </c>
      <c r="H150" s="3">
        <v>0</v>
      </c>
    </row>
    <row r="151" spans="1:8">
      <c r="A151" s="3"/>
      <c r="B151" s="3"/>
      <c r="C151" s="3" t="s">
        <v>371</v>
      </c>
      <c r="D151" s="3"/>
      <c r="E151" s="3"/>
      <c r="F151" s="3">
        <v>3284546.75</v>
      </c>
      <c r="G151" s="3">
        <v>12440585.75</v>
      </c>
      <c r="H151" s="3">
        <v>9264047</v>
      </c>
    </row>
    <row r="152" spans="1:8">
      <c r="A152" s="3"/>
      <c r="B152" s="3"/>
      <c r="C152" s="3"/>
      <c r="D152" s="3" t="s">
        <v>301</v>
      </c>
      <c r="E152" s="3"/>
      <c r="F152" s="3">
        <v>2810770</v>
      </c>
      <c r="G152" s="3">
        <v>3518535</v>
      </c>
      <c r="H152" s="3">
        <v>707765</v>
      </c>
    </row>
    <row r="153" spans="1:8">
      <c r="A153" s="3"/>
      <c r="B153" s="3"/>
      <c r="C153" s="3"/>
      <c r="D153" s="3" t="s">
        <v>299</v>
      </c>
      <c r="E153" s="3"/>
      <c r="F153" s="3">
        <v>55000</v>
      </c>
      <c r="G153" s="3">
        <v>55000</v>
      </c>
      <c r="H153" s="3">
        <v>0</v>
      </c>
    </row>
    <row r="154" spans="1:8">
      <c r="A154" s="3"/>
      <c r="B154" s="3"/>
      <c r="C154" s="3"/>
      <c r="D154" s="3" t="s">
        <v>298</v>
      </c>
      <c r="E154" s="3"/>
      <c r="F154" s="3">
        <v>54004</v>
      </c>
      <c r="G154" s="3">
        <v>0</v>
      </c>
      <c r="H154" s="3">
        <v>54004</v>
      </c>
    </row>
    <row r="155" spans="1:8">
      <c r="A155" s="3"/>
      <c r="B155" s="3"/>
      <c r="C155" s="3"/>
      <c r="D155" s="3" t="s">
        <v>300</v>
      </c>
      <c r="E155" s="3"/>
      <c r="F155" s="3">
        <v>364772.75</v>
      </c>
      <c r="G155" s="3">
        <v>8867050.75</v>
      </c>
      <c r="H155" s="3">
        <v>8502278</v>
      </c>
    </row>
    <row r="156" spans="1:8">
      <c r="A156" s="3"/>
      <c r="B156" s="3"/>
      <c r="C156" s="3" t="s">
        <v>372</v>
      </c>
      <c r="D156" s="3"/>
      <c r="E156" s="3"/>
      <c r="F156" s="3">
        <v>2852469.28</v>
      </c>
      <c r="G156" s="3">
        <v>1832421.78</v>
      </c>
      <c r="H156" s="3">
        <v>1973232.5</v>
      </c>
    </row>
    <row r="157" spans="1:8">
      <c r="A157" s="3"/>
      <c r="B157" s="3"/>
      <c r="C157" s="3"/>
      <c r="D157" s="3" t="s">
        <v>184</v>
      </c>
      <c r="E157" s="3"/>
      <c r="F157" s="3">
        <v>209354</v>
      </c>
      <c r="G157" s="3">
        <v>531854</v>
      </c>
      <c r="H157" s="3">
        <v>322500</v>
      </c>
    </row>
    <row r="158" spans="1:8">
      <c r="A158" s="3"/>
      <c r="B158" s="3"/>
      <c r="C158" s="3"/>
      <c r="D158" s="3" t="s">
        <v>103</v>
      </c>
      <c r="E158" s="3"/>
      <c r="F158" s="3">
        <v>1496500</v>
      </c>
      <c r="G158" s="3">
        <v>0</v>
      </c>
      <c r="H158" s="3">
        <v>1496500</v>
      </c>
    </row>
    <row r="159" spans="1:8">
      <c r="A159" s="3"/>
      <c r="B159" s="3"/>
      <c r="C159" s="3"/>
      <c r="D159" s="3" t="s">
        <v>187</v>
      </c>
      <c r="E159" s="3"/>
      <c r="F159" s="3">
        <v>9400</v>
      </c>
      <c r="G159" s="3">
        <v>13492.5</v>
      </c>
      <c r="H159" s="3">
        <v>4092.5</v>
      </c>
    </row>
    <row r="160" spans="1:8">
      <c r="A160" s="3"/>
      <c r="B160" s="3"/>
      <c r="C160" s="3"/>
      <c r="D160" s="3" t="s">
        <v>185</v>
      </c>
      <c r="E160" s="3"/>
      <c r="F160" s="3">
        <v>1113051.28</v>
      </c>
      <c r="G160" s="3">
        <v>1263051.28</v>
      </c>
      <c r="H160" s="3">
        <v>150000</v>
      </c>
    </row>
    <row r="161" spans="1:8">
      <c r="A161" s="3"/>
      <c r="B161" s="3"/>
      <c r="C161" s="3"/>
      <c r="D161" s="3" t="s">
        <v>186</v>
      </c>
      <c r="E161" s="3"/>
      <c r="F161" s="3">
        <v>24164</v>
      </c>
      <c r="G161" s="3">
        <v>24024</v>
      </c>
      <c r="H161" s="3">
        <v>140</v>
      </c>
    </row>
    <row r="162" spans="1:8">
      <c r="A162" s="3"/>
      <c r="B162" s="3"/>
      <c r="C162" s="3" t="s">
        <v>373</v>
      </c>
      <c r="D162" s="3"/>
      <c r="E162" s="3"/>
      <c r="F162" s="3">
        <v>34233</v>
      </c>
      <c r="G162" s="3">
        <v>34233</v>
      </c>
      <c r="H162" s="3">
        <v>0</v>
      </c>
    </row>
    <row r="163" spans="1:8">
      <c r="A163" s="3"/>
      <c r="B163" s="3"/>
      <c r="C163" s="3"/>
      <c r="D163" s="3" t="s">
        <v>236</v>
      </c>
      <c r="E163" s="3"/>
      <c r="F163" s="3">
        <v>34233</v>
      </c>
      <c r="G163" s="3">
        <v>34233</v>
      </c>
      <c r="H163" s="3">
        <v>0</v>
      </c>
    </row>
    <row r="164" spans="1:8">
      <c r="A164" s="3"/>
      <c r="B164" s="3"/>
      <c r="C164" s="3" t="s">
        <v>374</v>
      </c>
      <c r="D164" s="3"/>
      <c r="E164" s="3"/>
      <c r="F164" s="3">
        <v>12500</v>
      </c>
      <c r="G164" s="3">
        <v>0</v>
      </c>
      <c r="H164" s="3">
        <v>12500</v>
      </c>
    </row>
    <row r="165" spans="1:8">
      <c r="A165" s="3"/>
      <c r="B165" s="3"/>
      <c r="C165" s="3"/>
      <c r="D165" s="3" t="s">
        <v>375</v>
      </c>
      <c r="E165" s="3"/>
      <c r="F165" s="3">
        <v>12500</v>
      </c>
      <c r="G165" s="3">
        <v>0</v>
      </c>
      <c r="H165" s="3">
        <v>12500</v>
      </c>
    </row>
    <row r="166" spans="1:8">
      <c r="A166" s="3"/>
      <c r="B166" s="3"/>
      <c r="C166" s="3" t="s">
        <v>376</v>
      </c>
      <c r="D166" s="3"/>
      <c r="E166" s="3"/>
      <c r="F166" s="3">
        <v>928816</v>
      </c>
      <c r="G166" s="3">
        <v>0</v>
      </c>
      <c r="H166" s="3">
        <v>928816</v>
      </c>
    </row>
    <row r="167" spans="1:8">
      <c r="A167" s="3"/>
      <c r="B167" s="3"/>
      <c r="C167" s="3"/>
      <c r="D167" s="3" t="s">
        <v>279</v>
      </c>
      <c r="E167" s="3"/>
      <c r="F167" s="3">
        <v>928816</v>
      </c>
      <c r="G167" s="3">
        <v>0</v>
      </c>
      <c r="H167" s="3">
        <v>928816</v>
      </c>
    </row>
    <row r="168" spans="1:8">
      <c r="A168" s="3"/>
      <c r="B168" s="3"/>
      <c r="C168" s="3" t="s">
        <v>377</v>
      </c>
      <c r="D168" s="3"/>
      <c r="E168" s="3"/>
      <c r="F168" s="3">
        <v>76149.44</v>
      </c>
      <c r="G168" s="3">
        <v>64610</v>
      </c>
      <c r="H168" s="3">
        <v>11539.44</v>
      </c>
    </row>
    <row r="169" spans="1:8">
      <c r="A169" s="3"/>
      <c r="B169" s="3"/>
      <c r="C169" s="3"/>
      <c r="D169" s="3" t="s">
        <v>111</v>
      </c>
      <c r="E169" s="3"/>
      <c r="F169" s="3">
        <v>76149.44</v>
      </c>
      <c r="G169" s="3">
        <v>64610</v>
      </c>
      <c r="H169" s="3">
        <v>11539.44</v>
      </c>
    </row>
    <row r="170" spans="1:8">
      <c r="A170" s="3"/>
      <c r="B170" s="3"/>
      <c r="C170" s="3" t="s">
        <v>378</v>
      </c>
      <c r="D170" s="3"/>
      <c r="E170" s="3"/>
      <c r="F170" s="3">
        <v>3479909</v>
      </c>
      <c r="G170" s="3">
        <v>3589563</v>
      </c>
      <c r="H170" s="3">
        <v>109654</v>
      </c>
    </row>
    <row r="171" spans="1:8">
      <c r="A171" s="3"/>
      <c r="B171" s="3"/>
      <c r="C171" s="3"/>
      <c r="D171" s="3" t="s">
        <v>115</v>
      </c>
      <c r="E171" s="3"/>
      <c r="F171" s="3">
        <v>3479909</v>
      </c>
      <c r="G171" s="3">
        <v>3589563</v>
      </c>
      <c r="H171" s="3">
        <v>109654</v>
      </c>
    </row>
    <row r="172" spans="1:8">
      <c r="A172" s="3"/>
      <c r="B172" s="3"/>
      <c r="C172" s="3" t="s">
        <v>379</v>
      </c>
      <c r="D172" s="3"/>
      <c r="E172" s="3"/>
      <c r="F172" s="3">
        <v>337265</v>
      </c>
      <c r="G172" s="3">
        <v>437265</v>
      </c>
      <c r="H172" s="3">
        <v>100000</v>
      </c>
    </row>
    <row r="173" spans="1:8">
      <c r="A173" s="3"/>
      <c r="B173" s="3"/>
      <c r="C173" s="3"/>
      <c r="D173" s="3" t="s">
        <v>281</v>
      </c>
      <c r="E173" s="3"/>
      <c r="F173" s="3">
        <v>337265</v>
      </c>
      <c r="G173" s="3">
        <v>437265</v>
      </c>
      <c r="H173" s="3">
        <v>100000</v>
      </c>
    </row>
    <row r="174" spans="1:8">
      <c r="A174" s="3"/>
      <c r="B174" s="3"/>
      <c r="C174" s="3" t="s">
        <v>380</v>
      </c>
      <c r="D174" s="3"/>
      <c r="E174" s="3"/>
      <c r="F174" s="3">
        <v>1456450</v>
      </c>
      <c r="G174" s="3">
        <v>1613010</v>
      </c>
      <c r="H174" s="3">
        <v>156560</v>
      </c>
    </row>
    <row r="175" spans="1:8">
      <c r="A175" s="3"/>
      <c r="B175" s="3"/>
      <c r="C175" s="3"/>
      <c r="D175" s="3" t="s">
        <v>241</v>
      </c>
      <c r="E175" s="3"/>
      <c r="F175" s="3">
        <v>272820</v>
      </c>
      <c r="G175" s="3">
        <v>349765</v>
      </c>
      <c r="H175" s="3">
        <v>76945</v>
      </c>
    </row>
    <row r="176" spans="1:8">
      <c r="A176" s="3"/>
      <c r="B176" s="3"/>
      <c r="C176" s="3"/>
      <c r="D176" s="3" t="s">
        <v>239</v>
      </c>
      <c r="E176" s="3"/>
      <c r="F176" s="3">
        <v>592700</v>
      </c>
      <c r="G176" s="3">
        <v>592700</v>
      </c>
      <c r="H176" s="3">
        <v>0</v>
      </c>
    </row>
    <row r="177" spans="1:8">
      <c r="A177" s="3"/>
      <c r="B177" s="3"/>
      <c r="C177" s="3"/>
      <c r="D177" s="3" t="s">
        <v>238</v>
      </c>
      <c r="E177" s="3"/>
      <c r="F177" s="3">
        <v>308665</v>
      </c>
      <c r="G177" s="3">
        <v>308665</v>
      </c>
      <c r="H177" s="3">
        <v>0</v>
      </c>
    </row>
    <row r="178" spans="1:8">
      <c r="A178" s="3"/>
      <c r="B178" s="3"/>
      <c r="C178" s="3"/>
      <c r="D178" s="3" t="s">
        <v>240</v>
      </c>
      <c r="E178" s="3"/>
      <c r="F178" s="3">
        <v>282265</v>
      </c>
      <c r="G178" s="3">
        <v>361880</v>
      </c>
      <c r="H178" s="3">
        <v>79615</v>
      </c>
    </row>
    <row r="179" spans="1:8">
      <c r="A179" s="3"/>
      <c r="B179" s="3"/>
      <c r="C179" s="3" t="s">
        <v>381</v>
      </c>
      <c r="D179" s="3"/>
      <c r="E179" s="3"/>
      <c r="F179" s="3">
        <v>57353</v>
      </c>
      <c r="G179" s="3">
        <v>64153</v>
      </c>
      <c r="H179" s="3">
        <v>6800</v>
      </c>
    </row>
    <row r="180" spans="1:8">
      <c r="A180" s="3"/>
      <c r="B180" s="3"/>
      <c r="C180" s="3"/>
      <c r="D180" s="3" t="s">
        <v>190</v>
      </c>
      <c r="E180" s="3"/>
      <c r="F180" s="3">
        <v>24000</v>
      </c>
      <c r="G180" s="3">
        <v>30800</v>
      </c>
      <c r="H180" s="3">
        <v>6800</v>
      </c>
    </row>
    <row r="181" spans="1:8">
      <c r="A181" s="3"/>
      <c r="B181" s="3"/>
      <c r="C181" s="3"/>
      <c r="D181" s="3" t="s">
        <v>189</v>
      </c>
      <c r="E181" s="3"/>
      <c r="F181" s="3">
        <v>33353</v>
      </c>
      <c r="G181" s="3">
        <v>33353</v>
      </c>
      <c r="H181" s="3">
        <v>0</v>
      </c>
    </row>
    <row r="182" spans="1:8">
      <c r="A182" s="3"/>
      <c r="B182" s="3"/>
      <c r="C182" s="3" t="s">
        <v>382</v>
      </c>
      <c r="D182" s="3"/>
      <c r="E182" s="3"/>
      <c r="F182" s="3">
        <v>559134.47</v>
      </c>
      <c r="G182" s="3">
        <v>574927.53</v>
      </c>
      <c r="H182" s="3">
        <v>15793.06</v>
      </c>
    </row>
    <row r="183" spans="1:8">
      <c r="A183" s="3"/>
      <c r="B183" s="3"/>
      <c r="C183" s="3"/>
      <c r="D183" s="3" t="s">
        <v>118</v>
      </c>
      <c r="E183" s="3"/>
      <c r="F183" s="3">
        <v>559134.47</v>
      </c>
      <c r="G183" s="3">
        <v>559134.47</v>
      </c>
      <c r="H183" s="3">
        <v>0</v>
      </c>
    </row>
    <row r="184" spans="1:8">
      <c r="A184" s="3"/>
      <c r="B184" s="3"/>
      <c r="C184" s="3"/>
      <c r="D184" s="3" t="s">
        <v>117</v>
      </c>
      <c r="E184" s="3"/>
      <c r="F184" s="3">
        <v>0</v>
      </c>
      <c r="G184" s="3">
        <v>15793.06</v>
      </c>
      <c r="H184" s="3">
        <v>15793.06</v>
      </c>
    </row>
    <row r="185" spans="1:8">
      <c r="A185" s="3"/>
      <c r="B185" s="3"/>
      <c r="C185" s="3" t="s">
        <v>383</v>
      </c>
      <c r="D185" s="3"/>
      <c r="E185" s="3"/>
      <c r="F185" s="3">
        <v>6476001.61</v>
      </c>
      <c r="G185" s="3">
        <v>7218681</v>
      </c>
      <c r="H185" s="3">
        <v>742680.59</v>
      </c>
    </row>
    <row r="186" spans="1:8">
      <c r="A186" s="3"/>
      <c r="B186" s="3"/>
      <c r="C186" s="3"/>
      <c r="D186" s="3" t="s">
        <v>288</v>
      </c>
      <c r="E186" s="3"/>
      <c r="F186" s="3">
        <v>138700</v>
      </c>
      <c r="G186" s="3">
        <v>138700</v>
      </c>
      <c r="H186" s="3">
        <v>0</v>
      </c>
    </row>
    <row r="187" spans="1:8">
      <c r="A187" s="3"/>
      <c r="B187" s="3"/>
      <c r="C187" s="3"/>
      <c r="D187" s="3" t="s">
        <v>287</v>
      </c>
      <c r="E187" s="3"/>
      <c r="F187" s="3">
        <v>993844</v>
      </c>
      <c r="G187" s="3">
        <v>1003014</v>
      </c>
      <c r="H187" s="3">
        <v>9170</v>
      </c>
    </row>
    <row r="188" spans="1:8">
      <c r="A188" s="3"/>
      <c r="B188" s="3"/>
      <c r="C188" s="3"/>
      <c r="D188" s="3" t="s">
        <v>285</v>
      </c>
      <c r="E188" s="3"/>
      <c r="F188" s="3">
        <v>3075000</v>
      </c>
      <c r="G188" s="3">
        <v>3075000</v>
      </c>
      <c r="H188" s="3">
        <v>0</v>
      </c>
    </row>
    <row r="189" spans="1:8">
      <c r="A189" s="3"/>
      <c r="B189" s="3"/>
      <c r="C189" s="3"/>
      <c r="D189" s="3" t="s">
        <v>290</v>
      </c>
      <c r="E189" s="3"/>
      <c r="F189" s="3">
        <v>575537</v>
      </c>
      <c r="G189" s="3">
        <v>725537</v>
      </c>
      <c r="H189" s="3">
        <v>150000</v>
      </c>
    </row>
    <row r="190" spans="1:8">
      <c r="A190" s="3"/>
      <c r="B190" s="3"/>
      <c r="C190" s="3"/>
      <c r="D190" s="3" t="s">
        <v>289</v>
      </c>
      <c r="E190" s="3"/>
      <c r="F190" s="3">
        <v>1573179.01</v>
      </c>
      <c r="G190" s="3">
        <v>2156689</v>
      </c>
      <c r="H190" s="3">
        <v>583509.99</v>
      </c>
    </row>
    <row r="191" spans="1:8">
      <c r="A191" s="3"/>
      <c r="B191" s="3"/>
      <c r="C191" s="3"/>
      <c r="D191" s="3" t="s">
        <v>286</v>
      </c>
      <c r="E191" s="3"/>
      <c r="F191" s="3">
        <v>119741.6</v>
      </c>
      <c r="G191" s="3">
        <v>119741</v>
      </c>
      <c r="H191" s="3">
        <v>0.6</v>
      </c>
    </row>
    <row r="192" spans="1:8">
      <c r="A192" s="3"/>
      <c r="B192" s="3"/>
      <c r="C192" s="3" t="s">
        <v>384</v>
      </c>
      <c r="D192" s="3"/>
      <c r="E192" s="3"/>
      <c r="F192" s="3">
        <v>1210180.79</v>
      </c>
      <c r="G192" s="3">
        <v>1288084.79</v>
      </c>
      <c r="H192" s="3">
        <v>77904</v>
      </c>
    </row>
    <row r="193" spans="1:8">
      <c r="A193" s="3"/>
      <c r="B193" s="3"/>
      <c r="C193" s="3"/>
      <c r="D193" s="3" t="s">
        <v>196</v>
      </c>
      <c r="E193" s="3"/>
      <c r="F193" s="3">
        <v>585000.79</v>
      </c>
      <c r="G193" s="3">
        <v>585000.79</v>
      </c>
      <c r="H193" s="3">
        <v>0</v>
      </c>
    </row>
    <row r="194" spans="1:8">
      <c r="A194" s="3"/>
      <c r="B194" s="3"/>
      <c r="C194" s="3"/>
      <c r="D194" s="3" t="s">
        <v>197</v>
      </c>
      <c r="E194" s="3"/>
      <c r="F194" s="3">
        <v>625180</v>
      </c>
      <c r="G194" s="3">
        <v>703084</v>
      </c>
      <c r="H194" s="3">
        <v>77904</v>
      </c>
    </row>
    <row r="195" spans="1:8">
      <c r="A195" s="3"/>
      <c r="B195" s="3"/>
      <c r="C195" s="3" t="s">
        <v>385</v>
      </c>
      <c r="D195" s="3"/>
      <c r="E195" s="3"/>
      <c r="F195" s="3">
        <v>3258872</v>
      </c>
      <c r="G195" s="3">
        <v>3692264</v>
      </c>
      <c r="H195" s="3">
        <v>454252</v>
      </c>
    </row>
    <row r="196" spans="1:8">
      <c r="A196" s="3"/>
      <c r="B196" s="3"/>
      <c r="C196" s="3"/>
      <c r="D196" s="3" t="s">
        <v>49</v>
      </c>
      <c r="E196" s="3"/>
      <c r="F196" s="3">
        <v>2194384</v>
      </c>
      <c r="G196" s="3">
        <v>2465600</v>
      </c>
      <c r="H196" s="3">
        <v>271216</v>
      </c>
    </row>
    <row r="197" spans="1:8">
      <c r="A197" s="3"/>
      <c r="B197" s="3"/>
      <c r="C197" s="3"/>
      <c r="D197" s="3" t="s">
        <v>48</v>
      </c>
      <c r="E197" s="3"/>
      <c r="F197" s="3">
        <v>261201</v>
      </c>
      <c r="G197" s="3">
        <v>250771</v>
      </c>
      <c r="H197" s="3">
        <v>10430</v>
      </c>
    </row>
    <row r="198" spans="1:8">
      <c r="A198" s="3"/>
      <c r="B198" s="3"/>
      <c r="C198" s="3"/>
      <c r="D198" s="3" t="s">
        <v>47</v>
      </c>
      <c r="E198" s="3"/>
      <c r="F198" s="3">
        <v>191318</v>
      </c>
      <c r="G198" s="3">
        <v>191318</v>
      </c>
      <c r="H198" s="3">
        <v>0</v>
      </c>
    </row>
    <row r="199" spans="1:8">
      <c r="A199" s="3"/>
      <c r="B199" s="3"/>
      <c r="C199" s="3"/>
      <c r="D199" s="3" t="s">
        <v>46</v>
      </c>
      <c r="E199" s="3"/>
      <c r="F199" s="3">
        <v>575640</v>
      </c>
      <c r="G199" s="3">
        <v>738000</v>
      </c>
      <c r="H199" s="3">
        <v>162360</v>
      </c>
    </row>
    <row r="200" spans="1:8">
      <c r="A200" s="3"/>
      <c r="B200" s="3"/>
      <c r="C200" s="3"/>
      <c r="D200" s="3" t="s">
        <v>50</v>
      </c>
      <c r="E200" s="3"/>
      <c r="F200" s="3">
        <v>36329</v>
      </c>
      <c r="G200" s="3">
        <v>46575</v>
      </c>
      <c r="H200" s="3">
        <v>10246</v>
      </c>
    </row>
    <row r="201" spans="1:8">
      <c r="A201" s="3"/>
      <c r="B201" s="3"/>
      <c r="C201" s="3" t="s">
        <v>386</v>
      </c>
      <c r="D201" s="3"/>
      <c r="E201" s="3"/>
      <c r="F201" s="3">
        <v>397913</v>
      </c>
      <c r="G201" s="3">
        <v>402263</v>
      </c>
      <c r="H201" s="3">
        <v>4350</v>
      </c>
    </row>
    <row r="202" spans="1:8">
      <c r="A202" s="3"/>
      <c r="B202" s="3"/>
      <c r="C202" s="3"/>
      <c r="D202" s="3" t="s">
        <v>200</v>
      </c>
      <c r="E202" s="3"/>
      <c r="F202" s="3">
        <v>397913</v>
      </c>
      <c r="G202" s="3">
        <v>397913</v>
      </c>
      <c r="H202" s="3">
        <v>0</v>
      </c>
    </row>
    <row r="203" spans="1:8">
      <c r="A203" s="3"/>
      <c r="B203" s="3"/>
      <c r="C203" s="3"/>
      <c r="D203" s="3" t="s">
        <v>199</v>
      </c>
      <c r="E203" s="3"/>
      <c r="F203" s="3">
        <v>0</v>
      </c>
      <c r="G203" s="3">
        <v>4350</v>
      </c>
      <c r="H203" s="3">
        <v>4350</v>
      </c>
    </row>
    <row r="204" spans="1:8">
      <c r="A204" s="3"/>
      <c r="B204" s="3"/>
      <c r="C204" s="3" t="s">
        <v>387</v>
      </c>
      <c r="D204" s="3"/>
      <c r="E204" s="3"/>
      <c r="F204" s="3">
        <v>982650</v>
      </c>
      <c r="G204" s="3">
        <v>1174266</v>
      </c>
      <c r="H204" s="3">
        <v>191616</v>
      </c>
    </row>
    <row r="205" spans="1:8">
      <c r="A205" s="3"/>
      <c r="B205" s="3"/>
      <c r="C205" s="3"/>
      <c r="D205" s="3" t="s">
        <v>244</v>
      </c>
      <c r="E205" s="3"/>
      <c r="F205" s="3">
        <v>201450</v>
      </c>
      <c r="G205" s="3">
        <v>201450</v>
      </c>
      <c r="H205" s="3">
        <v>0</v>
      </c>
    </row>
    <row r="206" spans="1:8">
      <c r="A206" s="3"/>
      <c r="B206" s="3"/>
      <c r="C206" s="3"/>
      <c r="D206" s="3" t="s">
        <v>243</v>
      </c>
      <c r="E206" s="3"/>
      <c r="F206" s="3">
        <v>81200</v>
      </c>
      <c r="G206" s="3">
        <v>81200</v>
      </c>
      <c r="H206" s="3">
        <v>0</v>
      </c>
    </row>
    <row r="207" spans="1:8">
      <c r="A207" s="3"/>
      <c r="B207" s="3"/>
      <c r="C207" s="3"/>
      <c r="D207" s="3" t="s">
        <v>245</v>
      </c>
      <c r="E207" s="3"/>
      <c r="F207" s="3">
        <v>700000</v>
      </c>
      <c r="G207" s="3">
        <v>891616</v>
      </c>
      <c r="H207" s="3">
        <v>191616</v>
      </c>
    </row>
    <row r="208" spans="1:8">
      <c r="A208" s="3"/>
      <c r="B208" s="3"/>
      <c r="C208" s="3" t="s">
        <v>388</v>
      </c>
      <c r="D208" s="3"/>
      <c r="E208" s="3"/>
      <c r="F208" s="3">
        <v>47615592.89</v>
      </c>
      <c r="G208" s="3">
        <v>53428840.06</v>
      </c>
      <c r="H208" s="3">
        <v>5813247.17</v>
      </c>
    </row>
    <row r="209" spans="1:8">
      <c r="A209" s="3"/>
      <c r="B209" s="3"/>
      <c r="C209" s="3"/>
      <c r="D209" s="3" t="s">
        <v>26</v>
      </c>
      <c r="E209" s="3"/>
      <c r="F209" s="3">
        <v>5842385.06</v>
      </c>
      <c r="G209" s="3">
        <v>5842385.06</v>
      </c>
      <c r="H209" s="3">
        <v>0</v>
      </c>
    </row>
    <row r="210" spans="1:8">
      <c r="A210" s="3"/>
      <c r="B210" s="3"/>
      <c r="C210" s="3"/>
      <c r="D210" s="3" t="s">
        <v>27</v>
      </c>
      <c r="E210" s="3"/>
      <c r="F210" s="3">
        <v>40227752.83</v>
      </c>
      <c r="G210" s="3">
        <v>46041000</v>
      </c>
      <c r="H210" s="3">
        <v>5813247.17</v>
      </c>
    </row>
    <row r="211" spans="1:8">
      <c r="A211" s="3"/>
      <c r="B211" s="3"/>
      <c r="C211" s="3"/>
      <c r="D211" s="3" t="s">
        <v>25</v>
      </c>
      <c r="E211" s="3"/>
      <c r="F211" s="3">
        <v>1545455</v>
      </c>
      <c r="G211" s="3">
        <v>1545455</v>
      </c>
      <c r="H211" s="3">
        <v>0</v>
      </c>
    </row>
    <row r="212" spans="1:8">
      <c r="A212" s="3"/>
      <c r="B212" s="3"/>
      <c r="C212" s="3" t="s">
        <v>389</v>
      </c>
      <c r="D212" s="3"/>
      <c r="E212" s="3"/>
      <c r="F212" s="3">
        <v>1906123.12</v>
      </c>
      <c r="G212" s="3">
        <v>2071014.12</v>
      </c>
      <c r="H212" s="3">
        <v>1287873</v>
      </c>
    </row>
    <row r="213" spans="1:8">
      <c r="A213" s="3"/>
      <c r="B213" s="3"/>
      <c r="C213" s="3"/>
      <c r="D213" s="3" t="s">
        <v>203</v>
      </c>
      <c r="E213" s="3"/>
      <c r="F213" s="3">
        <v>1014.12</v>
      </c>
      <c r="G213" s="3">
        <v>1014.12</v>
      </c>
      <c r="H213" s="3">
        <v>0</v>
      </c>
    </row>
    <row r="214" spans="1:8">
      <c r="A214" s="3"/>
      <c r="B214" s="3"/>
      <c r="C214" s="3"/>
      <c r="D214" s="3" t="s">
        <v>202</v>
      </c>
      <c r="E214" s="3"/>
      <c r="F214" s="3">
        <v>70000</v>
      </c>
      <c r="G214" s="3">
        <v>70000</v>
      </c>
      <c r="H214" s="3">
        <v>0</v>
      </c>
    </row>
    <row r="215" spans="1:8">
      <c r="A215" s="3"/>
      <c r="B215" s="3"/>
      <c r="C215" s="3"/>
      <c r="D215" s="3" t="s">
        <v>204</v>
      </c>
      <c r="E215" s="3"/>
      <c r="F215" s="3">
        <v>1273618</v>
      </c>
      <c r="G215" s="3">
        <v>2000000</v>
      </c>
      <c r="H215" s="3">
        <v>726382</v>
      </c>
    </row>
    <row r="216" spans="1:8">
      <c r="A216" s="3"/>
      <c r="B216" s="3"/>
      <c r="C216" s="3"/>
      <c r="D216" s="3" t="s">
        <v>205</v>
      </c>
      <c r="E216" s="3"/>
      <c r="F216" s="3">
        <v>561491</v>
      </c>
      <c r="G216" s="3">
        <v>0</v>
      </c>
      <c r="H216" s="3">
        <v>561491</v>
      </c>
    </row>
    <row r="217" spans="1:8">
      <c r="A217" s="3"/>
      <c r="B217" s="3"/>
      <c r="C217" s="3" t="s">
        <v>390</v>
      </c>
      <c r="D217" s="3"/>
      <c r="E217" s="3"/>
      <c r="F217" s="3">
        <v>8696567.94</v>
      </c>
      <c r="G217" s="3">
        <v>10875202.83</v>
      </c>
      <c r="H217" s="3">
        <v>2208634.89</v>
      </c>
    </row>
    <row r="218" spans="1:8">
      <c r="A218" s="3"/>
      <c r="B218" s="3"/>
      <c r="C218" s="3"/>
      <c r="D218" s="3" t="s">
        <v>121</v>
      </c>
      <c r="E218" s="3"/>
      <c r="F218" s="3">
        <v>162122.01</v>
      </c>
      <c r="G218" s="3">
        <v>162122.01</v>
      </c>
      <c r="H218" s="3">
        <v>0</v>
      </c>
    </row>
    <row r="219" spans="1:8">
      <c r="A219" s="3"/>
      <c r="B219" s="3"/>
      <c r="C219" s="3"/>
      <c r="D219" s="3" t="s">
        <v>129</v>
      </c>
      <c r="E219" s="3"/>
      <c r="F219" s="3">
        <v>330000</v>
      </c>
      <c r="G219" s="3">
        <v>330000</v>
      </c>
      <c r="H219" s="3">
        <v>0</v>
      </c>
    </row>
    <row r="220" spans="1:8">
      <c r="A220" s="3"/>
      <c r="B220" s="3"/>
      <c r="C220" s="3"/>
      <c r="D220" s="3" t="s">
        <v>125</v>
      </c>
      <c r="E220" s="3"/>
      <c r="F220" s="3">
        <v>399072.26</v>
      </c>
      <c r="G220" s="3">
        <v>399072.26</v>
      </c>
      <c r="H220" s="3">
        <v>0</v>
      </c>
    </row>
    <row r="221" spans="1:8">
      <c r="A221" s="3"/>
      <c r="B221" s="3"/>
      <c r="C221" s="3"/>
      <c r="D221" s="3" t="s">
        <v>123</v>
      </c>
      <c r="E221" s="3"/>
      <c r="F221" s="3">
        <v>3500</v>
      </c>
      <c r="G221" s="3">
        <v>3500</v>
      </c>
      <c r="H221" s="3">
        <v>0</v>
      </c>
    </row>
    <row r="222" spans="1:8">
      <c r="A222" s="3"/>
      <c r="B222" s="3"/>
      <c r="C222" s="3"/>
      <c r="D222" s="3" t="s">
        <v>133</v>
      </c>
      <c r="E222" s="3"/>
      <c r="F222" s="3">
        <v>463862.83</v>
      </c>
      <c r="G222" s="3">
        <v>564513.83</v>
      </c>
      <c r="H222" s="3">
        <v>100651</v>
      </c>
    </row>
    <row r="223" spans="1:8">
      <c r="A223" s="3"/>
      <c r="B223" s="3"/>
      <c r="C223" s="3"/>
      <c r="D223" s="3" t="s">
        <v>124</v>
      </c>
      <c r="E223" s="3"/>
      <c r="F223" s="3">
        <v>39500</v>
      </c>
      <c r="G223" s="3">
        <v>39500</v>
      </c>
      <c r="H223" s="3">
        <v>0</v>
      </c>
    </row>
    <row r="224" spans="1:8">
      <c r="A224" s="3"/>
      <c r="B224" s="3"/>
      <c r="C224" s="3"/>
      <c r="D224" s="3" t="s">
        <v>132</v>
      </c>
      <c r="E224" s="3"/>
      <c r="F224" s="3">
        <v>722000</v>
      </c>
      <c r="G224" s="3">
        <v>1022599</v>
      </c>
      <c r="H224" s="3">
        <v>300599</v>
      </c>
    </row>
    <row r="225" spans="1:8">
      <c r="A225" s="3"/>
      <c r="B225" s="3"/>
      <c r="C225" s="3"/>
      <c r="D225" s="3" t="s">
        <v>127</v>
      </c>
      <c r="E225" s="3"/>
      <c r="F225" s="3">
        <v>180000</v>
      </c>
      <c r="G225" s="3">
        <v>180000</v>
      </c>
      <c r="H225" s="3">
        <v>0</v>
      </c>
    </row>
    <row r="226" spans="1:8">
      <c r="A226" s="3"/>
      <c r="B226" s="3"/>
      <c r="C226" s="3"/>
      <c r="D226" s="3" t="s">
        <v>134</v>
      </c>
      <c r="E226" s="3"/>
      <c r="F226" s="3">
        <v>910000</v>
      </c>
      <c r="G226" s="3">
        <v>1077740.44</v>
      </c>
      <c r="H226" s="3">
        <v>167740.44</v>
      </c>
    </row>
    <row r="227" spans="1:8">
      <c r="A227" s="3"/>
      <c r="B227" s="3"/>
      <c r="C227" s="3"/>
      <c r="D227" s="3" t="s">
        <v>126</v>
      </c>
      <c r="E227" s="3"/>
      <c r="F227" s="3">
        <v>26000</v>
      </c>
      <c r="G227" s="3">
        <v>26000</v>
      </c>
      <c r="H227" s="3">
        <v>0</v>
      </c>
    </row>
    <row r="228" spans="1:8">
      <c r="A228" s="3"/>
      <c r="B228" s="3"/>
      <c r="C228" s="3"/>
      <c r="D228" s="3" t="s">
        <v>130</v>
      </c>
      <c r="E228" s="3"/>
      <c r="F228" s="3">
        <v>395859.98</v>
      </c>
      <c r="G228" s="3">
        <v>380859.98</v>
      </c>
      <c r="H228" s="3">
        <v>15000</v>
      </c>
    </row>
    <row r="229" spans="1:8">
      <c r="A229" s="3"/>
      <c r="B229" s="3"/>
      <c r="C229" s="3"/>
      <c r="D229" s="3" t="s">
        <v>122</v>
      </c>
      <c r="E229" s="3"/>
      <c r="F229" s="3">
        <v>292462</v>
      </c>
      <c r="G229" s="3">
        <v>292464.5</v>
      </c>
      <c r="H229" s="3">
        <v>2.5</v>
      </c>
    </row>
    <row r="230" spans="1:8">
      <c r="A230" s="3"/>
      <c r="B230" s="3"/>
      <c r="C230" s="3"/>
      <c r="D230" s="3" t="s">
        <v>131</v>
      </c>
      <c r="E230" s="3"/>
      <c r="F230" s="3">
        <v>3792486.56</v>
      </c>
      <c r="G230" s="3">
        <v>5333936.81</v>
      </c>
      <c r="H230" s="3">
        <v>1541450.25</v>
      </c>
    </row>
    <row r="231" spans="1:8">
      <c r="A231" s="3"/>
      <c r="B231" s="3"/>
      <c r="C231" s="3"/>
      <c r="D231" s="3" t="s">
        <v>128</v>
      </c>
      <c r="E231" s="3"/>
      <c r="F231" s="3">
        <v>428608.3</v>
      </c>
      <c r="G231" s="3">
        <v>486500</v>
      </c>
      <c r="H231" s="3">
        <v>57891.7</v>
      </c>
    </row>
    <row r="232" spans="1:8">
      <c r="A232" s="3"/>
      <c r="B232" s="3"/>
      <c r="C232" s="3"/>
      <c r="D232" s="3" t="s">
        <v>135</v>
      </c>
      <c r="E232" s="3"/>
      <c r="F232" s="3">
        <v>89700</v>
      </c>
      <c r="G232" s="3">
        <v>115000</v>
      </c>
      <c r="H232" s="3">
        <v>25300</v>
      </c>
    </row>
    <row r="233" spans="1:8">
      <c r="A233" s="3"/>
      <c r="B233" s="3"/>
      <c r="C233" s="3"/>
      <c r="D233" s="3" t="s">
        <v>120</v>
      </c>
      <c r="E233" s="3"/>
      <c r="F233" s="3">
        <v>461394</v>
      </c>
      <c r="G233" s="3">
        <v>461394</v>
      </c>
      <c r="H233" s="3">
        <v>0</v>
      </c>
    </row>
    <row r="234" spans="1:8">
      <c r="A234" s="3"/>
      <c r="B234" s="3"/>
      <c r="C234" s="3" t="s">
        <v>391</v>
      </c>
      <c r="D234" s="3"/>
      <c r="E234" s="3"/>
      <c r="F234" s="3">
        <v>375615.5</v>
      </c>
      <c r="G234" s="3">
        <v>375615.9</v>
      </c>
      <c r="H234" s="3">
        <v>0.4</v>
      </c>
    </row>
    <row r="235" spans="1:8">
      <c r="A235" s="3"/>
      <c r="B235" s="3"/>
      <c r="C235" s="3"/>
      <c r="D235" s="3" t="s">
        <v>207</v>
      </c>
      <c r="E235" s="3"/>
      <c r="F235" s="3">
        <v>375615.5</v>
      </c>
      <c r="G235" s="3">
        <v>375615.9</v>
      </c>
      <c r="H235" s="3">
        <v>0.4</v>
      </c>
    </row>
    <row r="236" spans="1:8">
      <c r="A236" s="3"/>
      <c r="B236" s="3"/>
      <c r="C236" s="3" t="s">
        <v>392</v>
      </c>
      <c r="D236" s="3"/>
      <c r="E236" s="3"/>
      <c r="F236" s="3">
        <v>130401.2</v>
      </c>
      <c r="G236" s="3">
        <v>4200</v>
      </c>
      <c r="H236" s="3">
        <v>126201.2</v>
      </c>
    </row>
    <row r="237" spans="1:8">
      <c r="A237" s="3"/>
      <c r="B237" s="3"/>
      <c r="C237" s="3"/>
      <c r="D237" s="3" t="s">
        <v>210</v>
      </c>
      <c r="E237" s="3"/>
      <c r="F237" s="3">
        <v>4200</v>
      </c>
      <c r="G237" s="3">
        <v>4200</v>
      </c>
      <c r="H237" s="3">
        <v>0</v>
      </c>
    </row>
    <row r="238" spans="1:8">
      <c r="A238" s="3"/>
      <c r="B238" s="3"/>
      <c r="C238" s="3"/>
      <c r="D238" s="3" t="s">
        <v>209</v>
      </c>
      <c r="E238" s="3"/>
      <c r="F238" s="3">
        <v>126201.2</v>
      </c>
      <c r="G238" s="3">
        <v>0</v>
      </c>
      <c r="H238" s="3">
        <v>126201.2</v>
      </c>
    </row>
    <row r="239" spans="1:8">
      <c r="A239" s="3"/>
      <c r="B239" s="3"/>
      <c r="C239" s="3" t="s">
        <v>393</v>
      </c>
      <c r="D239" s="3"/>
      <c r="E239" s="3"/>
      <c r="F239" s="3">
        <v>3949340</v>
      </c>
      <c r="G239" s="3">
        <v>4949340</v>
      </c>
      <c r="H239" s="3">
        <v>1000000</v>
      </c>
    </row>
    <row r="240" spans="1:8">
      <c r="A240" s="3"/>
      <c r="B240" s="3"/>
      <c r="C240" s="3"/>
      <c r="D240" s="3" t="s">
        <v>214</v>
      </c>
      <c r="E240" s="3"/>
      <c r="F240" s="3">
        <v>3949340</v>
      </c>
      <c r="G240" s="3">
        <v>4949340</v>
      </c>
      <c r="H240" s="3">
        <v>1000000</v>
      </c>
    </row>
    <row r="241" spans="1:8">
      <c r="A241" s="3"/>
      <c r="B241" s="3"/>
      <c r="C241" s="3" t="s">
        <v>394</v>
      </c>
      <c r="D241" s="3"/>
      <c r="E241" s="3"/>
      <c r="F241" s="3">
        <v>4590132.54</v>
      </c>
      <c r="G241" s="3">
        <v>6021851</v>
      </c>
      <c r="H241" s="3">
        <v>1431718.46</v>
      </c>
    </row>
    <row r="242" spans="1:8">
      <c r="A242" s="3"/>
      <c r="B242" s="3"/>
      <c r="C242" s="3"/>
      <c r="D242" s="3" t="s">
        <v>59</v>
      </c>
      <c r="E242" s="3"/>
      <c r="F242" s="3">
        <v>17248</v>
      </c>
      <c r="G242" s="3">
        <v>17248</v>
      </c>
      <c r="H242" s="3">
        <v>0</v>
      </c>
    </row>
    <row r="243" spans="1:8">
      <c r="A243" s="3"/>
      <c r="B243" s="3"/>
      <c r="C243" s="3"/>
      <c r="D243" s="3" t="s">
        <v>60</v>
      </c>
      <c r="E243" s="3"/>
      <c r="F243" s="3">
        <v>5066.88</v>
      </c>
      <c r="G243" s="3">
        <v>6496</v>
      </c>
      <c r="H243" s="3">
        <v>1429.12</v>
      </c>
    </row>
    <row r="244" spans="1:8">
      <c r="A244" s="3"/>
      <c r="B244" s="3"/>
      <c r="C244" s="3"/>
      <c r="D244" s="3" t="s">
        <v>61</v>
      </c>
      <c r="E244" s="3"/>
      <c r="F244" s="3">
        <v>4567817.66</v>
      </c>
      <c r="G244" s="3">
        <v>5998107</v>
      </c>
      <c r="H244" s="3">
        <v>1430289.34</v>
      </c>
    </row>
    <row r="245" spans="1:8">
      <c r="A245" s="3"/>
      <c r="B245" s="3"/>
      <c r="C245" s="3" t="s">
        <v>395</v>
      </c>
      <c r="D245" s="3"/>
      <c r="E245" s="3"/>
      <c r="F245" s="3">
        <v>12729309</v>
      </c>
      <c r="G245" s="3">
        <v>4835049</v>
      </c>
      <c r="H245" s="3">
        <v>7894260</v>
      </c>
    </row>
    <row r="246" spans="1:8">
      <c r="A246" s="3"/>
      <c r="B246" s="3"/>
      <c r="C246" s="3"/>
      <c r="D246" s="3" t="s">
        <v>318</v>
      </c>
      <c r="E246" s="3"/>
      <c r="F246" s="3">
        <v>12729309</v>
      </c>
      <c r="G246" s="3">
        <v>4835049</v>
      </c>
      <c r="H246" s="3">
        <v>7894260</v>
      </c>
    </row>
    <row r="247" spans="1:8">
      <c r="A247" s="3"/>
      <c r="B247" s="3"/>
      <c r="C247" s="3" t="s">
        <v>396</v>
      </c>
      <c r="D247" s="3"/>
      <c r="E247" s="3"/>
      <c r="F247" s="3">
        <v>0</v>
      </c>
      <c r="G247" s="3">
        <v>10700000</v>
      </c>
      <c r="H247" s="3">
        <v>10700000</v>
      </c>
    </row>
    <row r="248" spans="1:8">
      <c r="A248" s="3"/>
      <c r="B248" s="3"/>
      <c r="C248" s="3"/>
      <c r="D248" s="3" t="s">
        <v>397</v>
      </c>
      <c r="E248" s="3"/>
      <c r="F248" s="3">
        <v>0</v>
      </c>
      <c r="G248" s="3">
        <v>10700000</v>
      </c>
      <c r="H248" s="3">
        <v>10700000</v>
      </c>
    </row>
    <row r="249" spans="1:8">
      <c r="A249" s="3"/>
      <c r="B249" s="3"/>
      <c r="C249" s="3" t="s">
        <v>398</v>
      </c>
      <c r="D249" s="3"/>
      <c r="E249" s="3"/>
      <c r="F249" s="3">
        <v>14500</v>
      </c>
      <c r="G249" s="3">
        <v>14500</v>
      </c>
      <c r="H249" s="3">
        <v>0</v>
      </c>
    </row>
    <row r="250" spans="1:8">
      <c r="A250" s="3"/>
      <c r="B250" s="3"/>
      <c r="C250" s="3"/>
      <c r="D250" s="3" t="s">
        <v>30</v>
      </c>
      <c r="E250" s="3"/>
      <c r="F250" s="3">
        <v>14500</v>
      </c>
      <c r="G250" s="3">
        <v>14500</v>
      </c>
      <c r="H250" s="3">
        <v>0</v>
      </c>
    </row>
    <row r="251" spans="1:8">
      <c r="A251" s="3"/>
      <c r="B251" s="3"/>
      <c r="C251" s="3" t="s">
        <v>399</v>
      </c>
      <c r="D251" s="3"/>
      <c r="E251" s="3"/>
      <c r="F251" s="3">
        <v>30557</v>
      </c>
      <c r="G251" s="3">
        <v>31532</v>
      </c>
      <c r="H251" s="3">
        <v>975</v>
      </c>
    </row>
    <row r="252" spans="1:8">
      <c r="A252" s="3"/>
      <c r="B252" s="3"/>
      <c r="C252" s="3"/>
      <c r="D252" s="3" t="s">
        <v>248</v>
      </c>
      <c r="E252" s="3"/>
      <c r="F252" s="3">
        <v>15150</v>
      </c>
      <c r="G252" s="3">
        <v>16125</v>
      </c>
      <c r="H252" s="3">
        <v>975</v>
      </c>
    </row>
    <row r="253" spans="1:8">
      <c r="A253" s="3"/>
      <c r="B253" s="3"/>
      <c r="C253" s="3"/>
      <c r="D253" s="3" t="s">
        <v>247</v>
      </c>
      <c r="E253" s="3"/>
      <c r="F253" s="3">
        <v>15407</v>
      </c>
      <c r="G253" s="3">
        <v>15407</v>
      </c>
      <c r="H253" s="3">
        <v>0</v>
      </c>
    </row>
    <row r="254" spans="1:8">
      <c r="A254" s="3"/>
      <c r="B254" s="3"/>
      <c r="C254" s="3" t="s">
        <v>400</v>
      </c>
      <c r="D254" s="3"/>
      <c r="E254" s="3"/>
      <c r="F254" s="3">
        <v>17898523</v>
      </c>
      <c r="G254" s="3">
        <v>16052150</v>
      </c>
      <c r="H254" s="3">
        <v>1846373</v>
      </c>
    </row>
    <row r="255" spans="1:8">
      <c r="A255" s="3"/>
      <c r="B255" s="3"/>
      <c r="C255" s="3"/>
      <c r="D255" s="3" t="s">
        <v>321</v>
      </c>
      <c r="E255" s="3"/>
      <c r="F255" s="3">
        <v>6873500</v>
      </c>
      <c r="G255" s="3">
        <v>6873500</v>
      </c>
      <c r="H255" s="3">
        <v>0</v>
      </c>
    </row>
    <row r="256" spans="1:8">
      <c r="A256" s="3"/>
      <c r="B256" s="3"/>
      <c r="C256" s="3"/>
      <c r="D256" s="3" t="s">
        <v>320</v>
      </c>
      <c r="E256" s="3"/>
      <c r="F256" s="3">
        <v>11025023</v>
      </c>
      <c r="G256" s="3">
        <v>9178650</v>
      </c>
      <c r="H256" s="3">
        <v>1846373</v>
      </c>
    </row>
    <row r="257" spans="1:8">
      <c r="A257" s="3"/>
      <c r="B257" s="3"/>
      <c r="C257" s="3" t="s">
        <v>401</v>
      </c>
      <c r="D257" s="3"/>
      <c r="E257" s="3"/>
      <c r="F257" s="3">
        <v>28751007</v>
      </c>
      <c r="G257" s="3">
        <v>32132422</v>
      </c>
      <c r="H257" s="3">
        <v>3381415</v>
      </c>
    </row>
    <row r="258" spans="1:8">
      <c r="A258" s="3"/>
      <c r="B258" s="3"/>
      <c r="C258" s="3"/>
      <c r="D258" s="3" t="s">
        <v>324</v>
      </c>
      <c r="E258" s="3"/>
      <c r="F258" s="3">
        <v>12381975</v>
      </c>
      <c r="G258" s="3">
        <v>14513390</v>
      </c>
      <c r="H258" s="3">
        <v>2131415</v>
      </c>
    </row>
    <row r="259" spans="1:8">
      <c r="A259" s="3"/>
      <c r="B259" s="3"/>
      <c r="C259" s="3"/>
      <c r="D259" s="3" t="s">
        <v>323</v>
      </c>
      <c r="E259" s="3"/>
      <c r="F259" s="3">
        <v>16369032</v>
      </c>
      <c r="G259" s="3">
        <v>17619032</v>
      </c>
      <c r="H259" s="3">
        <v>1250000</v>
      </c>
    </row>
    <row r="260" spans="1:8">
      <c r="A260" s="3"/>
      <c r="B260" s="3"/>
      <c r="C260" s="3" t="s">
        <v>402</v>
      </c>
      <c r="D260" s="3"/>
      <c r="E260" s="3"/>
      <c r="F260" s="3">
        <v>1539808.6</v>
      </c>
      <c r="G260" s="3">
        <v>1539808.6</v>
      </c>
      <c r="H260" s="3">
        <v>0</v>
      </c>
    </row>
    <row r="261" spans="1:8">
      <c r="A261" s="3"/>
      <c r="B261" s="3"/>
      <c r="C261" s="3"/>
      <c r="D261" s="3" t="s">
        <v>65</v>
      </c>
      <c r="E261" s="3"/>
      <c r="F261" s="3">
        <v>1539808.6</v>
      </c>
      <c r="G261" s="3">
        <v>1539808.6</v>
      </c>
      <c r="H261" s="3">
        <v>0</v>
      </c>
    </row>
    <row r="262" spans="1:8">
      <c r="A262" s="3"/>
      <c r="B262" s="3"/>
      <c r="C262" s="3" t="s">
        <v>403</v>
      </c>
      <c r="D262" s="3"/>
      <c r="E262" s="3"/>
      <c r="F262" s="3">
        <v>1844404</v>
      </c>
      <c r="G262" s="3">
        <v>2319984</v>
      </c>
      <c r="H262" s="3">
        <v>475580</v>
      </c>
    </row>
    <row r="263" spans="1:8">
      <c r="A263" s="3"/>
      <c r="B263" s="3"/>
      <c r="C263" s="3"/>
      <c r="D263" s="3" t="s">
        <v>216</v>
      </c>
      <c r="E263" s="3"/>
      <c r="F263" s="3">
        <v>425700</v>
      </c>
      <c r="G263" s="3">
        <v>535700</v>
      </c>
      <c r="H263" s="3">
        <v>110000</v>
      </c>
    </row>
    <row r="264" spans="1:8">
      <c r="A264" s="3"/>
      <c r="B264" s="3"/>
      <c r="C264" s="3"/>
      <c r="D264" s="3" t="s">
        <v>217</v>
      </c>
      <c r="E264" s="3"/>
      <c r="F264" s="3">
        <v>1418704</v>
      </c>
      <c r="G264" s="3">
        <v>1784284</v>
      </c>
      <c r="H264" s="3">
        <v>365580</v>
      </c>
    </row>
    <row r="265" spans="1:8">
      <c r="A265" s="3"/>
      <c r="B265" s="3"/>
      <c r="C265" s="3" t="s">
        <v>404</v>
      </c>
      <c r="D265" s="3"/>
      <c r="E265" s="3"/>
      <c r="F265" s="3">
        <v>2629750</v>
      </c>
      <c r="G265" s="3">
        <v>3174301.4</v>
      </c>
      <c r="H265" s="3">
        <v>544551.4</v>
      </c>
    </row>
    <row r="266" spans="1:8">
      <c r="A266" s="3"/>
      <c r="B266" s="3"/>
      <c r="C266" s="3"/>
      <c r="D266" s="3" t="s">
        <v>74</v>
      </c>
      <c r="E266" s="3"/>
      <c r="F266" s="3">
        <v>2629750</v>
      </c>
      <c r="G266" s="3">
        <v>3174301.4</v>
      </c>
      <c r="H266" s="3">
        <v>544551.4</v>
      </c>
    </row>
    <row r="267" spans="1:8">
      <c r="A267" s="3"/>
      <c r="B267" s="3"/>
      <c r="C267" s="3" t="s">
        <v>405</v>
      </c>
      <c r="D267" s="3"/>
      <c r="E267" s="3"/>
      <c r="F267" s="3">
        <v>45000</v>
      </c>
      <c r="G267" s="3">
        <v>45000</v>
      </c>
      <c r="H267" s="3">
        <v>0</v>
      </c>
    </row>
    <row r="268" spans="1:8">
      <c r="A268" s="3"/>
      <c r="B268" s="3"/>
      <c r="C268" s="3"/>
      <c r="D268" s="3" t="s">
        <v>292</v>
      </c>
      <c r="E268" s="3"/>
      <c r="F268" s="3">
        <v>45000</v>
      </c>
      <c r="G268" s="3">
        <v>45000</v>
      </c>
      <c r="H268" s="3">
        <v>0</v>
      </c>
    </row>
    <row r="269" spans="1:8">
      <c r="A269" s="3"/>
      <c r="B269" s="3"/>
      <c r="C269" s="3" t="s">
        <v>406</v>
      </c>
      <c r="D269" s="3"/>
      <c r="E269" s="3"/>
      <c r="F269" s="3">
        <v>701150</v>
      </c>
      <c r="G269" s="3">
        <v>181650</v>
      </c>
      <c r="H269" s="3">
        <v>519500</v>
      </c>
    </row>
    <row r="270" spans="1:8">
      <c r="A270" s="3"/>
      <c r="B270" s="3"/>
      <c r="C270" s="3"/>
      <c r="D270" s="3" t="s">
        <v>283</v>
      </c>
      <c r="E270" s="3"/>
      <c r="F270" s="3">
        <v>701150</v>
      </c>
      <c r="G270" s="3">
        <v>181650</v>
      </c>
      <c r="H270" s="3">
        <v>519500</v>
      </c>
    </row>
    <row r="271" spans="1:8">
      <c r="A271" s="3"/>
      <c r="B271" s="3"/>
      <c r="C271" s="3" t="s">
        <v>407</v>
      </c>
      <c r="D271" s="3"/>
      <c r="E271" s="3"/>
      <c r="F271" s="3">
        <v>2602447</v>
      </c>
      <c r="G271" s="3">
        <v>132837</v>
      </c>
      <c r="H271" s="3">
        <v>2469610</v>
      </c>
    </row>
    <row r="272" spans="1:8">
      <c r="A272" s="3"/>
      <c r="B272" s="3"/>
      <c r="C272" s="3"/>
      <c r="D272" s="3" t="s">
        <v>168</v>
      </c>
      <c r="E272" s="3"/>
      <c r="F272" s="3">
        <v>104037</v>
      </c>
      <c r="G272" s="3">
        <v>104037</v>
      </c>
      <c r="H272" s="3">
        <v>0</v>
      </c>
    </row>
    <row r="273" spans="1:8">
      <c r="A273" s="3"/>
      <c r="B273" s="3"/>
      <c r="C273" s="3"/>
      <c r="D273" s="3" t="s">
        <v>166</v>
      </c>
      <c r="E273" s="3"/>
      <c r="F273" s="3">
        <v>660000</v>
      </c>
      <c r="G273" s="3">
        <v>0</v>
      </c>
      <c r="H273" s="3">
        <v>660000</v>
      </c>
    </row>
    <row r="274" spans="1:8">
      <c r="A274" s="3"/>
      <c r="B274" s="3"/>
      <c r="C274" s="3"/>
      <c r="D274" s="3" t="s">
        <v>167</v>
      </c>
      <c r="E274" s="3"/>
      <c r="F274" s="3">
        <v>1838410</v>
      </c>
      <c r="G274" s="3">
        <v>28800</v>
      </c>
      <c r="H274" s="3">
        <v>1809610</v>
      </c>
    </row>
    <row r="275" spans="1:8">
      <c r="A275" s="3"/>
      <c r="B275" s="3"/>
      <c r="C275" s="3" t="s">
        <v>408</v>
      </c>
      <c r="D275" s="3"/>
      <c r="E275" s="3"/>
      <c r="F275" s="3">
        <v>3108350</v>
      </c>
      <c r="G275" s="3">
        <v>3108350</v>
      </c>
      <c r="H275" s="3">
        <v>0</v>
      </c>
    </row>
    <row r="276" spans="1:8">
      <c r="A276" s="3"/>
      <c r="B276" s="3"/>
      <c r="C276" s="3"/>
      <c r="D276" s="3" t="s">
        <v>267</v>
      </c>
      <c r="E276" s="3"/>
      <c r="F276" s="3">
        <v>3108350</v>
      </c>
      <c r="G276" s="3">
        <v>3108350</v>
      </c>
      <c r="H276" s="3">
        <v>0</v>
      </c>
    </row>
    <row r="277" spans="1:8">
      <c r="A277" s="3"/>
      <c r="B277" s="3"/>
      <c r="C277" s="3" t="s">
        <v>409</v>
      </c>
      <c r="D277" s="3"/>
      <c r="E277" s="3"/>
      <c r="F277" s="3">
        <v>4000</v>
      </c>
      <c r="G277" s="3">
        <v>4000</v>
      </c>
      <c r="H277" s="3">
        <v>0</v>
      </c>
    </row>
    <row r="278" spans="1:8">
      <c r="A278" s="3"/>
      <c r="B278" s="3"/>
      <c r="C278" s="3"/>
      <c r="D278" s="3" t="s">
        <v>194</v>
      </c>
      <c r="E278" s="3"/>
      <c r="F278" s="3">
        <v>4000</v>
      </c>
      <c r="G278" s="3">
        <v>4000</v>
      </c>
      <c r="H278" s="3">
        <v>0</v>
      </c>
    </row>
    <row r="279" spans="1:8">
      <c r="A279" s="3"/>
      <c r="B279" s="3"/>
      <c r="C279" s="3" t="s">
        <v>410</v>
      </c>
      <c r="D279" s="3"/>
      <c r="E279" s="3"/>
      <c r="F279" s="3">
        <v>4589077.31</v>
      </c>
      <c r="G279" s="3">
        <v>5382651.25</v>
      </c>
      <c r="H279" s="3">
        <v>793573.94</v>
      </c>
    </row>
    <row r="280" spans="1:8">
      <c r="A280" s="3"/>
      <c r="B280" s="3"/>
      <c r="C280" s="3"/>
      <c r="D280" s="3" t="s">
        <v>54</v>
      </c>
      <c r="E280" s="3"/>
      <c r="F280" s="3">
        <v>23270</v>
      </c>
      <c r="G280" s="3">
        <v>29835</v>
      </c>
      <c r="H280" s="3">
        <v>6565</v>
      </c>
    </row>
    <row r="281" spans="1:8">
      <c r="A281" s="3"/>
      <c r="B281" s="3"/>
      <c r="C281" s="3"/>
      <c r="D281" s="3" t="s">
        <v>55</v>
      </c>
      <c r="E281" s="3"/>
      <c r="F281" s="3">
        <v>262431</v>
      </c>
      <c r="G281" s="3">
        <v>336450</v>
      </c>
      <c r="H281" s="3">
        <v>74019</v>
      </c>
    </row>
    <row r="282" spans="1:8">
      <c r="A282" s="3"/>
      <c r="B282" s="3"/>
      <c r="C282" s="3"/>
      <c r="D282" s="3" t="s">
        <v>53</v>
      </c>
      <c r="E282" s="3"/>
      <c r="F282" s="3">
        <v>4040276.31</v>
      </c>
      <c r="G282" s="3">
        <v>4753266.25</v>
      </c>
      <c r="H282" s="3">
        <v>712989.94</v>
      </c>
    </row>
    <row r="283" spans="1:8">
      <c r="A283" s="3"/>
      <c r="B283" s="3"/>
      <c r="C283" s="3"/>
      <c r="D283" s="3" t="s">
        <v>52</v>
      </c>
      <c r="E283" s="3"/>
      <c r="F283" s="3">
        <v>263100</v>
      </c>
      <c r="G283" s="3">
        <v>263100</v>
      </c>
      <c r="H283" s="3">
        <v>0</v>
      </c>
    </row>
    <row r="284" spans="1:8">
      <c r="A284" s="3"/>
      <c r="B284" s="3"/>
      <c r="C284" s="3" t="s">
        <v>411</v>
      </c>
      <c r="D284" s="3"/>
      <c r="E284" s="3"/>
      <c r="F284" s="3">
        <v>541000</v>
      </c>
      <c r="G284" s="3">
        <v>541000</v>
      </c>
      <c r="H284" s="3">
        <v>0</v>
      </c>
    </row>
    <row r="285" spans="1:8">
      <c r="A285" s="3"/>
      <c r="B285" s="3"/>
      <c r="C285" s="3"/>
      <c r="D285" s="3" t="s">
        <v>294</v>
      </c>
      <c r="E285" s="3"/>
      <c r="F285" s="3">
        <v>541000</v>
      </c>
      <c r="G285" s="3">
        <v>541000</v>
      </c>
      <c r="H285" s="3">
        <v>0</v>
      </c>
    </row>
    <row r="286" spans="1:8">
      <c r="A286" s="3"/>
      <c r="B286" s="3"/>
      <c r="C286" s="3" t="s">
        <v>412</v>
      </c>
      <c r="D286" s="3"/>
      <c r="E286" s="3"/>
      <c r="F286" s="3">
        <v>83600</v>
      </c>
      <c r="G286" s="3">
        <v>83600</v>
      </c>
      <c r="H286" s="3">
        <v>0</v>
      </c>
    </row>
    <row r="287" spans="1:8">
      <c r="A287" s="3"/>
      <c r="B287" s="3"/>
      <c r="C287" s="3"/>
      <c r="D287" s="3" t="s">
        <v>19</v>
      </c>
      <c r="E287" s="3"/>
      <c r="F287" s="3">
        <v>83600</v>
      </c>
      <c r="G287" s="3">
        <v>83600</v>
      </c>
      <c r="H287" s="3">
        <v>0</v>
      </c>
    </row>
    <row r="288" spans="1:8">
      <c r="A288" s="3"/>
      <c r="B288" s="3"/>
      <c r="C288" s="3" t="s">
        <v>413</v>
      </c>
      <c r="D288" s="3"/>
      <c r="E288" s="3"/>
      <c r="F288" s="3">
        <v>58146.67</v>
      </c>
      <c r="G288" s="3">
        <v>438503</v>
      </c>
      <c r="H288" s="3">
        <v>380356.33</v>
      </c>
    </row>
    <row r="289" spans="1:8">
      <c r="A289" s="3"/>
      <c r="B289" s="3"/>
      <c r="C289" s="3"/>
      <c r="D289" s="3" t="s">
        <v>137</v>
      </c>
      <c r="E289" s="3"/>
      <c r="F289" s="3">
        <v>58146.67</v>
      </c>
      <c r="G289" s="3">
        <v>438503</v>
      </c>
      <c r="H289" s="3">
        <v>380356.33</v>
      </c>
    </row>
    <row r="290" spans="1:8">
      <c r="A290" s="3"/>
      <c r="B290" s="3"/>
      <c r="C290" s="3" t="s">
        <v>414</v>
      </c>
      <c r="D290" s="3"/>
      <c r="E290" s="3"/>
      <c r="F290" s="3">
        <v>153772.32</v>
      </c>
      <c r="G290" s="3">
        <v>197144</v>
      </c>
      <c r="H290" s="3">
        <v>43371.68</v>
      </c>
    </row>
    <row r="291" spans="1:8">
      <c r="A291" s="3"/>
      <c r="B291" s="3"/>
      <c r="C291" s="3"/>
      <c r="D291" s="3" t="s">
        <v>57</v>
      </c>
      <c r="E291" s="3"/>
      <c r="F291" s="3">
        <v>153772.32</v>
      </c>
      <c r="G291" s="3">
        <v>197144</v>
      </c>
      <c r="H291" s="3">
        <v>43371.68</v>
      </c>
    </row>
    <row r="292" spans="1:8">
      <c r="A292" s="3"/>
      <c r="B292" s="3"/>
      <c r="C292" s="3" t="s">
        <v>415</v>
      </c>
      <c r="D292" s="3"/>
      <c r="E292" s="3"/>
      <c r="F292" s="3">
        <v>1691</v>
      </c>
      <c r="G292" s="3">
        <v>1691</v>
      </c>
      <c r="H292" s="3">
        <v>0</v>
      </c>
    </row>
    <row r="293" spans="1:8">
      <c r="A293" s="3"/>
      <c r="B293" s="3"/>
      <c r="C293" s="3"/>
      <c r="D293" s="3" t="s">
        <v>141</v>
      </c>
      <c r="E293" s="3"/>
      <c r="F293" s="3">
        <v>1691</v>
      </c>
      <c r="G293" s="3">
        <v>1691</v>
      </c>
      <c r="H293" s="3">
        <v>0</v>
      </c>
    </row>
    <row r="294" spans="1:8">
      <c r="A294" s="3"/>
      <c r="B294" s="3"/>
      <c r="C294" s="3" t="s">
        <v>416</v>
      </c>
      <c r="D294" s="3"/>
      <c r="E294" s="3"/>
      <c r="F294" s="3">
        <v>6000</v>
      </c>
      <c r="G294" s="3">
        <v>6000</v>
      </c>
      <c r="H294" s="3">
        <v>0</v>
      </c>
    </row>
    <row r="295" spans="1:8">
      <c r="A295" s="3"/>
      <c r="B295" s="3"/>
      <c r="C295" s="3"/>
      <c r="D295" s="3" t="s">
        <v>106</v>
      </c>
      <c r="E295" s="3"/>
      <c r="F295" s="3">
        <v>6000</v>
      </c>
      <c r="G295" s="3">
        <v>6000</v>
      </c>
      <c r="H295" s="3">
        <v>0</v>
      </c>
    </row>
    <row r="296" spans="1:8">
      <c r="A296" s="3"/>
      <c r="B296" s="3"/>
      <c r="C296" s="3" t="s">
        <v>417</v>
      </c>
      <c r="D296" s="3"/>
      <c r="E296" s="3"/>
      <c r="F296" s="3">
        <v>727580</v>
      </c>
      <c r="G296" s="3">
        <v>1226174</v>
      </c>
      <c r="H296" s="3">
        <v>498594</v>
      </c>
    </row>
    <row r="297" spans="1:8">
      <c r="A297" s="3"/>
      <c r="B297" s="3"/>
      <c r="C297" s="3"/>
      <c r="D297" s="3" t="s">
        <v>21</v>
      </c>
      <c r="E297" s="3"/>
      <c r="F297" s="3">
        <v>727580</v>
      </c>
      <c r="G297" s="3">
        <v>1226174</v>
      </c>
      <c r="H297" s="3">
        <v>498594</v>
      </c>
    </row>
    <row r="298" spans="1:8">
      <c r="A298" s="3"/>
      <c r="B298" s="3"/>
      <c r="C298" s="3" t="s">
        <v>418</v>
      </c>
      <c r="D298" s="3"/>
      <c r="E298" s="3"/>
      <c r="F298" s="3">
        <v>8898</v>
      </c>
      <c r="G298" s="3">
        <v>8898</v>
      </c>
      <c r="H298" s="3">
        <v>0</v>
      </c>
    </row>
    <row r="299" spans="1:8">
      <c r="A299" s="3"/>
      <c r="B299" s="3"/>
      <c r="C299" s="3"/>
      <c r="D299" s="3" t="s">
        <v>296</v>
      </c>
      <c r="E299" s="3"/>
      <c r="F299" s="3">
        <v>8898</v>
      </c>
      <c r="G299" s="3">
        <v>8898</v>
      </c>
      <c r="H299" s="3">
        <v>0</v>
      </c>
    </row>
    <row r="300" spans="1:8">
      <c r="A300" s="3"/>
      <c r="B300" s="3"/>
      <c r="C300" s="3" t="s">
        <v>419</v>
      </c>
      <c r="D300" s="3"/>
      <c r="E300" s="3"/>
      <c r="F300" s="3">
        <v>3733273.4</v>
      </c>
      <c r="G300" s="3">
        <v>3752856.8</v>
      </c>
      <c r="H300" s="3">
        <v>19583.4</v>
      </c>
    </row>
    <row r="301" spans="1:8">
      <c r="A301" s="3"/>
      <c r="B301" s="3"/>
      <c r="C301" s="3"/>
      <c r="D301" s="3" t="s">
        <v>139</v>
      </c>
      <c r="E301" s="3"/>
      <c r="F301" s="3">
        <v>3733273.4</v>
      </c>
      <c r="G301" s="3">
        <v>3752856.8</v>
      </c>
      <c r="H301" s="3">
        <v>19583.4</v>
      </c>
    </row>
    <row r="302" spans="1:8">
      <c r="A302" s="3"/>
      <c r="B302" s="3"/>
      <c r="C302" s="3" t="s">
        <v>420</v>
      </c>
      <c r="D302" s="3"/>
      <c r="E302" s="3"/>
      <c r="F302" s="3">
        <v>4039551</v>
      </c>
      <c r="G302" s="3">
        <v>3392921</v>
      </c>
      <c r="H302" s="3">
        <v>646630</v>
      </c>
    </row>
    <row r="303" spans="1:8">
      <c r="A303" s="3"/>
      <c r="B303" s="3"/>
      <c r="C303" s="3"/>
      <c r="D303" s="3" t="s">
        <v>43</v>
      </c>
      <c r="E303" s="3"/>
      <c r="F303" s="3">
        <v>3404033</v>
      </c>
      <c r="G303" s="3">
        <v>3381121</v>
      </c>
      <c r="H303" s="3">
        <v>22912</v>
      </c>
    </row>
    <row r="304" spans="1:8">
      <c r="A304" s="3"/>
      <c r="B304" s="3"/>
      <c r="C304" s="3"/>
      <c r="D304" s="3" t="s">
        <v>44</v>
      </c>
      <c r="E304" s="3"/>
      <c r="F304" s="3">
        <v>635518</v>
      </c>
      <c r="G304" s="3">
        <v>11800</v>
      </c>
      <c r="H304" s="3">
        <v>623718</v>
      </c>
    </row>
    <row r="305" spans="1:8">
      <c r="A305" s="3"/>
      <c r="B305" s="3"/>
      <c r="C305" s="3" t="s">
        <v>421</v>
      </c>
      <c r="D305" s="3"/>
      <c r="E305" s="3"/>
      <c r="F305" s="3">
        <v>355442.1</v>
      </c>
      <c r="G305" s="3">
        <v>451386</v>
      </c>
      <c r="H305" s="3">
        <v>95943.9</v>
      </c>
    </row>
    <row r="306" spans="1:8">
      <c r="A306" s="3"/>
      <c r="B306" s="3"/>
      <c r="C306" s="3"/>
      <c r="D306" s="3" t="s">
        <v>212</v>
      </c>
      <c r="E306" s="3"/>
      <c r="F306" s="3">
        <v>355442.1</v>
      </c>
      <c r="G306" s="3">
        <v>451386</v>
      </c>
      <c r="H306" s="3">
        <v>95943.9</v>
      </c>
    </row>
    <row r="307" spans="1:8">
      <c r="A307" s="3"/>
      <c r="B307" s="3"/>
      <c r="C307" s="3" t="s">
        <v>422</v>
      </c>
      <c r="D307" s="3"/>
      <c r="E307" s="3"/>
      <c r="F307" s="3">
        <v>25000</v>
      </c>
      <c r="G307" s="3">
        <v>72600</v>
      </c>
      <c r="H307" s="3">
        <v>47600</v>
      </c>
    </row>
    <row r="308" spans="1:8">
      <c r="A308" s="3"/>
      <c r="B308" s="3"/>
      <c r="C308" s="3"/>
      <c r="D308" s="3" t="s">
        <v>192</v>
      </c>
      <c r="E308" s="3"/>
      <c r="F308" s="3">
        <v>25000</v>
      </c>
      <c r="G308" s="3">
        <v>72600</v>
      </c>
      <c r="H308" s="3">
        <v>47600</v>
      </c>
    </row>
    <row r="309" spans="1:8">
      <c r="A309" s="3"/>
      <c r="B309" s="3"/>
      <c r="C309" s="3" t="s">
        <v>423</v>
      </c>
      <c r="D309" s="3"/>
      <c r="E309" s="3"/>
      <c r="F309" s="3">
        <v>221945</v>
      </c>
      <c r="G309" s="3">
        <v>381205</v>
      </c>
      <c r="H309" s="3">
        <v>159260</v>
      </c>
    </row>
    <row r="310" spans="1:8">
      <c r="A310" s="3"/>
      <c r="B310" s="3"/>
      <c r="C310" s="3"/>
      <c r="D310" s="3" t="s">
        <v>179</v>
      </c>
      <c r="E310" s="3"/>
      <c r="F310" s="3">
        <v>221945</v>
      </c>
      <c r="G310" s="3">
        <v>381205</v>
      </c>
      <c r="H310" s="3">
        <v>159260</v>
      </c>
    </row>
    <row r="311" spans="1:8">
      <c r="A311" s="3"/>
      <c r="B311" s="3"/>
      <c r="C311" s="3" t="s">
        <v>424</v>
      </c>
      <c r="D311" s="3"/>
      <c r="E311" s="3"/>
      <c r="F311" s="3">
        <v>155000</v>
      </c>
      <c r="G311" s="3">
        <v>198375</v>
      </c>
      <c r="H311" s="3">
        <v>43375</v>
      </c>
    </row>
    <row r="312" spans="1:8">
      <c r="A312" s="3"/>
      <c r="B312" s="3"/>
      <c r="C312" s="3"/>
      <c r="D312" s="3" t="s">
        <v>63</v>
      </c>
      <c r="E312" s="3"/>
      <c r="F312" s="3">
        <v>155000</v>
      </c>
      <c r="G312" s="3">
        <v>198375</v>
      </c>
      <c r="H312" s="3">
        <v>43375</v>
      </c>
    </row>
    <row r="313" spans="1:8">
      <c r="A313" s="3"/>
      <c r="B313" s="3"/>
      <c r="C313" s="3" t="s">
        <v>425</v>
      </c>
      <c r="D313" s="3"/>
      <c r="E313" s="3"/>
      <c r="F313" s="3">
        <v>8869</v>
      </c>
      <c r="G313" s="3">
        <v>19848.91</v>
      </c>
      <c r="H313" s="3">
        <v>10979.91</v>
      </c>
    </row>
    <row r="314" spans="1:8">
      <c r="A314" s="3"/>
      <c r="B314" s="3"/>
      <c r="C314" s="3"/>
      <c r="D314" s="3" t="s">
        <v>113</v>
      </c>
      <c r="E314" s="3"/>
      <c r="F314" s="3">
        <v>8869</v>
      </c>
      <c r="G314" s="3">
        <v>19848.91</v>
      </c>
      <c r="H314" s="3">
        <v>10979.91</v>
      </c>
    </row>
    <row r="315" spans="3:8">
      <c r="C315" t="s">
        <v>426</v>
      </c>
      <c r="F315">
        <v>65000</v>
      </c>
      <c r="G315">
        <v>97440</v>
      </c>
      <c r="H315">
        <v>32440</v>
      </c>
    </row>
    <row r="316" spans="4:8">
      <c r="D316" t="s">
        <v>183</v>
      </c>
      <c r="F316">
        <v>65000</v>
      </c>
      <c r="G316">
        <v>97440</v>
      </c>
      <c r="H316">
        <v>32440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428"/>
  <sheetViews>
    <sheetView topLeftCell="A283" workbookViewId="0">
      <selection activeCell="A318" sqref="A$1:A$1048576"/>
    </sheetView>
  </sheetViews>
  <sheetFormatPr defaultColWidth="8.72727272727273" defaultRowHeight="14.5" outlineLevelCol="4"/>
  <cols>
    <col min="1" max="1" width="83.6363636363636" style="2" customWidth="1"/>
    <col min="2" max="5" width="12.8181818181818" style="2" customWidth="1"/>
    <col min="6" max="16384" width="8.72727272727273" style="2"/>
  </cols>
  <sheetData>
    <row r="1" spans="3:5">
      <c r="C1" s="2" t="s">
        <v>427</v>
      </c>
      <c r="D1" s="2" t="s">
        <v>428</v>
      </c>
      <c r="E1" s="2" t="s">
        <v>429</v>
      </c>
    </row>
    <row r="2" spans="1:5">
      <c r="A2" s="2" t="s">
        <v>9</v>
      </c>
      <c r="C2" s="2">
        <v>394474</v>
      </c>
      <c r="E2" s="2">
        <v>394474</v>
      </c>
    </row>
    <row r="3" spans="1:5">
      <c r="A3" s="2" t="s">
        <v>10</v>
      </c>
      <c r="C3" s="2">
        <v>326914</v>
      </c>
      <c r="D3" s="2">
        <v>309507</v>
      </c>
      <c r="E3" s="2">
        <v>17407</v>
      </c>
    </row>
    <row r="4" spans="1:5">
      <c r="A4" s="2" t="s">
        <v>11</v>
      </c>
      <c r="C4" s="2">
        <v>1800000</v>
      </c>
      <c r="D4" s="2">
        <v>2400000</v>
      </c>
      <c r="E4" s="2">
        <v>600000</v>
      </c>
    </row>
    <row r="5" spans="1:5">
      <c r="A5" s="2" t="s">
        <v>12</v>
      </c>
      <c r="C5" s="2">
        <v>115008</v>
      </c>
      <c r="D5" s="2">
        <v>121792</v>
      </c>
      <c r="E5" s="2">
        <v>6784</v>
      </c>
    </row>
    <row r="6" spans="1:5">
      <c r="A6" s="2" t="s">
        <v>13</v>
      </c>
      <c r="C6" s="2">
        <v>94380</v>
      </c>
      <c r="D6" s="2">
        <v>171050</v>
      </c>
      <c r="E6" s="2">
        <v>76670</v>
      </c>
    </row>
    <row r="7" spans="1:5">
      <c r="A7" s="2" t="s">
        <v>14</v>
      </c>
      <c r="C7" s="2">
        <v>149700</v>
      </c>
      <c r="D7" s="2">
        <v>192016</v>
      </c>
      <c r="E7" s="2">
        <v>42316</v>
      </c>
    </row>
    <row r="8" spans="1:5">
      <c r="A8" s="2" t="s">
        <v>15</v>
      </c>
      <c r="C8" s="2">
        <v>431402</v>
      </c>
      <c r="D8" s="2">
        <v>553080</v>
      </c>
      <c r="E8" s="2">
        <v>121678</v>
      </c>
    </row>
    <row r="9" hidden="1" spans="1:1">
      <c r="A9" s="2" t="s">
        <v>430</v>
      </c>
    </row>
    <row r="10" hidden="1" spans="1:5">
      <c r="A10" s="2" t="s">
        <v>431</v>
      </c>
      <c r="C10" s="2">
        <v>511290</v>
      </c>
      <c r="D10" s="2">
        <v>771075</v>
      </c>
      <c r="E10" s="2">
        <v>259785</v>
      </c>
    </row>
    <row r="11" hidden="1" spans="1:1">
      <c r="A11" s="2" t="s">
        <v>431</v>
      </c>
    </row>
    <row r="12" spans="1:5">
      <c r="A12" s="2" t="s">
        <v>17</v>
      </c>
      <c r="C12" s="2">
        <v>511290</v>
      </c>
      <c r="D12" s="2">
        <v>771075</v>
      </c>
      <c r="E12" s="2">
        <v>259785</v>
      </c>
    </row>
    <row r="13" hidden="1" spans="1:4">
      <c r="A13" s="2" t="s">
        <v>432</v>
      </c>
      <c r="C13" s="2">
        <v>83600</v>
      </c>
      <c r="D13" s="2">
        <v>83600</v>
      </c>
    </row>
    <row r="14" hidden="1" spans="1:1">
      <c r="A14" s="2" t="s">
        <v>432</v>
      </c>
    </row>
    <row r="15" spans="1:4">
      <c r="A15" s="2" t="s">
        <v>19</v>
      </c>
      <c r="C15" s="2">
        <v>83600</v>
      </c>
      <c r="D15" s="2">
        <v>83600</v>
      </c>
    </row>
    <row r="16" hidden="1" spans="1:5">
      <c r="A16" s="2" t="s">
        <v>433</v>
      </c>
      <c r="C16" s="2">
        <v>727110</v>
      </c>
      <c r="D16" s="2">
        <v>1155224</v>
      </c>
      <c r="E16" s="2">
        <v>428114</v>
      </c>
    </row>
    <row r="17" hidden="1" spans="1:1">
      <c r="A17" s="2" t="s">
        <v>433</v>
      </c>
    </row>
    <row r="18" spans="1:5">
      <c r="A18" s="2" t="s">
        <v>21</v>
      </c>
      <c r="C18" s="2">
        <v>727110</v>
      </c>
      <c r="D18" s="2">
        <v>1155224</v>
      </c>
      <c r="E18" s="2">
        <v>428114</v>
      </c>
    </row>
    <row r="19" hidden="1" spans="1:5">
      <c r="A19" s="2" t="s">
        <v>434</v>
      </c>
      <c r="C19" s="2">
        <v>47615187.89</v>
      </c>
      <c r="D19" s="2">
        <v>53428840.06</v>
      </c>
      <c r="E19" s="2">
        <v>5813652.17</v>
      </c>
    </row>
    <row r="20" hidden="1" spans="1:1">
      <c r="A20" s="2" t="s">
        <v>434</v>
      </c>
    </row>
    <row r="21" spans="1:4">
      <c r="A21" s="2" t="s">
        <v>25</v>
      </c>
      <c r="C21" s="2">
        <v>1545455</v>
      </c>
      <c r="D21" s="2">
        <v>1545455</v>
      </c>
    </row>
    <row r="22" spans="1:4">
      <c r="A22" s="2" t="s">
        <v>26</v>
      </c>
      <c r="C22" s="2">
        <v>5842385.06</v>
      </c>
      <c r="D22" s="2">
        <v>5842385.06</v>
      </c>
    </row>
    <row r="23" spans="1:5">
      <c r="A23" s="2" t="s">
        <v>27</v>
      </c>
      <c r="C23" s="2">
        <v>40227347.83</v>
      </c>
      <c r="D23" s="2">
        <v>46041000</v>
      </c>
      <c r="E23" s="2">
        <v>5813652.17</v>
      </c>
    </row>
    <row r="24" hidden="1" spans="1:4">
      <c r="A24" s="2" t="s">
        <v>435</v>
      </c>
      <c r="C24" s="2">
        <v>14500</v>
      </c>
      <c r="D24" s="2">
        <v>14500</v>
      </c>
    </row>
    <row r="25" hidden="1" spans="1:1">
      <c r="A25" s="2" t="s">
        <v>435</v>
      </c>
    </row>
    <row r="26" spans="1:4">
      <c r="A26" s="2" t="s">
        <v>30</v>
      </c>
      <c r="C26" s="2">
        <v>14500</v>
      </c>
      <c r="D26" s="2">
        <v>14500</v>
      </c>
    </row>
    <row r="27" hidden="1" spans="1:5">
      <c r="A27" s="2" t="s">
        <v>436</v>
      </c>
      <c r="C27" s="2">
        <v>26782138.27</v>
      </c>
      <c r="D27" s="2">
        <v>30515420.14</v>
      </c>
      <c r="E27" s="2">
        <v>3733281.87</v>
      </c>
    </row>
    <row r="28" hidden="1" spans="1:4">
      <c r="A28" s="2" t="s">
        <v>437</v>
      </c>
      <c r="C28" s="2">
        <v>12350</v>
      </c>
      <c r="D28" s="2">
        <v>12350</v>
      </c>
    </row>
    <row r="29" hidden="1" spans="1:1">
      <c r="A29" s="2" t="s">
        <v>437</v>
      </c>
    </row>
    <row r="30" spans="1:4">
      <c r="A30" s="2" t="s">
        <v>32</v>
      </c>
      <c r="C30" s="2">
        <v>12350</v>
      </c>
      <c r="D30" s="2">
        <v>12350</v>
      </c>
    </row>
    <row r="31" hidden="1" spans="1:1">
      <c r="A31" s="2" t="s">
        <v>436</v>
      </c>
    </row>
    <row r="32" hidden="1" spans="1:4">
      <c r="A32" s="2" t="s">
        <v>438</v>
      </c>
      <c r="C32" s="2">
        <v>2031969.5</v>
      </c>
      <c r="D32" s="2">
        <v>2031969.5</v>
      </c>
    </row>
    <row r="33" hidden="1" spans="1:1">
      <c r="A33" s="2" t="s">
        <v>438</v>
      </c>
    </row>
    <row r="34" spans="1:4">
      <c r="A34" s="2" t="s">
        <v>34</v>
      </c>
      <c r="C34" s="2">
        <v>2031969.5</v>
      </c>
      <c r="D34" s="2">
        <v>2031969.5</v>
      </c>
    </row>
    <row r="35" hidden="1" spans="1:5">
      <c r="A35" s="2" t="s">
        <v>439</v>
      </c>
      <c r="C35" s="2">
        <v>6411605</v>
      </c>
      <c r="D35" s="2">
        <v>7260559</v>
      </c>
      <c r="E35" s="2">
        <v>848954</v>
      </c>
    </row>
    <row r="36" hidden="1" spans="1:1">
      <c r="A36" s="2" t="s">
        <v>439</v>
      </c>
    </row>
    <row r="37" spans="1:4">
      <c r="A37" s="2" t="s">
        <v>36</v>
      </c>
      <c r="C37" s="2">
        <v>142488</v>
      </c>
      <c r="D37" s="2">
        <v>142488</v>
      </c>
    </row>
    <row r="38" spans="1:4">
      <c r="A38" s="2" t="s">
        <v>37</v>
      </c>
      <c r="C38" s="2">
        <v>1834097</v>
      </c>
      <c r="D38" s="2">
        <v>1834097</v>
      </c>
    </row>
    <row r="39" spans="1:5">
      <c r="A39" s="2" t="s">
        <v>38</v>
      </c>
      <c r="C39" s="2">
        <v>500000</v>
      </c>
      <c r="D39" s="2">
        <v>516000</v>
      </c>
      <c r="E39" s="2">
        <v>16000</v>
      </c>
    </row>
    <row r="40" spans="1:5">
      <c r="A40" s="2" t="s">
        <v>39</v>
      </c>
      <c r="C40" s="2">
        <v>2800020</v>
      </c>
      <c r="D40" s="2">
        <v>3500020</v>
      </c>
      <c r="E40" s="2">
        <v>700000</v>
      </c>
    </row>
    <row r="41" spans="1:4">
      <c r="A41" s="2" t="s">
        <v>40</v>
      </c>
      <c r="C41" s="2">
        <v>650000</v>
      </c>
      <c r="D41" s="2">
        <v>650000</v>
      </c>
    </row>
    <row r="42" spans="1:5">
      <c r="A42" s="2" t="s">
        <v>41</v>
      </c>
      <c r="C42" s="2">
        <v>485000</v>
      </c>
      <c r="D42" s="2">
        <v>617954</v>
      </c>
      <c r="E42" s="2">
        <v>132954</v>
      </c>
    </row>
    <row r="43" hidden="1" spans="1:5">
      <c r="A43" s="2" t="s">
        <v>440</v>
      </c>
      <c r="C43" s="2">
        <v>4039551</v>
      </c>
      <c r="D43" s="2">
        <v>4266639</v>
      </c>
      <c r="E43" s="2">
        <v>227088</v>
      </c>
    </row>
    <row r="44" hidden="1" spans="1:1">
      <c r="A44" s="2" t="s">
        <v>440</v>
      </c>
    </row>
    <row r="45" spans="1:5">
      <c r="A45" s="2" t="s">
        <v>43</v>
      </c>
      <c r="C45" s="2">
        <v>3404033</v>
      </c>
      <c r="D45" s="2">
        <v>3381121</v>
      </c>
      <c r="E45" s="2">
        <v>22912</v>
      </c>
    </row>
    <row r="46" spans="1:5">
      <c r="A46" s="2" t="s">
        <v>44</v>
      </c>
      <c r="C46" s="2">
        <v>635518</v>
      </c>
      <c r="D46" s="2">
        <v>885518</v>
      </c>
      <c r="E46" s="2">
        <v>250000</v>
      </c>
    </row>
    <row r="47" hidden="1" spans="1:5">
      <c r="A47" s="2" t="s">
        <v>441</v>
      </c>
      <c r="C47" s="2">
        <v>3258872</v>
      </c>
      <c r="D47" s="2">
        <v>3694831.79</v>
      </c>
      <c r="E47" s="2">
        <v>435959.79</v>
      </c>
    </row>
    <row r="48" hidden="1" spans="1:1">
      <c r="A48" s="2" t="s">
        <v>441</v>
      </c>
    </row>
    <row r="49" spans="1:5">
      <c r="A49" s="2" t="s">
        <v>46</v>
      </c>
      <c r="C49" s="2">
        <v>575640</v>
      </c>
      <c r="D49" s="2">
        <v>738000</v>
      </c>
      <c r="E49" s="2">
        <v>162360</v>
      </c>
    </row>
    <row r="50" spans="1:5">
      <c r="A50" s="2" t="s">
        <v>47</v>
      </c>
      <c r="C50" s="2">
        <v>191318</v>
      </c>
      <c r="D50" s="2">
        <v>193885.79</v>
      </c>
      <c r="E50" s="2">
        <v>2567.79</v>
      </c>
    </row>
    <row r="51" spans="1:5">
      <c r="A51" s="2" t="s">
        <v>48</v>
      </c>
      <c r="C51" s="2">
        <v>261201</v>
      </c>
      <c r="D51" s="2">
        <v>250771</v>
      </c>
      <c r="E51" s="2">
        <v>10430</v>
      </c>
    </row>
    <row r="52" spans="1:5">
      <c r="A52" s="2" t="s">
        <v>49</v>
      </c>
      <c r="C52" s="2">
        <v>2194384</v>
      </c>
      <c r="D52" s="2">
        <v>2465600</v>
      </c>
      <c r="E52" s="2">
        <v>271216</v>
      </c>
    </row>
    <row r="53" spans="1:5">
      <c r="A53" s="2" t="s">
        <v>50</v>
      </c>
      <c r="C53" s="2">
        <v>36329</v>
      </c>
      <c r="D53" s="2">
        <v>46575</v>
      </c>
      <c r="E53" s="2">
        <v>10246</v>
      </c>
    </row>
    <row r="54" hidden="1" spans="1:5">
      <c r="A54" s="2" t="s">
        <v>442</v>
      </c>
      <c r="C54" s="2">
        <v>4589077.31</v>
      </c>
      <c r="D54" s="2">
        <v>5382651.25</v>
      </c>
      <c r="E54" s="2">
        <v>793573.94</v>
      </c>
    </row>
    <row r="55" hidden="1" spans="1:1">
      <c r="A55" s="2" t="s">
        <v>442</v>
      </c>
    </row>
    <row r="56" spans="1:4">
      <c r="A56" s="2" t="s">
        <v>52</v>
      </c>
      <c r="C56" s="2">
        <v>263100</v>
      </c>
      <c r="D56" s="2">
        <v>263100</v>
      </c>
    </row>
    <row r="57" spans="1:5">
      <c r="A57" s="2" t="s">
        <v>53</v>
      </c>
      <c r="C57" s="2">
        <v>4040276.31</v>
      </c>
      <c r="D57" s="2">
        <v>4753266.25</v>
      </c>
      <c r="E57" s="2">
        <v>712989.94</v>
      </c>
    </row>
    <row r="58" spans="1:5">
      <c r="A58" s="2" t="s">
        <v>54</v>
      </c>
      <c r="C58" s="2">
        <v>23270</v>
      </c>
      <c r="D58" s="2">
        <v>29835</v>
      </c>
      <c r="E58" s="2">
        <v>6565</v>
      </c>
    </row>
    <row r="59" spans="1:5">
      <c r="A59" s="2" t="s">
        <v>55</v>
      </c>
      <c r="C59" s="2">
        <v>262431</v>
      </c>
      <c r="D59" s="2">
        <v>336450</v>
      </c>
      <c r="E59" s="2">
        <v>74019</v>
      </c>
    </row>
    <row r="60" hidden="1" spans="1:5">
      <c r="A60" s="2" t="s">
        <v>443</v>
      </c>
      <c r="C60" s="2">
        <v>153772.32</v>
      </c>
      <c r="D60" s="2">
        <v>197144</v>
      </c>
      <c r="E60" s="2">
        <v>43371.68</v>
      </c>
    </row>
    <row r="61" hidden="1" spans="1:1">
      <c r="A61" s="2" t="s">
        <v>443</v>
      </c>
    </row>
    <row r="62" spans="1:5">
      <c r="A62" s="2" t="s">
        <v>57</v>
      </c>
      <c r="C62" s="2">
        <v>153772.32</v>
      </c>
      <c r="D62" s="2">
        <v>197144</v>
      </c>
      <c r="E62" s="2">
        <v>43371.68</v>
      </c>
    </row>
    <row r="63" hidden="1" spans="1:5">
      <c r="A63" s="2" t="s">
        <v>444</v>
      </c>
      <c r="C63" s="2">
        <v>4590132.54</v>
      </c>
      <c r="D63" s="2">
        <v>5931092</v>
      </c>
      <c r="E63" s="2">
        <v>1340959.46</v>
      </c>
    </row>
    <row r="64" hidden="1" spans="1:1">
      <c r="A64" s="2" t="s">
        <v>444</v>
      </c>
    </row>
    <row r="65" spans="1:4">
      <c r="A65" s="2" t="s">
        <v>59</v>
      </c>
      <c r="C65" s="2">
        <v>17248</v>
      </c>
      <c r="D65" s="2">
        <v>17248</v>
      </c>
    </row>
    <row r="66" spans="1:5">
      <c r="A66" s="2" t="s">
        <v>60</v>
      </c>
      <c r="C66" s="2">
        <v>5066.88</v>
      </c>
      <c r="D66" s="2">
        <v>6496</v>
      </c>
      <c r="E66" s="2">
        <v>1429.12</v>
      </c>
    </row>
    <row r="67" spans="1:5">
      <c r="A67" s="2" t="s">
        <v>61</v>
      </c>
      <c r="C67" s="2">
        <v>4567817.66</v>
      </c>
      <c r="D67" s="2">
        <v>5907348</v>
      </c>
      <c r="E67" s="2">
        <v>1339530.34</v>
      </c>
    </row>
    <row r="68" hidden="1" spans="1:5">
      <c r="A68" s="2" t="s">
        <v>445</v>
      </c>
      <c r="C68" s="2">
        <v>155000</v>
      </c>
      <c r="D68" s="2">
        <v>198375</v>
      </c>
      <c r="E68" s="2">
        <v>43375</v>
      </c>
    </row>
    <row r="69" hidden="1" spans="1:1">
      <c r="A69" s="2" t="s">
        <v>445</v>
      </c>
    </row>
    <row r="70" spans="1:5">
      <c r="A70" s="2" t="s">
        <v>63</v>
      </c>
      <c r="C70" s="2">
        <v>155000</v>
      </c>
      <c r="D70" s="2">
        <v>198375</v>
      </c>
      <c r="E70" s="2">
        <v>43375</v>
      </c>
    </row>
    <row r="71" hidden="1" spans="1:4">
      <c r="A71" s="2" t="s">
        <v>446</v>
      </c>
      <c r="C71" s="2">
        <v>1539808.6</v>
      </c>
      <c r="D71" s="2">
        <v>1539808.6</v>
      </c>
    </row>
    <row r="72" hidden="1" spans="1:1">
      <c r="A72" s="2" t="s">
        <v>446</v>
      </c>
    </row>
    <row r="73" spans="1:4">
      <c r="A73" s="2" t="s">
        <v>65</v>
      </c>
      <c r="C73" s="2">
        <v>1539808.6</v>
      </c>
      <c r="D73" s="2">
        <v>1539808.6</v>
      </c>
    </row>
    <row r="74" hidden="1" spans="1:5">
      <c r="A74" s="2" t="s">
        <v>447</v>
      </c>
      <c r="C74" s="2">
        <v>3150738</v>
      </c>
      <c r="D74" s="2">
        <v>3028323.04</v>
      </c>
      <c r="E74" s="2">
        <v>122414.96</v>
      </c>
    </row>
    <row r="75" hidden="1" spans="1:1">
      <c r="A75" s="2" t="s">
        <v>447</v>
      </c>
    </row>
    <row r="76" hidden="1" spans="1:5">
      <c r="A76" s="2" t="s">
        <v>448</v>
      </c>
      <c r="C76" s="2">
        <v>3150738</v>
      </c>
      <c r="D76" s="2">
        <v>3028323.04</v>
      </c>
      <c r="E76" s="2">
        <v>122414.96</v>
      </c>
    </row>
    <row r="77" hidden="1" spans="1:1">
      <c r="A77" s="2" t="s">
        <v>448</v>
      </c>
    </row>
    <row r="78" spans="1:4">
      <c r="A78" s="2" t="s">
        <v>67</v>
      </c>
      <c r="C78" s="2">
        <v>6000</v>
      </c>
      <c r="D78" s="2">
        <v>6000</v>
      </c>
    </row>
    <row r="79" spans="1:5">
      <c r="A79" s="2" t="s">
        <v>68</v>
      </c>
      <c r="C79" s="2">
        <v>3117506</v>
      </c>
      <c r="D79" s="2">
        <v>2942744.04</v>
      </c>
      <c r="E79" s="2">
        <v>174761.96</v>
      </c>
    </row>
    <row r="80" spans="1:5">
      <c r="A80" s="2" t="s">
        <v>70</v>
      </c>
      <c r="D80" s="2">
        <v>434</v>
      </c>
      <c r="E80" s="2">
        <v>434</v>
      </c>
    </row>
    <row r="81" spans="1:5">
      <c r="A81" s="2" t="s">
        <v>71</v>
      </c>
      <c r="C81" s="2">
        <v>17503.2</v>
      </c>
      <c r="D81" s="2">
        <v>24145</v>
      </c>
      <c r="E81" s="2">
        <v>6641.8</v>
      </c>
    </row>
    <row r="82" spans="1:5">
      <c r="A82" s="2" t="s">
        <v>72</v>
      </c>
      <c r="C82" s="2">
        <v>9728.8</v>
      </c>
      <c r="D82" s="2">
        <v>55000</v>
      </c>
      <c r="E82" s="2">
        <v>45271.2</v>
      </c>
    </row>
    <row r="83" hidden="1" spans="1:5">
      <c r="A83" s="2" t="s">
        <v>449</v>
      </c>
      <c r="C83" s="2">
        <v>65181648.82</v>
      </c>
      <c r="D83" s="2">
        <v>73034140.72</v>
      </c>
      <c r="E83" s="2">
        <v>7852491.9</v>
      </c>
    </row>
    <row r="84" hidden="1" spans="1:5">
      <c r="A84" s="2" t="s">
        <v>450</v>
      </c>
      <c r="C84" s="2">
        <v>2629750</v>
      </c>
      <c r="D84" s="2">
        <v>3325307</v>
      </c>
      <c r="E84" s="2">
        <v>695557</v>
      </c>
    </row>
    <row r="85" hidden="1" spans="1:1">
      <c r="A85" s="2" t="s">
        <v>450</v>
      </c>
    </row>
    <row r="86" spans="1:5">
      <c r="A86" s="2" t="s">
        <v>74</v>
      </c>
      <c r="C86" s="2">
        <v>2629750</v>
      </c>
      <c r="D86" s="2">
        <v>3325307</v>
      </c>
      <c r="E86" s="2">
        <v>695557</v>
      </c>
    </row>
    <row r="87" hidden="1" spans="1:5">
      <c r="A87" s="2" t="s">
        <v>451</v>
      </c>
      <c r="C87" s="2">
        <v>1190938.43</v>
      </c>
      <c r="D87" s="2">
        <v>1991299</v>
      </c>
      <c r="E87" s="2">
        <v>800360.57</v>
      </c>
    </row>
    <row r="88" hidden="1" spans="1:1">
      <c r="A88" s="2" t="s">
        <v>451</v>
      </c>
    </row>
    <row r="89" spans="1:5">
      <c r="A89" s="2" t="s">
        <v>76</v>
      </c>
      <c r="C89" s="2">
        <v>666966.43</v>
      </c>
      <c r="D89" s="2">
        <v>1017327</v>
      </c>
      <c r="E89" s="2">
        <v>350360.57</v>
      </c>
    </row>
    <row r="90" spans="1:5">
      <c r="A90" s="2" t="s">
        <v>77</v>
      </c>
      <c r="C90" s="2">
        <v>435524</v>
      </c>
      <c r="D90" s="2">
        <v>835524</v>
      </c>
      <c r="E90" s="2">
        <v>400000</v>
      </c>
    </row>
    <row r="91" spans="1:5">
      <c r="A91" s="2" t="s">
        <v>78</v>
      </c>
      <c r="C91" s="2">
        <v>88448</v>
      </c>
      <c r="D91" s="2">
        <v>138448</v>
      </c>
      <c r="E91" s="2">
        <v>50000</v>
      </c>
    </row>
    <row r="92" hidden="1" spans="1:1">
      <c r="A92" s="2" t="s">
        <v>449</v>
      </c>
    </row>
    <row r="93" hidden="1" spans="1:5">
      <c r="A93" s="2" t="s">
        <v>452</v>
      </c>
      <c r="C93" s="2">
        <v>10000</v>
      </c>
      <c r="D93" s="2">
        <v>11000</v>
      </c>
      <c r="E93" s="2">
        <v>1000</v>
      </c>
    </row>
    <row r="94" hidden="1" spans="1:1">
      <c r="A94" s="2" t="s">
        <v>452</v>
      </c>
    </row>
    <row r="95" spans="1:5">
      <c r="A95" s="2" t="s">
        <v>80</v>
      </c>
      <c r="C95" s="2">
        <v>10000</v>
      </c>
      <c r="D95" s="2">
        <v>11000</v>
      </c>
      <c r="E95" s="2">
        <v>1000</v>
      </c>
    </row>
    <row r="96" hidden="1" spans="1:5">
      <c r="A96" s="2" t="s">
        <v>453</v>
      </c>
      <c r="C96" s="2">
        <v>40842632.56</v>
      </c>
      <c r="D96" s="2">
        <v>44249555.16</v>
      </c>
      <c r="E96" s="2">
        <v>3406922.6</v>
      </c>
    </row>
    <row r="97" hidden="1" spans="1:1">
      <c r="A97" s="2" t="s">
        <v>453</v>
      </c>
    </row>
    <row r="98" spans="1:5">
      <c r="A98" s="2" t="s">
        <v>82</v>
      </c>
      <c r="C98" s="2">
        <v>1301935</v>
      </c>
      <c r="D98" s="2">
        <v>1440862</v>
      </c>
      <c r="E98" s="2">
        <v>138927</v>
      </c>
    </row>
    <row r="99" spans="1:4">
      <c r="A99" s="2" t="s">
        <v>83</v>
      </c>
      <c r="C99" s="2">
        <v>32000</v>
      </c>
      <c r="D99" s="2">
        <v>32000</v>
      </c>
    </row>
    <row r="100" spans="1:4">
      <c r="A100" s="2" t="s">
        <v>84</v>
      </c>
      <c r="C100" s="2">
        <v>3500</v>
      </c>
      <c r="D100" s="2">
        <v>3500</v>
      </c>
    </row>
    <row r="101" spans="1:4">
      <c r="A101" s="2" t="s">
        <v>85</v>
      </c>
      <c r="C101" s="2">
        <v>49700</v>
      </c>
      <c r="D101" s="2">
        <v>49700</v>
      </c>
    </row>
    <row r="102" spans="1:4">
      <c r="A102" s="2" t="s">
        <v>86</v>
      </c>
      <c r="C102" s="2">
        <v>40000</v>
      </c>
      <c r="D102" s="2">
        <v>40000</v>
      </c>
    </row>
    <row r="103" spans="1:4">
      <c r="A103" s="2" t="s">
        <v>87</v>
      </c>
      <c r="C103" s="2">
        <v>2656000</v>
      </c>
      <c r="D103" s="2">
        <v>2656000</v>
      </c>
    </row>
    <row r="104" spans="1:5">
      <c r="A104" s="2" t="s">
        <v>89</v>
      </c>
      <c r="C104" s="2">
        <v>21466457.06</v>
      </c>
      <c r="D104" s="2">
        <v>21909874.19</v>
      </c>
      <c r="E104" s="2">
        <v>443417.13</v>
      </c>
    </row>
    <row r="105" spans="1:5">
      <c r="A105" s="2" t="s">
        <v>90</v>
      </c>
      <c r="C105" s="2">
        <v>658854</v>
      </c>
      <c r="D105" s="2">
        <v>658382</v>
      </c>
      <c r="E105" s="2">
        <v>472</v>
      </c>
    </row>
    <row r="106" spans="1:5">
      <c r="A106" s="2" t="s">
        <v>91</v>
      </c>
      <c r="C106" s="2">
        <v>3600000</v>
      </c>
      <c r="D106" s="2">
        <v>3600043</v>
      </c>
      <c r="E106" s="2">
        <v>43</v>
      </c>
    </row>
    <row r="107" spans="1:5">
      <c r="A107" s="2" t="s">
        <v>92</v>
      </c>
      <c r="C107" s="2">
        <v>751830.29</v>
      </c>
      <c r="D107" s="2">
        <v>790000</v>
      </c>
      <c r="E107" s="2">
        <v>38169.71</v>
      </c>
    </row>
    <row r="108" spans="1:5">
      <c r="A108" s="2" t="s">
        <v>93</v>
      </c>
      <c r="C108" s="2">
        <v>4853673.57</v>
      </c>
      <c r="D108" s="2">
        <v>4937670.57</v>
      </c>
      <c r="E108" s="2">
        <v>83997</v>
      </c>
    </row>
    <row r="109" spans="1:5">
      <c r="A109" s="2" t="s">
        <v>94</v>
      </c>
      <c r="C109" s="2">
        <v>2066531.4</v>
      </c>
      <c r="D109" s="2">
        <v>2728972.4</v>
      </c>
      <c r="E109" s="2">
        <v>662441</v>
      </c>
    </row>
    <row r="110" spans="1:5">
      <c r="A110" s="2" t="s">
        <v>95</v>
      </c>
      <c r="C110" s="2">
        <v>712151.24</v>
      </c>
      <c r="D110" s="2">
        <v>1102551</v>
      </c>
      <c r="E110" s="2">
        <v>390399.76</v>
      </c>
    </row>
    <row r="111" spans="1:5">
      <c r="A111" s="2" t="s">
        <v>96</v>
      </c>
      <c r="C111" s="2">
        <v>2650000</v>
      </c>
      <c r="D111" s="2">
        <v>4300000</v>
      </c>
      <c r="E111" s="2">
        <v>1650000</v>
      </c>
    </row>
    <row r="112" hidden="1" spans="1:5">
      <c r="A112" s="2" t="s">
        <v>454</v>
      </c>
      <c r="C112" s="2">
        <v>1406000</v>
      </c>
      <c r="D112" s="2">
        <v>1563240</v>
      </c>
      <c r="E112" s="2">
        <v>157240</v>
      </c>
    </row>
    <row r="113" hidden="1" spans="1:1">
      <c r="A113" s="2" t="s">
        <v>454</v>
      </c>
    </row>
    <row r="114" spans="1:4">
      <c r="A114" s="2" t="s">
        <v>98</v>
      </c>
      <c r="C114" s="2">
        <v>850000</v>
      </c>
      <c r="D114" s="2">
        <v>850000</v>
      </c>
    </row>
    <row r="115" spans="1:5">
      <c r="A115" s="2" t="s">
        <v>99</v>
      </c>
      <c r="C115" s="2">
        <v>556000</v>
      </c>
      <c r="D115" s="2">
        <v>713240</v>
      </c>
      <c r="E115" s="2">
        <v>157240</v>
      </c>
    </row>
    <row r="116" hidden="1" spans="1:5">
      <c r="A116" s="2" t="s">
        <v>455</v>
      </c>
      <c r="C116" s="2">
        <v>138800</v>
      </c>
      <c r="E116" s="2">
        <v>138800</v>
      </c>
    </row>
    <row r="117" hidden="1" spans="1:1">
      <c r="A117" s="2" t="s">
        <v>455</v>
      </c>
    </row>
    <row r="118" spans="1:5">
      <c r="A118" s="2" t="s">
        <v>101</v>
      </c>
      <c r="C118" s="2">
        <v>138800</v>
      </c>
      <c r="E118" s="2">
        <v>138800</v>
      </c>
    </row>
    <row r="119" hidden="1" spans="1:5">
      <c r="A119" s="2" t="s">
        <v>456</v>
      </c>
      <c r="C119" s="2">
        <v>1500000</v>
      </c>
      <c r="D119" s="2">
        <v>1721092.49</v>
      </c>
      <c r="E119" s="2">
        <v>221092.49</v>
      </c>
    </row>
    <row r="120" hidden="1" spans="1:1">
      <c r="A120" s="2" t="s">
        <v>456</v>
      </c>
    </row>
    <row r="121" spans="1:5">
      <c r="A121" s="2" t="s">
        <v>103</v>
      </c>
      <c r="C121" s="2">
        <v>1500000</v>
      </c>
      <c r="D121" s="2">
        <v>1721092.49</v>
      </c>
      <c r="E121" s="2">
        <v>221092.49</v>
      </c>
    </row>
    <row r="122" hidden="1" spans="1:4">
      <c r="A122" s="2" t="s">
        <v>457</v>
      </c>
      <c r="C122" s="2">
        <v>6000</v>
      </c>
      <c r="D122" s="2">
        <v>6000</v>
      </c>
    </row>
    <row r="123" hidden="1" spans="1:1">
      <c r="A123" s="2" t="s">
        <v>457</v>
      </c>
    </row>
    <row r="124" spans="1:4">
      <c r="A124" s="2" t="s">
        <v>106</v>
      </c>
      <c r="C124" s="2">
        <v>6000</v>
      </c>
      <c r="D124" s="2">
        <v>6000</v>
      </c>
    </row>
    <row r="125" hidden="1" spans="1:5">
      <c r="A125" s="2" t="s">
        <v>458</v>
      </c>
      <c r="C125" s="2">
        <v>804498</v>
      </c>
      <c r="D125" s="2">
        <v>851135</v>
      </c>
      <c r="E125" s="2">
        <v>46637</v>
      </c>
    </row>
    <row r="126" hidden="1" spans="1:1">
      <c r="A126" s="2" t="s">
        <v>458</v>
      </c>
    </row>
    <row r="127" spans="1:4">
      <c r="A127" s="2" t="s">
        <v>108</v>
      </c>
      <c r="C127" s="2">
        <v>26000</v>
      </c>
      <c r="D127" s="2">
        <v>26000</v>
      </c>
    </row>
    <row r="128" spans="1:5">
      <c r="A128" s="2" t="s">
        <v>109</v>
      </c>
      <c r="C128" s="2">
        <v>778498</v>
      </c>
      <c r="D128" s="2">
        <v>825135</v>
      </c>
      <c r="E128" s="2">
        <v>46637</v>
      </c>
    </row>
    <row r="129" hidden="1" spans="1:5">
      <c r="A129" s="2" t="s">
        <v>459</v>
      </c>
      <c r="C129" s="2">
        <v>64700</v>
      </c>
      <c r="D129" s="2">
        <v>64610</v>
      </c>
      <c r="E129" s="2">
        <v>90</v>
      </c>
    </row>
    <row r="130" hidden="1" spans="1:1">
      <c r="A130" s="2" t="s">
        <v>459</v>
      </c>
    </row>
    <row r="131" spans="1:5">
      <c r="A131" s="2" t="s">
        <v>111</v>
      </c>
      <c r="C131" s="2">
        <v>64700</v>
      </c>
      <c r="D131" s="2">
        <v>64610</v>
      </c>
      <c r="E131" s="2">
        <v>90</v>
      </c>
    </row>
    <row r="132" hidden="1" spans="1:4">
      <c r="A132" s="2" t="s">
        <v>460</v>
      </c>
      <c r="C132" s="2">
        <v>19848.91</v>
      </c>
      <c r="D132" s="2">
        <v>19848.91</v>
      </c>
    </row>
    <row r="133" hidden="1" spans="1:1">
      <c r="A133" s="2" t="s">
        <v>460</v>
      </c>
    </row>
    <row r="134" spans="1:4">
      <c r="A134" s="2" t="s">
        <v>113</v>
      </c>
      <c r="C134" s="2">
        <v>19848.91</v>
      </c>
      <c r="D134" s="2">
        <v>19848.91</v>
      </c>
    </row>
    <row r="135" hidden="1" spans="1:5">
      <c r="A135" s="2" t="s">
        <v>461</v>
      </c>
      <c r="C135" s="2">
        <v>3479909</v>
      </c>
      <c r="D135" s="2">
        <v>3589563</v>
      </c>
      <c r="E135" s="2">
        <v>109654</v>
      </c>
    </row>
    <row r="136" hidden="1" spans="1:1">
      <c r="A136" s="2" t="s">
        <v>461</v>
      </c>
    </row>
    <row r="137" spans="1:5">
      <c r="A137" s="2" t="s">
        <v>115</v>
      </c>
      <c r="C137" s="2">
        <v>3479909</v>
      </c>
      <c r="D137" s="2">
        <v>3589563</v>
      </c>
      <c r="E137" s="2">
        <v>109654</v>
      </c>
    </row>
    <row r="138" hidden="1" spans="1:5">
      <c r="A138" s="2" t="s">
        <v>462</v>
      </c>
      <c r="C138" s="2">
        <v>559134.47</v>
      </c>
      <c r="D138" s="2">
        <v>574927.53</v>
      </c>
      <c r="E138" s="2">
        <v>15793.06</v>
      </c>
    </row>
    <row r="139" hidden="1" spans="1:1">
      <c r="A139" s="2" t="s">
        <v>462</v>
      </c>
    </row>
    <row r="140" spans="1:5">
      <c r="A140" s="2" t="s">
        <v>117</v>
      </c>
      <c r="D140" s="2">
        <v>15793.06</v>
      </c>
      <c r="E140" s="2">
        <v>15793.06</v>
      </c>
    </row>
    <row r="141" spans="1:4">
      <c r="A141" s="2" t="s">
        <v>118</v>
      </c>
      <c r="C141" s="2">
        <v>559134.47</v>
      </c>
      <c r="D141" s="2">
        <v>559134.47</v>
      </c>
    </row>
    <row r="142" hidden="1" spans="1:5">
      <c r="A142" s="2" t="s">
        <v>463</v>
      </c>
      <c r="C142" s="2">
        <v>8738017.38</v>
      </c>
      <c r="D142" s="2">
        <v>10875202.83</v>
      </c>
      <c r="E142" s="2">
        <v>2137185.45</v>
      </c>
    </row>
    <row r="143" hidden="1" spans="1:1">
      <c r="A143" s="2" t="s">
        <v>463</v>
      </c>
    </row>
    <row r="144" spans="1:4">
      <c r="A144" s="2" t="s">
        <v>120</v>
      </c>
      <c r="C144" s="2">
        <v>461394</v>
      </c>
      <c r="D144" s="2">
        <v>461394</v>
      </c>
    </row>
    <row r="145" spans="1:4">
      <c r="A145" s="2" t="s">
        <v>121</v>
      </c>
      <c r="C145" s="2">
        <v>162122.01</v>
      </c>
      <c r="D145" s="2">
        <v>162122.01</v>
      </c>
    </row>
    <row r="146" spans="1:5">
      <c r="A146" s="2" t="s">
        <v>122</v>
      </c>
      <c r="C146" s="2">
        <v>292462</v>
      </c>
      <c r="D146" s="2">
        <v>292464.5</v>
      </c>
      <c r="E146" s="2">
        <v>2.5</v>
      </c>
    </row>
    <row r="147" spans="1:4">
      <c r="A147" s="2" t="s">
        <v>123</v>
      </c>
      <c r="C147" s="2">
        <v>3500</v>
      </c>
      <c r="D147" s="2">
        <v>3500</v>
      </c>
    </row>
    <row r="148" spans="1:4">
      <c r="A148" s="2" t="s">
        <v>124</v>
      </c>
      <c r="C148" s="2">
        <v>39500</v>
      </c>
      <c r="D148" s="2">
        <v>39500</v>
      </c>
    </row>
    <row r="149" spans="1:4">
      <c r="A149" s="2" t="s">
        <v>125</v>
      </c>
      <c r="C149" s="2">
        <v>399072.26</v>
      </c>
      <c r="D149" s="2">
        <v>399072.26</v>
      </c>
    </row>
    <row r="150" spans="1:4">
      <c r="A150" s="2" t="s">
        <v>126</v>
      </c>
      <c r="C150" s="2">
        <v>26000</v>
      </c>
      <c r="D150" s="2">
        <v>26000</v>
      </c>
    </row>
    <row r="151" spans="1:4">
      <c r="A151" s="2" t="s">
        <v>127</v>
      </c>
      <c r="C151" s="2">
        <v>180000</v>
      </c>
      <c r="D151" s="2">
        <v>180000</v>
      </c>
    </row>
    <row r="152" spans="1:5">
      <c r="A152" s="2" t="s">
        <v>128</v>
      </c>
      <c r="C152" s="2">
        <v>428608.3</v>
      </c>
      <c r="D152" s="2">
        <v>486500</v>
      </c>
      <c r="E152" s="2">
        <v>57891.7</v>
      </c>
    </row>
    <row r="153" spans="1:4">
      <c r="A153" s="2" t="s">
        <v>129</v>
      </c>
      <c r="C153" s="2">
        <v>330000</v>
      </c>
      <c r="D153" s="2">
        <v>330000</v>
      </c>
    </row>
    <row r="154" spans="1:5">
      <c r="A154" s="2" t="s">
        <v>130</v>
      </c>
      <c r="C154" s="2">
        <v>395859.98</v>
      </c>
      <c r="D154" s="2">
        <v>380859.98</v>
      </c>
      <c r="E154" s="2">
        <v>15000</v>
      </c>
    </row>
    <row r="155" spans="1:5">
      <c r="A155" s="2" t="s">
        <v>131</v>
      </c>
      <c r="C155" s="2">
        <v>3833936</v>
      </c>
      <c r="D155" s="2">
        <v>5333936.81</v>
      </c>
      <c r="E155" s="2">
        <v>1500000.81</v>
      </c>
    </row>
    <row r="156" spans="1:5">
      <c r="A156" s="2" t="s">
        <v>132</v>
      </c>
      <c r="C156" s="2">
        <v>722000</v>
      </c>
      <c r="D156" s="2">
        <v>1022599</v>
      </c>
      <c r="E156" s="2">
        <v>300599</v>
      </c>
    </row>
    <row r="157" spans="1:5">
      <c r="A157" s="2" t="s">
        <v>133</v>
      </c>
      <c r="C157" s="2">
        <v>463862.83</v>
      </c>
      <c r="D157" s="2">
        <v>564513.83</v>
      </c>
      <c r="E157" s="2">
        <v>100651</v>
      </c>
    </row>
    <row r="158" spans="1:5">
      <c r="A158" s="2" t="s">
        <v>134</v>
      </c>
      <c r="C158" s="2">
        <v>910000</v>
      </c>
      <c r="D158" s="2">
        <v>1077740.44</v>
      </c>
      <c r="E158" s="2">
        <v>167740.44</v>
      </c>
    </row>
    <row r="159" spans="1:5">
      <c r="A159" s="2" t="s">
        <v>135</v>
      </c>
      <c r="C159" s="2">
        <v>89700</v>
      </c>
      <c r="D159" s="2">
        <v>115000</v>
      </c>
      <c r="E159" s="2">
        <v>25300</v>
      </c>
    </row>
    <row r="160" hidden="1" spans="1:5">
      <c r="A160" s="2" t="s">
        <v>464</v>
      </c>
      <c r="C160" s="2">
        <v>58146.67</v>
      </c>
      <c r="D160" s="2">
        <v>438503</v>
      </c>
      <c r="E160" s="2">
        <v>380356.33</v>
      </c>
    </row>
    <row r="161" hidden="1" spans="1:1">
      <c r="A161" s="2" t="s">
        <v>464</v>
      </c>
    </row>
    <row r="162" spans="1:5">
      <c r="A162" s="2" t="s">
        <v>137</v>
      </c>
      <c r="C162" s="2">
        <v>58146.67</v>
      </c>
      <c r="D162" s="2">
        <v>438503</v>
      </c>
      <c r="E162" s="2">
        <v>380356.33</v>
      </c>
    </row>
    <row r="163" hidden="1" spans="1:5">
      <c r="A163" s="2" t="s">
        <v>465</v>
      </c>
      <c r="C163" s="2">
        <v>3733273.4</v>
      </c>
      <c r="D163" s="2">
        <v>3752856.8</v>
      </c>
      <c r="E163" s="2">
        <v>19583.4</v>
      </c>
    </row>
    <row r="164" hidden="1" spans="1:1">
      <c r="A164" s="2" t="s">
        <v>465</v>
      </c>
    </row>
    <row r="165" spans="1:5">
      <c r="A165" s="2" t="s">
        <v>139</v>
      </c>
      <c r="C165" s="2">
        <v>3733273.4</v>
      </c>
      <c r="D165" s="2">
        <v>3752856.8</v>
      </c>
      <c r="E165" s="2">
        <v>19583.4</v>
      </c>
    </row>
    <row r="166" hidden="1" spans="1:5">
      <c r="A166" s="2" t="s">
        <v>466</v>
      </c>
      <c r="B166" s="2">
        <v>6975</v>
      </c>
      <c r="C166" s="2">
        <v>35692758.19</v>
      </c>
      <c r="D166" s="2">
        <v>39577761.99</v>
      </c>
      <c r="E166" s="2">
        <v>3878028.8</v>
      </c>
    </row>
    <row r="167" hidden="1" spans="1:5">
      <c r="A167" s="2" t="s">
        <v>466</v>
      </c>
      <c r="B167" s="2">
        <v>62600</v>
      </c>
      <c r="E167" s="2">
        <v>62600</v>
      </c>
    </row>
    <row r="168" hidden="1" spans="1:5">
      <c r="A168" s="2" t="s">
        <v>467</v>
      </c>
      <c r="B168" s="2">
        <v>55625</v>
      </c>
      <c r="C168" s="2">
        <v>35692758.19</v>
      </c>
      <c r="D168" s="2">
        <v>39577761.99</v>
      </c>
      <c r="E168" s="2">
        <v>3940628.8</v>
      </c>
    </row>
    <row r="169" hidden="1" spans="1:5">
      <c r="A169" s="2" t="s">
        <v>468</v>
      </c>
      <c r="B169" s="2">
        <v>55625</v>
      </c>
      <c r="E169" s="2">
        <v>55625</v>
      </c>
    </row>
    <row r="170" hidden="1" spans="1:5">
      <c r="A170" s="2" t="s">
        <v>468</v>
      </c>
      <c r="B170" s="2">
        <v>55625</v>
      </c>
      <c r="E170" s="2">
        <v>55625</v>
      </c>
    </row>
    <row r="171" hidden="1" spans="1:4">
      <c r="A171" s="2" t="s">
        <v>469</v>
      </c>
      <c r="C171" s="2">
        <v>1691</v>
      </c>
      <c r="D171" s="2">
        <v>1691</v>
      </c>
    </row>
    <row r="172" hidden="1" spans="1:1">
      <c r="A172" s="2" t="s">
        <v>469</v>
      </c>
    </row>
    <row r="173" spans="1:4">
      <c r="A173" s="2" t="s">
        <v>141</v>
      </c>
      <c r="C173" s="2">
        <v>1691</v>
      </c>
      <c r="D173" s="2">
        <v>1691</v>
      </c>
    </row>
    <row r="174" hidden="1" spans="1:4">
      <c r="A174" s="2" t="s">
        <v>470</v>
      </c>
      <c r="C174" s="2">
        <v>133500</v>
      </c>
      <c r="D174" s="2">
        <v>133500</v>
      </c>
    </row>
    <row r="175" hidden="1" spans="1:1">
      <c r="A175" s="2" t="s">
        <v>470</v>
      </c>
    </row>
    <row r="176" spans="1:4">
      <c r="A176" s="2" t="s">
        <v>143</v>
      </c>
      <c r="C176" s="2">
        <v>133500</v>
      </c>
      <c r="D176" s="2">
        <v>133500</v>
      </c>
    </row>
    <row r="177" hidden="1" spans="1:5">
      <c r="A177" s="2" t="s">
        <v>471</v>
      </c>
      <c r="C177" s="2">
        <v>1798068</v>
      </c>
      <c r="D177" s="2">
        <v>2469092</v>
      </c>
      <c r="E177" s="2">
        <v>671024</v>
      </c>
    </row>
    <row r="178" hidden="1" spans="1:1">
      <c r="A178" s="2" t="s">
        <v>471</v>
      </c>
    </row>
    <row r="179" spans="1:4">
      <c r="A179" s="2" t="s">
        <v>145</v>
      </c>
      <c r="C179" s="2">
        <v>37050</v>
      </c>
      <c r="D179" s="2">
        <v>37050</v>
      </c>
    </row>
    <row r="180" spans="1:4">
      <c r="A180" s="2" t="s">
        <v>146</v>
      </c>
      <c r="C180" s="2">
        <v>7552</v>
      </c>
      <c r="D180" s="2">
        <v>7552</v>
      </c>
    </row>
    <row r="181" spans="1:4">
      <c r="A181" s="2" t="s">
        <v>147</v>
      </c>
      <c r="C181" s="2">
        <v>36830</v>
      </c>
      <c r="D181" s="2">
        <v>36830</v>
      </c>
    </row>
    <row r="182" spans="1:4">
      <c r="A182" s="2" t="s">
        <v>148</v>
      </c>
      <c r="C182" s="2">
        <v>8391</v>
      </c>
      <c r="D182" s="2">
        <v>8391</v>
      </c>
    </row>
    <row r="183" spans="1:4">
      <c r="A183" s="2" t="s">
        <v>149</v>
      </c>
      <c r="C183" s="2">
        <v>22800</v>
      </c>
      <c r="D183" s="2">
        <v>22800</v>
      </c>
    </row>
    <row r="184" spans="1:4">
      <c r="A184" s="2" t="s">
        <v>150</v>
      </c>
      <c r="C184" s="2">
        <v>42110</v>
      </c>
      <c r="D184" s="2">
        <v>42110</v>
      </c>
    </row>
    <row r="185" spans="1:4">
      <c r="A185" s="2" t="s">
        <v>151</v>
      </c>
      <c r="C185" s="2">
        <v>15000</v>
      </c>
      <c r="D185" s="2">
        <v>15000</v>
      </c>
    </row>
    <row r="186" spans="1:4">
      <c r="A186" s="2" t="s">
        <v>152</v>
      </c>
      <c r="C186" s="2">
        <v>52056</v>
      </c>
      <c r="D186" s="2">
        <v>52056</v>
      </c>
    </row>
    <row r="187" spans="1:5">
      <c r="A187" s="2" t="s">
        <v>153</v>
      </c>
      <c r="C187" s="2">
        <v>22000</v>
      </c>
      <c r="D187" s="2">
        <v>33583</v>
      </c>
      <c r="E187" s="2">
        <v>11583</v>
      </c>
    </row>
    <row r="188" spans="1:5">
      <c r="A188" s="2" t="s">
        <v>154</v>
      </c>
      <c r="C188" s="2">
        <v>23000</v>
      </c>
      <c r="D188" s="2">
        <v>34100</v>
      </c>
      <c r="E188" s="2">
        <v>11100</v>
      </c>
    </row>
    <row r="189" spans="1:5">
      <c r="A189" s="2" t="s">
        <v>155</v>
      </c>
      <c r="C189" s="2">
        <v>708765</v>
      </c>
      <c r="D189" s="2">
        <v>1014046</v>
      </c>
      <c r="E189" s="2">
        <v>305281</v>
      </c>
    </row>
    <row r="190" spans="1:5">
      <c r="A190" s="2" t="s">
        <v>156</v>
      </c>
      <c r="C190" s="2">
        <v>40000</v>
      </c>
      <c r="D190" s="2">
        <v>71500</v>
      </c>
      <c r="E190" s="2">
        <v>31500</v>
      </c>
    </row>
    <row r="191" spans="1:5">
      <c r="A191" s="2" t="s">
        <v>157</v>
      </c>
      <c r="C191" s="2">
        <v>120000</v>
      </c>
      <c r="D191" s="2">
        <v>179520</v>
      </c>
      <c r="E191" s="2">
        <v>59520</v>
      </c>
    </row>
    <row r="192" spans="1:5">
      <c r="A192" s="2" t="s">
        <v>158</v>
      </c>
      <c r="C192" s="2">
        <v>55014</v>
      </c>
      <c r="D192" s="2">
        <v>80014</v>
      </c>
      <c r="E192" s="2">
        <v>25000</v>
      </c>
    </row>
    <row r="193" spans="1:5">
      <c r="A193" s="2" t="s">
        <v>159</v>
      </c>
      <c r="C193" s="2">
        <v>310000</v>
      </c>
      <c r="D193" s="2">
        <v>437059</v>
      </c>
      <c r="E193" s="2">
        <v>127059</v>
      </c>
    </row>
    <row r="194" spans="1:5">
      <c r="A194" s="2" t="s">
        <v>160</v>
      </c>
      <c r="C194" s="2">
        <v>7500</v>
      </c>
      <c r="D194" s="2">
        <v>10010</v>
      </c>
      <c r="E194" s="2">
        <v>2510</v>
      </c>
    </row>
    <row r="195" spans="1:5">
      <c r="A195" s="2" t="s">
        <v>161</v>
      </c>
      <c r="C195" s="2">
        <v>150000</v>
      </c>
      <c r="D195" s="2">
        <v>209293</v>
      </c>
      <c r="E195" s="2">
        <v>59293</v>
      </c>
    </row>
    <row r="196" spans="1:5">
      <c r="A196" s="2" t="s">
        <v>162</v>
      </c>
      <c r="C196" s="2">
        <v>140000</v>
      </c>
      <c r="D196" s="2">
        <v>178178</v>
      </c>
      <c r="E196" s="2">
        <v>38178</v>
      </c>
    </row>
    <row r="197" hidden="1" spans="1:5">
      <c r="A197" s="2" t="s">
        <v>472</v>
      </c>
      <c r="C197" s="2">
        <v>1648971</v>
      </c>
      <c r="D197" s="2">
        <v>1815931</v>
      </c>
      <c r="E197" s="2">
        <v>166960</v>
      </c>
    </row>
    <row r="198" hidden="1" spans="1:1">
      <c r="A198" s="2" t="s">
        <v>472</v>
      </c>
    </row>
    <row r="199" spans="1:5">
      <c r="A199" s="2" t="s">
        <v>164</v>
      </c>
      <c r="C199" s="2">
        <v>1648971</v>
      </c>
      <c r="D199" s="2">
        <v>1815931</v>
      </c>
      <c r="E199" s="2">
        <v>166960</v>
      </c>
    </row>
    <row r="200" hidden="1" spans="1:5">
      <c r="A200" s="2" t="s">
        <v>473</v>
      </c>
      <c r="C200" s="2">
        <v>2602447</v>
      </c>
      <c r="D200" s="2">
        <v>2584847</v>
      </c>
      <c r="E200" s="2">
        <v>17600</v>
      </c>
    </row>
    <row r="201" hidden="1" spans="1:1">
      <c r="A201" s="2" t="s">
        <v>473</v>
      </c>
    </row>
    <row r="202" spans="1:4">
      <c r="A202" s="2" t="s">
        <v>166</v>
      </c>
      <c r="C202" s="2">
        <v>660000</v>
      </c>
      <c r="D202" s="2">
        <v>660000</v>
      </c>
    </row>
    <row r="203" spans="1:5">
      <c r="A203" s="2" t="s">
        <v>167</v>
      </c>
      <c r="C203" s="2">
        <v>1838410</v>
      </c>
      <c r="D203" s="2">
        <v>1820810</v>
      </c>
      <c r="E203" s="2">
        <v>17600</v>
      </c>
    </row>
    <row r="204" spans="1:4">
      <c r="A204" s="2" t="s">
        <v>168</v>
      </c>
      <c r="C204" s="2">
        <v>104037</v>
      </c>
      <c r="D204" s="2">
        <v>104037</v>
      </c>
    </row>
    <row r="205" hidden="1" spans="1:5">
      <c r="A205" s="2" t="s">
        <v>474</v>
      </c>
      <c r="C205" s="2">
        <v>17234804.2</v>
      </c>
      <c r="D205" s="2">
        <v>17113704.2</v>
      </c>
      <c r="E205" s="2">
        <v>121100</v>
      </c>
    </row>
    <row r="206" hidden="1" spans="1:1">
      <c r="A206" s="2" t="s">
        <v>474</v>
      </c>
    </row>
    <row r="207" spans="1:4">
      <c r="A207" s="2" t="s">
        <v>170</v>
      </c>
      <c r="C207" s="2">
        <v>129923</v>
      </c>
      <c r="D207" s="2">
        <v>129923</v>
      </c>
    </row>
    <row r="208" spans="1:4">
      <c r="A208" s="2" t="s">
        <v>171</v>
      </c>
      <c r="C208" s="2">
        <v>110000</v>
      </c>
      <c r="D208" s="2">
        <v>110000</v>
      </c>
    </row>
    <row r="209" spans="1:5">
      <c r="A209" s="2" t="s">
        <v>172</v>
      </c>
      <c r="C209" s="2">
        <v>8702148.2</v>
      </c>
      <c r="D209" s="2">
        <v>8678548.2</v>
      </c>
      <c r="E209" s="2">
        <v>23600</v>
      </c>
    </row>
    <row r="210" spans="1:5">
      <c r="A210" s="2" t="s">
        <v>173</v>
      </c>
      <c r="C210" s="2">
        <v>5499236.5</v>
      </c>
      <c r="D210" s="2">
        <v>5361736.5</v>
      </c>
      <c r="E210" s="2">
        <v>137500</v>
      </c>
    </row>
    <row r="211" spans="1:4">
      <c r="A211" s="2" t="s">
        <v>175</v>
      </c>
      <c r="C211" s="2">
        <v>2393496.5</v>
      </c>
      <c r="D211" s="2">
        <v>2393496.5</v>
      </c>
    </row>
    <row r="212" spans="1:5">
      <c r="A212" s="2" t="s">
        <v>177</v>
      </c>
      <c r="C212" s="2">
        <v>400000</v>
      </c>
      <c r="D212" s="2">
        <v>440000</v>
      </c>
      <c r="E212" s="2">
        <v>40000</v>
      </c>
    </row>
    <row r="213" hidden="1" spans="1:1">
      <c r="A213" s="2" t="s">
        <v>467</v>
      </c>
    </row>
    <row r="214" hidden="1" spans="1:5">
      <c r="A214" s="2" t="s">
        <v>475</v>
      </c>
      <c r="C214" s="2">
        <v>221945</v>
      </c>
      <c r="D214" s="2">
        <v>381205</v>
      </c>
      <c r="E214" s="2">
        <v>159260</v>
      </c>
    </row>
    <row r="215" hidden="1" spans="1:1">
      <c r="A215" s="2" t="s">
        <v>475</v>
      </c>
    </row>
    <row r="216" spans="1:5">
      <c r="A216" s="2" t="s">
        <v>179</v>
      </c>
      <c r="C216" s="2">
        <v>221945</v>
      </c>
      <c r="D216" s="2">
        <v>381205</v>
      </c>
      <c r="E216" s="2">
        <v>159260</v>
      </c>
    </row>
    <row r="217" hidden="1" spans="1:4">
      <c r="A217" s="2" t="s">
        <v>476</v>
      </c>
      <c r="C217" s="2">
        <v>374590</v>
      </c>
      <c r="D217" s="2">
        <v>374590</v>
      </c>
    </row>
    <row r="218" hidden="1" spans="1:1">
      <c r="A218" s="2" t="s">
        <v>476</v>
      </c>
    </row>
    <row r="219" spans="1:4">
      <c r="A219" s="2" t="s">
        <v>181</v>
      </c>
      <c r="C219" s="2">
        <v>374590</v>
      </c>
      <c r="D219" s="2">
        <v>374590</v>
      </c>
    </row>
    <row r="220" hidden="1" spans="1:5">
      <c r="A220" s="2" t="s">
        <v>477</v>
      </c>
      <c r="C220" s="2">
        <v>65000</v>
      </c>
      <c r="D220" s="2">
        <v>97440</v>
      </c>
      <c r="E220" s="2">
        <v>32440</v>
      </c>
    </row>
    <row r="221" hidden="1" spans="1:1">
      <c r="A221" s="2" t="s">
        <v>477</v>
      </c>
    </row>
    <row r="222" spans="1:5">
      <c r="A222" s="2" t="s">
        <v>183</v>
      </c>
      <c r="C222" s="2">
        <v>65000</v>
      </c>
      <c r="D222" s="2">
        <v>97440</v>
      </c>
      <c r="E222" s="2">
        <v>32440</v>
      </c>
    </row>
    <row r="223" hidden="1" spans="1:5">
      <c r="A223" s="2" t="s">
        <v>478</v>
      </c>
      <c r="C223" s="2">
        <v>1355969.28</v>
      </c>
      <c r="D223" s="2">
        <v>1832421.78</v>
      </c>
      <c r="E223" s="2">
        <v>476452.5</v>
      </c>
    </row>
    <row r="224" hidden="1" spans="1:1">
      <c r="A224" s="2" t="s">
        <v>478</v>
      </c>
    </row>
    <row r="225" spans="1:5">
      <c r="A225" s="2" t="s">
        <v>184</v>
      </c>
      <c r="C225" s="2">
        <v>209354</v>
      </c>
      <c r="D225" s="2">
        <v>531854</v>
      </c>
      <c r="E225" s="2">
        <v>322500</v>
      </c>
    </row>
    <row r="226" spans="1:5">
      <c r="A226" s="2" t="s">
        <v>185</v>
      </c>
      <c r="C226" s="2">
        <v>1113051.28</v>
      </c>
      <c r="D226" s="2">
        <v>1263051.28</v>
      </c>
      <c r="E226" s="2">
        <v>150000</v>
      </c>
    </row>
    <row r="227" spans="1:5">
      <c r="A227" s="2" t="s">
        <v>186</v>
      </c>
      <c r="C227" s="2">
        <v>24164</v>
      </c>
      <c r="D227" s="2">
        <v>24024</v>
      </c>
      <c r="E227" s="2">
        <v>140</v>
      </c>
    </row>
    <row r="228" spans="1:5">
      <c r="A228" s="2" t="s">
        <v>187</v>
      </c>
      <c r="C228" s="2">
        <v>9400</v>
      </c>
      <c r="D228" s="2">
        <v>13492.5</v>
      </c>
      <c r="E228" s="2">
        <v>4092.5</v>
      </c>
    </row>
    <row r="229" hidden="1" spans="1:5">
      <c r="A229" s="2" t="s">
        <v>479</v>
      </c>
      <c r="C229" s="2">
        <v>57353</v>
      </c>
      <c r="D229" s="2">
        <v>64153</v>
      </c>
      <c r="E229" s="2">
        <v>6800</v>
      </c>
    </row>
    <row r="230" hidden="1" spans="1:1">
      <c r="A230" s="2" t="s">
        <v>479</v>
      </c>
    </row>
    <row r="231" spans="1:4">
      <c r="A231" s="2" t="s">
        <v>189</v>
      </c>
      <c r="C231" s="2">
        <v>33353</v>
      </c>
      <c r="D231" s="2">
        <v>33353</v>
      </c>
    </row>
    <row r="232" spans="1:5">
      <c r="A232" s="2" t="s">
        <v>190</v>
      </c>
      <c r="C232" s="2">
        <v>24000</v>
      </c>
      <c r="D232" s="2">
        <v>30800</v>
      </c>
      <c r="E232" s="2">
        <v>6800</v>
      </c>
    </row>
    <row r="233" hidden="1" spans="1:5">
      <c r="A233" s="2" t="s">
        <v>480</v>
      </c>
      <c r="C233" s="2">
        <v>25000</v>
      </c>
      <c r="D233" s="2">
        <v>72600</v>
      </c>
      <c r="E233" s="2">
        <v>47600</v>
      </c>
    </row>
    <row r="234" hidden="1" spans="1:1">
      <c r="A234" s="2" t="s">
        <v>480</v>
      </c>
    </row>
    <row r="235" spans="1:5">
      <c r="A235" s="2" t="s">
        <v>192</v>
      </c>
      <c r="C235" s="2">
        <v>25000</v>
      </c>
      <c r="D235" s="2">
        <v>72600</v>
      </c>
      <c r="E235" s="2">
        <v>47600</v>
      </c>
    </row>
    <row r="236" hidden="1" spans="1:4">
      <c r="A236" s="2" t="s">
        <v>481</v>
      </c>
      <c r="C236" s="2">
        <v>4000</v>
      </c>
      <c r="D236" s="2">
        <v>4000</v>
      </c>
    </row>
    <row r="237" hidden="1" spans="1:1">
      <c r="A237" s="2" t="s">
        <v>481</v>
      </c>
    </row>
    <row r="238" spans="1:4">
      <c r="A238" s="2" t="s">
        <v>194</v>
      </c>
      <c r="C238" s="2">
        <v>4000</v>
      </c>
      <c r="D238" s="2">
        <v>4000</v>
      </c>
    </row>
    <row r="239" hidden="1" spans="1:5">
      <c r="A239" s="2" t="s">
        <v>482</v>
      </c>
      <c r="C239" s="2">
        <v>1210180.79</v>
      </c>
      <c r="D239" s="2">
        <v>1288084.79</v>
      </c>
      <c r="E239" s="2">
        <v>77904</v>
      </c>
    </row>
    <row r="240" hidden="1" spans="1:1">
      <c r="A240" s="2" t="s">
        <v>482</v>
      </c>
    </row>
    <row r="241" spans="1:4">
      <c r="A241" s="2" t="s">
        <v>196</v>
      </c>
      <c r="C241" s="2">
        <v>585000.79</v>
      </c>
      <c r="D241" s="2">
        <v>585000.79</v>
      </c>
    </row>
    <row r="242" spans="1:5">
      <c r="A242" s="2" t="s">
        <v>197</v>
      </c>
      <c r="C242" s="2">
        <v>625180</v>
      </c>
      <c r="D242" s="2">
        <v>703084</v>
      </c>
      <c r="E242" s="2">
        <v>77904</v>
      </c>
    </row>
    <row r="243" hidden="1" spans="1:5">
      <c r="A243" s="2" t="s">
        <v>483</v>
      </c>
      <c r="C243" s="2">
        <v>397913</v>
      </c>
      <c r="D243" s="2">
        <v>402263</v>
      </c>
      <c r="E243" s="2">
        <v>4350</v>
      </c>
    </row>
    <row r="244" hidden="1" spans="1:1">
      <c r="A244" s="2" t="s">
        <v>483</v>
      </c>
    </row>
    <row r="245" spans="1:5">
      <c r="A245" s="2" t="s">
        <v>199</v>
      </c>
      <c r="D245" s="2">
        <v>4350</v>
      </c>
      <c r="E245" s="2">
        <v>4350</v>
      </c>
    </row>
    <row r="246" spans="1:4">
      <c r="A246" s="2" t="s">
        <v>200</v>
      </c>
      <c r="C246" s="2">
        <v>397913</v>
      </c>
      <c r="D246" s="2">
        <v>397913</v>
      </c>
    </row>
    <row r="247" hidden="1" spans="1:5">
      <c r="A247" s="2" t="s">
        <v>484</v>
      </c>
      <c r="C247" s="2">
        <v>1906123.12</v>
      </c>
      <c r="D247" s="2">
        <v>2715512.12</v>
      </c>
      <c r="E247" s="2">
        <v>809389</v>
      </c>
    </row>
    <row r="248" hidden="1" spans="1:1">
      <c r="A248" s="2" t="s">
        <v>484</v>
      </c>
    </row>
    <row r="249" spans="1:4">
      <c r="A249" s="2" t="s">
        <v>202</v>
      </c>
      <c r="C249" s="2">
        <v>70000</v>
      </c>
      <c r="D249" s="2">
        <v>70000</v>
      </c>
    </row>
    <row r="250" spans="1:4">
      <c r="A250" s="2" t="s">
        <v>203</v>
      </c>
      <c r="C250" s="2">
        <v>1014.12</v>
      </c>
      <c r="D250" s="2">
        <v>1014.12</v>
      </c>
    </row>
    <row r="251" spans="1:5">
      <c r="A251" s="2" t="s">
        <v>204</v>
      </c>
      <c r="C251" s="2">
        <v>1273618</v>
      </c>
      <c r="D251" s="2">
        <v>2000000</v>
      </c>
      <c r="E251" s="2">
        <v>726382</v>
      </c>
    </row>
    <row r="252" spans="1:5">
      <c r="A252" s="2" t="s">
        <v>205</v>
      </c>
      <c r="C252" s="2">
        <v>561491</v>
      </c>
      <c r="D252" s="2">
        <v>644498</v>
      </c>
      <c r="E252" s="2">
        <v>83007</v>
      </c>
    </row>
    <row r="253" hidden="1" spans="1:5">
      <c r="A253" s="2" t="s">
        <v>485</v>
      </c>
      <c r="C253" s="2">
        <v>375615.5</v>
      </c>
      <c r="D253" s="2">
        <v>375615.9</v>
      </c>
      <c r="E253" s="2">
        <v>0.4</v>
      </c>
    </row>
    <row r="254" hidden="1" spans="1:1">
      <c r="A254" s="2" t="s">
        <v>485</v>
      </c>
    </row>
    <row r="255" spans="1:5">
      <c r="A255" s="2" t="s">
        <v>207</v>
      </c>
      <c r="C255" s="2">
        <v>375615.5</v>
      </c>
      <c r="D255" s="2">
        <v>375615.9</v>
      </c>
      <c r="E255" s="2">
        <v>0.4</v>
      </c>
    </row>
    <row r="256" hidden="1" spans="1:4">
      <c r="A256" s="2" t="s">
        <v>486</v>
      </c>
      <c r="C256" s="2">
        <v>130401.2</v>
      </c>
      <c r="D256" s="2">
        <v>130401.2</v>
      </c>
    </row>
    <row r="257" hidden="1" spans="1:1">
      <c r="A257" s="2" t="s">
        <v>486</v>
      </c>
    </row>
    <row r="258" spans="1:4">
      <c r="A258" s="2" t="s">
        <v>209</v>
      </c>
      <c r="C258" s="2">
        <v>126201.2</v>
      </c>
      <c r="D258" s="2">
        <v>126201.2</v>
      </c>
    </row>
    <row r="259" spans="1:4">
      <c r="A259" s="2" t="s">
        <v>210</v>
      </c>
      <c r="C259" s="2">
        <v>4200</v>
      </c>
      <c r="D259" s="2">
        <v>4200</v>
      </c>
    </row>
    <row r="260" hidden="1" spans="1:5">
      <c r="A260" s="2" t="s">
        <v>487</v>
      </c>
      <c r="C260" s="2">
        <v>355442.1</v>
      </c>
      <c r="D260" s="2">
        <v>451386</v>
      </c>
      <c r="E260" s="2">
        <v>95943.9</v>
      </c>
    </row>
    <row r="261" hidden="1" spans="1:1">
      <c r="A261" s="2" t="s">
        <v>487</v>
      </c>
    </row>
    <row r="262" spans="1:5">
      <c r="A262" s="2" t="s">
        <v>212</v>
      </c>
      <c r="C262" s="2">
        <v>355442.1</v>
      </c>
      <c r="D262" s="2">
        <v>451386</v>
      </c>
      <c r="E262" s="2">
        <v>95943.9</v>
      </c>
    </row>
    <row r="263" hidden="1" spans="1:5">
      <c r="A263" s="2" t="s">
        <v>488</v>
      </c>
      <c r="C263" s="2">
        <v>3949340</v>
      </c>
      <c r="D263" s="2">
        <v>4949340</v>
      </c>
      <c r="E263" s="2">
        <v>1000000</v>
      </c>
    </row>
    <row r="264" hidden="1" spans="1:1">
      <c r="A264" s="2" t="s">
        <v>488</v>
      </c>
    </row>
    <row r="265" spans="1:5">
      <c r="A265" s="2" t="s">
        <v>214</v>
      </c>
      <c r="C265" s="2">
        <v>3949340</v>
      </c>
      <c r="D265" s="2">
        <v>4949340</v>
      </c>
      <c r="E265" s="2">
        <v>1000000</v>
      </c>
    </row>
    <row r="266" hidden="1" spans="1:5">
      <c r="A266" s="2" t="s">
        <v>489</v>
      </c>
      <c r="C266" s="2">
        <v>1844404</v>
      </c>
      <c r="D266" s="2">
        <v>2319984</v>
      </c>
      <c r="E266" s="2">
        <v>475580</v>
      </c>
    </row>
    <row r="267" hidden="1" spans="1:1">
      <c r="A267" s="2" t="s">
        <v>489</v>
      </c>
    </row>
    <row r="268" spans="1:5">
      <c r="A268" s="2" t="s">
        <v>216</v>
      </c>
      <c r="C268" s="2">
        <v>425700</v>
      </c>
      <c r="D268" s="2">
        <v>535700</v>
      </c>
      <c r="E268" s="2">
        <v>110000</v>
      </c>
    </row>
    <row r="269" spans="1:5">
      <c r="A269" s="2" t="s">
        <v>217</v>
      </c>
      <c r="C269" s="2">
        <v>1418704</v>
      </c>
      <c r="D269" s="2">
        <v>1784284</v>
      </c>
      <c r="E269" s="2">
        <v>365580</v>
      </c>
    </row>
    <row r="270" hidden="1" spans="1:5">
      <c r="A270" s="2" t="s">
        <v>490</v>
      </c>
      <c r="B270" s="2">
        <v>11880</v>
      </c>
      <c r="C270" s="2">
        <v>13447036.64</v>
      </c>
      <c r="D270" s="2">
        <v>14358801.7</v>
      </c>
      <c r="E270" s="2">
        <v>899885.06</v>
      </c>
    </row>
    <row r="271" hidden="1" spans="1:5">
      <c r="A271" s="2" t="s">
        <v>491</v>
      </c>
      <c r="C271" s="2">
        <v>13447036.64</v>
      </c>
      <c r="D271" s="2">
        <v>14358801.7</v>
      </c>
      <c r="E271" s="2">
        <v>911765.06</v>
      </c>
    </row>
    <row r="272" hidden="1" spans="1:5">
      <c r="A272" s="2" t="s">
        <v>492</v>
      </c>
      <c r="C272" s="2">
        <v>69072</v>
      </c>
      <c r="D272" s="2">
        <v>94072</v>
      </c>
      <c r="E272" s="2">
        <v>25000</v>
      </c>
    </row>
    <row r="273" hidden="1" spans="1:1">
      <c r="A273" s="2" t="s">
        <v>492</v>
      </c>
    </row>
    <row r="274" spans="1:5">
      <c r="A274" s="2" t="s">
        <v>219</v>
      </c>
      <c r="C274" s="2">
        <v>69072</v>
      </c>
      <c r="D274" s="2">
        <v>94072</v>
      </c>
      <c r="E274" s="2">
        <v>25000</v>
      </c>
    </row>
    <row r="275" hidden="1" spans="1:1">
      <c r="A275" s="2" t="s">
        <v>491</v>
      </c>
    </row>
    <row r="276" hidden="1" spans="1:5">
      <c r="A276" s="2" t="s">
        <v>493</v>
      </c>
      <c r="C276" s="2">
        <v>10874074.64</v>
      </c>
      <c r="D276" s="2">
        <v>11411688.7</v>
      </c>
      <c r="E276" s="2">
        <v>537614.06</v>
      </c>
    </row>
    <row r="277" hidden="1" spans="1:1">
      <c r="A277" s="2" t="s">
        <v>493</v>
      </c>
    </row>
    <row r="278" spans="1:4">
      <c r="A278" s="2" t="s">
        <v>221</v>
      </c>
      <c r="C278" s="2">
        <v>11500</v>
      </c>
      <c r="D278" s="2">
        <v>11500</v>
      </c>
    </row>
    <row r="279" spans="1:5">
      <c r="A279" s="2" t="s">
        <v>222</v>
      </c>
      <c r="C279" s="2">
        <v>34233</v>
      </c>
      <c r="D279" s="2">
        <v>126649</v>
      </c>
      <c r="E279" s="2">
        <v>92416</v>
      </c>
    </row>
    <row r="280" spans="1:4">
      <c r="A280" s="2" t="s">
        <v>224</v>
      </c>
      <c r="C280" s="2">
        <v>1668425</v>
      </c>
      <c r="D280" s="2">
        <v>1668425</v>
      </c>
    </row>
    <row r="281" spans="1:5">
      <c r="A281" s="2" t="s">
        <v>225</v>
      </c>
      <c r="C281" s="2">
        <v>5861860.6</v>
      </c>
      <c r="D281" s="2">
        <v>5892632</v>
      </c>
      <c r="E281" s="2">
        <v>30771.4</v>
      </c>
    </row>
    <row r="282" spans="1:4">
      <c r="A282" s="2" t="s">
        <v>226</v>
      </c>
      <c r="C282" s="2">
        <v>1147085</v>
      </c>
      <c r="D282" s="2">
        <v>1147085</v>
      </c>
    </row>
    <row r="283" spans="1:5">
      <c r="A283" s="2" t="s">
        <v>227</v>
      </c>
      <c r="C283" s="2">
        <v>724751</v>
      </c>
      <c r="D283" s="2">
        <v>909447</v>
      </c>
      <c r="E283" s="2">
        <v>184696</v>
      </c>
    </row>
    <row r="284" spans="1:4">
      <c r="A284" s="2" t="s">
        <v>229</v>
      </c>
      <c r="C284" s="2">
        <v>330740</v>
      </c>
      <c r="D284" s="2">
        <v>330740</v>
      </c>
    </row>
    <row r="285" spans="1:5">
      <c r="A285" s="2" t="s">
        <v>230</v>
      </c>
      <c r="C285" s="2">
        <v>180250</v>
      </c>
      <c r="D285" s="2">
        <v>224730</v>
      </c>
      <c r="E285" s="2">
        <v>44480</v>
      </c>
    </row>
    <row r="286" spans="1:5">
      <c r="A286" s="2" t="s">
        <v>231</v>
      </c>
      <c r="C286" s="2">
        <v>241305</v>
      </c>
      <c r="D286" s="2">
        <v>268279</v>
      </c>
      <c r="E286" s="2">
        <v>26974</v>
      </c>
    </row>
    <row r="287" spans="1:5">
      <c r="A287" s="2" t="s">
        <v>232</v>
      </c>
      <c r="C287" s="2">
        <v>569191.04</v>
      </c>
      <c r="D287" s="2">
        <v>706801.7</v>
      </c>
      <c r="E287" s="2">
        <v>137610.66</v>
      </c>
    </row>
    <row r="288" spans="1:5">
      <c r="A288" s="2" t="s">
        <v>233</v>
      </c>
      <c r="C288" s="2">
        <v>19734</v>
      </c>
      <c r="D288" s="2">
        <v>25300</v>
      </c>
      <c r="E288" s="2">
        <v>5566</v>
      </c>
    </row>
    <row r="289" spans="1:5">
      <c r="A289" s="2" t="s">
        <v>234</v>
      </c>
      <c r="C289" s="2">
        <v>85000</v>
      </c>
      <c r="D289" s="2">
        <v>100100</v>
      </c>
      <c r="E289" s="2">
        <v>15100</v>
      </c>
    </row>
    <row r="290" hidden="1" spans="1:4">
      <c r="A290" s="2" t="s">
        <v>494</v>
      </c>
      <c r="C290" s="2">
        <v>34233</v>
      </c>
      <c r="D290" s="2">
        <v>34233</v>
      </c>
    </row>
    <row r="291" hidden="1" spans="1:1">
      <c r="A291" s="2" t="s">
        <v>494</v>
      </c>
    </row>
    <row r="292" spans="1:4">
      <c r="A292" s="2" t="s">
        <v>495</v>
      </c>
      <c r="C292" s="2">
        <v>34233</v>
      </c>
      <c r="D292" s="2">
        <v>34233</v>
      </c>
    </row>
    <row r="293" hidden="1" spans="1:5">
      <c r="A293" s="2" t="s">
        <v>496</v>
      </c>
      <c r="C293" s="2">
        <v>1456450</v>
      </c>
      <c r="D293" s="2">
        <v>1613010</v>
      </c>
      <c r="E293" s="2">
        <v>156560</v>
      </c>
    </row>
    <row r="294" hidden="1" spans="1:1">
      <c r="A294" s="2" t="s">
        <v>496</v>
      </c>
    </row>
    <row r="295" spans="1:4">
      <c r="A295" s="2" t="s">
        <v>238</v>
      </c>
      <c r="C295" s="2">
        <v>308665</v>
      </c>
      <c r="D295" s="2">
        <v>308665</v>
      </c>
    </row>
    <row r="296" spans="1:4">
      <c r="A296" s="2" t="s">
        <v>239</v>
      </c>
      <c r="C296" s="2">
        <v>592700</v>
      </c>
      <c r="D296" s="2">
        <v>592700</v>
      </c>
    </row>
    <row r="297" spans="1:5">
      <c r="A297" s="2" t="s">
        <v>240</v>
      </c>
      <c r="C297" s="2">
        <v>282265</v>
      </c>
      <c r="D297" s="2">
        <v>361880</v>
      </c>
      <c r="E297" s="2">
        <v>79615</v>
      </c>
    </row>
    <row r="298" spans="1:5">
      <c r="A298" s="2" t="s">
        <v>241</v>
      </c>
      <c r="C298" s="2">
        <v>272820</v>
      </c>
      <c r="D298" s="2">
        <v>349765</v>
      </c>
      <c r="E298" s="2">
        <v>76945</v>
      </c>
    </row>
    <row r="299" hidden="1" spans="1:5">
      <c r="A299" s="2" t="s">
        <v>497</v>
      </c>
      <c r="C299" s="2">
        <v>982650</v>
      </c>
      <c r="D299" s="2">
        <v>1174266</v>
      </c>
      <c r="E299" s="2">
        <v>191616</v>
      </c>
    </row>
    <row r="300" hidden="1" spans="1:1">
      <c r="A300" s="2" t="s">
        <v>497</v>
      </c>
    </row>
    <row r="301" spans="1:4">
      <c r="A301" s="2" t="s">
        <v>243</v>
      </c>
      <c r="C301" s="2">
        <v>81200</v>
      </c>
      <c r="D301" s="2">
        <v>81200</v>
      </c>
    </row>
    <row r="302" spans="1:4">
      <c r="A302" s="2" t="s">
        <v>244</v>
      </c>
      <c r="C302" s="2">
        <v>201450</v>
      </c>
      <c r="D302" s="2">
        <v>201450</v>
      </c>
    </row>
    <row r="303" spans="1:5">
      <c r="A303" s="2" t="s">
        <v>245</v>
      </c>
      <c r="C303" s="2">
        <v>700000</v>
      </c>
      <c r="D303" s="2">
        <v>891616</v>
      </c>
      <c r="E303" s="2">
        <v>191616</v>
      </c>
    </row>
    <row r="304" hidden="1" spans="1:5">
      <c r="A304" s="2" t="s">
        <v>498</v>
      </c>
      <c r="C304" s="2">
        <v>30557</v>
      </c>
      <c r="D304" s="2">
        <v>31532</v>
      </c>
      <c r="E304" s="2">
        <v>975</v>
      </c>
    </row>
    <row r="305" hidden="1" spans="1:1">
      <c r="A305" s="2" t="s">
        <v>498</v>
      </c>
    </row>
    <row r="306" spans="1:4">
      <c r="A306" s="2" t="s">
        <v>247</v>
      </c>
      <c r="C306" s="2">
        <v>15407</v>
      </c>
      <c r="D306" s="2">
        <v>15407</v>
      </c>
    </row>
    <row r="307" spans="1:5">
      <c r="A307" s="2" t="s">
        <v>248</v>
      </c>
      <c r="C307" s="2">
        <v>15150</v>
      </c>
      <c r="D307" s="2">
        <v>16125</v>
      </c>
      <c r="E307" s="2">
        <v>975</v>
      </c>
    </row>
    <row r="308" hidden="1" spans="1:5">
      <c r="A308" s="2" t="s">
        <v>490</v>
      </c>
      <c r="B308" s="2">
        <v>11880</v>
      </c>
      <c r="E308" s="2">
        <v>11880</v>
      </c>
    </row>
    <row r="309" hidden="1" spans="1:5">
      <c r="A309" s="2" t="s">
        <v>499</v>
      </c>
      <c r="C309" s="2">
        <v>181703705.29</v>
      </c>
      <c r="D309" s="2">
        <v>204016452.51</v>
      </c>
      <c r="E309" s="2">
        <v>22312747.22</v>
      </c>
    </row>
    <row r="310" hidden="1" spans="1:5">
      <c r="A310" s="2" t="s">
        <v>500</v>
      </c>
      <c r="C310" s="2">
        <v>82319396.4</v>
      </c>
      <c r="D310" s="2">
        <v>100716808.76</v>
      </c>
      <c r="E310" s="2">
        <v>18397412.36</v>
      </c>
    </row>
    <row r="311" hidden="1" spans="1:5">
      <c r="A311" s="2" t="s">
        <v>501</v>
      </c>
      <c r="C311" s="2">
        <v>750000</v>
      </c>
      <c r="D311" s="2">
        <v>1456000</v>
      </c>
      <c r="E311" s="2">
        <v>706000</v>
      </c>
    </row>
    <row r="312" hidden="1" spans="1:1">
      <c r="A312" s="2" t="s">
        <v>501</v>
      </c>
    </row>
    <row r="313" spans="1:5">
      <c r="A313" s="2" t="s">
        <v>250</v>
      </c>
      <c r="C313" s="2">
        <v>750000</v>
      </c>
      <c r="D313" s="2">
        <v>1456000</v>
      </c>
      <c r="E313" s="2">
        <v>706000</v>
      </c>
    </row>
    <row r="314" hidden="1" spans="1:5">
      <c r="A314" s="2" t="s">
        <v>502</v>
      </c>
      <c r="C314" s="2">
        <v>15888560.5</v>
      </c>
      <c r="D314" s="2">
        <v>17632894</v>
      </c>
      <c r="E314" s="2">
        <v>1744333.5</v>
      </c>
    </row>
    <row r="315" hidden="1" spans="1:1">
      <c r="A315" s="2" t="s">
        <v>502</v>
      </c>
    </row>
    <row r="316" spans="1:5">
      <c r="A316" s="2" t="s">
        <v>252</v>
      </c>
      <c r="C316" s="2">
        <v>4259805.5</v>
      </c>
      <c r="D316" s="2">
        <v>4259806</v>
      </c>
      <c r="E316" s="2">
        <v>0.5</v>
      </c>
    </row>
    <row r="317" spans="1:4">
      <c r="A317" s="2" t="s">
        <v>253</v>
      </c>
      <c r="C317" s="2">
        <v>5313598</v>
      </c>
      <c r="D317" s="2">
        <v>5313598</v>
      </c>
    </row>
    <row r="318" spans="1:5">
      <c r="A318" s="2" t="s">
        <v>254</v>
      </c>
      <c r="C318" s="2">
        <v>6315157</v>
      </c>
      <c r="D318" s="2">
        <v>8059490</v>
      </c>
      <c r="E318" s="2">
        <v>1744333</v>
      </c>
    </row>
    <row r="319" hidden="1" spans="1:5">
      <c r="A319" s="2" t="s">
        <v>503</v>
      </c>
      <c r="C319" s="2">
        <v>4006150</v>
      </c>
      <c r="D319" s="2">
        <v>7059508</v>
      </c>
      <c r="E319" s="2">
        <v>3053358</v>
      </c>
    </row>
    <row r="320" hidden="1" spans="1:1">
      <c r="A320" s="2" t="s">
        <v>503</v>
      </c>
    </row>
    <row r="321" spans="1:5">
      <c r="A321" s="2" t="s">
        <v>256</v>
      </c>
      <c r="C321" s="2">
        <v>4006150</v>
      </c>
      <c r="D321" s="2">
        <v>7059508</v>
      </c>
      <c r="E321" s="2">
        <v>3053358</v>
      </c>
    </row>
    <row r="322" hidden="1" spans="1:1">
      <c r="A322" s="2" t="s">
        <v>500</v>
      </c>
    </row>
    <row r="323" hidden="1" spans="1:5">
      <c r="A323" s="2" t="s">
        <v>504</v>
      </c>
      <c r="C323" s="2">
        <v>480693</v>
      </c>
      <c r="D323" s="2">
        <v>484950</v>
      </c>
      <c r="E323" s="2">
        <v>4257</v>
      </c>
    </row>
    <row r="324" hidden="1" spans="1:1">
      <c r="A324" s="2" t="s">
        <v>504</v>
      </c>
    </row>
    <row r="325" spans="1:5">
      <c r="A325" s="2" t="s">
        <v>258</v>
      </c>
      <c r="C325" s="2">
        <v>480693</v>
      </c>
      <c r="D325" s="2">
        <v>484950</v>
      </c>
      <c r="E325" s="2">
        <v>4257</v>
      </c>
    </row>
    <row r="326" hidden="1" spans="1:5">
      <c r="A326" s="2" t="s">
        <v>505</v>
      </c>
      <c r="C326" s="2">
        <v>35584178.3</v>
      </c>
      <c r="D326" s="2">
        <v>44766657.76</v>
      </c>
      <c r="E326" s="2">
        <v>9182479.46</v>
      </c>
    </row>
    <row r="327" hidden="1" spans="1:1">
      <c r="A327" s="2" t="s">
        <v>505</v>
      </c>
    </row>
    <row r="328" spans="1:5">
      <c r="A328" s="2" t="s">
        <v>260</v>
      </c>
      <c r="C328" s="2">
        <v>17812618</v>
      </c>
      <c r="D328" s="2">
        <v>24995098</v>
      </c>
      <c r="E328" s="2">
        <v>7182480</v>
      </c>
    </row>
    <row r="329" spans="1:5">
      <c r="A329" s="2" t="s">
        <v>261</v>
      </c>
      <c r="C329" s="2">
        <v>1799035.11</v>
      </c>
      <c r="D329" s="2">
        <v>1799034.76</v>
      </c>
      <c r="E329" s="2">
        <v>0.35</v>
      </c>
    </row>
    <row r="330" spans="1:4">
      <c r="A330" s="2" t="s">
        <v>262</v>
      </c>
      <c r="C330" s="2">
        <v>329500</v>
      </c>
      <c r="D330" s="2">
        <v>329500</v>
      </c>
    </row>
    <row r="331" spans="1:5">
      <c r="A331" s="2" t="s">
        <v>263</v>
      </c>
      <c r="C331" s="2">
        <v>2121223.19</v>
      </c>
      <c r="D331" s="2">
        <v>2121223</v>
      </c>
      <c r="E331" s="2">
        <v>0.19</v>
      </c>
    </row>
    <row r="332" spans="1:5">
      <c r="A332" s="2" t="s">
        <v>264</v>
      </c>
      <c r="C332" s="2">
        <v>8700000</v>
      </c>
      <c r="D332" s="2">
        <v>10700000</v>
      </c>
      <c r="E332" s="2">
        <v>2000000</v>
      </c>
    </row>
    <row r="333" spans="1:4">
      <c r="A333" s="2" t="s">
        <v>265</v>
      </c>
      <c r="C333" s="2">
        <v>4821802</v>
      </c>
      <c r="D333" s="2">
        <v>4821802</v>
      </c>
    </row>
    <row r="334" hidden="1" spans="1:4">
      <c r="A334" s="2" t="s">
        <v>506</v>
      </c>
      <c r="C334" s="2">
        <v>3108350</v>
      </c>
      <c r="D334" s="2">
        <v>3108350</v>
      </c>
    </row>
    <row r="335" hidden="1" spans="1:1">
      <c r="A335" s="2" t="s">
        <v>506</v>
      </c>
    </row>
    <row r="336" spans="1:4">
      <c r="A336" s="2" t="s">
        <v>267</v>
      </c>
      <c r="C336" s="2">
        <v>3108350</v>
      </c>
      <c r="D336" s="2">
        <v>3108350</v>
      </c>
    </row>
    <row r="337" hidden="1" spans="1:5">
      <c r="A337" s="2" t="s">
        <v>507</v>
      </c>
      <c r="C337" s="2">
        <v>10232339</v>
      </c>
      <c r="D337" s="2">
        <v>12653814</v>
      </c>
      <c r="E337" s="2">
        <v>2421475</v>
      </c>
    </row>
    <row r="338" hidden="1" spans="1:1">
      <c r="A338" s="2" t="s">
        <v>507</v>
      </c>
    </row>
    <row r="339" spans="1:5">
      <c r="A339" s="2" t="s">
        <v>269</v>
      </c>
      <c r="C339" s="2">
        <v>9937403</v>
      </c>
      <c r="D339" s="2">
        <v>12358878</v>
      </c>
      <c r="E339" s="2">
        <v>2421475</v>
      </c>
    </row>
    <row r="340" spans="1:4">
      <c r="A340" s="2" t="s">
        <v>270</v>
      </c>
      <c r="C340" s="2">
        <v>10725</v>
      </c>
      <c r="D340" s="2">
        <v>10725</v>
      </c>
    </row>
    <row r="341" spans="1:4">
      <c r="A341" s="2" t="s">
        <v>271</v>
      </c>
      <c r="C341" s="2">
        <v>284211</v>
      </c>
      <c r="D341" s="2">
        <v>284211</v>
      </c>
    </row>
    <row r="342" hidden="1" spans="1:5">
      <c r="A342" s="2" t="s">
        <v>508</v>
      </c>
      <c r="C342" s="2">
        <v>1599625</v>
      </c>
      <c r="D342" s="2">
        <v>2099625</v>
      </c>
      <c r="E342" s="2">
        <v>500000</v>
      </c>
    </row>
    <row r="343" hidden="1" spans="1:1">
      <c r="A343" s="2" t="s">
        <v>508</v>
      </c>
    </row>
    <row r="344" spans="1:5">
      <c r="A344" s="2" t="s">
        <v>273</v>
      </c>
      <c r="C344" s="2">
        <v>1599625</v>
      </c>
      <c r="D344" s="2">
        <v>2099625</v>
      </c>
      <c r="E344" s="2">
        <v>500000</v>
      </c>
    </row>
    <row r="345" hidden="1" spans="1:4">
      <c r="A345" s="2" t="s">
        <v>509</v>
      </c>
      <c r="C345" s="2">
        <v>30000</v>
      </c>
      <c r="D345" s="2">
        <v>30000</v>
      </c>
    </row>
    <row r="346" hidden="1" spans="1:1">
      <c r="A346" s="2" t="s">
        <v>509</v>
      </c>
    </row>
    <row r="347" spans="1:4">
      <c r="A347" s="2" t="s">
        <v>275</v>
      </c>
      <c r="C347" s="2">
        <v>30000</v>
      </c>
      <c r="D347" s="2">
        <v>30000</v>
      </c>
    </row>
    <row r="348" hidden="1" spans="1:4">
      <c r="A348" s="2" t="s">
        <v>510</v>
      </c>
      <c r="C348" s="2">
        <v>1553200</v>
      </c>
      <c r="D348" s="2">
        <v>1553200</v>
      </c>
    </row>
    <row r="349" hidden="1" spans="1:1">
      <c r="A349" s="2" t="s">
        <v>510</v>
      </c>
    </row>
    <row r="350" spans="1:4">
      <c r="A350" s="2" t="s">
        <v>277</v>
      </c>
      <c r="C350" s="2">
        <v>1553200</v>
      </c>
      <c r="D350" s="2">
        <v>1553200</v>
      </c>
    </row>
    <row r="351" hidden="1" spans="1:4">
      <c r="A351" s="2" t="s">
        <v>511</v>
      </c>
      <c r="C351" s="2">
        <v>928816</v>
      </c>
      <c r="D351" s="2">
        <v>928816</v>
      </c>
    </row>
    <row r="352" hidden="1" spans="1:1">
      <c r="A352" s="2" t="s">
        <v>511</v>
      </c>
    </row>
    <row r="353" spans="1:4">
      <c r="A353" s="2" t="s">
        <v>279</v>
      </c>
      <c r="C353" s="2">
        <v>928816</v>
      </c>
      <c r="D353" s="2">
        <v>928816</v>
      </c>
    </row>
    <row r="354" hidden="1" spans="1:5">
      <c r="A354" s="2" t="s">
        <v>512</v>
      </c>
      <c r="C354" s="2">
        <v>337265</v>
      </c>
      <c r="D354" s="2">
        <v>437265</v>
      </c>
      <c r="E354" s="2">
        <v>100000</v>
      </c>
    </row>
    <row r="355" hidden="1" spans="1:1">
      <c r="A355" s="2" t="s">
        <v>512</v>
      </c>
    </row>
    <row r="356" spans="1:5">
      <c r="A356" s="2" t="s">
        <v>281</v>
      </c>
      <c r="C356" s="2">
        <v>337265</v>
      </c>
      <c r="D356" s="2">
        <v>437265</v>
      </c>
      <c r="E356" s="2">
        <v>100000</v>
      </c>
    </row>
    <row r="357" hidden="1" spans="1:4">
      <c r="A357" s="2" t="s">
        <v>513</v>
      </c>
      <c r="C357" s="2">
        <v>692150</v>
      </c>
      <c r="D357" s="2">
        <v>692150</v>
      </c>
    </row>
    <row r="358" hidden="1" spans="1:1">
      <c r="A358" s="2" t="s">
        <v>513</v>
      </c>
    </row>
    <row r="359" spans="1:4">
      <c r="A359" s="2" t="s">
        <v>283</v>
      </c>
      <c r="C359" s="2">
        <v>692150</v>
      </c>
      <c r="D359" s="2">
        <v>692150</v>
      </c>
    </row>
    <row r="360" hidden="1" spans="1:5">
      <c r="A360" s="2" t="s">
        <v>514</v>
      </c>
      <c r="C360" s="2">
        <v>6533171.6</v>
      </c>
      <c r="D360" s="2">
        <v>7218681</v>
      </c>
      <c r="E360" s="2">
        <v>685509.4</v>
      </c>
    </row>
    <row r="361" hidden="1" spans="1:1">
      <c r="A361" s="2" t="s">
        <v>514</v>
      </c>
    </row>
    <row r="362" spans="1:4">
      <c r="A362" s="2" t="s">
        <v>285</v>
      </c>
      <c r="C362" s="2">
        <v>3075000</v>
      </c>
      <c r="D362" s="2">
        <v>3075000</v>
      </c>
    </row>
    <row r="363" spans="1:5">
      <c r="A363" s="2" t="s">
        <v>286</v>
      </c>
      <c r="C363" s="2">
        <v>119741.6</v>
      </c>
      <c r="D363" s="2">
        <v>119741</v>
      </c>
      <c r="E363" s="2">
        <v>0.6</v>
      </c>
    </row>
    <row r="364" spans="1:4">
      <c r="A364" s="2" t="s">
        <v>287</v>
      </c>
      <c r="C364" s="2">
        <v>1003014</v>
      </c>
      <c r="D364" s="2">
        <v>1003014</v>
      </c>
    </row>
    <row r="365" spans="1:4">
      <c r="A365" s="2" t="s">
        <v>288</v>
      </c>
      <c r="C365" s="2">
        <v>138700</v>
      </c>
      <c r="D365" s="2">
        <v>138700</v>
      </c>
    </row>
    <row r="366" spans="1:5">
      <c r="A366" s="2" t="s">
        <v>289</v>
      </c>
      <c r="C366" s="2">
        <v>1621179</v>
      </c>
      <c r="D366" s="2">
        <v>2156689</v>
      </c>
      <c r="E366" s="2">
        <v>535510</v>
      </c>
    </row>
    <row r="367" spans="1:5">
      <c r="A367" s="2" t="s">
        <v>290</v>
      </c>
      <c r="C367" s="2">
        <v>575537</v>
      </c>
      <c r="D367" s="2">
        <v>725537</v>
      </c>
      <c r="E367" s="2">
        <v>150000</v>
      </c>
    </row>
    <row r="368" hidden="1" spans="1:4">
      <c r="A368" s="2" t="s">
        <v>515</v>
      </c>
      <c r="C368" s="2">
        <v>45000</v>
      </c>
      <c r="D368" s="2">
        <v>45000</v>
      </c>
    </row>
    <row r="369" hidden="1" spans="1:1">
      <c r="A369" s="2" t="s">
        <v>515</v>
      </c>
    </row>
    <row r="370" spans="1:4">
      <c r="A370" s="2" t="s">
        <v>292</v>
      </c>
      <c r="C370" s="2">
        <v>45000</v>
      </c>
      <c r="D370" s="2">
        <v>45000</v>
      </c>
    </row>
    <row r="371" hidden="1" spans="1:4">
      <c r="A371" s="2" t="s">
        <v>516</v>
      </c>
      <c r="C371" s="2">
        <v>541000</v>
      </c>
      <c r="D371" s="2">
        <v>541000</v>
      </c>
    </row>
    <row r="372" hidden="1" spans="1:1">
      <c r="A372" s="2" t="s">
        <v>516</v>
      </c>
    </row>
    <row r="373" spans="1:4">
      <c r="A373" s="2" t="s">
        <v>294</v>
      </c>
      <c r="C373" s="2">
        <v>541000</v>
      </c>
      <c r="D373" s="2">
        <v>541000</v>
      </c>
    </row>
    <row r="374" hidden="1" spans="1:4">
      <c r="A374" s="2" t="s">
        <v>517</v>
      </c>
      <c r="C374" s="2">
        <v>8898</v>
      </c>
      <c r="D374" s="2">
        <v>8898</v>
      </c>
    </row>
    <row r="375" hidden="1" spans="1:1">
      <c r="A375" s="2" t="s">
        <v>517</v>
      </c>
    </row>
    <row r="376" spans="1:4">
      <c r="A376" s="2" t="s">
        <v>296</v>
      </c>
      <c r="C376" s="2">
        <v>8898</v>
      </c>
      <c r="D376" s="2">
        <v>8898</v>
      </c>
    </row>
    <row r="377" hidden="1" spans="1:5">
      <c r="A377" s="2" t="s">
        <v>518</v>
      </c>
      <c r="C377" s="2">
        <v>11786824.75</v>
      </c>
      <c r="D377" s="2">
        <v>12444820.75</v>
      </c>
      <c r="E377" s="2">
        <v>657996</v>
      </c>
    </row>
    <row r="378" hidden="1" spans="1:1">
      <c r="A378" s="2" t="s">
        <v>518</v>
      </c>
    </row>
    <row r="379" hidden="1" spans="1:5">
      <c r="A379" s="2" t="s">
        <v>519</v>
      </c>
      <c r="C379" s="2">
        <v>11786824.75</v>
      </c>
      <c r="D379" s="2">
        <v>12444820.75</v>
      </c>
      <c r="E379" s="2">
        <v>657996</v>
      </c>
    </row>
    <row r="380" hidden="1" spans="1:1">
      <c r="A380" s="2" t="s">
        <v>519</v>
      </c>
    </row>
    <row r="381" spans="1:5">
      <c r="A381" s="2" t="s">
        <v>298</v>
      </c>
      <c r="C381" s="2">
        <v>54004</v>
      </c>
      <c r="E381" s="2">
        <v>54004</v>
      </c>
    </row>
    <row r="382" spans="1:4">
      <c r="A382" s="2" t="s">
        <v>299</v>
      </c>
      <c r="C382" s="2">
        <v>55000</v>
      </c>
      <c r="D382" s="2">
        <v>55000</v>
      </c>
    </row>
    <row r="383" spans="1:4">
      <c r="A383" s="2" t="s">
        <v>300</v>
      </c>
      <c r="C383" s="2">
        <v>8867050.75</v>
      </c>
      <c r="D383" s="2">
        <v>8867050.75</v>
      </c>
    </row>
    <row r="384" spans="1:5">
      <c r="A384" s="2" t="s">
        <v>301</v>
      </c>
      <c r="C384" s="2">
        <v>2810770</v>
      </c>
      <c r="D384" s="2">
        <v>3522770</v>
      </c>
      <c r="E384" s="2">
        <v>712000</v>
      </c>
    </row>
    <row r="385" hidden="1" spans="1:5">
      <c r="A385" s="2" t="s">
        <v>520</v>
      </c>
      <c r="C385" s="2">
        <v>6008760</v>
      </c>
      <c r="D385" s="2">
        <v>6808760</v>
      </c>
      <c r="E385" s="2">
        <v>800000</v>
      </c>
    </row>
    <row r="386" hidden="1" spans="1:4">
      <c r="A386" s="2" t="s">
        <v>521</v>
      </c>
      <c r="C386" s="2">
        <v>1389500</v>
      </c>
      <c r="D386" s="2">
        <v>1389500</v>
      </c>
    </row>
    <row r="387" hidden="1" spans="1:1">
      <c r="A387" s="2" t="s">
        <v>521</v>
      </c>
    </row>
    <row r="388" spans="1:4">
      <c r="A388" s="2" t="s">
        <v>302</v>
      </c>
      <c r="C388" s="2">
        <v>1389500</v>
      </c>
      <c r="D388" s="2">
        <v>1389500</v>
      </c>
    </row>
    <row r="389" hidden="1" spans="1:1">
      <c r="A389" s="2" t="s">
        <v>520</v>
      </c>
    </row>
    <row r="390" hidden="1" spans="1:5">
      <c r="A390" s="2" t="s">
        <v>522</v>
      </c>
      <c r="C390" s="2">
        <v>4619260</v>
      </c>
      <c r="D390" s="2">
        <v>5419260</v>
      </c>
      <c r="E390" s="2">
        <v>800000</v>
      </c>
    </row>
    <row r="391" hidden="1" spans="1:1">
      <c r="A391" s="2" t="s">
        <v>522</v>
      </c>
    </row>
    <row r="392" spans="1:5">
      <c r="A392" s="2" t="s">
        <v>303</v>
      </c>
      <c r="C392" s="2">
        <v>1850500</v>
      </c>
      <c r="D392" s="2">
        <v>2150500</v>
      </c>
      <c r="E392" s="2">
        <v>300000</v>
      </c>
    </row>
    <row r="393" spans="1:5">
      <c r="A393" s="2" t="s">
        <v>304</v>
      </c>
      <c r="C393" s="2">
        <v>1348800</v>
      </c>
      <c r="D393" s="2">
        <v>1548800</v>
      </c>
      <c r="E393" s="2">
        <v>200000</v>
      </c>
    </row>
    <row r="394" spans="1:5">
      <c r="A394" s="2" t="s">
        <v>306</v>
      </c>
      <c r="C394" s="2">
        <v>1419960</v>
      </c>
      <c r="D394" s="2">
        <v>1719960</v>
      </c>
      <c r="E394" s="2">
        <v>300000</v>
      </c>
    </row>
    <row r="395" hidden="1" spans="1:5">
      <c r="A395" s="2" t="s">
        <v>523</v>
      </c>
      <c r="C395" s="2">
        <v>81588724.14</v>
      </c>
      <c r="D395" s="2">
        <v>84046063</v>
      </c>
      <c r="E395" s="2">
        <v>2457338.86</v>
      </c>
    </row>
    <row r="396" hidden="1" spans="1:1">
      <c r="A396" s="2" t="s">
        <v>523</v>
      </c>
    </row>
    <row r="397" hidden="1" spans="1:5">
      <c r="A397" s="2" t="s">
        <v>524</v>
      </c>
      <c r="C397" s="2">
        <v>14733951.14</v>
      </c>
      <c r="D397" s="2">
        <v>15852557</v>
      </c>
      <c r="E397" s="2">
        <v>1118605.86</v>
      </c>
    </row>
    <row r="398" hidden="1" spans="1:1">
      <c r="A398" s="2" t="s">
        <v>524</v>
      </c>
    </row>
    <row r="399" spans="1:5">
      <c r="A399" s="2" t="s">
        <v>308</v>
      </c>
      <c r="C399" s="2">
        <v>11953547</v>
      </c>
      <c r="D399" s="2">
        <v>13072154</v>
      </c>
      <c r="E399" s="2">
        <v>1118607</v>
      </c>
    </row>
    <row r="400" spans="1:5">
      <c r="A400" s="2" t="s">
        <v>309</v>
      </c>
      <c r="C400" s="2">
        <v>2780404.14</v>
      </c>
      <c r="D400" s="2">
        <v>2780403</v>
      </c>
      <c r="E400" s="2">
        <v>1.14</v>
      </c>
    </row>
    <row r="401" hidden="1" spans="1:5">
      <c r="A401" s="2" t="s">
        <v>525</v>
      </c>
      <c r="C401" s="2">
        <v>5207909</v>
      </c>
      <c r="D401" s="2">
        <v>5670335</v>
      </c>
      <c r="E401" s="2">
        <v>462426</v>
      </c>
    </row>
    <row r="402" hidden="1" spans="1:1">
      <c r="A402" s="2" t="s">
        <v>525</v>
      </c>
    </row>
    <row r="403" spans="1:4">
      <c r="A403" s="2" t="s">
        <v>311</v>
      </c>
      <c r="C403" s="2">
        <v>1312055</v>
      </c>
      <c r="D403" s="2">
        <v>1312055</v>
      </c>
    </row>
    <row r="404" spans="1:4">
      <c r="A404" s="2" t="s">
        <v>312</v>
      </c>
      <c r="C404" s="2">
        <v>2663100</v>
      </c>
      <c r="D404" s="2">
        <v>2663100</v>
      </c>
    </row>
    <row r="405" spans="1:5">
      <c r="A405" s="2" t="s">
        <v>313</v>
      </c>
      <c r="C405" s="2">
        <v>632754</v>
      </c>
      <c r="D405" s="2">
        <v>832754</v>
      </c>
      <c r="E405" s="2">
        <v>200000</v>
      </c>
    </row>
    <row r="406" spans="1:5">
      <c r="A406" s="2" t="s">
        <v>314</v>
      </c>
      <c r="C406" s="2">
        <v>600000</v>
      </c>
      <c r="D406" s="2">
        <v>862426</v>
      </c>
      <c r="E406" s="2">
        <v>262426</v>
      </c>
    </row>
    <row r="407" hidden="1" spans="1:5">
      <c r="A407" s="2" t="s">
        <v>526</v>
      </c>
      <c r="C407" s="2">
        <v>1000000</v>
      </c>
      <c r="D407" s="2">
        <v>1610670</v>
      </c>
      <c r="E407" s="2">
        <v>610670</v>
      </c>
    </row>
    <row r="408" hidden="1" spans="1:1">
      <c r="A408" s="2" t="s">
        <v>526</v>
      </c>
    </row>
    <row r="409" spans="1:5">
      <c r="A409" s="2" t="s">
        <v>316</v>
      </c>
      <c r="C409" s="2">
        <v>1000000</v>
      </c>
      <c r="D409" s="2">
        <v>1610670</v>
      </c>
      <c r="E409" s="2">
        <v>610670</v>
      </c>
    </row>
    <row r="410" hidden="1" spans="1:5">
      <c r="A410" s="2" t="s">
        <v>527</v>
      </c>
      <c r="C410" s="2">
        <v>12729309</v>
      </c>
      <c r="D410" s="2">
        <v>12727929</v>
      </c>
      <c r="E410" s="2">
        <v>1380</v>
      </c>
    </row>
    <row r="411" hidden="1" spans="1:1">
      <c r="A411" s="2" t="s">
        <v>527</v>
      </c>
    </row>
    <row r="412" spans="1:5">
      <c r="A412" s="2" t="s">
        <v>318</v>
      </c>
      <c r="C412" s="2">
        <v>12729309</v>
      </c>
      <c r="D412" s="2">
        <v>12727929</v>
      </c>
      <c r="E412" s="2">
        <v>1380</v>
      </c>
    </row>
    <row r="413" hidden="1" spans="1:5">
      <c r="A413" s="2" t="s">
        <v>528</v>
      </c>
      <c r="C413" s="2">
        <v>17898523</v>
      </c>
      <c r="D413" s="2">
        <v>16052150</v>
      </c>
      <c r="E413" s="2">
        <v>1846373</v>
      </c>
    </row>
    <row r="414" hidden="1" spans="1:1">
      <c r="A414" s="2" t="s">
        <v>528</v>
      </c>
    </row>
    <row r="415" spans="1:5">
      <c r="A415" s="2" t="s">
        <v>320</v>
      </c>
      <c r="C415" s="2">
        <v>11025023</v>
      </c>
      <c r="D415" s="2">
        <v>9178650</v>
      </c>
      <c r="E415" s="2">
        <v>1846373</v>
      </c>
    </row>
    <row r="416" spans="1:4">
      <c r="A416" s="2" t="s">
        <v>321</v>
      </c>
      <c r="C416" s="2">
        <v>6873500</v>
      </c>
      <c r="D416" s="2">
        <v>6873500</v>
      </c>
    </row>
    <row r="417" hidden="1" spans="1:5">
      <c r="A417" s="2" t="s">
        <v>529</v>
      </c>
      <c r="C417" s="2">
        <v>30019032</v>
      </c>
      <c r="D417" s="2">
        <v>32132422</v>
      </c>
      <c r="E417" s="2">
        <v>2113390</v>
      </c>
    </row>
    <row r="418" hidden="1" spans="1:1">
      <c r="A418" s="2" t="s">
        <v>529</v>
      </c>
    </row>
    <row r="419" spans="1:4">
      <c r="A419" s="2" t="s">
        <v>323</v>
      </c>
      <c r="C419" s="2">
        <v>17619032</v>
      </c>
      <c r="D419" s="2">
        <v>17619032</v>
      </c>
    </row>
    <row r="420" spans="1:5">
      <c r="A420" s="2" t="s">
        <v>324</v>
      </c>
      <c r="C420" s="2">
        <v>12400000</v>
      </c>
      <c r="D420" s="2">
        <v>14513390</v>
      </c>
      <c r="E420" s="2">
        <v>2113390</v>
      </c>
    </row>
    <row r="421" hidden="1" spans="1:1">
      <c r="A421" s="2" t="s">
        <v>499</v>
      </c>
    </row>
    <row r="422" hidden="1" spans="1:5">
      <c r="A422" s="2" t="s">
        <v>530</v>
      </c>
      <c r="B422" s="2">
        <v>139692058.48</v>
      </c>
      <c r="D422" s="2">
        <v>134164</v>
      </c>
      <c r="E422" s="2">
        <v>139557894.48</v>
      </c>
    </row>
    <row r="423" hidden="1" spans="1:5">
      <c r="A423" s="2" t="s">
        <v>530</v>
      </c>
      <c r="B423" s="2">
        <v>139692058.48</v>
      </c>
      <c r="E423" s="2">
        <v>139692058.48</v>
      </c>
    </row>
    <row r="424" hidden="1" spans="1:5">
      <c r="A424" s="2" t="s">
        <v>531</v>
      </c>
      <c r="D424" s="2">
        <v>134164</v>
      </c>
      <c r="E424" s="2">
        <v>134164</v>
      </c>
    </row>
    <row r="425" hidden="1" spans="1:1">
      <c r="A425" s="2" t="s">
        <v>531</v>
      </c>
    </row>
    <row r="426" spans="1:5">
      <c r="A426" s="2" t="s">
        <v>325</v>
      </c>
      <c r="D426" s="2">
        <v>134164</v>
      </c>
      <c r="E426" s="2">
        <v>134164</v>
      </c>
    </row>
    <row r="427" hidden="1" spans="1:5">
      <c r="A427" s="2" t="s">
        <v>532</v>
      </c>
      <c r="B427" s="2">
        <v>17714103.48</v>
      </c>
      <c r="C427" s="2">
        <v>1947323.81</v>
      </c>
      <c r="D427" s="2">
        <v>96233870.96</v>
      </c>
      <c r="E427" s="2">
        <v>112000650.63</v>
      </c>
    </row>
    <row r="428" hidden="1" spans="1:5">
      <c r="A428" s="2" t="s">
        <v>533</v>
      </c>
      <c r="B428" s="2">
        <v>126278185</v>
      </c>
      <c r="C428" s="2">
        <v>380168914.91</v>
      </c>
      <c r="D428" s="2">
        <v>520099619.12</v>
      </c>
      <c r="E428" s="2">
        <v>13652519.21</v>
      </c>
    </row>
  </sheetData>
  <autoFilter xmlns:etc="http://www.wps.cn/officeDocument/2017/etCustomData" ref="A1:E428" etc:filterBottomFollowUsedRange="0">
    <filterColumn colId="0">
      <filters>
        <filter val="SB 22540"/>
        <filter val="SB 22641"/>
        <filter val="SB 22541"/>
        <filter val="SB 22642"/>
        <filter val="SB 22443"/>
        <filter val="SB 22343"/>
        <filter val="SB 22643"/>
        <filter val="SB 22543"/>
        <filter val="SB 22444"/>
        <filter val="SB 22344"/>
        <filter val="SB 22445"/>
        <filter val="SB 22645"/>
        <filter val="SB 22545"/>
        <filter val="SB 22446"/>
        <filter val="SB 22646"/>
        <filter val="SB 22546"/>
        <filter val="SB 21947"/>
        <filter val="SB 22347"/>
        <filter val="SB 22647"/>
        <filter val="SB 22547"/>
        <filter val="SB 22448"/>
        <filter val="SB 22548"/>
        <filter val="SB 22449"/>
        <filter val="SB 22649"/>
        <filter val="SB 22549"/>
        <filter val="SB 22332"/>
        <filter val="SB 22632"/>
        <filter val="SB 22532"/>
        <filter val="SB 22433"/>
        <filter val="SB 22633"/>
        <filter val="SB 22534"/>
        <filter val="SB 22635"/>
        <filter val="SB 22636"/>
        <filter val="SB 22536"/>
        <filter val="SB 22437"/>
        <filter val="SB 22637"/>
        <filter val="SB 22537"/>
        <filter val="SB 22338"/>
        <filter val="SB 22638"/>
        <filter val="SB 22538"/>
        <filter val="SB 22439"/>
        <filter val="SB 22639"/>
        <filter val="SB 22539"/>
        <filter val="SB 22320"/>
        <filter val="SB 22520"/>
        <filter val="SB 22321"/>
        <filter val="SB 22621"/>
        <filter val="SB 22422"/>
        <filter val="SB 22622"/>
        <filter val="SB 22223"/>
        <filter val="SB 22323"/>
        <filter val="SB 22623"/>
        <filter val="SB 22523"/>
        <filter val="SB 22453-Canceld"/>
        <filter val="SB 22124"/>
        <filter val="SB 22424"/>
        <filter val="SB 22324"/>
        <filter val="SB 22624"/>
        <filter val="SB 22524"/>
        <filter val="SB 22325"/>
        <filter val="SB 22625"/>
        <filter val="SB 22326"/>
        <filter val="SB 22526"/>
        <filter val="SB 22327"/>
        <filter val="SB 22627"/>
        <filter val="SB 22527"/>
        <filter val="SB 22428"/>
        <filter val="SB 22329"/>
        <filter val="SB 22629"/>
        <filter val="SB 22529"/>
        <filter val="SB 22410"/>
        <filter val="SB 22610"/>
        <filter val="SB 22411"/>
        <filter val="SB 22311"/>
        <filter val="SB 22611"/>
        <filter val="SB 22511"/>
        <filter val="SB 22612"/>
        <filter val="SB 22512"/>
        <filter val="SB 22613"/>
        <filter val="SB 22513"/>
        <filter val="SB 22414"/>
        <filter val="SB 22614"/>
        <filter val="SB 22115"/>
        <filter val="SB 22615"/>
        <filter val="SB 22416"/>
        <filter val="SB 22316"/>
        <filter val="SB 22616"/>
        <filter val="SB 22417"/>
        <filter val="SB 22317"/>
        <filter val="SB 22617"/>
        <filter val="SB 22318"/>
        <filter val="SB 22618"/>
        <filter val="SB 22518"/>
        <filter val="SB 22319"/>
        <filter val="SB 22619"/>
        <filter val="SB 22400"/>
        <filter val="SB 22600"/>
        <filter val="SB 22500"/>
        <filter val="SB 22401"/>
        <filter val="SB 22601"/>
        <filter val="SB 22501"/>
        <filter val="SB 22602"/>
        <filter val="SB 22502"/>
        <filter val="SB 22503"/>
        <filter val="SB 22204"/>
        <filter val="SB 22404"/>
        <filter val="SB 22604"/>
        <filter val="SB 22504"/>
        <filter val="SB 22205"/>
        <filter val="SB 22405"/>
        <filter val="SB 22305"/>
        <filter val="SB 22605"/>
        <filter val="SB 22306"/>
        <filter val="SB 22606"/>
        <filter val="SB 22506"/>
        <filter val="SB 22607"/>
        <filter val="SB 22608"/>
        <filter val="SB 22508"/>
        <filter val="SB 22609"/>
        <filter val="SB 22509"/>
        <filter val="SB 22190"/>
        <filter val="SB 22491"/>
        <filter val="SB 22391"/>
        <filter val="SB 21992"/>
        <filter val="SB 22492"/>
        <filter val="SB 22392"/>
        <filter val="SB 22592"/>
        <filter val="SB 22593"/>
        <filter val="SB 22494"/>
        <filter val="SB 22394"/>
        <filter val="SB 22594"/>
        <filter val="SB 22495"/>
        <filter val="SB 22395"/>
        <filter val="SB 22595"/>
        <filter val="SB 22396"/>
        <filter val="SB 22397"/>
        <filter val="SB 22597"/>
        <filter val="SB 22498"/>
        <filter val="SB 22598"/>
        <filter val="SB 22399"/>
        <filter val="SB 22599"/>
        <filter val="SB 22280"/>
        <filter val="SB 22580"/>
        <filter val="SB 22381"/>
        <filter val="SB 22581"/>
        <filter val="SB 22282"/>
        <filter val="SB 22582"/>
        <filter val="SB 22483"/>
        <filter val="SB 22083"/>
        <filter val="SB 22583"/>
        <filter val="SB 22384"/>
        <filter val="SB 22584"/>
        <filter val="SB 22485"/>
        <filter val="SB 22585"/>
        <filter val="SB 21386"/>
        <filter val="SB 22586"/>
        <filter val="SB 22487"/>
        <filter val="SB 22387"/>
        <filter val="SB 22587"/>
        <filter val="SB 22488"/>
        <filter val="SB 22588"/>
        <filter val="SB 22289"/>
        <filter val="SB 22589"/>
        <filter val="SB 22470"/>
        <filter val="SB 22570"/>
        <filter val="SB 22471"/>
        <filter val="SB 22571"/>
        <filter val="SB 22272"/>
        <filter val="SB 22472"/>
        <filter val="SB 22572"/>
        <filter val="SB 22573"/>
        <filter val="SB 22374"/>
        <filter val="SB 22574"/>
        <filter val="SB 22475"/>
        <filter val="SB 22375"/>
        <filter val="SB 22575"/>
        <filter val="SB 22376"/>
        <filter val="SB 22576"/>
        <filter val="SB 22477"/>
        <filter val="SB 22577"/>
        <filter val="SB 22278"/>
        <filter val="SB 22578"/>
        <filter val="SB 22479"/>
        <filter val="SB 22579"/>
        <filter val="SB 22460"/>
        <filter val="SB 22560"/>
        <filter val="SB 22461"/>
        <filter val="SB 22263"/>
        <filter val="SB 22363"/>
        <filter val="SB 22564"/>
        <filter val="SB 22465"/>
        <filter val="SB 22065"/>
        <filter val="SB 22565"/>
        <filter val="SB 21466"/>
        <filter val="SB 22366"/>
        <filter val="SB 22566"/>
        <filter val="SB 22567"/>
        <filter val="SB 22268"/>
        <filter val="SB 22469"/>
        <filter val="SB 22369"/>
        <filter val="SB 22569"/>
        <filter val="SB 22550"/>
        <filter val="SB 22451"/>
        <filter val="SB 22651"/>
        <filter val="SB 22551"/>
        <filter val="SB 22652"/>
        <filter val="SB 22552"/>
        <filter val="SB 22254"/>
        <filter val="SB 22354"/>
        <filter val="SB 22654"/>
        <filter val="SB 22455"/>
        <filter val="SB 22555"/>
        <filter val="SB 22156"/>
        <filter val="SB 22356"/>
        <filter val="SB 22656"/>
        <filter val="SB 22556"/>
        <filter val="SB 22557"/>
        <filter val="SB 22158"/>
        <filter val="SB 22558"/>
        <filter val="SB 21859"/>
        <filter val="SB 22159"/>
        <filter val="SB 22459"/>
        <filter val="SB 22659"/>
        <filter val="SB 22559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3"/>
  <sheetViews>
    <sheetView workbookViewId="0">
      <selection activeCell="B3" sqref="B3:C3"/>
    </sheetView>
  </sheetViews>
  <sheetFormatPr defaultColWidth="8.72727272727273" defaultRowHeight="14.5" outlineLevelRow="2" outlineLevelCol="3"/>
  <sheetData>
    <row r="3" ht="29" spans="2:4">
      <c r="B3">
        <v>727110</v>
      </c>
      <c r="C3" s="1" t="s">
        <v>534</v>
      </c>
      <c r="D3" t="e">
        <f>B3-C3</f>
        <v>#VALUE!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Clientwise Comparison</vt:lpstr>
      <vt:lpstr>NS Balance</vt:lpstr>
      <vt:lpstr>Tally Balance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Kalyani Chaudhari</cp:lastModifiedBy>
  <dcterms:created xsi:type="dcterms:W3CDTF">2025-07-17T07:38:00Z</dcterms:created>
  <dcterms:modified xsi:type="dcterms:W3CDTF">2025-07-25T12:30:42Z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FA4469DFD7E444C3A2EB7853064FAE25_13</vt:lpwstr>
  </property>
  <property fmtid="{D5CDD505-2E9C-101B-9397-08002B2CF9AE}" pid="3" name="KSOProductBuildVer">
    <vt:lpwstr>1033-12.2.0.21931</vt:lpwstr>
  </property>
</Properties>
</file>