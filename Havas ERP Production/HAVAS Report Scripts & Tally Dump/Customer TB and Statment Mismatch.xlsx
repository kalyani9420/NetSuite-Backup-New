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tabRatio="1000" activeTab="2"/>
  </bookViews>
  <sheets>
    <sheet name="Customer statement June" sheetId="1" r:id="rId1"/>
    <sheet name="TB June" sheetId="2" r:id="rId2"/>
    <sheet name="Summary June" sheetId="3" r:id="rId3"/>
    <sheet name="Customer Statment Transaction" sheetId="4" r:id="rId4"/>
    <sheet name="Account Receivable Transaction" sheetId="5" r:id="rId5"/>
    <sheet name="Sundry Debtors Transaction" sheetId="6" r:id="rId6"/>
    <sheet name="Advance from Debtors Transactio" sheetId="7" r:id="rId7"/>
  </sheets>
  <definedNames>
    <definedName name="_xlnm._FilterDatabase" localSheetId="1" hidden="1">'TB June'!$A$7:$E$616</definedName>
    <definedName name="_xlnm._FilterDatabase" localSheetId="3" hidden="1">'Customer Statment Transaction'!$A$1:$I$627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<sst xmlns="http://schemas.openxmlformats.org/spreadsheetml/2006/main" count="6509" uniqueCount="1669">
  <si>
    <t>Customer</t>
  </si>
  <si>
    <t>Opening Balance</t>
  </si>
  <si>
    <t>Total Debit</t>
  </si>
  <si>
    <t>Total Credit</t>
  </si>
  <si>
    <t>Closing Balance</t>
  </si>
  <si>
    <t>10002 Adfactors Advertising LLP</t>
  </si>
  <si>
    <t>10043 Kiran Nadar Museum of Art</t>
  </si>
  <si>
    <t>10044 Korea Trade Investment Promotion Agency</t>
  </si>
  <si>
    <t>10049 Megagrow Business Solutions LLP</t>
  </si>
  <si>
    <t>10088 CIO Association</t>
  </si>
  <si>
    <t>10032 Intel Americas INC</t>
  </si>
  <si>
    <t>10058 M/S RainFocus</t>
  </si>
  <si>
    <t>10203  Accenture Solutions Pvt Ltd</t>
  </si>
  <si>
    <t>10116  Aditya Birla Health Insurance Co Ltd</t>
  </si>
  <si>
    <t>10467  Adobe Systems India Pvt Ltd</t>
  </si>
  <si>
    <t>10640  Aeonx Digital Technology Ltd</t>
  </si>
  <si>
    <t>10381  Amazon Development Centre (India) Pvt Ltd</t>
  </si>
  <si>
    <t>10555  Amazon Pay (India) Pvt Ltd</t>
  </si>
  <si>
    <t>10642  Amazon Seller Services India Pvt Ltd</t>
  </si>
  <si>
    <t>10118  Amazon Transportation Services Pvt Ltd</t>
  </si>
  <si>
    <t>10469  Amway India Enterprises Pvt Ltd</t>
  </si>
  <si>
    <t>2.907904948E7</t>
  </si>
  <si>
    <t>10383  Apparel Resources Pvt Ltd</t>
  </si>
  <si>
    <t>10384  Asus India PVt Ltd</t>
  </si>
  <si>
    <t>10558  Autodesk India Pvt Ltd</t>
  </si>
  <si>
    <t>10647  Birlasoft Ltd</t>
  </si>
  <si>
    <t>10560  BP Business Solutions India Pvt Ltd</t>
  </si>
  <si>
    <t>10648  BP Exploration Alpha Ltd</t>
  </si>
  <si>
    <t>10301  Britannia Industries Ltd</t>
  </si>
  <si>
    <t>10389  Brookprop Property Management Services Pvt Ltd</t>
  </si>
  <si>
    <t>10562  BYD India Pvt Ltd</t>
  </si>
  <si>
    <t>10390  Candor Gurgaon One Realty Projects Pvt Ltd</t>
  </si>
  <si>
    <t>10476  Candor Kolkata One Hi Tech Structures Pvt Ltd</t>
  </si>
  <si>
    <t>10653  Classic Legends Pvt Ltd</t>
  </si>
  <si>
    <t>10306  Cognizant Technology Solutions India Pvt Ltd</t>
  </si>
  <si>
    <t>1.902995625E7</t>
  </si>
  <si>
    <t>10221  Dbs Bank India Ltd</t>
  </si>
  <si>
    <t>10397  Dell International Services India Pvt Ltd</t>
  </si>
  <si>
    <t>1.404591808E7</t>
  </si>
  <si>
    <t>10664  GitHub India Pvt Ltd</t>
  </si>
  <si>
    <t>10140 GlaxoSmithKline Consumer Pvt Ltd</t>
  </si>
  <si>
    <t>10141  Google India Pvt Ltd</t>
  </si>
  <si>
    <t>5.644906288E7</t>
  </si>
  <si>
    <t>10493  Greenlam Industries Ltd</t>
  </si>
  <si>
    <t>10581  Havas Singapore Pte Ltd</t>
  </si>
  <si>
    <t>10496  Hero Motocorp Ltd</t>
  </si>
  <si>
    <t>10582  Hewlett Packard Enterprise Company</t>
  </si>
  <si>
    <t>10669  Hewlett Packard Enterprise India Pvt Ltd</t>
  </si>
  <si>
    <t>10412  Hindustan Unilever Ltd</t>
  </si>
  <si>
    <t>2.833714163E7</t>
  </si>
  <si>
    <t>2.965923863E7</t>
  </si>
  <si>
    <t>10583 Hitachi Vantara India Pvt Ltd</t>
  </si>
  <si>
    <t>10324  IKEA India Pvt Ltd</t>
  </si>
  <si>
    <t>10587  Innocean Worldwide Communication Pvt Ltd</t>
  </si>
  <si>
    <t>10588  Intel Technology India Pvt Ltd</t>
  </si>
  <si>
    <t>10592  Kotak Mahindra Bank Ltd</t>
  </si>
  <si>
    <t>10152  Lakme Lever Pvt Ltd</t>
  </si>
  <si>
    <t>10422  Loreal India Pvt Ltd</t>
  </si>
  <si>
    <t>10426  Microsoft Corporation (I) Pvt Ltd</t>
  </si>
  <si>
    <t>10249  NatWest Digital Services India Pvt Ltd (RBS Services India Pvt Ltd)</t>
  </si>
  <si>
    <t>10428  NEC Software Solutions (India) Pvt Ltd</t>
  </si>
  <si>
    <t>10252  Nmdc Data Centre Pvt Ltd</t>
  </si>
  <si>
    <t>10341  Northland Holding Company Pvt Ltd (JW Marriott Prestige Golfshire)</t>
  </si>
  <si>
    <t>10516  Novo Nordisk India Pvt Ltd</t>
  </si>
  <si>
    <t>10254  Ola Electric Technologies Pvt Ltd</t>
  </si>
  <si>
    <t>10518  OnePlus Technology India Pvt Ltd</t>
  </si>
  <si>
    <t>10434  Panasonic Life Solutions India Pvt Ltd</t>
  </si>
  <si>
    <t>10258  Phonepe Pvt Ltd</t>
  </si>
  <si>
    <t>10698  Redefine Marcom Pvt Ltd</t>
  </si>
  <si>
    <t>10174  Red Hat India Pvt Ltd</t>
  </si>
  <si>
    <t>1.242358325E7</t>
  </si>
  <si>
    <t>10261  Redington Ltd</t>
  </si>
  <si>
    <t>10439  Regency Ceramics Ltd</t>
  </si>
  <si>
    <t>10262  Renault Nissan Technology &amp; Business Centre India Pvt Ltd</t>
  </si>
  <si>
    <t>10177 SAP India Pvt Ltd</t>
  </si>
  <si>
    <t>10264  SAP Labs India Pvt Ltd</t>
  </si>
  <si>
    <t>10703  Schneider Electric India Pvt Ltd</t>
  </si>
  <si>
    <t>10443  Seaview Developers Pvt Ltd</t>
  </si>
  <si>
    <t>10617  Shantiniketan Properties Pvt Ltd</t>
  </si>
  <si>
    <t>10530  Siemens Healthcare Pvt Ltd</t>
  </si>
  <si>
    <t>10181  Siemens Ltd</t>
  </si>
  <si>
    <t>10268  Siemens Technology And Services Pvt Ltd</t>
  </si>
  <si>
    <t>10533  Softcell Technologies Global Pvt Ltd</t>
  </si>
  <si>
    <t>10622  Star India Pvt Ltd</t>
  </si>
  <si>
    <t>10273  STT Global Data Centres India Pvt Ltd</t>
  </si>
  <si>
    <t>10711  Tally Solutions Pvt Ltd</t>
  </si>
  <si>
    <t>10188  TATA Consultancy Services Ltd</t>
  </si>
  <si>
    <t>10626  Tata Motors Passenger Vehicles Ltd</t>
  </si>
  <si>
    <t>10713  Tata Sons Pvt Ltd</t>
  </si>
  <si>
    <t>10627  Tech Data Advanced Pvt Ltd</t>
  </si>
  <si>
    <t>10629  The Indian Express Pvt Ltd</t>
  </si>
  <si>
    <t>10281  Thoughtworks Technologies India Pvt Ltd</t>
  </si>
  <si>
    <t>10544  TVS Automobile Solutions Pvt Ltd</t>
  </si>
  <si>
    <t>10196  Tvs Srichakra Ltd</t>
  </si>
  <si>
    <t>10633  Unilever Industries Pvt Ltd</t>
  </si>
  <si>
    <t>10197  Vast Data UK Ltd</t>
  </si>
  <si>
    <t>10722  Vinfast Auto India Pvt Ltd</t>
  </si>
  <si>
    <t>10285  Vivo Mobile India Pvt Ltd</t>
  </si>
  <si>
    <t>10374  Vmware Software India Pvt Ltd</t>
  </si>
  <si>
    <t>10288  WM Global Technology Services India Pvt Ltd</t>
  </si>
  <si>
    <t>10377  Zscaler Softech India Pvt Ltd</t>
  </si>
  <si>
    <t>10121  Asus Global Pte Ltd</t>
  </si>
  <si>
    <t>10565  Citibank NA</t>
  </si>
  <si>
    <t>10485  Embee Software Pvt Ltd</t>
  </si>
  <si>
    <t>10407  Goc Services India Pvt Ltd</t>
  </si>
  <si>
    <t>10492  Godrej Agrovet Ltd</t>
  </si>
  <si>
    <t>10578  Godrej Consumer Products Ltd</t>
  </si>
  <si>
    <t>10665  Godrej Properties Ltd</t>
  </si>
  <si>
    <t>10330  L &amp; T Finance Ltd</t>
  </si>
  <si>
    <t>10537  Tata Advanced Systems Ltd</t>
  </si>
  <si>
    <t>10161  Neo4J India Pvt Ltd</t>
  </si>
  <si>
    <t>10336  Minda Corporation Ltd</t>
  </si>
  <si>
    <t>10385  Bangalore International Airport Ltd</t>
  </si>
  <si>
    <t>10171  Pernod Ricard India Pvt Ltd</t>
  </si>
  <si>
    <t>10266  Sheela Foam Ltd</t>
  </si>
  <si>
    <t>10392  Cellvest Energy Pvt Ltd</t>
  </si>
  <si>
    <t>10484  Eicher Motors Ltd</t>
  </si>
  <si>
    <t>10673  Infifresh Foods Pvt Ltd</t>
  </si>
  <si>
    <t>10531  Siemens Rail Automation Pvt Ltd</t>
  </si>
  <si>
    <t>10726 Aerobode One Pvt Ltd</t>
  </si>
  <si>
    <t>10728 Arliga Ecoworld Infrastructure Pvt Ltd</t>
  </si>
  <si>
    <t>10731 Bengaluru Airport Services Ltd</t>
  </si>
  <si>
    <t>10735 Equinox Business Parks Pvt Ltd</t>
  </si>
  <si>
    <t>10736 Festus Properties Pvt Ltd</t>
  </si>
  <si>
    <t>10739 Kairos Properties Pvt Ltd</t>
  </si>
  <si>
    <t>10740 Kurlon Enterprise Ltd</t>
  </si>
  <si>
    <t>10743 Parthos Properties Pvt Ltd</t>
  </si>
  <si>
    <t>10745 Striton Properties Pvt Ltd</t>
  </si>
  <si>
    <t>10748 Wella India Pvt Ltd</t>
  </si>
  <si>
    <t>10750 Witwicky One Pvt Ltd</t>
  </si>
  <si>
    <t>10751 Jamf India Pvt Ltd</t>
  </si>
  <si>
    <t>10752 Maruti Suzuki India Ltd</t>
  </si>
  <si>
    <t>10753 Superhealth Hospitals Pvt Ltd</t>
  </si>
  <si>
    <t>Suspens A/C .. Dr.</t>
  </si>
  <si>
    <t>10758 Shobiz Experiential Communications Pvt Ltd (ISD)</t>
  </si>
  <si>
    <t>10762 Mumbai Travel Retail Pvt Ltd</t>
  </si>
  <si>
    <t>10763 PMG Integrated Communications Pvt Ltd</t>
  </si>
  <si>
    <t>10764 TechnoBind Solutions Pvt Ltd</t>
  </si>
  <si>
    <t>10765 Shobiz Experiential Communications Pvt Ltd-Mum</t>
  </si>
  <si>
    <t>1.0930700696E8</t>
  </si>
  <si>
    <t>10766 Shobiz Experiential Communications Pvt Ltd-Del</t>
  </si>
  <si>
    <t>10767 Shobiz Experiential Communications Pvt Ltd-Che</t>
  </si>
  <si>
    <t>10768 Shobiz Experiential Communications Pvt Ltd-Blr</t>
  </si>
  <si>
    <t>10769 Indo-French Chamber Of Commerce &amp; Industry</t>
  </si>
  <si>
    <t>10770 International SOS Services (India) Pvt Ltd</t>
  </si>
  <si>
    <t>10776 Shobiz Experiential Communications Pvt Ltd (ISD-DR)-Che</t>
  </si>
  <si>
    <t>10778 Pramerica Life Insurance Ltd</t>
  </si>
  <si>
    <t>10779 Glance Digital Experience Pvt Ltd</t>
  </si>
  <si>
    <t>10780 Siddhika Chandrakant Ghag</t>
  </si>
  <si>
    <t>10782 Sharp Business Systems (India) Pvt Ltd</t>
  </si>
  <si>
    <t>10783 Havells India Ltd</t>
  </si>
  <si>
    <t>10784 Transunion Cibil Ltd</t>
  </si>
  <si>
    <t>10786 The Good Life Cafe And Health Ba (The Frying Pan)</t>
  </si>
  <si>
    <t>10792 Astec Lifesciences Ltd</t>
  </si>
  <si>
    <t>10793 Siemens Energy India Ltd</t>
  </si>
  <si>
    <t>10795 Tata Passenger Electric Mobility Ltd</t>
  </si>
  <si>
    <t>10796 Creamline Dairy Products Ltd</t>
  </si>
  <si>
    <t>Total</t>
  </si>
  <si>
    <t>Havas Worldwide India Pvt Ltd</t>
  </si>
  <si>
    <t>Havas India (Consolidated)</t>
  </si>
  <si>
    <t>BFL Trial Balance - Opening and closing Balance</t>
  </si>
  <si>
    <t>End of Jun 2025</t>
  </si>
  <si>
    <t/>
  </si>
  <si>
    <t>Account</t>
  </si>
  <si>
    <t>Opening Balance (As of May 2025)</t>
  </si>
  <si>
    <t>Amount (Debit) (Jun 2025)</t>
  </si>
  <si>
    <t>Amount (Credit) (Jun 2025)</t>
  </si>
  <si>
    <t>Closing Balance (As of Jun 2025)</t>
  </si>
  <si>
    <t>Accounts Payable</t>
  </si>
  <si>
    <t>Accounts Receivable</t>
  </si>
  <si>
    <t>Advance received from debtors</t>
  </si>
  <si>
    <t>1276 - Default Vendor Prepayment</t>
  </si>
  <si>
    <t>3000 - Retained Earnings</t>
  </si>
  <si>
    <t>A20400 - TRADEMARKS</t>
  </si>
  <si>
    <t>10293 - TRADEMARKS</t>
  </si>
  <si>
    <t>Total - A20400 - TRADEMARKS</t>
  </si>
  <si>
    <t>A20500 - CONCESSIONS, SOFTWARE LICENSES, PATENTS, SIMILAR RIGHTS</t>
  </si>
  <si>
    <t>10294 - SOFTWARE &amp; LICENSES</t>
  </si>
  <si>
    <t>Total - 10294 - SOFTWARE &amp; LICENSES</t>
  </si>
  <si>
    <t>Total - A20500 - CONCESSIONS, SOFTWARE LICENSES, PATENTS, SIMILAR RIGHTS</t>
  </si>
  <si>
    <t>A21600 - BUILDINGS FIXTURES AND FITTINGS ON NON FREEHOLD LAND</t>
  </si>
  <si>
    <t>10311 - LEASEHOLD IMPROVEMENTS</t>
  </si>
  <si>
    <t>1315 - Leasehold Improvements GL</t>
  </si>
  <si>
    <t>Total - 10311 - LEASEHOLD IMPROVEMENTS</t>
  </si>
  <si>
    <t>Total - A21600 - BUILDINGS FIXTURES AND FITTINGS ON NON FREEHOLD LAND</t>
  </si>
  <si>
    <t>A21700 - IT EQUIPMENT</t>
  </si>
  <si>
    <t>10314 - COMPUTERS</t>
  </si>
  <si>
    <t>1311 - Computer</t>
  </si>
  <si>
    <t>1312 - Monitor</t>
  </si>
  <si>
    <t>1313 - Laptop</t>
  </si>
  <si>
    <t>Total - 10314 - COMPUTERS</t>
  </si>
  <si>
    <t>Total - A21700 - IT EQUIPMENT</t>
  </si>
  <si>
    <t>A21800 - OTHER TANGIBLE ASSETS</t>
  </si>
  <si>
    <t>10316 - OFFICE &amp; ELECTRICAL EQUIPEMENT</t>
  </si>
  <si>
    <t>1316 - Airconditioner</t>
  </si>
  <si>
    <t>Total - 10316 - OFFICE &amp; ELECTRICAL EQUIPEMENT</t>
  </si>
  <si>
    <t>10317 - FURNITURE &amp; FIXTURE</t>
  </si>
  <si>
    <t>1314 - Chair</t>
  </si>
  <si>
    <t>Total - 10317 - FURNITURE &amp; FIXTURE</t>
  </si>
  <si>
    <t>Total - A21800 - OTHER TANGIBLE ASSETS</t>
  </si>
  <si>
    <t>A27600 - OTHER FINANCIAL ASSETS &lt; 1 YEAR</t>
  </si>
  <si>
    <t>10338 - SECURITY DEPOSITS - PREMISES</t>
  </si>
  <si>
    <t>1077 - Bottle Closure India Pvt Ltd-Deposits-Mum</t>
  </si>
  <si>
    <t>1079 - Elsie Mathew (Deposits)-Che</t>
  </si>
  <si>
    <t>1080 - H.P Rama Reddy</t>
  </si>
  <si>
    <t>1081 - K Vishwanath Gouda</t>
  </si>
  <si>
    <t>1082 - R C Gupta &amp; Bros-Deposit</t>
  </si>
  <si>
    <t>1083 - Havas Media India Pvt Ltd (Deposit)-Mum</t>
  </si>
  <si>
    <t>Total - 10338 - SECURITY DEPOSITS - PREMISES</t>
  </si>
  <si>
    <t>Total - A27600 - OTHER FINANCIAL ASSETS &lt; 1 YEAR</t>
  </si>
  <si>
    <t>A27601 - OTHER FINANCIAL ASSETS &gt; 1YEAR</t>
  </si>
  <si>
    <t>10339 - SECURITY DEPOSITS - OTHER</t>
  </si>
  <si>
    <t>Trident BKC (Nvidia Credit Rooms A/c)-Deposits</t>
  </si>
  <si>
    <t>Ushta Te Consultancy Services LLP (Deposit)</t>
  </si>
  <si>
    <t>1084 - Amalgamated Bean Coffee Trading Co. Ltd. (Security)</t>
  </si>
  <si>
    <t>1086 - Gst Appeal Filling Fees</t>
  </si>
  <si>
    <t>1088 - Super Service Station/Deposit</t>
  </si>
  <si>
    <t>Total - 10339 - SECURITY DEPOSITS - OTHER</t>
  </si>
  <si>
    <t>Total - A27601 - OTHER FINANCIAL ASSETS &gt; 1YEAR</t>
  </si>
  <si>
    <t>A27800 - LOANS, SECURITY &amp; OTHER RECEIVABLES &lt; 1YEAR</t>
  </si>
  <si>
    <t>10340 - LOANS TO EMPLOYEES</t>
  </si>
  <si>
    <t>10341 - OTHER LOANS &amp; ADVANCES</t>
  </si>
  <si>
    <t>1089 - Executive Advance For Expenses Receivable (Mis)</t>
  </si>
  <si>
    <t>1252 - Advance To Employees</t>
  </si>
  <si>
    <t>Total - 10341 - OTHER LOANS &amp; ADVANCES</t>
  </si>
  <si>
    <t>Total - A27800 - LOANS, SECURITY &amp; OTHER RECEIVABLES &lt; 1YEAR</t>
  </si>
  <si>
    <t>A28040 - DEP/AMORT. TRADEMARKS</t>
  </si>
  <si>
    <t>10303 - PROVISION FOR DEPRECIATION (TRADEMARK)</t>
  </si>
  <si>
    <t>Total - A28040 - DEP/AMORT. TRADEMARKS</t>
  </si>
  <si>
    <t>A28050 - DEP/AMORT. CONCESSIONS/ SOFTWARES LICENSES /PATENTS</t>
  </si>
  <si>
    <t>10305 - PROVISION FOR DEPRECIATION - SOFTWARE</t>
  </si>
  <si>
    <t>Total - A28050 - DEP/AMORT. CONCESSIONS/ SOFTWARES LICENSES /PATENTS</t>
  </si>
  <si>
    <t>A28160 - DEP/PROV LEASEHOLD IMPROVEMENTS ON NON FREEHOLD LAND</t>
  </si>
  <si>
    <t>1323 - Provision for Depreciation (Leasehold Improvements)</t>
  </si>
  <si>
    <t>Total - A28160 - DEP/PROV LEASEHOLD IMPROVEMENTS ON NON FREEHOLD LAND</t>
  </si>
  <si>
    <t>A28170 - DEP/PROV IT EQUIPMENT</t>
  </si>
  <si>
    <t>10322 - PROV FOR DEPRECIATION - COMPUTER</t>
  </si>
  <si>
    <t>Total - A28170 - DEP/PROV IT EQUIPMENT</t>
  </si>
  <si>
    <t>A28180 - DEP/PROV OTHER TANG ASSETS</t>
  </si>
  <si>
    <t>10323 - PROV FOR DEPRECIATION - OFFICE &amp; ELECTRICAL EQUIPEMENT</t>
  </si>
  <si>
    <t>10324 - PROV FOR DEPRECIATION - FURNITURE &amp; FIXTURE</t>
  </si>
  <si>
    <t>10325 - PROV FOR DEPRECIATION - VEHICLE ACCESSORIES</t>
  </si>
  <si>
    <t>Total - A28180 - DEP/PROV OTHER TANG ASSETS</t>
  </si>
  <si>
    <t>A33000 - INVENTORIES &amp; WIP (WORK IN PROGRESS)</t>
  </si>
  <si>
    <t>10358 - PREPAID EXPENSES EVENTS</t>
  </si>
  <si>
    <t>Total - A33000 - INVENTORIES &amp; WIP (WORK IN PROGRESS)</t>
  </si>
  <si>
    <t>A40910 - ADVANCES TO SUPPLIERS</t>
  </si>
  <si>
    <t>10363 - ADVANCES TO SUPPLIERS</t>
  </si>
  <si>
    <t>Total - A40910 - ADVANCES TO SUPPLIERS</t>
  </si>
  <si>
    <t>A41000 - TRADE NOTES AND ACCOUNTS RECEIVABLE</t>
  </si>
  <si>
    <t>10364 - SUNDRY DEBTORS</t>
  </si>
  <si>
    <t>1090 - Inter Co Debtors/Creditors (MIS)</t>
  </si>
  <si>
    <t>Total - 10364 - SUNDRY DEBTORS</t>
  </si>
  <si>
    <t>Total - A41000 - TRADE NOTES AND ACCOUNTS RECEIVABLE</t>
  </si>
  <si>
    <t>A41800 - INVOICES TO BE ISSUED TO CLIENTS</t>
  </si>
  <si>
    <t>10365 - UNBILLED DEBTORS</t>
  </si>
  <si>
    <t>Total - A41800 - INVOICES TO BE ISSUED TO CLIENTS</t>
  </si>
  <si>
    <t>A44100 - DEFERRED TAX ASSETS</t>
  </si>
  <si>
    <t>10367 - DEFERRED TAX ASSET/ LIABILITY</t>
  </si>
  <si>
    <t>Total - A44100 - DEFERRED TAX ASSETS</t>
  </si>
  <si>
    <t>A44255 - ASSETS, WITHHOLDING TAX</t>
  </si>
  <si>
    <t>10378 - PROVISION FOR INCOME TAX</t>
  </si>
  <si>
    <t>1275 - Provision for Income Tax AY 2025-26</t>
  </si>
  <si>
    <t>1320 - Provision for Income Tax AY 2026-27</t>
  </si>
  <si>
    <t>Total - 10378 - PROVISION FOR INCOME TAX</t>
  </si>
  <si>
    <t>Total - A44255 - ASSETS, WITHHOLDING TAX</t>
  </si>
  <si>
    <t>A44400 - INCOME TAX RECEIVABLE</t>
  </si>
  <si>
    <t>10391 - TDS RECEIVABLE</t>
  </si>
  <si>
    <t>1272 - TDS Receivable AY 2024-25</t>
  </si>
  <si>
    <t>1273 - TDS Receivable AY 2025-26</t>
  </si>
  <si>
    <t>1277 - TDS Receivable A Y 2026-27</t>
  </si>
  <si>
    <t>Total - 10391 - TDS RECEIVABLE</t>
  </si>
  <si>
    <t>Total - A44400 - INCOME TAX RECEIVABLE</t>
  </si>
  <si>
    <t>A46700 - OTHER RECEIVABLES</t>
  </si>
  <si>
    <t>10427 - CGST CREDIT AVAILABLE A/C</t>
  </si>
  <si>
    <t>1091 - Cgst  Collected For Delhi (Advance Receipt)</t>
  </si>
  <si>
    <t>1092 - Cgst Collected For Kt (Advance Receipt)</t>
  </si>
  <si>
    <t>1093 - Cgst  Collected For Mh (Advance Receipt)</t>
  </si>
  <si>
    <t>Total - 10427 - CGST CREDIT AVAILABLE A/C</t>
  </si>
  <si>
    <t>10428 - SGST CREDIT AVAILABLE A/C</t>
  </si>
  <si>
    <t>1095 - Sgst  Collected For Delhi (Advance Receipt)</t>
  </si>
  <si>
    <t>1096 - Sgst Collected For Kt (Advance Receipt)</t>
  </si>
  <si>
    <t>1097 - Sgst Collected For Mh (Advance Receipt)</t>
  </si>
  <si>
    <t>Total - 10428 - SGST CREDIT AVAILABLE A/C</t>
  </si>
  <si>
    <t>10429 - IGST CREDIT AVAILABLE A/C</t>
  </si>
  <si>
    <t>1099 - Igst Collected For Delhi (Advance Receipt)</t>
  </si>
  <si>
    <t>1101 - Igst Collected For Mh (Advance Receipt)</t>
  </si>
  <si>
    <t>Total - 10429 - IGST CREDIT AVAILABLE A/C</t>
  </si>
  <si>
    <t>Total - A46700 - OTHER RECEIVABLES</t>
  </si>
  <si>
    <t>A48600 - PREPAID EXPENSES</t>
  </si>
  <si>
    <t>10482 - PREPAID EXPENSES</t>
  </si>
  <si>
    <t>Total - A48600 - PREPAID EXPENSES</t>
  </si>
  <si>
    <t>A50000 - CASH EQUIVALENTS</t>
  </si>
  <si>
    <t>10457 - SECURITY DEPOSIT</t>
  </si>
  <si>
    <t>Total - A50000 - CASH EQUIVALENTS</t>
  </si>
  <si>
    <t>A51000 - CASH AT BANK (OUTSIDE GROUP)</t>
  </si>
  <si>
    <t>10462 - PETTY CASH</t>
  </si>
  <si>
    <t>1103 - Dollar Imprest A/C</t>
  </si>
  <si>
    <t>Total - 10462 - PETTY CASH</t>
  </si>
  <si>
    <t>10464 - HDFC BANK</t>
  </si>
  <si>
    <t>1105 - Hdfc  A/C 01438020000294</t>
  </si>
  <si>
    <t>1106 - Hdfc Bank ..0143790000162</t>
  </si>
  <si>
    <t>Total - 10464 - HDFC BANK</t>
  </si>
  <si>
    <t>10465 - FIXED DEPOSIT ACCOUNT</t>
  </si>
  <si>
    <t>FD Gratuity Liability (BNPP) No. 20437600</t>
  </si>
  <si>
    <t>1108 - Bnp Fd No 20002400</t>
  </si>
  <si>
    <t>1109 - Bnp Fd No 20002500</t>
  </si>
  <si>
    <t>1112 - Bnpp Bank Flexi Deposit A/C No 09009 120333 099</t>
  </si>
  <si>
    <t>Total - 10465 - FIXED DEPOSIT ACCOUNT</t>
  </si>
  <si>
    <t>10469 - DEUTSCHE BANK</t>
  </si>
  <si>
    <t>1115 - Deutsche Bank Zero Balance Acct 000025436730019</t>
  </si>
  <si>
    <t>Total - 10469 - DEUTSCHE BANK</t>
  </si>
  <si>
    <t>10475 - VA TECH VENTURES PVT LTD</t>
  </si>
  <si>
    <t>1116 - Va Tech Ventures Pvt Ltd (Happay Pool A/C)</t>
  </si>
  <si>
    <t>Total - 10475 - VA TECH VENTURES PVT LTD</t>
  </si>
  <si>
    <t>10604 - Credit Card Bank</t>
  </si>
  <si>
    <t>1281 - American Express Centurian Card (CC)</t>
  </si>
  <si>
    <t>1282 - HDFC Corporate Card (CC)</t>
  </si>
  <si>
    <t>1283 - HDFC Corporate Travel Card (CC)</t>
  </si>
  <si>
    <t>Total - 10604 - Credit Card Bank</t>
  </si>
  <si>
    <t>Total - A51000 - CASH AT BANK (OUTSIDE GROUP)</t>
  </si>
  <si>
    <t>EMP - EMPLOYEE ACCOUNTS</t>
  </si>
  <si>
    <t>EMP 1044810 - Sidhant Saxena</t>
  </si>
  <si>
    <t>EMP 1044945 - Pravin Mahajan</t>
  </si>
  <si>
    <t>EMP 1115298 - Sony Parikh</t>
  </si>
  <si>
    <t>EMP 1138617 - Tejas Damania</t>
  </si>
  <si>
    <t>Total - EMP - EMPLOYEE ACCOUNTS</t>
  </si>
  <si>
    <t>P10100 - SHARE CAPITAL</t>
  </si>
  <si>
    <t>10486 - SHARE CAPITAL</t>
  </si>
  <si>
    <t>Total - P10100 - SHARE CAPITAL</t>
  </si>
  <si>
    <t>P10600 - RETAINED EARNINGS</t>
  </si>
  <si>
    <t>10489 - PROFIT &amp; LOSS A/C</t>
  </si>
  <si>
    <t>10494 - RESERVES &amp; SURPLUS</t>
  </si>
  <si>
    <t>Total - P10600 - RETAINED EARNINGS</t>
  </si>
  <si>
    <t>P40000 - ACCOUNTS PAYABLE</t>
  </si>
  <si>
    <t>10530 - ACCOUNTS PAYABLE</t>
  </si>
  <si>
    <t>1119 - Executive Advance For Expenses Payable (Mis)</t>
  </si>
  <si>
    <t>1251 - Credit Card Dues (MIS)</t>
  </si>
  <si>
    <t>Total - 10530 - ACCOUNTS PAYABLE</t>
  </si>
  <si>
    <t>Total - P40000 - ACCOUNTS PAYABLE</t>
  </si>
  <si>
    <t>P40110 - ADVANCE PAYMENTS FROM CLIENTS</t>
  </si>
  <si>
    <t>10539 - ADVANCE RECEIVED FROM DEBTORS</t>
  </si>
  <si>
    <t>Total - P40110 - ADVANCE PAYMENTS FROM CLIENTS</t>
  </si>
  <si>
    <t>P40800 - INVOICES TO BE RECEIVED FROM SUPPLIERS</t>
  </si>
  <si>
    <t>10540 - PROVISION FOR EXPENSES</t>
  </si>
  <si>
    <t>1121 - Provision For Expenses (Event) Mis</t>
  </si>
  <si>
    <t>1122 - Provision For Event Expenses Mis Jv</t>
  </si>
  <si>
    <t>1123 - Provision For Expenses - General Mis</t>
  </si>
  <si>
    <t>Total - 10540 - PROVISION FOR EXPENSES</t>
  </si>
  <si>
    <t>10543 - MANAGEMENT FEES PAYABLE</t>
  </si>
  <si>
    <t>1124 - Management Fees Payable Singapore</t>
  </si>
  <si>
    <t>1125 - Management Fees Payable Usa</t>
  </si>
  <si>
    <t>Total - 10543 - MANAGEMENT FEES PAYABLE</t>
  </si>
  <si>
    <t>Total - P40800 - INVOICES TO BE RECEIVED FROM SUPPLIERS</t>
  </si>
  <si>
    <t>P42000 - STAFF RELATED LIABILITIES (NO BONUSES)</t>
  </si>
  <si>
    <t>10544 - SALARY &amp; WAGES PAYABLE</t>
  </si>
  <si>
    <t>1126 - Car Lease Allowance Payable</t>
  </si>
  <si>
    <t>1127 - Driver Allowance Payable</t>
  </si>
  <si>
    <t>1128 - Incentive Payable</t>
  </si>
  <si>
    <t>1129 - Leave Travel Allowance Payable</t>
  </si>
  <si>
    <t>1131 - Fuel Allowance Payable</t>
  </si>
  <si>
    <t>1132 - Telephone allowance Payable</t>
  </si>
  <si>
    <t>1133 - Reimbursement</t>
  </si>
  <si>
    <t>Total - 10544 - SALARY &amp; WAGES PAYABLE</t>
  </si>
  <si>
    <t>10545 - P.F. PAYABLE</t>
  </si>
  <si>
    <t>1134 - Contribution To Nps @ 10 %</t>
  </si>
  <si>
    <t>1135 - Edli Contribution @ 0.50%</t>
  </si>
  <si>
    <t>1136 - Employee'S Epf Deductions @ 12%</t>
  </si>
  <si>
    <t>1137 - P F Admin Charges @ 0.50%</t>
  </si>
  <si>
    <t>1138 - P F Payable (Pr)</t>
  </si>
  <si>
    <t>Total - 10545 - P.F. PAYABLE</t>
  </si>
  <si>
    <t>10550 - ESIC PAYABLE</t>
  </si>
  <si>
    <t>1140 - Employee'S Esi Deduction @ 0.75%</t>
  </si>
  <si>
    <t>1142 - MLWF Payable</t>
  </si>
  <si>
    <t>1270 - ESIC Payable</t>
  </si>
  <si>
    <t>Total - 10550 - ESIC PAYABLE</t>
  </si>
  <si>
    <t>10552 - GRATUITY PAYABLE</t>
  </si>
  <si>
    <t>1143 - Provision For Gratuity - Non Current</t>
  </si>
  <si>
    <t>Total - 10552 - GRATUITY PAYABLE</t>
  </si>
  <si>
    <t>Total - P42000 - STAFF RELATED LIABILITIES (NO BONUSES)</t>
  </si>
  <si>
    <t>P44000 - OTHER TAX PAYABLES</t>
  </si>
  <si>
    <t>10566 - TDS PAYABLE A/C. - SALARY</t>
  </si>
  <si>
    <t>1144 - Tds On Salaries (Pr)</t>
  </si>
  <si>
    <t>Total - 10566 - TDS PAYABLE A/C. - SALARY</t>
  </si>
  <si>
    <t>10567 - PROFESSION TAX PAYABLE A/C.</t>
  </si>
  <si>
    <t>10575 - CGST PAYABLE A/C</t>
  </si>
  <si>
    <t>1145 - CGST Collected for DL (DT)</t>
  </si>
  <si>
    <t>1146 - CGST Collected for KT (DT)</t>
  </si>
  <si>
    <t>1147 - CGST Collected for MH (DT)</t>
  </si>
  <si>
    <t>1148 - CGST Collected for TN (DT)</t>
  </si>
  <si>
    <t>1149 - CGST Input for DL</t>
  </si>
  <si>
    <t>1150 - CGST Input for KT</t>
  </si>
  <si>
    <t>1151 - CGST Input for MH</t>
  </si>
  <si>
    <t>1152 - CGST Input for TN</t>
  </si>
  <si>
    <t>1153 - CGST Input for DL @ 14%</t>
  </si>
  <si>
    <t>1154 - CGST Input for DL @ 2.5%</t>
  </si>
  <si>
    <t>1155 - CGST Input for DL @ 6%</t>
  </si>
  <si>
    <t>1156 - CGST Input for DL (DT) 9%</t>
  </si>
  <si>
    <t>1158 - CGST Input for KT @ 2.5%</t>
  </si>
  <si>
    <t>1159 - CGST Input for KT @ 6%</t>
  </si>
  <si>
    <t>1160 - CGST Input for KT (DT) 9%</t>
  </si>
  <si>
    <t>1161 - CGST Input for MH @ 14%</t>
  </si>
  <si>
    <t>1162 - CGST Input for MH @ 2.5%</t>
  </si>
  <si>
    <t>1163 - CGST Input for MH @ 6%</t>
  </si>
  <si>
    <t>1164 - CGST Input for MH (DT) 9%</t>
  </si>
  <si>
    <t>1168 - CGST Input for TN (DT) 9%</t>
  </si>
  <si>
    <t>1309 - CGST Input for ISD</t>
  </si>
  <si>
    <t>Total - 10575 - CGST PAYABLE A/C</t>
  </si>
  <si>
    <t>10576 - SGST PAYABLE A/C</t>
  </si>
  <si>
    <t>1169 - SGST collected for DL (DT)</t>
  </si>
  <si>
    <t>1170 - SGST collected for KT (DT)</t>
  </si>
  <si>
    <t>1171 - SGST collected for MH (DT)</t>
  </si>
  <si>
    <t>1172 - SGST collected for TN (DT)</t>
  </si>
  <si>
    <t>1173 - SGST Input for DL</t>
  </si>
  <si>
    <t>1174 - SGST Input for KT</t>
  </si>
  <si>
    <t>1175 - SGST Input for MH</t>
  </si>
  <si>
    <t>1176 - SGST Input for TN</t>
  </si>
  <si>
    <t>1177 - SGST Input for DL @ 14%</t>
  </si>
  <si>
    <t>1178 - SGST Input for DL @ 2.5%</t>
  </si>
  <si>
    <t>1179 - SGST Input for DL @ 6%</t>
  </si>
  <si>
    <t>1180 - SGST Input for DL (DT) 9%</t>
  </si>
  <si>
    <t>1182 - SGST Input for KT @ 2.5%</t>
  </si>
  <si>
    <t>1183 - SGST Input for KT @ 6%</t>
  </si>
  <si>
    <t>1184 - SGST Input for KT (DT) 9%</t>
  </si>
  <si>
    <t>1185 - SGST Input for MH @ 14%</t>
  </si>
  <si>
    <t>1186 - SGST Input for MH @ 2.5%</t>
  </si>
  <si>
    <t>1187 - SGST Input for MH @ 6%</t>
  </si>
  <si>
    <t>1188 - SGST Input for MH (DT) 9%</t>
  </si>
  <si>
    <t>1192 - SGST Input for TN (DT) 9%</t>
  </si>
  <si>
    <t>1310 - SGST Input for ISD</t>
  </si>
  <si>
    <t>Total - 10576 - SGST PAYABLE A/C</t>
  </si>
  <si>
    <t>10577 - IGST PAYABLE A/C</t>
  </si>
  <si>
    <t>1193 - IGST Collected for DL (DT)</t>
  </si>
  <si>
    <t>1194 - IGST Collected for KT (DT)</t>
  </si>
  <si>
    <t>1195 - IGST Collected for MH (DT)</t>
  </si>
  <si>
    <t>1196 - IGST Collected for TN (DT)</t>
  </si>
  <si>
    <t>1197 - IGST Input for DL</t>
  </si>
  <si>
    <t>1198 - IGST Input for KT</t>
  </si>
  <si>
    <t>1199 - IGST Input for MH</t>
  </si>
  <si>
    <t>1200 - IGST Input for TN</t>
  </si>
  <si>
    <t>1201 - IGST Input for DL 12%</t>
  </si>
  <si>
    <t>1202 - IGST Input for DL 5%</t>
  </si>
  <si>
    <t>1203 - IGST Input for DL (DT) 18%</t>
  </si>
  <si>
    <t>1204 - IGST Input for KT (DT) 18%</t>
  </si>
  <si>
    <t>1205 - IGST Input for MH 12%</t>
  </si>
  <si>
    <t>1208 - IGST Input for MH (DT) 18%</t>
  </si>
  <si>
    <t>1209 - IGST Input for TN (DT) 18%</t>
  </si>
  <si>
    <t>1308 - IGST Input for ISD</t>
  </si>
  <si>
    <t>Total - 10577 - IGST PAYABLE A/C</t>
  </si>
  <si>
    <t>10578 - CGST LIABILITY A/C</t>
  </si>
  <si>
    <t>1210 - GST Due-Blr</t>
  </si>
  <si>
    <t>1211 - GST Due-Che</t>
  </si>
  <si>
    <t>1212 - GST Due-Del</t>
  </si>
  <si>
    <t>1213 - GST Due-Mum</t>
  </si>
  <si>
    <t>Total - 10578 - CGST LIABILITY A/C</t>
  </si>
  <si>
    <t>10583 - REVERSAL CGST RECEVIABLE</t>
  </si>
  <si>
    <t>1222 - Reversal CGST Input-Mum</t>
  </si>
  <si>
    <t>Total - 10583 - REVERSAL CGST RECEVIABLE</t>
  </si>
  <si>
    <t>10584 - REVERSAL SGST RECEVIABLE</t>
  </si>
  <si>
    <t>1226 - Reversal SGST Input-Mum</t>
  </si>
  <si>
    <t>Total - 10584 - REVERSAL SGST RECEVIABLE</t>
  </si>
  <si>
    <t>10585 - REVERSAL IGST RECEVIABLE</t>
  </si>
  <si>
    <t>1230 - Reversal IGST Input-Mum</t>
  </si>
  <si>
    <t>1232 - Reversal IGST Input-Che</t>
  </si>
  <si>
    <t>Total - 10585 - REVERSAL IGST RECEVIABLE</t>
  </si>
  <si>
    <t>10586 - REVERSE CHARGED ON GST</t>
  </si>
  <si>
    <t>1234 - Reverse Mechanism GST Due-Che</t>
  </si>
  <si>
    <t>1235 - Reverse Mechanism GST Due-Del</t>
  </si>
  <si>
    <t>1236 - Reverse Mechanism GST Due-Mum</t>
  </si>
  <si>
    <t>1237 - RM CGST DL</t>
  </si>
  <si>
    <t>1238 - RM CGST KT</t>
  </si>
  <si>
    <t>1239 - RM CGST MH</t>
  </si>
  <si>
    <t>1240 - RM CGST TN</t>
  </si>
  <si>
    <t>1241 - RM IGST DL</t>
  </si>
  <si>
    <t>1243 - RM IGST MH</t>
  </si>
  <si>
    <t>1245 - RM SGST DL</t>
  </si>
  <si>
    <t>1246 - RM SGST KT</t>
  </si>
  <si>
    <t>1247 - RM SGST MH</t>
  </si>
  <si>
    <t>1248 - RM SGST TN</t>
  </si>
  <si>
    <t>226A - Reverse Mechanism GST Due-Blr</t>
  </si>
  <si>
    <t>Total - 10586 - REVERSE CHARGED ON GST</t>
  </si>
  <si>
    <t>10603 - TDS DEPOSIT</t>
  </si>
  <si>
    <t>1253 - TDS U/S 194 I CO-PLANT  &amp; MACH</t>
  </si>
  <si>
    <t>1254 - TDS U/S 194 I NON CO-PLANT  &amp; MACH</t>
  </si>
  <si>
    <t>1255 - TDS U/S 194 C - CO.</t>
  </si>
  <si>
    <t>1256 - TDS U/S 194 J (A)- CO.</t>
  </si>
  <si>
    <t>1257 - TDS U/S 194 J (B) - CO.</t>
  </si>
  <si>
    <t>1258 - TDS U/S 194 I - CO.LAND &amp; PREM</t>
  </si>
  <si>
    <t>1259 - TDS U/S 194 I - NON CO.LAND &amp; PREM</t>
  </si>
  <si>
    <t>1260 - TDS U/S 194 C - NON CO.</t>
  </si>
  <si>
    <t>1261 - TDS U/S 194 J (A)- NON CO.</t>
  </si>
  <si>
    <t>1262 - TDS U/S 194 J (B)- NON CO.</t>
  </si>
  <si>
    <t>1268 - TDS U/S 195</t>
  </si>
  <si>
    <t>1269 - TDS U/S 194Q CO</t>
  </si>
  <si>
    <t>1321 - TDS U/S 194 C - NON CO Firm</t>
  </si>
  <si>
    <t>Total - 10603 - TDS DEPOSIT</t>
  </si>
  <si>
    <t>10605 - GST PAYABLE ISD A/C</t>
  </si>
  <si>
    <t>1290 - CGST Input for ISD @ 9%</t>
  </si>
  <si>
    <t>1294 - SGST Input for ISD @ 9%</t>
  </si>
  <si>
    <t>1296 - IGST Input for ISD @ 18%</t>
  </si>
  <si>
    <t>Total - 10605 - GST PAYABLE ISD A/C</t>
  </si>
  <si>
    <t>10606 - GST Input Deferred</t>
  </si>
  <si>
    <t>1324 - CGST Input for DL-Deferred</t>
  </si>
  <si>
    <t>1325 - CGST Input for KT-Deferred</t>
  </si>
  <si>
    <t>1326 - CGST Input for MH-Deferred</t>
  </si>
  <si>
    <t>1327 - CGST Input for TN-Deferred</t>
  </si>
  <si>
    <t>1328 - SGST Input for DL-Deferred</t>
  </si>
  <si>
    <t>1329 - SGST Input for KT-Deferred</t>
  </si>
  <si>
    <t>1330 - SGST Input for MH-Deferred</t>
  </si>
  <si>
    <t>1331 - SGST Input for TN-Deferred</t>
  </si>
  <si>
    <t>1332 - IGST Input for DL-Deferred</t>
  </si>
  <si>
    <t>1334 - IGST Input for MH-Deferred</t>
  </si>
  <si>
    <t>1335 - IGST Input for TN-Deferred</t>
  </si>
  <si>
    <t>Total - 10606 - GST Input Deferred</t>
  </si>
  <si>
    <t>Total - P44000 - OTHER TAX PAYABLES</t>
  </si>
  <si>
    <t>P46700 - OTHER LIABILITIES</t>
  </si>
  <si>
    <t>10595 - CURRENT LIABILITIES</t>
  </si>
  <si>
    <t>1250 - Pre Billing To Customers</t>
  </si>
  <si>
    <t>Total - 10595 - CURRENT LIABILITIES</t>
  </si>
  <si>
    <t>10596 - LEASE LIABILITY</t>
  </si>
  <si>
    <t>Total - P46700 - OTHER LIABILITIES</t>
  </si>
  <si>
    <t>P51910 - BANK OVERDRAFTS (OUTSIDE GROUP)</t>
  </si>
  <si>
    <t>10528 - BANK OVERDRAFTS (OUTSIDE GROUP)</t>
  </si>
  <si>
    <t>1117 - BNP 09009120333 00114</t>
  </si>
  <si>
    <t>1118 - Deutsche Bank Od A/C No.100025436730028</t>
  </si>
  <si>
    <t>Total - 10528 - BANK OVERDRAFTS (OUTSIDE GROUP)</t>
  </si>
  <si>
    <t>Total - P51910 - BANK OVERDRAFTS (OUTSIDE GROUP)</t>
  </si>
  <si>
    <t>R60550 - DIRECT REBILLED COSTS (OTHER THAN MEDIA)A</t>
  </si>
  <si>
    <t>10024 - EVENT MNG ORG CHARGES</t>
  </si>
  <si>
    <t>1003 - Equipment &amp; Technical Operation Charges</t>
  </si>
  <si>
    <t>1005 - Business Development Charges</t>
  </si>
  <si>
    <t>1006 - Catridge Expenses - Events</t>
  </si>
  <si>
    <t>1007 - Computer Expenses - Events</t>
  </si>
  <si>
    <t>1008 - Computer Hire Charges - Events</t>
  </si>
  <si>
    <t>1009 - Courier Charges - Events</t>
  </si>
  <si>
    <t>1010 - Event Expenses - Giveaways</t>
  </si>
  <si>
    <t>1011 - Event Expenses - Others</t>
  </si>
  <si>
    <t>1012 - Event Expenses - Foreign Currency</t>
  </si>
  <si>
    <t>1013 - Event Expenses - Foreign Remittance</t>
  </si>
  <si>
    <t>1014 - Event Management Charges</t>
  </si>
  <si>
    <t>1015 - Excess Baggage - Events</t>
  </si>
  <si>
    <t>1017 - Expenses on AVs / Films</t>
  </si>
  <si>
    <t>1018 - F&amp;B Charges Events</t>
  </si>
  <si>
    <t>1019 - Insurance Expenses - Events</t>
  </si>
  <si>
    <t>1020 - Internet Expenses - Events</t>
  </si>
  <si>
    <t>1021 - Manpower Supply</t>
  </si>
  <si>
    <t>1022 - Performer Expenses</t>
  </si>
  <si>
    <t>1023 - Permission Expenses</t>
  </si>
  <si>
    <t>1024 - Photography Expenses - Events</t>
  </si>
  <si>
    <t>1025 - Printing &amp; Stationery - Events</t>
  </si>
  <si>
    <t>1026 - Professional Fee - Events</t>
  </si>
  <si>
    <t>1028 - Security Charges - Events</t>
  </si>
  <si>
    <t>1029 - Site Expenses - Events</t>
  </si>
  <si>
    <t>1031 - Telemarketing Executive Expenses - Events</t>
  </si>
  <si>
    <t>1033 - Venue Booking Charges - Events</t>
  </si>
  <si>
    <t>1034 - Venue Cost and F &amp; B</t>
  </si>
  <si>
    <t>1035 - Ineligible CGST Input</t>
  </si>
  <si>
    <t>1036 - Ineligible IGST Input</t>
  </si>
  <si>
    <t>1037 - Ineligible SGST Input</t>
  </si>
  <si>
    <t>1039 - Stage &amp; Set Expenses - Events</t>
  </si>
  <si>
    <t>1041 - Transport Expenses - Events</t>
  </si>
  <si>
    <t>1042 - Air Fare - Events</t>
  </si>
  <si>
    <t>1043 - Car Hire Charges - Events</t>
  </si>
  <si>
    <t>1044 - Conveyance - Events</t>
  </si>
  <si>
    <t>1045 - Stay Charges - Events</t>
  </si>
  <si>
    <t>1046 - Train &amp; Bus Fare - Events</t>
  </si>
  <si>
    <t>1047 - Travelling Exp - Events</t>
  </si>
  <si>
    <t>1048 - Inter Office Expenses</t>
  </si>
  <si>
    <t>Total - 10024 - EVENT MNG ORG CHARGES</t>
  </si>
  <si>
    <t>Total - R60550 - DIRECT REBILLED COSTS (OTHER THAN MEDIA)A</t>
  </si>
  <si>
    <t>R61100 - IT SYSTEM CHARGES</t>
  </si>
  <si>
    <t>10097 - LICENSE &amp; SOFTWARE EXPENSES</t>
  </si>
  <si>
    <t>1050 - Licence Fees</t>
  </si>
  <si>
    <t>1051 - License Fees-Foreign Currency</t>
  </si>
  <si>
    <t>Total - 10097 - LICENSE &amp; SOFTWARE EXPENSES</t>
  </si>
  <si>
    <t>10099 - CATRIDGE EXPENSES</t>
  </si>
  <si>
    <t>10100 - COMPUTER EXPENSES</t>
  </si>
  <si>
    <t>10101 - COMPUTER EXP (FOREIGN CURRENCY)</t>
  </si>
  <si>
    <t>10102 - COMPUTER HIRE CHARGES</t>
  </si>
  <si>
    <t>10103 - INTERNET EXPENSE OFFICE</t>
  </si>
  <si>
    <t>Total - R61100 - IT SYSTEM CHARGES</t>
  </si>
  <si>
    <t>R61200 - REAL PROPERTY RENTAL (EXPENSES) / INCOME GROUP</t>
  </si>
  <si>
    <t>10105 - RENT OFFICE</t>
  </si>
  <si>
    <t>10106 - RENT STORAGE ROOM</t>
  </si>
  <si>
    <t>Total - R61200 - REAL PROPERTY RENTAL (EXPENSES) / INCOME GROUP</t>
  </si>
  <si>
    <t>R61300 - OPERATING LEASED EQUIPMENT</t>
  </si>
  <si>
    <t>10108 - LEASE RENT EQUIPMENT</t>
  </si>
  <si>
    <t>Total - R61300 - OPERATING LEASED EQUIPMENT</t>
  </si>
  <si>
    <t>R61400 - REAL PROPERTY SERVICE EXPENSES (EXPENSES) / INCOME</t>
  </si>
  <si>
    <t>10110 - ELECTRICITY</t>
  </si>
  <si>
    <t>10111 - REPAIRS &amp; MAINTENANCE OFFICE</t>
  </si>
  <si>
    <t>10112 - SECURITY CHARGES</t>
  </si>
  <si>
    <t>10113 - ASSET MAINTAINANCE CHARGES</t>
  </si>
  <si>
    <t>10117 - WATER CHARGES</t>
  </si>
  <si>
    <t>Total - R61400 - REAL PROPERTY SERVICE EXPENSES (EXPENSES) / INCOME</t>
  </si>
  <si>
    <t>R62200 - FEES AND SUBSCRIPTION FEES</t>
  </si>
  <si>
    <t>1300 - Legal Charges</t>
  </si>
  <si>
    <t>1304 - Professional Fees</t>
  </si>
  <si>
    <t>10120 - AUDITORS REMUNERATION</t>
  </si>
  <si>
    <t>10121 - MEMBERSHIP &amp; SUBSCRIPTION</t>
  </si>
  <si>
    <t>10122 - BOOKS &amp; PERIODICALS</t>
  </si>
  <si>
    <t>10123 - FILING FEES</t>
  </si>
  <si>
    <t>Total - R62200 - FEES AND SUBSCRIPTION FEES</t>
  </si>
  <si>
    <t>R62260 - MANAGEMENT FEES (EXPENSES) / INCOME</t>
  </si>
  <si>
    <t>10132 - MANAGEMENT FEE</t>
  </si>
  <si>
    <t>Total - R62260 - MANAGEMENT FEES (EXPENSES) / INCOME</t>
  </si>
  <si>
    <t>R62700 - BANK CHARGES</t>
  </si>
  <si>
    <t>10134 - BANK CHARGES</t>
  </si>
  <si>
    <t>Total - R62700 - BANK CHARGES</t>
  </si>
  <si>
    <t>R62810 - TELECOMMUNICATION AND MAIL</t>
  </si>
  <si>
    <t>10137 - TELEPHONE &amp; FAX EXPENSES</t>
  </si>
  <si>
    <t>1054 - Land Line</t>
  </si>
  <si>
    <t>1055 - Mobile Expenses</t>
  </si>
  <si>
    <t>Total - 10137 - TELEPHONE &amp; FAX EXPENSES</t>
  </si>
  <si>
    <t>10138 - POSTAGE,TELEGRAM &amp; COURIER CHARGES</t>
  </si>
  <si>
    <t>Total - R62810 - TELECOMMUNICATION AND MAIL</t>
  </si>
  <si>
    <t>R62820 - STATIONERY, SUPPLIES AND OTHER OFFICE COSTS</t>
  </si>
  <si>
    <t>10140 - PRINTING &amp; STATIONERY</t>
  </si>
  <si>
    <t>Total - R62820 - STATIONERY, SUPPLIES AND OTHER OFFICE COSTS</t>
  </si>
  <si>
    <t>R62830 - INSURANCE</t>
  </si>
  <si>
    <t>10148 - INSURANCE - OTHER THAN CAR</t>
  </si>
  <si>
    <t>Combined General Liability (USD 2M)</t>
  </si>
  <si>
    <t>Credit Insurance Programme</t>
  </si>
  <si>
    <t>Cyber Policy</t>
  </si>
  <si>
    <t>Directors &amp; Officers (D&amp;O) Liability Cover Policy</t>
  </si>
  <si>
    <t>Group Accident Policy</t>
  </si>
  <si>
    <t>Group Life Policy</t>
  </si>
  <si>
    <t>Mediclaim Overseas Policy</t>
  </si>
  <si>
    <t>Professional Indemnity (USD 1M)</t>
  </si>
  <si>
    <t>Workman Compensation 100 Un-named</t>
  </si>
  <si>
    <t>Workman Compensation 298 Names Employees</t>
  </si>
  <si>
    <t>Total - 10148 - INSURANCE - OTHER THAN CAR</t>
  </si>
  <si>
    <t>Total - R62830 - INSURANCE</t>
  </si>
  <si>
    <t>R62840 - TRAVEL COSTS</t>
  </si>
  <si>
    <t>10149 - AIR TRAVEL FARE</t>
  </si>
  <si>
    <t>10150 - HOTEL &amp; FOOD EXPENSES</t>
  </si>
  <si>
    <t>10151 - CONVEYANCE</t>
  </si>
  <si>
    <t>Total - 10151 - CONVEYANCE</t>
  </si>
  <si>
    <t>10152 - CAR HIRE EXPENSES</t>
  </si>
  <si>
    <t>10155 - MOTOR CAR EXPENSES</t>
  </si>
  <si>
    <t>10156 - TRAVELLING EXP DIRECTOR</t>
  </si>
  <si>
    <t>Total - R62840 - TRAVEL COSTS</t>
  </si>
  <si>
    <t>R62845 - RECRUITMENT FEES</t>
  </si>
  <si>
    <t>10160 - RECRUITMENT EXPENSES</t>
  </si>
  <si>
    <t>Total - 10160 - RECRUITMENT EXPENSES</t>
  </si>
  <si>
    <t>Total - R62845 - RECRUITMENT FEES</t>
  </si>
  <si>
    <t>R62870 - NEW BUSINESS COSTS</t>
  </si>
  <si>
    <t>10169 - NEW BUSINESS DEVLOPEMENT EXPENSES</t>
  </si>
  <si>
    <t>10174 - PROMOTION/MKTNG EXPENSES</t>
  </si>
  <si>
    <t>10175 - DATABASE MANAGEMENT CHARGES</t>
  </si>
  <si>
    <t>Total - R62870 - NEW BUSINESS COSTS</t>
  </si>
  <si>
    <t>R63700 - OTHER TAXES (EXCLUDING CORPORATE TAX)</t>
  </si>
  <si>
    <t>1299 - Shop &amp; Est Reg Renewal Fees</t>
  </si>
  <si>
    <t>10182 - PROFESSION TAX COMPANY</t>
  </si>
  <si>
    <t>Total - R63700 - OTHER TAXES (EXCLUDING CORPORATE TAX)</t>
  </si>
  <si>
    <t>R64100 - WAGES AND SALARIES</t>
  </si>
  <si>
    <t>10053 - BASIC SALARY</t>
  </si>
  <si>
    <t>10057 - HOUSE RENT ALLOWANCE</t>
  </si>
  <si>
    <t>10058 - LEAVE ENCASHMENT</t>
  </si>
  <si>
    <t>10059 - LEAVE TRAVEL ALLOWANCE</t>
  </si>
  <si>
    <t>10060 - MEDICAL EXPS.</t>
  </si>
  <si>
    <t>10061 - OTHER EXPS RECOVERY RECEIPT</t>
  </si>
  <si>
    <t>10062 - TELEPHONE ALLOWNCE</t>
  </si>
  <si>
    <t>10063 - TRAINEES STIPEND A/C</t>
  </si>
  <si>
    <t>10064 - CAR LEASE ALLOWANCES</t>
  </si>
  <si>
    <t>10065 - DRIVER ALLOWANCES</t>
  </si>
  <si>
    <t>10066 - FOOD REIMBURSEMENT</t>
  </si>
  <si>
    <t>10069 - PETROL ALLOWANCES</t>
  </si>
  <si>
    <t>10071 - COMNTRIBUTION TO NPS</t>
  </si>
  <si>
    <t>10072 - REIMBURSEMENT GL</t>
  </si>
  <si>
    <t>10073 - SALARY TO OTHERS</t>
  </si>
  <si>
    <t>10074 - OVERTIME EXPENSES</t>
  </si>
  <si>
    <t>Total - R64100 - WAGES AND SALARIES</t>
  </si>
  <si>
    <t>R64110 - BONUSES (WITHOUT SOCIAL CONTRIBUTIONS)</t>
  </si>
  <si>
    <t>10095 - BONUS ON EBIT ACHIEVEMENT</t>
  </si>
  <si>
    <t>Total - R64110 - BONUSES (WITHOUT SOCIAL CONTRIBUTIONS)</t>
  </si>
  <si>
    <t>R64530 - DEFINED CONTRIBUTION SCHEMES CHARGES</t>
  </si>
  <si>
    <t>10075 - EMPLOYERS' CONT. TO ESIC</t>
  </si>
  <si>
    <t>1301 - Employer's EPF Comntribution@ 3.67%</t>
  </si>
  <si>
    <t>1302 - Employer's EPS @ 8.33%</t>
  </si>
  <si>
    <t>1303 - Employer's ESI Contribution@ 3.25%</t>
  </si>
  <si>
    <t>Total - 10075 - EMPLOYERS' CONT. TO ESIC</t>
  </si>
  <si>
    <t>10077 - PF ADMIN CHARGES</t>
  </si>
  <si>
    <t>Total - R64530 - DEFINED CONTRIBUTION SCHEMES CHARGES</t>
  </si>
  <si>
    <t>R64700 - OTHER ADVANTAGES GRANTED TO EMPLOYEES</t>
  </si>
  <si>
    <t>10080 - EMPLOYEE'S GRATUITY</t>
  </si>
  <si>
    <t>10081 - MLWF</t>
  </si>
  <si>
    <t>10082 - MLWF EMPLOYER'S CONTRIBUTION</t>
  </si>
  <si>
    <t>10083 - REFERRAL BONUS</t>
  </si>
  <si>
    <t>10087 - MEDICLAIM &amp; OTHER INSURANCE</t>
  </si>
  <si>
    <t>10089 - STAFF WELFARE - OTHERS</t>
  </si>
  <si>
    <t>138A - Site Expenses/Staff</t>
  </si>
  <si>
    <t>Total - 10089 - STAFF WELFARE - OTHERS</t>
  </si>
  <si>
    <t>10090 - STAFF WELFARE - PANTRY ITEMS</t>
  </si>
  <si>
    <t>1049 - Tea &amp; Coffee Expenses</t>
  </si>
  <si>
    <t>Total - 10090 - STAFF WELFARE - PANTRY ITEMS</t>
  </si>
  <si>
    <t>10091 - TELEPHONE EXPENSES (OTHERS)</t>
  </si>
  <si>
    <t>Total - R64700 - OTHER ADVANTAGES GRANTED TO EMPLOYEES</t>
  </si>
  <si>
    <t>R65801 - OTHER EXPENSES FROM OPERATIONS (OUTSIDE GROUP)</t>
  </si>
  <si>
    <t>10189 - GENERAL EXPENSES</t>
  </si>
  <si>
    <t>10190 - CREDITORS WRITTEN OFF</t>
  </si>
  <si>
    <t>10193 - CSR EXPENSES</t>
  </si>
  <si>
    <t>10194 - INELIGIBLE CGST INPUT-GEN</t>
  </si>
  <si>
    <t>10196 - INELIGIBLE SGST INPUT-GEN</t>
  </si>
  <si>
    <t>Total - R65801 - OTHER EXPENSES FROM OPERATIONS (OUTSIDE GROUP)</t>
  </si>
  <si>
    <t>R66100 - INTEREST EXPENSES OUTSIDE GROUP</t>
  </si>
  <si>
    <t>10258 - INTEREST ON TDS</t>
  </si>
  <si>
    <t>Total - R66100 - INTEREST EXPENSES OUTSIDE GROUP</t>
  </si>
  <si>
    <t>R66600 - UNREALIZED FOREIGN EXCHANGE LOSSES</t>
  </si>
  <si>
    <t>10263 - GAIN/LOSS ON EXCHANGE</t>
  </si>
  <si>
    <t>1058 - Gain/Loss On Exchange (Management Fees)</t>
  </si>
  <si>
    <t>Total - 10263 - GAIN/LOSS ON EXCHANGE</t>
  </si>
  <si>
    <t>Total - R66600 - UNREALIZED FOREIGN EXCHANGE LOSSES</t>
  </si>
  <si>
    <t>R66821 - OTHER FINANCIAL EXPENSES</t>
  </si>
  <si>
    <t>10265 - FRANKING &amp; NOTARY EXPENSES</t>
  </si>
  <si>
    <t>10267 - BANK CHARGES &amp; COMMISSION</t>
  </si>
  <si>
    <t>10268 - BANK CHARGES ON OD RENEWAL</t>
  </si>
  <si>
    <t>10269 - CARD MAINTENANCE EXPENSES</t>
  </si>
  <si>
    <t>Total - R66821 - OTHER FINANCIAL EXPENSES</t>
  </si>
  <si>
    <t>R67520 - NBV OF TANGIBLE ASSETS SOLD</t>
  </si>
  <si>
    <t>10230 - LOSS ON SALE OF TANGIBLE FIXED ASSETS</t>
  </si>
  <si>
    <t>Total - R67520 - NBV OF TANGIBLE ASSETS SOLD</t>
  </si>
  <si>
    <t>R68111 - AMORT/DEPREC OF TANGIBLE ASSETS</t>
  </si>
  <si>
    <t>10198 - DEPRECIATION - COMPUTERS</t>
  </si>
  <si>
    <t>10199 - DEPRECIATION - OFFICE EQPMT</t>
  </si>
  <si>
    <t>10200 - DEPRECIATION - F&amp;F</t>
  </si>
  <si>
    <t>10202 - DEPRECIATION - SOFTWARE</t>
  </si>
  <si>
    <t>10203 - DEPRECIATION - LEASEDHOLD IMPROVEMENTS</t>
  </si>
  <si>
    <t>Total - R68111 - AMORT/DEPREC OF TANGIBLE ASSETS</t>
  </si>
  <si>
    <t>R68114 - AMORT/DEPREC OF INTANGIBLE ASSETS</t>
  </si>
  <si>
    <t>10205 - DEPRECIATION - INTANGIBLE ASSETS</t>
  </si>
  <si>
    <t>Total - R68114 - AMORT/DEPREC OF INTANGIBLE ASSETS</t>
  </si>
  <si>
    <t>R68170 - PROVISION FOR DOUBTFUL RECEIVABLES AND INVENTORIES</t>
  </si>
  <si>
    <t>10208 - MISCELLANEOUS EXPENSES WRITTEN OFF</t>
  </si>
  <si>
    <t>Total - R68170 - PROVISION FOR DOUBTFUL RECEIVABLES AND INVENTORIES</t>
  </si>
  <si>
    <t>R69400 - DEFERRED TAX WITH BASIS</t>
  </si>
  <si>
    <t>10282 - DEFERRED TAX CHARGE/INCOME</t>
  </si>
  <si>
    <t>Total - R69400 - DEFERRED TAX WITH BASIS</t>
  </si>
  <si>
    <t>R69500 - CORPORATE TAX - AT CURRENT RATE</t>
  </si>
  <si>
    <t>10284 - INCOME TAX EXPENSES</t>
  </si>
  <si>
    <t>1319 - Income Tax AY 2026-27</t>
  </si>
  <si>
    <t>Total - 10284 - INCOME TAX EXPENSES</t>
  </si>
  <si>
    <t>Total - R69500 - CORPORATE TAX - AT CURRENT RATE</t>
  </si>
  <si>
    <t>R70550 - DIRECT REBILLED COSTS (OTHER THAN MEDIA)</t>
  </si>
  <si>
    <t>10023 - EVENT MNG ORG REVENUE</t>
  </si>
  <si>
    <t>1001 - Event Revenue</t>
  </si>
  <si>
    <t>1002 - Inter Office Revenue</t>
  </si>
  <si>
    <t>Total - 10023 - EVENT MNG ORG REVENUE</t>
  </si>
  <si>
    <t>Total - R70550 - DIRECT REBILLED COSTS (OTHER THAN MEDIA)</t>
  </si>
  <si>
    <t>R76200 - INTEREST INCOME OUTSIDE GROUP</t>
  </si>
  <si>
    <t>10244 - BANK INTEREST</t>
  </si>
  <si>
    <t>1057 - Interest on Fixed Deposit</t>
  </si>
  <si>
    <t>Total - 10244 - BANK INTEREST</t>
  </si>
  <si>
    <t>10250 - MISCELLANEOUS INCOME</t>
  </si>
  <si>
    <t>10251 - INTEREST ON INCOME TAX REFUND</t>
  </si>
  <si>
    <t>Total - R76200 - INTEREST INCOME OUTSIDE GROUP</t>
  </si>
  <si>
    <t>R76600 - UNREALIZED FOREIGN EXCHANGE GAINS</t>
  </si>
  <si>
    <t>10238 - EXCHANGE DIFFERENCE</t>
  </si>
  <si>
    <t>Total - R76600 - UNREALIZED FOREIGN EXCHANGE GAINS</t>
  </si>
  <si>
    <t>Trial Balance</t>
  </si>
  <si>
    <t>Customer Statment</t>
  </si>
  <si>
    <t>Difference</t>
  </si>
  <si>
    <t>Internal ID</t>
  </si>
  <si>
    <t>Type</t>
  </si>
  <si>
    <t>Document Number</t>
  </si>
  <si>
    <t>Voucher Number</t>
  </si>
  <si>
    <t>Name</t>
  </si>
  <si>
    <t>Amount</t>
  </si>
  <si>
    <t>Date</t>
  </si>
  <si>
    <t>Journal</t>
  </si>
  <si>
    <t>2470</t>
  </si>
  <si>
    <t>A/2025/JV/2470</t>
  </si>
  <si>
    <t>10779 Glance Digital Experience Pvt Ltd Glance Digital Experience Pvt Ltd</t>
  </si>
  <si>
    <t>10140 GlaxoSmithKline Consumer Pvt Ltd GlaxoSmithKline Consumer Pvt Ltd</t>
  </si>
  <si>
    <t>10154  Hindustan Unilever Ltd Hindustan Unilever Ltd</t>
  </si>
  <si>
    <t>10177 SAP India Pvt Ltd SAP India Pvt Ltd</t>
  </si>
  <si>
    <t>10264  SAP Labs India Pvt Ltd SAP Labs India Pvt Ltd</t>
  </si>
  <si>
    <t>10273  STT Global Data Centres India Pvt Ltd STT Global Data Centres India Pvt Ltd</t>
  </si>
  <si>
    <t>2475/Rev</t>
  </si>
  <si>
    <t>A/2025/JV/2475/Rev</t>
  </si>
  <si>
    <t>2110837764</t>
  </si>
  <si>
    <t>D/2025/JV/2110837764</t>
  </si>
  <si>
    <t>Invoice</t>
  </si>
  <si>
    <t>D/2025/SB/0179</t>
  </si>
  <si>
    <t>2462/Rev</t>
  </si>
  <si>
    <t>A/2025/JV/2462/Rev</t>
  </si>
  <si>
    <t>A/2025/IN/0704</t>
  </si>
  <si>
    <t>10583 Hitachi Vantara India Pvt Ltd Hitachi Vantara India Pvt Ltd</t>
  </si>
  <si>
    <t>A/2025/IN/0707</t>
  </si>
  <si>
    <t>2110838044</t>
  </si>
  <si>
    <t>A/2025/JV/2110838044</t>
  </si>
  <si>
    <t>A/2025/IN/0711</t>
  </si>
  <si>
    <t>A/2025/IN/0702</t>
  </si>
  <si>
    <t>A/2025/IN/0703</t>
  </si>
  <si>
    <t>2110838057</t>
  </si>
  <si>
    <t>A/2025/JV/2110838057</t>
  </si>
  <si>
    <t>A/2025/IN/0708</t>
  </si>
  <si>
    <t>2110838058</t>
  </si>
  <si>
    <t>A/2025/JV/2110838058</t>
  </si>
  <si>
    <t>A/2025/IN/0709</t>
  </si>
  <si>
    <t>2110838059</t>
  </si>
  <si>
    <t>A/2025/JV/2110838059</t>
  </si>
  <si>
    <t>A/2025/IN/0710</t>
  </si>
  <si>
    <t>A/2025/IN/0713</t>
  </si>
  <si>
    <t>2110838121</t>
  </si>
  <si>
    <t>A/2025/JV/2110838121</t>
  </si>
  <si>
    <t>A/2025/IN/0705</t>
  </si>
  <si>
    <t>Receipt</t>
  </si>
  <si>
    <t>256</t>
  </si>
  <si>
    <t>SEC/A/RVA/2025/0698</t>
  </si>
  <si>
    <t>10364 TRADE NOTES AND ACCOUNTS RECEIVABLE : SUNDRY DEBTORS</t>
  </si>
  <si>
    <t>TDS Transaction</t>
  </si>
  <si>
    <t>437</t>
  </si>
  <si>
    <t>257</t>
  </si>
  <si>
    <t>SEC/A/RVA/2025/0699</t>
  </si>
  <si>
    <t>438</t>
  </si>
  <si>
    <t>Advance from Debtors</t>
  </si>
  <si>
    <t>1574750</t>
  </si>
  <si>
    <t>SEC/A/RVA/2025/0700</t>
  </si>
  <si>
    <t>258</t>
  </si>
  <si>
    <t>SEC/A/RVA/2025/0701</t>
  </si>
  <si>
    <t>439</t>
  </si>
  <si>
    <t>1574751</t>
  </si>
  <si>
    <t>SEC/A/RVA/2025/0696</t>
  </si>
  <si>
    <t>2110838136</t>
  </si>
  <si>
    <t>D/2025/JV/2110838136</t>
  </si>
  <si>
    <t>D/2025/SB/0180</t>
  </si>
  <si>
    <t>A/2025/IN/0706</t>
  </si>
  <si>
    <t>A/2025/IN/0712</t>
  </si>
  <si>
    <t>2110837765</t>
  </si>
  <si>
    <t>D/2025/JV/2110837765</t>
  </si>
  <si>
    <t>D/2025/SB/0181</t>
  </si>
  <si>
    <t>2110838045</t>
  </si>
  <si>
    <t>A/2025/JV/2110838045</t>
  </si>
  <si>
    <t>A/2025/IN/0715</t>
  </si>
  <si>
    <t>2110838060</t>
  </si>
  <si>
    <t>A/2025/JV/2110838060</t>
  </si>
  <si>
    <t>A/2025/IN/0716</t>
  </si>
  <si>
    <t>260</t>
  </si>
  <si>
    <t>SEC/D/RVA/2025/0135</t>
  </si>
  <si>
    <t>261</t>
  </si>
  <si>
    <t>SEC/A/RVA/2025/0703</t>
  </si>
  <si>
    <t>10306  Cognizant Technology Solutions India Pvt Ltd Cognizant Technology Solutions India Pvt Ltd</t>
  </si>
  <si>
    <t>263</t>
  </si>
  <si>
    <t>SEC/A/RVA/2025/0705</t>
  </si>
  <si>
    <t>1574752</t>
  </si>
  <si>
    <t>SEC/A/RVA/2025/0707</t>
  </si>
  <si>
    <t>Credit Memo</t>
  </si>
  <si>
    <t>A/2025/CN/0048</t>
  </si>
  <si>
    <t>A/2025/IN/0714</t>
  </si>
  <si>
    <t>10752 Maruti Suzuki India Ltd Maruti Suzuki India Ltd</t>
  </si>
  <si>
    <t>2110838263</t>
  </si>
  <si>
    <t>A/2025/JV/2110838263</t>
  </si>
  <si>
    <t>710</t>
  </si>
  <si>
    <t>SEC/A/RVA/2025/0704</t>
  </si>
  <si>
    <t>1640</t>
  </si>
  <si>
    <t>D/2025/SB/0182</t>
  </si>
  <si>
    <t>10496  Hero Motocorp Ltd Hero Motocorp Ltd</t>
  </si>
  <si>
    <t>2110838046</t>
  </si>
  <si>
    <t>A/2025/JV/2110838046</t>
  </si>
  <si>
    <t>A/2025/IN/0718</t>
  </si>
  <si>
    <t>2110838062</t>
  </si>
  <si>
    <t>A/2025/JV/2110838062</t>
  </si>
  <si>
    <t>A/2025/IN/0717</t>
  </si>
  <si>
    <t>A/2025/IN/0720</t>
  </si>
  <si>
    <t>A/2025/IN/0721</t>
  </si>
  <si>
    <t>10778 Pramerica Life Insurance Ltd Pramerica Life Insurance Ltd</t>
  </si>
  <si>
    <t>2110838065</t>
  </si>
  <si>
    <t>A/2025/JV/2110838065</t>
  </si>
  <si>
    <t>A/2025/IN/0722</t>
  </si>
  <si>
    <t>A/2025/IN/0724</t>
  </si>
  <si>
    <t>2110838104</t>
  </si>
  <si>
    <t>B/2025/JV/2110838104</t>
  </si>
  <si>
    <t>B/2025/SB/0068</t>
  </si>
  <si>
    <t>2110838105</t>
  </si>
  <si>
    <t>B/2025/JV/2110838105</t>
  </si>
  <si>
    <t>B/2025/SB/0069</t>
  </si>
  <si>
    <t>264</t>
  </si>
  <si>
    <t>SEC/D/RVA/2025/0134</t>
  </si>
  <si>
    <t>265</t>
  </si>
  <si>
    <t>SEC/A/RVA/2025/0708</t>
  </si>
  <si>
    <t>266</t>
  </si>
  <si>
    <t>SEC/A/RVA/2025/0710</t>
  </si>
  <si>
    <t>2110838153</t>
  </si>
  <si>
    <t>A/2025/JV/2110838153</t>
  </si>
  <si>
    <t>10537  Tata Advanced Systems Ltd Tata Advanced Systems Ltd</t>
  </si>
  <si>
    <t>A/2025/IN/0725</t>
  </si>
  <si>
    <t>A/2025/IN/0719</t>
  </si>
  <si>
    <t>A/2025/IN/0723</t>
  </si>
  <si>
    <t>2110839029</t>
  </si>
  <si>
    <t>A/2025/JV/2110839029</t>
  </si>
  <si>
    <t>1574779</t>
  </si>
  <si>
    <t>SEC/A/RVA/2025/0709</t>
  </si>
  <si>
    <t>A/2025/IN/0726</t>
  </si>
  <si>
    <t>2110839141</t>
  </si>
  <si>
    <t>A/2025/JV/2110839141</t>
  </si>
  <si>
    <t>D/2025/SB/0184</t>
  </si>
  <si>
    <t>2110838066</t>
  </si>
  <si>
    <t>C/2025/JV/2110838066</t>
  </si>
  <si>
    <t>A/2025/IN/0727</t>
  </si>
  <si>
    <t>A/2025/IN/0728</t>
  </si>
  <si>
    <t>2110838067</t>
  </si>
  <si>
    <t>A/2025/JV/2110838067</t>
  </si>
  <si>
    <t>A/2025/IN/0729</t>
  </si>
  <si>
    <t>A/2025/IN/0730</t>
  </si>
  <si>
    <t>2110838068</t>
  </si>
  <si>
    <t>A/2025/JV/2110838068</t>
  </si>
  <si>
    <t>A/2025/IN/0731</t>
  </si>
  <si>
    <t>267</t>
  </si>
  <si>
    <t>SEC/B/RVA/2025/0037</t>
  </si>
  <si>
    <t>10203  Accenture Solutions Pvt Ltd Accenture Solutions Pvt Ltd</t>
  </si>
  <si>
    <t>268</t>
  </si>
  <si>
    <t>SEC/D/RVA/2025/0137</t>
  </si>
  <si>
    <t>1574753</t>
  </si>
  <si>
    <t>SEC/A/RVA/2025/0712</t>
  </si>
  <si>
    <t>269</t>
  </si>
  <si>
    <t>SEC/A/RVA/2025/0713</t>
  </si>
  <si>
    <t>270</t>
  </si>
  <si>
    <t>SEC/A/RVA/2025/0716</t>
  </si>
  <si>
    <t>A/2025/CN/0049</t>
  </si>
  <si>
    <t>10780 Siddhika Chandrakant Ghag Siddhika Chandrakant Ghag</t>
  </si>
  <si>
    <t>A/2025/CN/0050</t>
  </si>
  <si>
    <t>10786 The Good Life Cafe And Health Ba (The Frying Pan) The Good Life Cafe And Health Ba (The Frying Pan)</t>
  </si>
  <si>
    <t>2110837770</t>
  </si>
  <si>
    <t>D/2025/JV/2110837770</t>
  </si>
  <si>
    <t>D/2025/SB/0185</t>
  </si>
  <si>
    <t>2110838069</t>
  </si>
  <si>
    <t>A/2025/JV/2110838069</t>
  </si>
  <si>
    <t>A/2025/IN/0732</t>
  </si>
  <si>
    <t>2110838070</t>
  </si>
  <si>
    <t>A/2025/JV/2110838070</t>
  </si>
  <si>
    <t>A/2025/IN/0733</t>
  </si>
  <si>
    <t>2110838071</t>
  </si>
  <si>
    <t>A/2025/JV/2110838071</t>
  </si>
  <si>
    <t>A/2025/IN/0734</t>
  </si>
  <si>
    <t>1574754</t>
  </si>
  <si>
    <t>SEC/D/RVA/2025/0138</t>
  </si>
  <si>
    <t>10782 Sharp Business Systems (India) Pvt Ltd Sharp Business Systems (India) Pvt Ltd</t>
  </si>
  <si>
    <t>271</t>
  </si>
  <si>
    <t>SEC/A/RVA/2025/0714</t>
  </si>
  <si>
    <t>272</t>
  </si>
  <si>
    <t>SEC/A/RVA/2025/0715</t>
  </si>
  <si>
    <t>10469  Amway India Enterprises Pvt Ltd Amway India Enterprises Pvt Ltd</t>
  </si>
  <si>
    <t>273</t>
  </si>
  <si>
    <t>SEC/A/RVA/2025/0717</t>
  </si>
  <si>
    <t>450</t>
  </si>
  <si>
    <t>274</t>
  </si>
  <si>
    <t>SEC/A/RVA/2025/0718</t>
  </si>
  <si>
    <t>451</t>
  </si>
  <si>
    <t>275</t>
  </si>
  <si>
    <t>SEC/A/RVA/2025/0720</t>
  </si>
  <si>
    <t>276</t>
  </si>
  <si>
    <t>SEC/A/RVA/2025/0721</t>
  </si>
  <si>
    <t>277</t>
  </si>
  <si>
    <t>SEC/A/RVA/2025/0722</t>
  </si>
  <si>
    <t>452</t>
  </si>
  <si>
    <t>278</t>
  </si>
  <si>
    <t>SEC/A/RVA/2025/0723</t>
  </si>
  <si>
    <t>453</t>
  </si>
  <si>
    <t>279</t>
  </si>
  <si>
    <t>SEC/A/RVA/2025/0725</t>
  </si>
  <si>
    <t>454</t>
  </si>
  <si>
    <t>1574755</t>
  </si>
  <si>
    <t>SEC/A/RVA/2025/0726</t>
  </si>
  <si>
    <t>D/2025/CN/0014</t>
  </si>
  <si>
    <t>A/2025/CN/0051</t>
  </si>
  <si>
    <t>A/2025/IN/0735</t>
  </si>
  <si>
    <t>528</t>
  </si>
  <si>
    <t>SEC/A/RVA/2025/0719</t>
  </si>
  <si>
    <t>1179</t>
  </si>
  <si>
    <t>529</t>
  </si>
  <si>
    <t>SEC/A/RVA/2025/0724</t>
  </si>
  <si>
    <t>1180</t>
  </si>
  <si>
    <t>1574756</t>
  </si>
  <si>
    <t>SEC/A/RVA/2025/0729</t>
  </si>
  <si>
    <t>1574757</t>
  </si>
  <si>
    <t>SEC/A/RVA/2025/0730</t>
  </si>
  <si>
    <t>1574758</t>
  </si>
  <si>
    <t>SEC/A/RVA/2025/0731</t>
  </si>
  <si>
    <t>2110837771</t>
  </si>
  <si>
    <t>D/2025/JV/2110837771</t>
  </si>
  <si>
    <t>D/2025/SB/0186</t>
  </si>
  <si>
    <t>2110838072</t>
  </si>
  <si>
    <t>A/2025/JV/2110838072</t>
  </si>
  <si>
    <t>A/2025/IN/0738</t>
  </si>
  <si>
    <t>2110838073</t>
  </si>
  <si>
    <t>A/2025/JV/2110838073</t>
  </si>
  <si>
    <t>A/2025/IN/0739</t>
  </si>
  <si>
    <t>2110838106</t>
  </si>
  <si>
    <t>B/2025/JV/2110838106</t>
  </si>
  <si>
    <t>B/2025/SB/0070</t>
  </si>
  <si>
    <t>2110838107</t>
  </si>
  <si>
    <t>B/2025/JV/2110838107</t>
  </si>
  <si>
    <t>B/2025/SB/0071</t>
  </si>
  <si>
    <t>2110838109</t>
  </si>
  <si>
    <t>B/2025/JV/2110838109</t>
  </si>
  <si>
    <t>B/2025/SB/0073</t>
  </si>
  <si>
    <t>2110838122</t>
  </si>
  <si>
    <t>A/2025/JV/2110838122</t>
  </si>
  <si>
    <t>A/2025/IN/0736</t>
  </si>
  <si>
    <t>280</t>
  </si>
  <si>
    <t>SEC/B/RVA/2025/0038</t>
  </si>
  <si>
    <t>10088 CIO Association CIO Association</t>
  </si>
  <si>
    <t>281</t>
  </si>
  <si>
    <t>SEC/A/RVA/2025/0732</t>
  </si>
  <si>
    <t>282</t>
  </si>
  <si>
    <t>SEC/A/RVA/2025/0733</t>
  </si>
  <si>
    <t>1574759</t>
  </si>
  <si>
    <t>SEC/A/RVA/2025/0734</t>
  </si>
  <si>
    <t>A/2025/IN/0737</t>
  </si>
  <si>
    <t>B/2025/SB/0072</t>
  </si>
  <si>
    <t>2110839143</t>
  </si>
  <si>
    <t>B/2025/JV/2110839143</t>
  </si>
  <si>
    <t>D/2025/SB/0187</t>
  </si>
  <si>
    <t>2110837773</t>
  </si>
  <si>
    <t>D/2025/JV/2110837773</t>
  </si>
  <si>
    <t>D/2025/SB/0188</t>
  </si>
  <si>
    <t>D/2025/SB/0189</t>
  </si>
  <si>
    <t>D/2025/SB/0190</t>
  </si>
  <si>
    <t>2110838117</t>
  </si>
  <si>
    <t>D/2025/JV/2110838117</t>
  </si>
  <si>
    <t>283</t>
  </si>
  <si>
    <t>SEC/D/RVA/2025/0139</t>
  </si>
  <si>
    <t>455</t>
  </si>
  <si>
    <t>284</t>
  </si>
  <si>
    <t>SEC/A/RVA/2025/0735</t>
  </si>
  <si>
    <t>285</t>
  </si>
  <si>
    <t>SEC/A/RVA/2025/0737</t>
  </si>
  <si>
    <t>286</t>
  </si>
  <si>
    <t>SEC/A/RVA/2025/0738</t>
  </si>
  <si>
    <t>457</t>
  </si>
  <si>
    <t>A/2025/IN/0740</t>
  </si>
  <si>
    <t>2110839030</t>
  </si>
  <si>
    <t>A/2025/JV/2110839030</t>
  </si>
  <si>
    <t>A/2025/IN/0741</t>
  </si>
  <si>
    <t>2110839139</t>
  </si>
  <si>
    <t>A/2025/JV/2110839139</t>
  </si>
  <si>
    <t>501</t>
  </si>
  <si>
    <t>SEC/D/RVA/2025/0140</t>
  </si>
  <si>
    <t>1100</t>
  </si>
  <si>
    <t>530</t>
  </si>
  <si>
    <t>SEC/A/RVA/2025/0736</t>
  </si>
  <si>
    <t>1181</t>
  </si>
  <si>
    <t>D/2025/SB/0191</t>
  </si>
  <si>
    <t>A/2025/IN/0745</t>
  </si>
  <si>
    <t>10626  Tata Motors Passenger Vehicles Ltd Tata Motors Passenger Vehicles Ltd</t>
  </si>
  <si>
    <t>A/2025/IN/0746</t>
  </si>
  <si>
    <t>A/2025/IN/0747</t>
  </si>
  <si>
    <t>A/2025/IN/0748</t>
  </si>
  <si>
    <t>A/2025/IN/0749</t>
  </si>
  <si>
    <t>A/2025/IN/0750</t>
  </si>
  <si>
    <t>A/2025/IN/0751</t>
  </si>
  <si>
    <t>A/2025/IN/0752</t>
  </si>
  <si>
    <t>A/2025/IN/0753</t>
  </si>
  <si>
    <t>287</t>
  </si>
  <si>
    <t>SEC/B/RVA/2025/0039</t>
  </si>
  <si>
    <t>458</t>
  </si>
  <si>
    <t>288</t>
  </si>
  <si>
    <t>SEC/B/RVA/2025/0040</t>
  </si>
  <si>
    <t>289</t>
  </si>
  <si>
    <t>SEC/A/RVA/2025/0739</t>
  </si>
  <si>
    <t>460</t>
  </si>
  <si>
    <t>290</t>
  </si>
  <si>
    <t>SEC/A/RVA/2025/0740</t>
  </si>
  <si>
    <t>461</t>
  </si>
  <si>
    <t>291</t>
  </si>
  <si>
    <t>SEC/A/RVA/2025/0741</t>
  </si>
  <si>
    <t>462</t>
  </si>
  <si>
    <t>292</t>
  </si>
  <si>
    <t>SEC/A/RVA/2025/0742</t>
  </si>
  <si>
    <t>463</t>
  </si>
  <si>
    <t>293</t>
  </si>
  <si>
    <t>SEC/A/RVA/2025/0743</t>
  </si>
  <si>
    <t>464</t>
  </si>
  <si>
    <t>294</t>
  </si>
  <si>
    <t>SEC/A/RVA/2025/0745</t>
  </si>
  <si>
    <t>465</t>
  </si>
  <si>
    <t>1574761</t>
  </si>
  <si>
    <t>SEC/A/RVA/2025/0747</t>
  </si>
  <si>
    <t>295</t>
  </si>
  <si>
    <t>SEC/A/RVA/2025/0748</t>
  </si>
  <si>
    <t>466</t>
  </si>
  <si>
    <t>296</t>
  </si>
  <si>
    <t>SEC/A/RVA/2025/0749</t>
  </si>
  <si>
    <t>467</t>
  </si>
  <si>
    <t>297</t>
  </si>
  <si>
    <t>SEC/A/RVA/2025/0751</t>
  </si>
  <si>
    <t>468</t>
  </si>
  <si>
    <t>D/2025/CN/0015</t>
  </si>
  <si>
    <t>D/2025/CN/0016</t>
  </si>
  <si>
    <t>A/2025/CN/0053</t>
  </si>
  <si>
    <t>A/2025/IN/0743</t>
  </si>
  <si>
    <t>2110839005</t>
  </si>
  <si>
    <t>B/2025/JV/2110839005</t>
  </si>
  <si>
    <t>345</t>
  </si>
  <si>
    <t>SEC/A/RVA/2025/0753</t>
  </si>
  <si>
    <t>847</t>
  </si>
  <si>
    <t>A/2025/IN/0742</t>
  </si>
  <si>
    <t>10793 Siemens Energy India Ltd Siemens Energy India Ltd</t>
  </si>
  <si>
    <t>2110839140</t>
  </si>
  <si>
    <t>A/2025/JV/2110839140</t>
  </si>
  <si>
    <t>A/2025/IN/0744</t>
  </si>
  <si>
    <t>A/2025/IN/0754</t>
  </si>
  <si>
    <t>C/2025/SB/0024</t>
  </si>
  <si>
    <t>2110839149</t>
  </si>
  <si>
    <t>C/2025/JV/2110839149</t>
  </si>
  <si>
    <t>2110839150</t>
  </si>
  <si>
    <t>A/2025/JV/2110839150</t>
  </si>
  <si>
    <t>D/2025/SB/0192</t>
  </si>
  <si>
    <t>2110837777</t>
  </si>
  <si>
    <t>D/2025/JV/2110837777</t>
  </si>
  <si>
    <t>D/2025/SB/0193</t>
  </si>
  <si>
    <t>2110837778</t>
  </si>
  <si>
    <t>D/2025/JV/2110837778</t>
  </si>
  <si>
    <t>D/2025/SB/0194</t>
  </si>
  <si>
    <t>2110837779</t>
  </si>
  <si>
    <t>D/2025/JV/2110837779</t>
  </si>
  <si>
    <t>D/2025/SB/0195</t>
  </si>
  <si>
    <t>2110837780</t>
  </si>
  <si>
    <t>D/2025/JV/2110837780</t>
  </si>
  <si>
    <t>D/2025/SB/0196</t>
  </si>
  <si>
    <t>D/2025/SB/0197</t>
  </si>
  <si>
    <t>2110838076</t>
  </si>
  <si>
    <t>A/2025/JV/2110838076</t>
  </si>
  <si>
    <t>A/2025/IN/0756</t>
  </si>
  <si>
    <t>2110838077</t>
  </si>
  <si>
    <t>A/2025/JV/2110838077</t>
  </si>
  <si>
    <t>A/2025/IN/0759</t>
  </si>
  <si>
    <t>298</t>
  </si>
  <si>
    <t>SEC/D/RVA/2025/0141</t>
  </si>
  <si>
    <t>10629  The Indian Express Pvt Ltd The Indian Express Pvt Ltd</t>
  </si>
  <si>
    <t>469</t>
  </si>
  <si>
    <t>299</t>
  </si>
  <si>
    <t>SEC/A/RVA/2025/0750</t>
  </si>
  <si>
    <t>1574762</t>
  </si>
  <si>
    <t>SEC/A/RVA/2025/0762</t>
  </si>
  <si>
    <t>301</t>
  </si>
  <si>
    <t>SEC/A/RVA/2025/0764</t>
  </si>
  <si>
    <t>302</t>
  </si>
  <si>
    <t>SEC/A/RVA/2025/0765</t>
  </si>
  <si>
    <t>303</t>
  </si>
  <si>
    <t>SEC/A/RVA/2025/0766</t>
  </si>
  <si>
    <t>471</t>
  </si>
  <si>
    <t>D/2025/CN/0017</t>
  </si>
  <si>
    <t>A/2025/IN/0760</t>
  </si>
  <si>
    <t>2110839022</t>
  </si>
  <si>
    <t>A/2025/JV/2110839022</t>
  </si>
  <si>
    <t>346</t>
  </si>
  <si>
    <t>SEC/A/RVA/2025/0767</t>
  </si>
  <si>
    <t>848</t>
  </si>
  <si>
    <t>A/2025/IN/0755</t>
  </si>
  <si>
    <t>A/2025/IN/0757</t>
  </si>
  <si>
    <t>A/2025/IN/0758</t>
  </si>
  <si>
    <t>2110839151</t>
  </si>
  <si>
    <t>A/2025/JV/2110839151</t>
  </si>
  <si>
    <t>A/2025/JV/2576</t>
  </si>
  <si>
    <t>725</t>
  </si>
  <si>
    <t>SEC/A/RVA/2025/0754</t>
  </si>
  <si>
    <t>1657</t>
  </si>
  <si>
    <t>D/2025/SB/0198</t>
  </si>
  <si>
    <t>D/2025/SB/0199</t>
  </si>
  <si>
    <t>D/2025/SB/0200</t>
  </si>
  <si>
    <t>2110838078</t>
  </si>
  <si>
    <t>A/2025/JV/2110838078</t>
  </si>
  <si>
    <t>A/2025/IN/0761</t>
  </si>
  <si>
    <t>2110838079</t>
  </si>
  <si>
    <t>A/2025/JV/2110838079</t>
  </si>
  <si>
    <t>A/2025/IN/0762</t>
  </si>
  <si>
    <t>2110838080</t>
  </si>
  <si>
    <t>A/2025/JV/2110838080</t>
  </si>
  <si>
    <t>A/2025/IN/0763</t>
  </si>
  <si>
    <t>2110838083</t>
  </si>
  <si>
    <t>A/2025/JV/2110838083</t>
  </si>
  <si>
    <t>A/2025/IN/0765</t>
  </si>
  <si>
    <t>2110838084</t>
  </si>
  <si>
    <t>A/2025/JV/2110838084</t>
  </si>
  <si>
    <t>A/2025/IN/0766</t>
  </si>
  <si>
    <t>A/2025/IN/0768</t>
  </si>
  <si>
    <t>A/2025/IN/0767</t>
  </si>
  <si>
    <t>2110838126</t>
  </si>
  <si>
    <t>D/2025/JV/2110838126</t>
  </si>
  <si>
    <t>A/2025/IN/0769</t>
  </si>
  <si>
    <t>A/2025/IN/0770</t>
  </si>
  <si>
    <t>A/2025/IN/0771</t>
  </si>
  <si>
    <t>A/2025/IN/0773</t>
  </si>
  <si>
    <t>10795 Tata Passenger Electric Mobility Ltd Tata Passenger Electric Mobility Ltd</t>
  </si>
  <si>
    <t>A/2025/IN/0774</t>
  </si>
  <si>
    <t>A/2025/IN/0775</t>
  </si>
  <si>
    <t>304</t>
  </si>
  <si>
    <t>SEC/D/RVA/2025/0143</t>
  </si>
  <si>
    <t>472</t>
  </si>
  <si>
    <t>1574763</t>
  </si>
  <si>
    <t>SEC/D/RVA/2025/0144</t>
  </si>
  <si>
    <t>10783 Havells India Ltd Havells India Ltd</t>
  </si>
  <si>
    <t>473</t>
  </si>
  <si>
    <t>305</t>
  </si>
  <si>
    <t>SEC/A/RVA/2025/0756</t>
  </si>
  <si>
    <t>474</t>
  </si>
  <si>
    <t>306</t>
  </si>
  <si>
    <t>SEC/A/RVA/2025/0757</t>
  </si>
  <si>
    <t>475</t>
  </si>
  <si>
    <t>307</t>
  </si>
  <si>
    <t>SEC/A/RVA/2025/0758</t>
  </si>
  <si>
    <t>476</t>
  </si>
  <si>
    <t>308</t>
  </si>
  <si>
    <t>SEC/A/RVA/2025/0759</t>
  </si>
  <si>
    <t>477</t>
  </si>
  <si>
    <t>309</t>
  </si>
  <si>
    <t>SEC/A/RVA/2025/0760</t>
  </si>
  <si>
    <t>478</t>
  </si>
  <si>
    <t>310</t>
  </si>
  <si>
    <t>SEC/A/RVA/2025/0761</t>
  </si>
  <si>
    <t>479</t>
  </si>
  <si>
    <t>311</t>
  </si>
  <si>
    <t>SEC/A/RVA/2025/0763</t>
  </si>
  <si>
    <t>480</t>
  </si>
  <si>
    <t>312</t>
  </si>
  <si>
    <t>SEC/A/RVA/2025/0768</t>
  </si>
  <si>
    <t>313</t>
  </si>
  <si>
    <t>SEC/A/RVA/2025/0769</t>
  </si>
  <si>
    <t>481</t>
  </si>
  <si>
    <t>1574764</t>
  </si>
  <si>
    <t>SEC/A/RVA/2025/0770</t>
  </si>
  <si>
    <t>314</t>
  </si>
  <si>
    <t>SEC/A/RVA/2025/0771</t>
  </si>
  <si>
    <t>482</t>
  </si>
  <si>
    <t>315</t>
  </si>
  <si>
    <t>SEC/A/RVA/2025/0772</t>
  </si>
  <si>
    <t>316</t>
  </si>
  <si>
    <t>SEC/A/RVA/2025/0773</t>
  </si>
  <si>
    <t>483</t>
  </si>
  <si>
    <t>A/2025/IN/0764</t>
  </si>
  <si>
    <t>A/2025/IN/0772</t>
  </si>
  <si>
    <t>2110838863</t>
  </si>
  <si>
    <t>A/2025/JV/2110838863</t>
  </si>
  <si>
    <t>1574780</t>
  </si>
  <si>
    <t>SEC/A/RVA/2025/0775</t>
  </si>
  <si>
    <t>502</t>
  </si>
  <si>
    <t>SEC/D/RVA/2025/0142</t>
  </si>
  <si>
    <t>10043 Kiran Nadar Museum of Art Kiran Nadar Museum of Art</t>
  </si>
  <si>
    <t>1101</t>
  </si>
  <si>
    <t>526</t>
  </si>
  <si>
    <t>SEC/C/RVA/2025/0017</t>
  </si>
  <si>
    <t>527</t>
  </si>
  <si>
    <t>531</t>
  </si>
  <si>
    <t>SEC/A/RVA/2025/0755</t>
  </si>
  <si>
    <t>1182</t>
  </si>
  <si>
    <t>532</t>
  </si>
  <si>
    <t>1183</t>
  </si>
  <si>
    <t>A/2025/IN/0776</t>
  </si>
  <si>
    <t>A/2025/IN/0778</t>
  </si>
  <si>
    <t>2110838086</t>
  </si>
  <si>
    <t>A/2025/JV/2110838086</t>
  </si>
  <si>
    <t>A/2025/IN/0779</t>
  </si>
  <si>
    <t>2110838087</t>
  </si>
  <si>
    <t>A/2025/JV/2110838087</t>
  </si>
  <si>
    <t>A/2025/IN/0780</t>
  </si>
  <si>
    <t>320</t>
  </si>
  <si>
    <t>SEC/A/RVA/2025/0776</t>
  </si>
  <si>
    <t>1574767</t>
  </si>
  <si>
    <t>SEC/A/RVA/2025/0777</t>
  </si>
  <si>
    <t>321</t>
  </si>
  <si>
    <t>SEC/A/RVA/2025/0779</t>
  </si>
  <si>
    <t>522</t>
  </si>
  <si>
    <t>1574768</t>
  </si>
  <si>
    <t>SEC/A/RVA/2025/0780</t>
  </si>
  <si>
    <t>322</t>
  </si>
  <si>
    <t>SEC/A/RVA/2025/0781</t>
  </si>
  <si>
    <t>523</t>
  </si>
  <si>
    <t>A/2025/IN/0777</t>
  </si>
  <si>
    <t>2110839031</t>
  </si>
  <si>
    <t>A/2025/JV/2110839031</t>
  </si>
  <si>
    <t>C/2025/SB/0025</t>
  </si>
  <si>
    <t>2110837784</t>
  </si>
  <si>
    <t>D/2025/JV/2110837784</t>
  </si>
  <si>
    <t>D/2025/SB/0201</t>
  </si>
  <si>
    <t>2110838088</t>
  </si>
  <si>
    <t>A/2025/JV/2110838088</t>
  </si>
  <si>
    <t>A/2025/IN/0782</t>
  </si>
  <si>
    <t>2110838089</t>
  </si>
  <si>
    <t>A/2025/JV/2110838089</t>
  </si>
  <si>
    <t>A/2025/IN/0784</t>
  </si>
  <si>
    <t>2110838090</t>
  </si>
  <si>
    <t>A/2025/JV/2110838090</t>
  </si>
  <si>
    <t>A/2025/IN/0785</t>
  </si>
  <si>
    <t>A/2025/IN/0788</t>
  </si>
  <si>
    <t>2110838111</t>
  </si>
  <si>
    <t>B/2025/JV/2110838111</t>
  </si>
  <si>
    <t>B/2025/SB/0074</t>
  </si>
  <si>
    <t>A/2025/IN/0781</t>
  </si>
  <si>
    <t>A/2025/IN/0783</t>
  </si>
  <si>
    <t>2110838864</t>
  </si>
  <si>
    <t>A/2025/JV/2110838864</t>
  </si>
  <si>
    <t>A/2025/IN/0786</t>
  </si>
  <si>
    <t>A/2025/IN/0787</t>
  </si>
  <si>
    <t>2110839032</t>
  </si>
  <si>
    <t>A/2025/JV/2110839032</t>
  </si>
  <si>
    <t>B/2025/SB/0075</t>
  </si>
  <si>
    <t>2110839144</t>
  </si>
  <si>
    <t>B/2025/JV/2110839144</t>
  </si>
  <si>
    <t>D/2025/SB/0202</t>
  </si>
  <si>
    <t>2110838091</t>
  </si>
  <si>
    <t>A/2025/JV/2110838091</t>
  </si>
  <si>
    <t>A/2025/IN/0789</t>
  </si>
  <si>
    <t>2110838092</t>
  </si>
  <si>
    <t>A/2025/JV/2110838092</t>
  </si>
  <si>
    <t>A/2025/IN/0790</t>
  </si>
  <si>
    <t>A/2025/IN/0791</t>
  </si>
  <si>
    <t>323</t>
  </si>
  <si>
    <t>SEC/D/RVA/2025/0146</t>
  </si>
  <si>
    <t>1574769</t>
  </si>
  <si>
    <t>SEC/A/RVA/2025/0784</t>
  </si>
  <si>
    <t>347</t>
  </si>
  <si>
    <t>SEC/A/RVA/2025/0783</t>
  </si>
  <si>
    <t>849</t>
  </si>
  <si>
    <t>B/2025/SB/0076</t>
  </si>
  <si>
    <t>2110839146</t>
  </si>
  <si>
    <t>B/2025/JV/2110839146</t>
  </si>
  <si>
    <t>D/2025/SB/0203</t>
  </si>
  <si>
    <t>2110837782</t>
  </si>
  <si>
    <t>D/2025/JV/2110837782</t>
  </si>
  <si>
    <t>D/2025/SB/0204</t>
  </si>
  <si>
    <t>D/2025/SB/0205</t>
  </si>
  <si>
    <t>2110838093</t>
  </si>
  <si>
    <t>A/2025/JV/2110838093</t>
  </si>
  <si>
    <t>A/2025/IN/0795</t>
  </si>
  <si>
    <t>2110838094</t>
  </si>
  <si>
    <t>A/2025/JV/2110838094</t>
  </si>
  <si>
    <t>A/2025/IN/0798</t>
  </si>
  <si>
    <t>2110838113</t>
  </si>
  <si>
    <t>B/2025/JV/2110838113</t>
  </si>
  <si>
    <t>B/2025/SB/0077</t>
  </si>
  <si>
    <t>D/2025/CN/0018</t>
  </si>
  <si>
    <t>A/2025/CN/0054</t>
  </si>
  <si>
    <t>A/2025/CN/0055</t>
  </si>
  <si>
    <t>A/2025/CN/0056</t>
  </si>
  <si>
    <t>A/2025/IN/0793</t>
  </si>
  <si>
    <t>2110838865</t>
  </si>
  <si>
    <t>A/2025/JV/2110838865</t>
  </si>
  <si>
    <t>A/2025/IN/0794</t>
  </si>
  <si>
    <t>A/2025/IN/0796</t>
  </si>
  <si>
    <t>2110838866</t>
  </si>
  <si>
    <t>A/2025/JV/2110838866</t>
  </si>
  <si>
    <t>A/2025/IN/0797</t>
  </si>
  <si>
    <t>2110838869</t>
  </si>
  <si>
    <t>A/2025/JV/2110838869</t>
  </si>
  <si>
    <t>A/2025/IN/0799</t>
  </si>
  <si>
    <t>2110838872</t>
  </si>
  <si>
    <t>A/2025/JV/2110838872</t>
  </si>
  <si>
    <t>348</t>
  </si>
  <si>
    <t>SEC/A/RVA/2025/0785</t>
  </si>
  <si>
    <t>850</t>
  </si>
  <si>
    <t>1574781</t>
  </si>
  <si>
    <t>SEC/A/RVA/2025/0786</t>
  </si>
  <si>
    <t>10784 Transunion Cibil Ltd Transunion Cibil Ltd</t>
  </si>
  <si>
    <t>851</t>
  </si>
  <si>
    <t>349</t>
  </si>
  <si>
    <t>SEC/A/RVA/2025/0788</t>
  </si>
  <si>
    <t>350</t>
  </si>
  <si>
    <t>SEC/A/RVA/2025/0789</t>
  </si>
  <si>
    <t>852</t>
  </si>
  <si>
    <t>1574782</t>
  </si>
  <si>
    <t>SEC/A/RVA/2025/0790</t>
  </si>
  <si>
    <t>A/2025/IN/0792</t>
  </si>
  <si>
    <t>2110839142</t>
  </si>
  <si>
    <t>A/2025/JV/2110839142</t>
  </si>
  <si>
    <t>1574816</t>
  </si>
  <si>
    <t>SEC/D/RVA/2025/0148</t>
  </si>
  <si>
    <t>10722  Vinfast Auto India Pvt Ltd Vinfast Auto India Pvt Ltd</t>
  </si>
  <si>
    <t>1121</t>
  </si>
  <si>
    <t>688</t>
  </si>
  <si>
    <t>SEC/A/RVA/2025/0787</t>
  </si>
  <si>
    <t>1527</t>
  </si>
  <si>
    <t>D/2025/SB/0206</t>
  </si>
  <si>
    <t>D/2025/SB/0207</t>
  </si>
  <si>
    <t>D/2025/SB/0208</t>
  </si>
  <si>
    <t>D/2025/SB/0211</t>
  </si>
  <si>
    <t>D/2025/SB/0209</t>
  </si>
  <si>
    <t>2110838095</t>
  </si>
  <si>
    <t>A/2025/JV/2110838095</t>
  </si>
  <si>
    <t>A/2025/IN/0800</t>
  </si>
  <si>
    <t>2110838096</t>
  </si>
  <si>
    <t>A/2025/JV/2110838096</t>
  </si>
  <si>
    <t>A/2025/IN/0803</t>
  </si>
  <si>
    <t>2110838097</t>
  </si>
  <si>
    <t>A/2025/JV/2110838097</t>
  </si>
  <si>
    <t>A/2025/IN/0805</t>
  </si>
  <si>
    <t>A/2025/IN/0801</t>
  </si>
  <si>
    <t>A/2025/IN/0802</t>
  </si>
  <si>
    <t>A/2025/IN/0804</t>
  </si>
  <si>
    <t>2110839033</t>
  </si>
  <si>
    <t>A/2025/JV/2110839033</t>
  </si>
  <si>
    <t>2110839034</t>
  </si>
  <si>
    <t>A/2025/JV/2110839034</t>
  </si>
  <si>
    <t>2110839035</t>
  </si>
  <si>
    <t>A/2025/JV/2110839035</t>
  </si>
  <si>
    <t>351</t>
  </si>
  <si>
    <t>SEC/A/RVA/2025/0792</t>
  </si>
  <si>
    <t>1574785</t>
  </si>
  <si>
    <t>SEC/A/RVA/2025/0807</t>
  </si>
  <si>
    <t>504</t>
  </si>
  <si>
    <t>SEC/D/RVA/2025/0149</t>
  </si>
  <si>
    <t>1122</t>
  </si>
  <si>
    <t>2110839941</t>
  </si>
  <si>
    <t>SEC/D/RVA/2025/0150</t>
  </si>
  <si>
    <t>711</t>
  </si>
  <si>
    <t>SEC/A/RVA/2025/0791</t>
  </si>
  <si>
    <t>1641</t>
  </si>
  <si>
    <t>2110838099</t>
  </si>
  <si>
    <t>A/2025/JV/2110838099</t>
  </si>
  <si>
    <t>A/2025/IN/0808</t>
  </si>
  <si>
    <t>A/2025/IN/0806</t>
  </si>
  <si>
    <t>A/2025/IN/0807</t>
  </si>
  <si>
    <t>2110839036</t>
  </si>
  <si>
    <t>A/2025/JV/2110839036</t>
  </si>
  <si>
    <t>1574783</t>
  </si>
  <si>
    <t>SEC/A/RVA/2025/0795</t>
  </si>
  <si>
    <t>690</t>
  </si>
  <si>
    <t>SEC/B/RVA/2025/0041</t>
  </si>
  <si>
    <t>1529</t>
  </si>
  <si>
    <t>2110838101</t>
  </si>
  <si>
    <t>A/2025/JV/2110838101</t>
  </si>
  <si>
    <t>A/2025/IN/0811</t>
  </si>
  <si>
    <t>A/2025/IN/0813</t>
  </si>
  <si>
    <t>2110838102</t>
  </si>
  <si>
    <t>A/2025/JV/2110838102</t>
  </si>
  <si>
    <t>A/2025/IN/0815</t>
  </si>
  <si>
    <t>2110838114</t>
  </si>
  <si>
    <t>B/2025/JV/2110838114</t>
  </si>
  <si>
    <t>B/2025/SB/0078</t>
  </si>
  <si>
    <t>A/2025/IN/0809</t>
  </si>
  <si>
    <t>A/2025/IN/0810</t>
  </si>
  <si>
    <t>A/2025/IN/0812</t>
  </si>
  <si>
    <t>A/2025/IN/0814</t>
  </si>
  <si>
    <t>2110839037</t>
  </si>
  <si>
    <t>A/2025/JV/2110839037</t>
  </si>
  <si>
    <t>2110839038</t>
  </si>
  <si>
    <t>A/2025/JV/2110839038</t>
  </si>
  <si>
    <t>357</t>
  </si>
  <si>
    <t>SEC/A/RVA/2025/0806</t>
  </si>
  <si>
    <t>858</t>
  </si>
  <si>
    <t>1574786</t>
  </si>
  <si>
    <t>SEC/A/RVA/2025/0808</t>
  </si>
  <si>
    <t>500</t>
  </si>
  <si>
    <t>SEC/C/RVA/2025/0018</t>
  </si>
  <si>
    <t>10249  NatWest Digital Services India Pvt Ltd (RBS Services India Pvt Ltd) NatWest Digital Services India Pvt Ltd (RBS Services India Pvt Ltd)</t>
  </si>
  <si>
    <t>1099</t>
  </si>
  <si>
    <t>505</t>
  </si>
  <si>
    <t>SEC/D/RVA/2025/0151</t>
  </si>
  <si>
    <t>691</t>
  </si>
  <si>
    <t>SEC/B/RVA/2025/0042</t>
  </si>
  <si>
    <t>1530</t>
  </si>
  <si>
    <t>2110837739</t>
  </si>
  <si>
    <t>A/2025/JV/2110837739</t>
  </si>
  <si>
    <t>A/2025/IN/0816</t>
  </si>
  <si>
    <t>2110837740</t>
  </si>
  <si>
    <t>D/2025/JV/2110837740</t>
  </si>
  <si>
    <t>D/2025/SB/0213</t>
  </si>
  <si>
    <t>A/2025/CN/0057</t>
  </si>
  <si>
    <t>A/2025/IN/0817</t>
  </si>
  <si>
    <t>A/2025/IN/0818</t>
  </si>
  <si>
    <t>2110837744</t>
  </si>
  <si>
    <t>B/2025/JV/2110837744</t>
  </si>
  <si>
    <t>B/2025/SB/0081</t>
  </si>
  <si>
    <t>A/2025/IN/0819</t>
  </si>
  <si>
    <t>2110837783</t>
  </si>
  <si>
    <t>D/2025/JV/2110837783</t>
  </si>
  <si>
    <t>D/2025/SB/0212</t>
  </si>
  <si>
    <t>1574784</t>
  </si>
  <si>
    <t>SEC/A/RVA/2025/0797</t>
  </si>
  <si>
    <t>352</t>
  </si>
  <si>
    <t>SEC/A/RVA/2025/0799</t>
  </si>
  <si>
    <t>853</t>
  </si>
  <si>
    <t>353</t>
  </si>
  <si>
    <t>SEC/A/RVA/2025/0800</t>
  </si>
  <si>
    <t>854</t>
  </si>
  <si>
    <t>355</t>
  </si>
  <si>
    <t>SEC/A/RVA/2025/0803</t>
  </si>
  <si>
    <t>856</t>
  </si>
  <si>
    <t>356</t>
  </si>
  <si>
    <t>SEC/A/RVA/2025/0804</t>
  </si>
  <si>
    <t>857</t>
  </si>
  <si>
    <t>1574787</t>
  </si>
  <si>
    <t>SEC/A/RVA/2025/0809</t>
  </si>
  <si>
    <t>10796 Creamline Dairy Products Ltd Creamline Dairy Products Ltd</t>
  </si>
  <si>
    <t>1574789</t>
  </si>
  <si>
    <t>SEC/A/RVA/2025/0811</t>
  </si>
  <si>
    <t>10492  Godrej Agrovet Ltd Godrej Agrovet Ltd</t>
  </si>
  <si>
    <t>B/2025/SB/0079</t>
  </si>
  <si>
    <t>2110839145</t>
  </si>
  <si>
    <t>B/2025/JV/2110839145</t>
  </si>
  <si>
    <t>B/2025/SB/0080</t>
  </si>
  <si>
    <t>2110837747</t>
  </si>
  <si>
    <t>B/2025/JV/2110837747</t>
  </si>
  <si>
    <t>B/2025/SB/0082</t>
  </si>
  <si>
    <t>2110837749</t>
  </si>
  <si>
    <t>A/2025/JV/2110837749</t>
  </si>
  <si>
    <t>10002 Adfactors Advertising LLP Adfactors Advertising LLP</t>
  </si>
  <si>
    <t>A/2025/IN/0820</t>
  </si>
  <si>
    <t>2110837751</t>
  </si>
  <si>
    <t>A/2025/JV/2110837751</t>
  </si>
  <si>
    <t>10152  Lakme Lever Pvt Ltd Lakme Lever Pvt Ltd</t>
  </si>
  <si>
    <t>A/2025/IN/0821</t>
  </si>
  <si>
    <t>2110837752</t>
  </si>
  <si>
    <t>A/2025/JV/2110837752</t>
  </si>
  <si>
    <t>A/2025/IN/0822</t>
  </si>
  <si>
    <t>354</t>
  </si>
  <si>
    <t>SEC/A/RVA/2025/0802</t>
  </si>
  <si>
    <t>855</t>
  </si>
  <si>
    <t>1574788</t>
  </si>
  <si>
    <t>SEC/A/RVA/2025/0810</t>
  </si>
  <si>
    <t>1574790</t>
  </si>
  <si>
    <t>SEC/A/RVA/2025/0812</t>
  </si>
  <si>
    <t>10792 Astec Lifesciences Ltd Astec Lifesciences Ltd</t>
  </si>
  <si>
    <t>359</t>
  </si>
  <si>
    <t>SEC/A/RVA/2025/0814</t>
  </si>
  <si>
    <t>862</t>
  </si>
  <si>
    <t>1574791</t>
  </si>
  <si>
    <t>SEC/A/RVA/2025/0816</t>
  </si>
  <si>
    <t>689</t>
  </si>
  <si>
    <t>SEC/A/RVA/2025/0801</t>
  </si>
  <si>
    <t>1528</t>
  </si>
  <si>
    <t>2110837755</t>
  </si>
  <si>
    <t>A/2025/JV/2110837755</t>
  </si>
  <si>
    <t>A/2025/IN/0823</t>
  </si>
  <si>
    <t>2110837756</t>
  </si>
  <si>
    <t>A/2025/JV/2110837756</t>
  </si>
  <si>
    <t>A/2025/IN/0824</t>
  </si>
  <si>
    <t>2110837757</t>
  </si>
  <si>
    <t>A/2025/JV/2110837757</t>
  </si>
  <si>
    <t>A/2025/IN/0825</t>
  </si>
  <si>
    <t>C/2025/SB/0027</t>
  </si>
  <si>
    <t>2110837759</t>
  </si>
  <si>
    <t>C/2025/JV/2110837759</t>
  </si>
  <si>
    <t>C/2025/SB/0028</t>
  </si>
  <si>
    <t>A/2025/CN/0058</t>
  </si>
  <si>
    <t>A/2025/IN/0826</t>
  </si>
  <si>
    <t>2110837760</t>
  </si>
  <si>
    <t>D/2025/JV/2110837760</t>
  </si>
  <si>
    <t>D/2025/SB/0216</t>
  </si>
  <si>
    <t>B/2025/SB/0083</t>
  </si>
  <si>
    <t>B/2025/SB/0084</t>
  </si>
  <si>
    <t>2110837762</t>
  </si>
  <si>
    <t>C/2025/JV/2110837762</t>
  </si>
  <si>
    <t>2110837788</t>
  </si>
  <si>
    <t>D/2025/JV/2110837788</t>
  </si>
  <si>
    <t>D/2025/SB/0215</t>
  </si>
  <si>
    <t>2110837789</t>
  </si>
  <si>
    <t>D/2025/JV/2110837789</t>
  </si>
  <si>
    <t>D/2025/SB/0214</t>
  </si>
  <si>
    <t>D/2025/CN/0019</t>
  </si>
  <si>
    <t>A/2025/IN/0827</t>
  </si>
  <si>
    <t>D/2025/CN/0020</t>
  </si>
  <si>
    <t>2110839039</t>
  </si>
  <si>
    <t>A/2025/JV/2110839039</t>
  </si>
  <si>
    <t>358</t>
  </si>
  <si>
    <t>SEC/A/RVA/2025/0813</t>
  </si>
  <si>
    <t>861</t>
  </si>
  <si>
    <t>1574792</t>
  </si>
  <si>
    <t>SEC/A/RVA/2025/0817</t>
  </si>
  <si>
    <t>360</t>
  </si>
  <si>
    <t>SEC/A/RVA/2025/0818</t>
  </si>
  <si>
    <t>863</t>
  </si>
  <si>
    <t>B/2025/SB/0085</t>
  </si>
  <si>
    <t>2110839148</t>
  </si>
  <si>
    <t>B/2025/JV/2110839148</t>
  </si>
  <si>
    <t>497</t>
  </si>
  <si>
    <t>SEC/B/RVA/2025/0043</t>
  </si>
  <si>
    <t>1096</t>
  </si>
  <si>
    <t>498</t>
  </si>
  <si>
    <t>SEC/B/RVA/2025/0044</t>
  </si>
  <si>
    <t>1097</t>
  </si>
  <si>
    <t>2110837766</t>
  </si>
  <si>
    <t>B/2025/JV/2110837766</t>
  </si>
  <si>
    <t>B/2025/SB/0086</t>
  </si>
  <si>
    <t>2110837767</t>
  </si>
  <si>
    <t>B/2025/JV/2110837767</t>
  </si>
  <si>
    <t>B/2025/SB/0087</t>
  </si>
  <si>
    <t>2110837768</t>
  </si>
  <si>
    <t>A/2025/JV/2110837768</t>
  </si>
  <si>
    <t>A/2025/IN/0828</t>
  </si>
  <si>
    <t>2110837769</t>
  </si>
  <si>
    <t>A/2025/JV/2110837769</t>
  </si>
  <si>
    <t>A/2025/IN/0829</t>
  </si>
  <si>
    <t>A/2025/IN/0830</t>
  </si>
  <si>
    <t>2110837772</t>
  </si>
  <si>
    <t>A/2025/JV/2110837772</t>
  </si>
  <si>
    <t>A/2025/IN/0831</t>
  </si>
  <si>
    <t>2110837776</t>
  </si>
  <si>
    <t>A/2025/JV/2110837776</t>
  </si>
  <si>
    <t>A/2025/IN/0835</t>
  </si>
  <si>
    <t>2110837781</t>
  </si>
  <si>
    <t>A/2025/JV/2110837781</t>
  </si>
  <si>
    <t>A/2025/IN/0836</t>
  </si>
  <si>
    <t>2110838103</t>
  </si>
  <si>
    <t>A/2025/JV/2110838103</t>
  </si>
  <si>
    <t>A/2025/IN/0832</t>
  </si>
  <si>
    <t>2110838127</t>
  </si>
  <si>
    <t>A/2025/JV/2110838127</t>
  </si>
  <si>
    <t>A/2025/IN/0833</t>
  </si>
  <si>
    <t>2110838128</t>
  </si>
  <si>
    <t>A/2025/JV/2110838128</t>
  </si>
  <si>
    <t>A/2025/IN/0834</t>
  </si>
  <si>
    <t>A/2025/CN/0059</t>
  </si>
  <si>
    <t>1574793</t>
  </si>
  <si>
    <t>SEC/A/RVA/2025/0820</t>
  </si>
  <si>
    <t>361</t>
  </si>
  <si>
    <t>SEC/A/RVA/2025/0821</t>
  </si>
  <si>
    <t>864</t>
  </si>
  <si>
    <t>1574794</t>
  </si>
  <si>
    <t>SEC/A/RVA/2025/0822</t>
  </si>
  <si>
    <t>499</t>
  </si>
  <si>
    <t>SEC/C/RVA/2025/0019</t>
  </si>
  <si>
    <t>1098</t>
  </si>
  <si>
    <t>506</t>
  </si>
  <si>
    <t>SEC/D/RVA/2025/0153</t>
  </si>
  <si>
    <t>1123</t>
  </si>
  <si>
    <t>507</t>
  </si>
  <si>
    <t>SEC/D/RVA/2025/0154</t>
  </si>
  <si>
    <t>1124</t>
  </si>
  <si>
    <t>508</t>
  </si>
  <si>
    <t>SEC/D/RVA/2025/0155</t>
  </si>
  <si>
    <t>1125</t>
  </si>
  <si>
    <t>C/2025/SB/0029</t>
  </si>
  <si>
    <t>B/2025/CN/0005</t>
  </si>
  <si>
    <t>10776 Shobiz Experiential Communications Pvt Ltd (ISD-DR)-Che Shobiz Experiential Communications Pvt Ltd (ISD-DR)-Che</t>
  </si>
  <si>
    <t>726</t>
  </si>
  <si>
    <t>SEC/A/RVA/2025/0819</t>
  </si>
  <si>
    <t>1658</t>
  </si>
  <si>
    <t>A/2025/IN/0837</t>
  </si>
  <si>
    <t>2110837794</t>
  </si>
  <si>
    <t>D/2025/JV/2110837794</t>
  </si>
  <si>
    <t>2110837795</t>
  </si>
  <si>
    <t>D/2025/JV/2110837795</t>
  </si>
  <si>
    <t>2110837833</t>
  </si>
  <si>
    <t>undefined/2025/JV/2110837833</t>
  </si>
  <si>
    <t>A/2025/IN/0838</t>
  </si>
  <si>
    <t>2110838994</t>
  </si>
  <si>
    <t>A/2025/JV/2954A</t>
  </si>
  <si>
    <t>362</t>
  </si>
  <si>
    <t>SEC/A/RVA/2025/0823</t>
  </si>
  <si>
    <t>865</t>
  </si>
  <si>
    <t>363</t>
  </si>
  <si>
    <t>SEC/A/RVA/2025/0824</t>
  </si>
  <si>
    <t>866</t>
  </si>
  <si>
    <t>1574795</t>
  </si>
  <si>
    <t>SEC/A/RVA/2025/0825</t>
  </si>
  <si>
    <t>364</t>
  </si>
  <si>
    <t>SEC/A/RVA/2025/0826</t>
  </si>
  <si>
    <t>867</t>
  </si>
  <si>
    <t>365</t>
  </si>
  <si>
    <t>SEC/A/RVA/2025/0827</t>
  </si>
  <si>
    <t>868</t>
  </si>
  <si>
    <t>366</t>
  </si>
  <si>
    <t>SEC/A/RVA/2025/0828</t>
  </si>
  <si>
    <t>869</t>
  </si>
  <si>
    <t>367</t>
  </si>
  <si>
    <t>SEC/A/RVA/2025/0829</t>
  </si>
  <si>
    <t>870</t>
  </si>
  <si>
    <t>692</t>
  </si>
  <si>
    <t>SEC/D/RVA/2025/0158</t>
  </si>
  <si>
    <t>1531</t>
  </si>
  <si>
    <t>A/2025/JV/2948</t>
  </si>
  <si>
    <t>13182   Shobiz Experiential Communications Pvt Ltd (ISD-CR)-Mum Shobiz Experiential Communications Pvt Ltd (ISD-CR)-Mum</t>
  </si>
  <si>
    <t>A/2025/JV/2900</t>
  </si>
  <si>
    <t>A/2025/JV/2939</t>
  </si>
  <si>
    <t>A/2025/JV/2525</t>
  </si>
  <si>
    <t>Deposit Application</t>
  </si>
  <si>
    <t>Overall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</si>
</sst>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;@"/>
    <numFmt numFmtId="181" formatCode="0.00_);[Red]\(0.00\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2" borderId="0" xfId="0" applyFill="1">
      <alignment vertical="center"/>
    </xf>
    <xf numFmtId="181" fontId="0" fillId="2" borderId="0" xfId="0" applyNumberFormat="1" applyFill="1">
      <alignment vertical="center"/>
    </xf>
    <xf numFmtId="0" fontId="0" fillId="3" borderId="0" xfId="0" applyFill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fgColor rgb="FFFFFF00"/>
          <bgColor rgb="FF00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0"/>
  <sheetViews>
    <sheetView topLeftCell="A132" workbookViewId="0">
      <selection activeCell="C150" sqref="C150"/>
    </sheetView>
  </sheetViews>
  <sheetFormatPr defaultColWidth="8.72727272727273" defaultRowHeight="14.5" outlineLevelCol="4"/>
  <cols>
    <col min="1" max="1" width="70.4545454545455" customWidth="1"/>
    <col min="2" max="2" width="16.1818181818182" customWidth="1"/>
    <col min="3" max="4" width="12.8181818181818" customWidth="1"/>
    <col min="5" max="5" width="15.727272727272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</v>
      </c>
      <c r="C2">
        <v>276734</v>
      </c>
      <c r="D2">
        <v>0</v>
      </c>
      <c r="E2">
        <v>276734</v>
      </c>
    </row>
    <row r="3" spans="1:5">
      <c r="A3" t="s">
        <v>6</v>
      </c>
      <c r="B3">
        <v>1961597</v>
      </c>
      <c r="C3">
        <v>0</v>
      </c>
      <c r="D3">
        <v>1961597</v>
      </c>
      <c r="E3">
        <v>0</v>
      </c>
    </row>
    <row r="4" spans="1:5">
      <c r="A4" t="s">
        <v>7</v>
      </c>
      <c r="B4">
        <v>0</v>
      </c>
      <c r="C4">
        <v>534566</v>
      </c>
      <c r="D4">
        <v>534566</v>
      </c>
      <c r="E4">
        <v>0</v>
      </c>
    </row>
    <row r="5" spans="1:5">
      <c r="A5" t="s">
        <v>8</v>
      </c>
      <c r="B5">
        <v>44625</v>
      </c>
      <c r="C5">
        <v>0</v>
      </c>
      <c r="D5">
        <v>0</v>
      </c>
      <c r="E5">
        <v>44625</v>
      </c>
    </row>
    <row r="6" spans="1:5">
      <c r="A6" t="s">
        <v>9</v>
      </c>
      <c r="B6">
        <v>201189</v>
      </c>
      <c r="C6">
        <v>0</v>
      </c>
      <c r="D6">
        <v>197779</v>
      </c>
      <c r="E6">
        <v>3410</v>
      </c>
    </row>
    <row r="7" spans="1:5">
      <c r="A7" t="s">
        <v>10</v>
      </c>
      <c r="B7">
        <v>0</v>
      </c>
      <c r="C7">
        <v>1641675</v>
      </c>
      <c r="D7">
        <v>0</v>
      </c>
      <c r="E7">
        <v>1641675</v>
      </c>
    </row>
    <row r="8" spans="1:5">
      <c r="A8" t="s">
        <v>11</v>
      </c>
      <c r="B8">
        <v>0</v>
      </c>
      <c r="C8">
        <v>124733.34</v>
      </c>
      <c r="D8">
        <v>124733.34</v>
      </c>
      <c r="E8">
        <v>0</v>
      </c>
    </row>
    <row r="9" spans="1:5">
      <c r="A9" t="s">
        <v>12</v>
      </c>
      <c r="B9">
        <v>2842307</v>
      </c>
      <c r="C9">
        <v>4714090.56</v>
      </c>
      <c r="D9">
        <v>1900502.43</v>
      </c>
      <c r="E9">
        <v>5655895.13</v>
      </c>
    </row>
    <row r="10" spans="1:5">
      <c r="A10" t="s">
        <v>13</v>
      </c>
      <c r="B10">
        <v>0</v>
      </c>
      <c r="C10">
        <v>2</v>
      </c>
      <c r="D10">
        <v>2</v>
      </c>
      <c r="E10">
        <v>0</v>
      </c>
    </row>
    <row r="11" spans="1:5">
      <c r="A11" t="s">
        <v>14</v>
      </c>
      <c r="B11">
        <v>1453760</v>
      </c>
      <c r="C11">
        <v>6988904</v>
      </c>
      <c r="D11">
        <v>1453760</v>
      </c>
      <c r="E11">
        <v>6988904</v>
      </c>
    </row>
    <row r="12" spans="1:5">
      <c r="A12" t="s">
        <v>15</v>
      </c>
      <c r="B12">
        <v>0</v>
      </c>
      <c r="C12">
        <v>24780</v>
      </c>
      <c r="D12">
        <v>0</v>
      </c>
      <c r="E12">
        <v>24780</v>
      </c>
    </row>
    <row r="13" spans="1:5">
      <c r="A13" t="s">
        <v>16</v>
      </c>
      <c r="B13">
        <v>0</v>
      </c>
      <c r="C13">
        <v>280463.19</v>
      </c>
      <c r="D13">
        <v>0.19</v>
      </c>
      <c r="E13">
        <v>280463</v>
      </c>
    </row>
    <row r="14" spans="1:5">
      <c r="A14" t="s">
        <v>17</v>
      </c>
      <c r="B14">
        <v>93975</v>
      </c>
      <c r="C14">
        <v>0</v>
      </c>
      <c r="D14">
        <v>93975</v>
      </c>
      <c r="E14">
        <v>0</v>
      </c>
    </row>
    <row r="15" spans="1:5">
      <c r="A15" t="s">
        <v>18</v>
      </c>
      <c r="B15">
        <v>582447</v>
      </c>
      <c r="C15">
        <v>2130664.88</v>
      </c>
      <c r="D15">
        <v>2017324.84</v>
      </c>
      <c r="E15">
        <v>695787.04</v>
      </c>
    </row>
    <row r="16" spans="1:5">
      <c r="A16" t="s">
        <v>19</v>
      </c>
      <c r="B16">
        <v>0</v>
      </c>
      <c r="C16">
        <v>1298000</v>
      </c>
      <c r="D16">
        <v>0</v>
      </c>
      <c r="E16">
        <v>1298000</v>
      </c>
    </row>
    <row r="17" spans="1:5">
      <c r="A17" t="s">
        <v>20</v>
      </c>
      <c r="B17">
        <v>38081175</v>
      </c>
      <c r="C17">
        <v>36423840.32</v>
      </c>
      <c r="D17">
        <v>45425965.84</v>
      </c>
      <c r="E17" s="7" t="s">
        <v>21</v>
      </c>
    </row>
    <row r="18" spans="1:5">
      <c r="A18" t="s">
        <v>22</v>
      </c>
      <c r="B18">
        <v>1111485</v>
      </c>
      <c r="C18">
        <v>634929</v>
      </c>
      <c r="D18">
        <v>1707633</v>
      </c>
      <c r="E18">
        <v>38781</v>
      </c>
    </row>
    <row r="19" spans="1:5">
      <c r="A19" t="s">
        <v>23</v>
      </c>
      <c r="B19">
        <v>700691</v>
      </c>
      <c r="C19">
        <v>1580027</v>
      </c>
      <c r="D19">
        <v>878877.6</v>
      </c>
      <c r="E19">
        <v>1401840.4</v>
      </c>
    </row>
    <row r="20" spans="1:5">
      <c r="A20" t="s">
        <v>24</v>
      </c>
      <c r="B20">
        <v>0</v>
      </c>
      <c r="C20">
        <v>2208693.32</v>
      </c>
      <c r="D20">
        <v>0.32</v>
      </c>
      <c r="E20">
        <v>2208693</v>
      </c>
    </row>
    <row r="21" spans="1:5">
      <c r="A21" t="s">
        <v>25</v>
      </c>
      <c r="B21">
        <v>0</v>
      </c>
      <c r="C21">
        <v>41300</v>
      </c>
      <c r="D21">
        <v>0</v>
      </c>
      <c r="E21">
        <v>41300</v>
      </c>
    </row>
    <row r="22" spans="1:5">
      <c r="A22" t="s">
        <v>26</v>
      </c>
      <c r="B22">
        <v>0</v>
      </c>
      <c r="C22">
        <v>809024</v>
      </c>
      <c r="D22">
        <v>0</v>
      </c>
      <c r="E22">
        <v>809024</v>
      </c>
    </row>
    <row r="23" spans="1:5">
      <c r="A23" t="s">
        <v>27</v>
      </c>
      <c r="B23">
        <v>1403897</v>
      </c>
      <c r="C23">
        <v>0</v>
      </c>
      <c r="D23">
        <v>0</v>
      </c>
      <c r="E23">
        <v>1403897</v>
      </c>
    </row>
    <row r="24" spans="1:5">
      <c r="A24" t="s">
        <v>28</v>
      </c>
      <c r="B24">
        <v>0</v>
      </c>
      <c r="C24">
        <v>3445100</v>
      </c>
      <c r="D24">
        <v>0</v>
      </c>
      <c r="E24">
        <v>3445100</v>
      </c>
    </row>
    <row r="25" spans="1:5">
      <c r="A25" t="s">
        <v>29</v>
      </c>
      <c r="B25">
        <v>0</v>
      </c>
      <c r="C25">
        <v>1755182</v>
      </c>
      <c r="D25">
        <v>0</v>
      </c>
      <c r="E25">
        <v>1755182</v>
      </c>
    </row>
    <row r="26" spans="1:5">
      <c r="A26" t="s">
        <v>30</v>
      </c>
      <c r="B26">
        <v>156350</v>
      </c>
      <c r="C26">
        <v>0</v>
      </c>
      <c r="D26">
        <v>13588.88</v>
      </c>
      <c r="E26">
        <v>142761.12</v>
      </c>
    </row>
    <row r="27" spans="1:5">
      <c r="A27" t="s">
        <v>31</v>
      </c>
      <c r="B27">
        <v>1917896</v>
      </c>
      <c r="C27">
        <v>0</v>
      </c>
      <c r="D27">
        <v>0</v>
      </c>
      <c r="E27">
        <v>1917896</v>
      </c>
    </row>
    <row r="28" spans="1:5">
      <c r="A28" t="s">
        <v>32</v>
      </c>
      <c r="B28">
        <v>3823353</v>
      </c>
      <c r="C28">
        <v>0</v>
      </c>
      <c r="D28">
        <v>0</v>
      </c>
      <c r="E28">
        <v>3823353</v>
      </c>
    </row>
    <row r="29" spans="1:5">
      <c r="A29" t="s">
        <v>33</v>
      </c>
      <c r="B29">
        <v>0</v>
      </c>
      <c r="C29">
        <v>5262952.22</v>
      </c>
      <c r="D29">
        <v>3593539.3</v>
      </c>
      <c r="E29">
        <v>1669412.92</v>
      </c>
    </row>
    <row r="30" spans="1:5">
      <c r="A30" t="s">
        <v>34</v>
      </c>
      <c r="B30" s="7" t="s">
        <v>35</v>
      </c>
      <c r="C30">
        <v>1815126.42</v>
      </c>
      <c r="D30">
        <v>18546117.24</v>
      </c>
      <c r="E30">
        <v>2298965.43</v>
      </c>
    </row>
    <row r="31" spans="1:5">
      <c r="A31" t="s">
        <v>36</v>
      </c>
      <c r="B31">
        <v>93391</v>
      </c>
      <c r="C31">
        <v>1724614.16</v>
      </c>
      <c r="D31">
        <v>0.16</v>
      </c>
      <c r="E31">
        <v>1818005</v>
      </c>
    </row>
    <row r="32" spans="1:5">
      <c r="A32" t="s">
        <v>37</v>
      </c>
      <c r="B32">
        <v>21404341</v>
      </c>
      <c r="C32">
        <v>14045918.08</v>
      </c>
      <c r="D32">
        <v>21404341</v>
      </c>
      <c r="E32" s="7" t="s">
        <v>38</v>
      </c>
    </row>
    <row r="33" spans="1:5">
      <c r="A33" t="s">
        <v>39</v>
      </c>
      <c r="B33">
        <v>1293784</v>
      </c>
      <c r="C33">
        <v>5548521.76</v>
      </c>
      <c r="D33">
        <v>0.76</v>
      </c>
      <c r="E33">
        <v>6842305</v>
      </c>
    </row>
    <row r="34" spans="1:5">
      <c r="A34" t="s">
        <v>40</v>
      </c>
      <c r="B34">
        <v>71390</v>
      </c>
      <c r="C34">
        <v>27729.7</v>
      </c>
      <c r="D34">
        <v>10855.7</v>
      </c>
      <c r="E34">
        <v>88264</v>
      </c>
    </row>
    <row r="35" spans="1:5">
      <c r="A35" t="s">
        <v>41</v>
      </c>
      <c r="B35">
        <v>37340485</v>
      </c>
      <c r="C35">
        <v>39427365.28</v>
      </c>
      <c r="D35">
        <v>20318787.4</v>
      </c>
      <c r="E35" s="7" t="s">
        <v>42</v>
      </c>
    </row>
    <row r="36" spans="1:5">
      <c r="A36" t="s">
        <v>43</v>
      </c>
      <c r="B36">
        <v>902839</v>
      </c>
      <c r="C36">
        <v>426393</v>
      </c>
      <c r="D36">
        <v>0</v>
      </c>
      <c r="E36">
        <v>1329232</v>
      </c>
    </row>
    <row r="37" spans="1:5">
      <c r="A37" t="s">
        <v>44</v>
      </c>
      <c r="B37">
        <v>156997</v>
      </c>
      <c r="C37">
        <v>5852750</v>
      </c>
      <c r="D37">
        <v>169896.71</v>
      </c>
      <c r="E37">
        <v>5839850.29</v>
      </c>
    </row>
    <row r="38" spans="1:5">
      <c r="A38" t="s">
        <v>45</v>
      </c>
      <c r="B38">
        <v>6716643</v>
      </c>
      <c r="C38">
        <v>3737821.1</v>
      </c>
      <c r="D38">
        <v>7519627.2</v>
      </c>
      <c r="E38">
        <v>2934836.9</v>
      </c>
    </row>
    <row r="39" spans="1:5">
      <c r="A39" t="s">
        <v>46</v>
      </c>
      <c r="B39">
        <v>167309</v>
      </c>
      <c r="C39">
        <v>0</v>
      </c>
      <c r="D39">
        <v>0</v>
      </c>
      <c r="E39">
        <v>167309</v>
      </c>
    </row>
    <row r="40" spans="1:5">
      <c r="A40" t="s">
        <v>47</v>
      </c>
      <c r="B40">
        <v>13630065</v>
      </c>
      <c r="C40">
        <v>4170819</v>
      </c>
      <c r="D40">
        <v>11450614.75</v>
      </c>
      <c r="E40">
        <v>6350269.25</v>
      </c>
    </row>
    <row r="41" spans="1:5">
      <c r="A41" t="s">
        <v>48</v>
      </c>
      <c r="B41" s="7" t="s">
        <v>49</v>
      </c>
      <c r="C41">
        <v>11907089.6</v>
      </c>
      <c r="D41">
        <v>10584992.6</v>
      </c>
      <c r="E41" s="7" t="s">
        <v>50</v>
      </c>
    </row>
    <row r="42" spans="1:5">
      <c r="A42" t="s">
        <v>51</v>
      </c>
      <c r="B42">
        <v>4130024</v>
      </c>
      <c r="C42">
        <v>5688956.51</v>
      </c>
      <c r="D42">
        <v>3780022.95</v>
      </c>
      <c r="E42">
        <v>6038957.56</v>
      </c>
    </row>
    <row r="43" spans="1:5">
      <c r="A43" t="s">
        <v>52</v>
      </c>
      <c r="B43">
        <v>3886082</v>
      </c>
      <c r="C43">
        <v>0</v>
      </c>
      <c r="D43">
        <v>0</v>
      </c>
      <c r="E43">
        <v>3886082</v>
      </c>
    </row>
    <row r="44" spans="1:5">
      <c r="A44" t="s">
        <v>53</v>
      </c>
      <c r="B44">
        <v>0</v>
      </c>
      <c r="C44">
        <v>31803254</v>
      </c>
      <c r="D44">
        <v>7884612</v>
      </c>
      <c r="E44">
        <v>23918642</v>
      </c>
    </row>
    <row r="45" spans="1:5">
      <c r="A45" t="s">
        <v>54</v>
      </c>
      <c r="B45">
        <v>668317</v>
      </c>
      <c r="C45">
        <v>497645</v>
      </c>
      <c r="D45">
        <v>308157.82</v>
      </c>
      <c r="E45">
        <v>857804.18</v>
      </c>
    </row>
    <row r="46" spans="1:5">
      <c r="A46" t="s">
        <v>55</v>
      </c>
      <c r="B46">
        <v>887018</v>
      </c>
      <c r="C46">
        <v>0</v>
      </c>
      <c r="D46">
        <v>887018</v>
      </c>
      <c r="E46">
        <v>0</v>
      </c>
    </row>
    <row r="47" spans="1:5">
      <c r="A47" t="s">
        <v>56</v>
      </c>
      <c r="B47">
        <v>0</v>
      </c>
      <c r="C47">
        <v>65049</v>
      </c>
      <c r="D47">
        <v>0</v>
      </c>
      <c r="E47">
        <v>65049</v>
      </c>
    </row>
    <row r="48" spans="1:5">
      <c r="A48" t="s">
        <v>57</v>
      </c>
      <c r="B48">
        <v>0</v>
      </c>
      <c r="C48">
        <v>212400</v>
      </c>
      <c r="D48">
        <v>212400</v>
      </c>
      <c r="E48">
        <v>0</v>
      </c>
    </row>
    <row r="49" spans="1:5">
      <c r="A49" t="s">
        <v>58</v>
      </c>
      <c r="B49">
        <v>851342</v>
      </c>
      <c r="C49">
        <v>3883918.28</v>
      </c>
      <c r="D49">
        <v>1272174.85</v>
      </c>
      <c r="E49">
        <v>3463085.43</v>
      </c>
    </row>
    <row r="50" spans="1:5">
      <c r="A50" t="s">
        <v>59</v>
      </c>
      <c r="B50">
        <v>465219</v>
      </c>
      <c r="C50">
        <v>0</v>
      </c>
      <c r="D50">
        <v>465219</v>
      </c>
      <c r="E50">
        <v>0</v>
      </c>
    </row>
    <row r="51" spans="1:5">
      <c r="A51" t="s">
        <v>60</v>
      </c>
      <c r="B51">
        <v>0</v>
      </c>
      <c r="C51">
        <v>140420</v>
      </c>
      <c r="D51">
        <v>140420</v>
      </c>
      <c r="E51">
        <v>0</v>
      </c>
    </row>
    <row r="52" spans="1:5">
      <c r="A52" t="s">
        <v>61</v>
      </c>
      <c r="B52">
        <v>1043532</v>
      </c>
      <c r="C52">
        <v>0</v>
      </c>
      <c r="D52">
        <v>1043532</v>
      </c>
      <c r="E52">
        <v>0</v>
      </c>
    </row>
    <row r="53" spans="1:5">
      <c r="A53" t="s">
        <v>62</v>
      </c>
      <c r="B53">
        <v>147417</v>
      </c>
      <c r="C53">
        <v>0</v>
      </c>
      <c r="D53">
        <v>144918.8</v>
      </c>
      <c r="E53">
        <v>2498.2</v>
      </c>
    </row>
    <row r="54" spans="1:5">
      <c r="A54" t="s">
        <v>63</v>
      </c>
      <c r="B54">
        <v>0</v>
      </c>
      <c r="C54">
        <v>12135738</v>
      </c>
      <c r="D54">
        <v>12135738</v>
      </c>
      <c r="E54">
        <v>0</v>
      </c>
    </row>
    <row r="55" spans="1:5">
      <c r="A55" t="s">
        <v>64</v>
      </c>
      <c r="B55">
        <v>1003059</v>
      </c>
      <c r="C55">
        <v>0</v>
      </c>
      <c r="D55">
        <v>0</v>
      </c>
      <c r="E55">
        <v>1003059</v>
      </c>
    </row>
    <row r="56" spans="1:5">
      <c r="A56" t="s">
        <v>65</v>
      </c>
      <c r="B56">
        <v>4741283</v>
      </c>
      <c r="C56">
        <v>5271340.14</v>
      </c>
      <c r="D56">
        <v>2564232.48</v>
      </c>
      <c r="E56">
        <v>7448390.66</v>
      </c>
    </row>
    <row r="57" spans="1:5">
      <c r="A57" t="s">
        <v>66</v>
      </c>
      <c r="B57">
        <v>36907.58</v>
      </c>
      <c r="C57">
        <v>0</v>
      </c>
      <c r="D57">
        <v>36209.48</v>
      </c>
      <c r="E57">
        <v>698.1</v>
      </c>
    </row>
    <row r="58" spans="1:5">
      <c r="A58" t="s">
        <v>67</v>
      </c>
      <c r="B58">
        <v>853802</v>
      </c>
      <c r="C58">
        <v>0</v>
      </c>
      <c r="D58">
        <v>0</v>
      </c>
      <c r="E58">
        <v>853802</v>
      </c>
    </row>
    <row r="59" spans="1:5">
      <c r="A59" t="s">
        <v>68</v>
      </c>
      <c r="B59">
        <v>5133000</v>
      </c>
      <c r="C59">
        <v>0</v>
      </c>
      <c r="D59">
        <v>3046000</v>
      </c>
      <c r="E59">
        <v>2087000</v>
      </c>
    </row>
    <row r="60" spans="1:5">
      <c r="A60" t="s">
        <v>69</v>
      </c>
      <c r="B60">
        <v>0</v>
      </c>
      <c r="C60">
        <v>12423583.25</v>
      </c>
      <c r="D60">
        <v>0</v>
      </c>
      <c r="E60" s="7" t="s">
        <v>70</v>
      </c>
    </row>
    <row r="61" spans="1:5">
      <c r="A61" t="s">
        <v>71</v>
      </c>
      <c r="B61">
        <v>6157327</v>
      </c>
      <c r="C61">
        <v>725072</v>
      </c>
      <c r="D61">
        <v>4767200</v>
      </c>
      <c r="E61">
        <v>2115199</v>
      </c>
    </row>
    <row r="62" spans="1:5">
      <c r="A62" t="s">
        <v>72</v>
      </c>
      <c r="B62">
        <v>793229</v>
      </c>
      <c r="C62">
        <v>0</v>
      </c>
      <c r="D62">
        <v>0</v>
      </c>
      <c r="E62">
        <v>793229</v>
      </c>
    </row>
    <row r="63" spans="1:5">
      <c r="A63" t="s">
        <v>73</v>
      </c>
      <c r="B63">
        <v>1092994</v>
      </c>
      <c r="C63">
        <v>0</v>
      </c>
      <c r="D63">
        <v>1003832.2</v>
      </c>
      <c r="E63">
        <v>89161.8</v>
      </c>
    </row>
    <row r="64" spans="1:5">
      <c r="A64" t="s">
        <v>74</v>
      </c>
      <c r="B64">
        <v>7460879</v>
      </c>
      <c r="C64">
        <v>39586356.34</v>
      </c>
      <c r="D64">
        <v>6269257.34</v>
      </c>
      <c r="E64">
        <v>40777978</v>
      </c>
    </row>
    <row r="65" spans="1:5">
      <c r="A65" t="s">
        <v>75</v>
      </c>
      <c r="B65">
        <v>0</v>
      </c>
      <c r="C65">
        <v>4948666.53</v>
      </c>
      <c r="D65">
        <v>1828158.53</v>
      </c>
      <c r="E65">
        <v>3120508</v>
      </c>
    </row>
    <row r="66" spans="1:5">
      <c r="A66" t="s">
        <v>76</v>
      </c>
      <c r="B66">
        <v>1422413</v>
      </c>
      <c r="C66">
        <v>82600</v>
      </c>
      <c r="D66">
        <v>1422413</v>
      </c>
      <c r="E66">
        <v>82600</v>
      </c>
    </row>
    <row r="67" spans="1:5">
      <c r="A67" t="s">
        <v>77</v>
      </c>
      <c r="B67">
        <v>1969509</v>
      </c>
      <c r="C67">
        <v>0</v>
      </c>
      <c r="D67">
        <v>0</v>
      </c>
      <c r="E67">
        <v>1969509</v>
      </c>
    </row>
    <row r="68" spans="1:5">
      <c r="A68" t="s">
        <v>78</v>
      </c>
      <c r="B68">
        <v>1911523</v>
      </c>
      <c r="C68">
        <v>0</v>
      </c>
      <c r="D68">
        <v>0</v>
      </c>
      <c r="E68">
        <v>1911523</v>
      </c>
    </row>
    <row r="69" spans="1:5">
      <c r="A69" t="s">
        <v>79</v>
      </c>
      <c r="B69">
        <v>18101736</v>
      </c>
      <c r="C69">
        <v>0</v>
      </c>
      <c r="D69">
        <v>17794927</v>
      </c>
      <c r="E69">
        <v>306809</v>
      </c>
    </row>
    <row r="70" spans="1:5">
      <c r="A70" t="s">
        <v>80</v>
      </c>
      <c r="B70">
        <v>10395224</v>
      </c>
      <c r="C70">
        <v>5819669.26</v>
      </c>
      <c r="D70">
        <v>8200895.26</v>
      </c>
      <c r="E70">
        <v>8013998</v>
      </c>
    </row>
    <row r="71" spans="1:5">
      <c r="A71" t="s">
        <v>81</v>
      </c>
      <c r="B71">
        <v>622323</v>
      </c>
      <c r="C71">
        <v>176699</v>
      </c>
      <c r="D71">
        <v>0</v>
      </c>
      <c r="E71">
        <v>799022</v>
      </c>
    </row>
    <row r="72" spans="1:5">
      <c r="A72" t="s">
        <v>82</v>
      </c>
      <c r="B72">
        <v>374271</v>
      </c>
      <c r="C72">
        <v>0</v>
      </c>
      <c r="D72">
        <v>374271</v>
      </c>
      <c r="E72">
        <v>0</v>
      </c>
    </row>
    <row r="73" spans="1:5">
      <c r="A73" t="s">
        <v>83</v>
      </c>
      <c r="B73">
        <v>1228797</v>
      </c>
      <c r="C73">
        <v>0</v>
      </c>
      <c r="D73">
        <v>0</v>
      </c>
      <c r="E73">
        <v>1228797</v>
      </c>
    </row>
    <row r="74" spans="1:5">
      <c r="A74" t="s">
        <v>84</v>
      </c>
      <c r="B74">
        <v>0</v>
      </c>
      <c r="C74">
        <v>5622578.36</v>
      </c>
      <c r="D74">
        <v>4493156.36</v>
      </c>
      <c r="E74">
        <v>1129422</v>
      </c>
    </row>
    <row r="75" spans="1:5">
      <c r="A75" t="s">
        <v>85</v>
      </c>
      <c r="B75">
        <v>0</v>
      </c>
      <c r="C75">
        <v>1223780.36</v>
      </c>
      <c r="D75">
        <v>1203038.36</v>
      </c>
      <c r="E75">
        <v>20742</v>
      </c>
    </row>
    <row r="76" spans="1:5">
      <c r="A76" t="s">
        <v>86</v>
      </c>
      <c r="B76">
        <v>9398639</v>
      </c>
      <c r="C76">
        <v>155145.04</v>
      </c>
      <c r="D76">
        <v>82481.28</v>
      </c>
      <c r="E76">
        <v>9471302.76</v>
      </c>
    </row>
    <row r="77" spans="1:5">
      <c r="A77" t="s">
        <v>87</v>
      </c>
      <c r="B77">
        <v>0</v>
      </c>
      <c r="C77">
        <v>3576816</v>
      </c>
      <c r="D77">
        <v>0</v>
      </c>
      <c r="E77">
        <v>3576816</v>
      </c>
    </row>
    <row r="78" spans="1:5">
      <c r="A78" t="s">
        <v>88</v>
      </c>
      <c r="B78">
        <v>271400</v>
      </c>
      <c r="C78">
        <v>0</v>
      </c>
      <c r="D78">
        <v>200600</v>
      </c>
      <c r="E78">
        <v>70800</v>
      </c>
    </row>
    <row r="79" spans="1:5">
      <c r="A79" t="s">
        <v>89</v>
      </c>
      <c r="B79">
        <v>4602000</v>
      </c>
      <c r="C79">
        <v>3054837.1</v>
      </c>
      <c r="D79">
        <v>0.1</v>
      </c>
      <c r="E79">
        <v>7656837</v>
      </c>
    </row>
    <row r="80" spans="1:5">
      <c r="A80" t="s">
        <v>90</v>
      </c>
      <c r="B80">
        <v>60652000</v>
      </c>
      <c r="C80">
        <v>14160000</v>
      </c>
      <c r="D80">
        <v>23600000</v>
      </c>
      <c r="E80">
        <v>51212000</v>
      </c>
    </row>
    <row r="81" spans="1:5">
      <c r="A81" t="s">
        <v>91</v>
      </c>
      <c r="B81">
        <v>0</v>
      </c>
      <c r="C81">
        <v>1203600</v>
      </c>
      <c r="D81">
        <v>601800</v>
      </c>
      <c r="E81">
        <v>601800</v>
      </c>
    </row>
    <row r="82" spans="1:5">
      <c r="A82" t="s">
        <v>92</v>
      </c>
      <c r="B82">
        <v>0</v>
      </c>
      <c r="C82">
        <v>159300</v>
      </c>
      <c r="D82">
        <v>159300</v>
      </c>
      <c r="E82">
        <v>0</v>
      </c>
    </row>
    <row r="83" spans="1:5">
      <c r="A83" t="s">
        <v>93</v>
      </c>
      <c r="B83">
        <v>472275</v>
      </c>
      <c r="C83">
        <v>339005</v>
      </c>
      <c r="D83">
        <v>0</v>
      </c>
      <c r="E83">
        <v>811280</v>
      </c>
    </row>
    <row r="84" spans="1:5">
      <c r="A84" t="s">
        <v>94</v>
      </c>
      <c r="B84">
        <v>505040</v>
      </c>
      <c r="C84">
        <v>0</v>
      </c>
      <c r="D84">
        <v>0</v>
      </c>
      <c r="E84">
        <v>505040</v>
      </c>
    </row>
    <row r="85" spans="1:5">
      <c r="A85" t="s">
        <v>95</v>
      </c>
      <c r="B85">
        <v>0</v>
      </c>
      <c r="C85">
        <v>419044</v>
      </c>
      <c r="D85">
        <v>419044</v>
      </c>
      <c r="E85">
        <v>0</v>
      </c>
    </row>
    <row r="86" spans="1:5">
      <c r="A86" t="s">
        <v>96</v>
      </c>
      <c r="B86">
        <v>0</v>
      </c>
      <c r="C86">
        <v>14416127</v>
      </c>
      <c r="D86">
        <v>14416127</v>
      </c>
      <c r="E86">
        <v>0</v>
      </c>
    </row>
    <row r="87" spans="1:5">
      <c r="A87" t="s">
        <v>97</v>
      </c>
      <c r="B87">
        <v>6455073</v>
      </c>
      <c r="C87">
        <v>794376</v>
      </c>
      <c r="D87">
        <v>0</v>
      </c>
      <c r="E87">
        <v>7249449</v>
      </c>
    </row>
    <row r="88" spans="1:5">
      <c r="A88" t="s">
        <v>98</v>
      </c>
      <c r="B88">
        <v>0</v>
      </c>
      <c r="C88">
        <v>1505276.15</v>
      </c>
      <c r="D88">
        <v>0.15</v>
      </c>
      <c r="E88">
        <v>1505276</v>
      </c>
    </row>
    <row r="89" spans="1:5">
      <c r="A89" t="s">
        <v>99</v>
      </c>
      <c r="B89">
        <v>0</v>
      </c>
      <c r="C89">
        <v>2633482.4</v>
      </c>
      <c r="D89">
        <v>0</v>
      </c>
      <c r="E89">
        <v>2633482.4</v>
      </c>
    </row>
    <row r="90" spans="1:5">
      <c r="A90" t="s">
        <v>100</v>
      </c>
      <c r="B90">
        <v>0</v>
      </c>
      <c r="C90">
        <v>631005</v>
      </c>
      <c r="D90">
        <v>0</v>
      </c>
      <c r="E90">
        <v>631005</v>
      </c>
    </row>
    <row r="91" spans="1:5">
      <c r="A91" t="s">
        <v>101</v>
      </c>
      <c r="B91">
        <v>3068227</v>
      </c>
      <c r="C91">
        <v>0</v>
      </c>
      <c r="D91">
        <v>0</v>
      </c>
      <c r="E91">
        <v>3068227</v>
      </c>
    </row>
    <row r="92" spans="1:5">
      <c r="A92" t="s">
        <v>102</v>
      </c>
      <c r="B92">
        <v>12980</v>
      </c>
      <c r="C92">
        <v>84500</v>
      </c>
      <c r="D92">
        <v>12980</v>
      </c>
      <c r="E92">
        <v>84500</v>
      </c>
    </row>
    <row r="93" spans="1:5">
      <c r="A93" t="s">
        <v>103</v>
      </c>
      <c r="B93">
        <v>508343</v>
      </c>
      <c r="C93">
        <v>0</v>
      </c>
      <c r="D93">
        <v>508343</v>
      </c>
      <c r="E93">
        <v>0</v>
      </c>
    </row>
    <row r="94" spans="1:5">
      <c r="A94" t="s">
        <v>104</v>
      </c>
      <c r="B94">
        <v>0</v>
      </c>
      <c r="C94">
        <v>308447.39</v>
      </c>
      <c r="D94">
        <v>297591.39</v>
      </c>
      <c r="E94">
        <v>10856</v>
      </c>
    </row>
    <row r="95" spans="1:5">
      <c r="A95" t="s">
        <v>105</v>
      </c>
      <c r="B95">
        <v>0</v>
      </c>
      <c r="C95">
        <v>2928752.5</v>
      </c>
      <c r="D95">
        <v>2928752.5</v>
      </c>
      <c r="E95">
        <v>0</v>
      </c>
    </row>
    <row r="96" spans="1:5">
      <c r="A96" t="s">
        <v>106</v>
      </c>
      <c r="B96">
        <v>30652</v>
      </c>
      <c r="C96">
        <v>0</v>
      </c>
      <c r="D96">
        <v>0</v>
      </c>
      <c r="E96">
        <v>30652</v>
      </c>
    </row>
    <row r="97" spans="1:5">
      <c r="A97" t="s">
        <v>107</v>
      </c>
      <c r="B97">
        <v>0</v>
      </c>
      <c r="C97">
        <v>29087.46</v>
      </c>
      <c r="D97">
        <v>29087.46</v>
      </c>
      <c r="E97">
        <v>0</v>
      </c>
    </row>
    <row r="98" spans="1:5">
      <c r="A98" t="s">
        <v>108</v>
      </c>
      <c r="B98">
        <v>0</v>
      </c>
      <c r="C98">
        <v>70222</v>
      </c>
      <c r="D98">
        <v>0</v>
      </c>
      <c r="E98">
        <v>70222</v>
      </c>
    </row>
    <row r="99" spans="1:5">
      <c r="A99" t="s">
        <v>109</v>
      </c>
      <c r="B99">
        <v>0</v>
      </c>
      <c r="C99">
        <v>31551</v>
      </c>
      <c r="D99">
        <v>30976.31</v>
      </c>
      <c r="E99">
        <v>574.69</v>
      </c>
    </row>
    <row r="100" spans="1:5">
      <c r="A100" t="s">
        <v>110</v>
      </c>
      <c r="B100">
        <v>0</v>
      </c>
      <c r="C100">
        <v>356828</v>
      </c>
      <c r="D100">
        <v>356828</v>
      </c>
      <c r="E100">
        <v>0</v>
      </c>
    </row>
    <row r="101" spans="1:5">
      <c r="A101" t="s">
        <v>111</v>
      </c>
      <c r="B101">
        <v>35499</v>
      </c>
      <c r="C101">
        <v>0</v>
      </c>
      <c r="D101">
        <v>0</v>
      </c>
      <c r="E101">
        <v>35499</v>
      </c>
    </row>
    <row r="102" spans="1:5">
      <c r="A102" t="s">
        <v>112</v>
      </c>
      <c r="B102">
        <v>5522483</v>
      </c>
      <c r="C102">
        <v>0</v>
      </c>
      <c r="D102">
        <v>5054475.96</v>
      </c>
      <c r="E102">
        <v>468007.04</v>
      </c>
    </row>
    <row r="103" spans="1:5">
      <c r="A103" t="s">
        <v>113</v>
      </c>
      <c r="B103">
        <v>103840</v>
      </c>
      <c r="C103">
        <v>6739083</v>
      </c>
      <c r="D103">
        <v>0</v>
      </c>
      <c r="E103">
        <v>6842923</v>
      </c>
    </row>
    <row r="104" spans="1:5">
      <c r="A104" t="s">
        <v>114</v>
      </c>
      <c r="B104">
        <v>5254419</v>
      </c>
      <c r="C104">
        <v>0</v>
      </c>
      <c r="D104">
        <v>0</v>
      </c>
      <c r="E104">
        <v>5254419</v>
      </c>
    </row>
    <row r="105" spans="1:5">
      <c r="A105" t="s">
        <v>115</v>
      </c>
      <c r="B105">
        <v>637866</v>
      </c>
      <c r="C105">
        <v>0</v>
      </c>
      <c r="D105">
        <v>0</v>
      </c>
      <c r="E105">
        <v>637866</v>
      </c>
    </row>
    <row r="106" spans="1:5">
      <c r="A106" t="s">
        <v>116</v>
      </c>
      <c r="B106">
        <v>439898</v>
      </c>
      <c r="C106">
        <v>86170</v>
      </c>
      <c r="D106">
        <v>0</v>
      </c>
      <c r="E106">
        <v>526068</v>
      </c>
    </row>
    <row r="107" spans="1:5">
      <c r="A107" t="s">
        <v>117</v>
      </c>
      <c r="B107">
        <v>0</v>
      </c>
      <c r="C107">
        <v>25523.36</v>
      </c>
      <c r="D107">
        <v>25523.36</v>
      </c>
      <c r="E107">
        <v>0</v>
      </c>
    </row>
    <row r="108" spans="1:5">
      <c r="A108" t="s">
        <v>118</v>
      </c>
      <c r="B108">
        <v>3286430</v>
      </c>
      <c r="C108">
        <v>0</v>
      </c>
      <c r="D108">
        <v>0</v>
      </c>
      <c r="E108">
        <v>3286430</v>
      </c>
    </row>
    <row r="109" spans="1:5">
      <c r="A109" t="s">
        <v>119</v>
      </c>
      <c r="B109">
        <v>51690</v>
      </c>
      <c r="C109">
        <v>0</v>
      </c>
      <c r="D109">
        <v>0</v>
      </c>
      <c r="E109">
        <v>51690</v>
      </c>
    </row>
    <row r="110" spans="1:5">
      <c r="A110" t="s">
        <v>120</v>
      </c>
      <c r="B110">
        <v>2729739</v>
      </c>
      <c r="C110">
        <v>0</v>
      </c>
      <c r="D110">
        <v>898589.6</v>
      </c>
      <c r="E110">
        <v>1831149.4</v>
      </c>
    </row>
    <row r="111" spans="1:5">
      <c r="A111" t="s">
        <v>121</v>
      </c>
      <c r="B111">
        <v>778800</v>
      </c>
      <c r="C111">
        <v>0</v>
      </c>
      <c r="D111">
        <v>778800</v>
      </c>
      <c r="E111">
        <v>0</v>
      </c>
    </row>
    <row r="112" spans="1:5">
      <c r="A112" t="s">
        <v>122</v>
      </c>
      <c r="B112">
        <v>2828227</v>
      </c>
      <c r="C112">
        <v>0</v>
      </c>
      <c r="D112">
        <v>1755181.56</v>
      </c>
      <c r="E112">
        <v>1073045.44</v>
      </c>
    </row>
    <row r="113" spans="1:5">
      <c r="A113" t="s">
        <v>123</v>
      </c>
      <c r="B113">
        <v>206759</v>
      </c>
      <c r="C113">
        <v>0</v>
      </c>
      <c r="D113">
        <v>0</v>
      </c>
      <c r="E113">
        <v>206759</v>
      </c>
    </row>
    <row r="114" spans="1:5">
      <c r="A114" t="s">
        <v>124</v>
      </c>
      <c r="B114">
        <v>329522</v>
      </c>
      <c r="C114">
        <v>0</v>
      </c>
      <c r="D114">
        <v>0</v>
      </c>
      <c r="E114">
        <v>329522</v>
      </c>
    </row>
    <row r="115" spans="1:5">
      <c r="A115" t="s">
        <v>125</v>
      </c>
      <c r="B115">
        <v>116820</v>
      </c>
      <c r="C115">
        <v>0</v>
      </c>
      <c r="D115">
        <v>0</v>
      </c>
      <c r="E115">
        <v>116820</v>
      </c>
    </row>
    <row r="116" spans="1:5">
      <c r="A116" t="s">
        <v>126</v>
      </c>
      <c r="B116">
        <v>58151</v>
      </c>
      <c r="C116">
        <v>0</v>
      </c>
      <c r="D116">
        <v>0</v>
      </c>
      <c r="E116">
        <v>58151</v>
      </c>
    </row>
    <row r="117" spans="1:5">
      <c r="A117" t="s">
        <v>127</v>
      </c>
      <c r="B117">
        <v>2354468</v>
      </c>
      <c r="C117">
        <v>0</v>
      </c>
      <c r="D117">
        <v>0</v>
      </c>
      <c r="E117">
        <v>2354468</v>
      </c>
    </row>
    <row r="118" spans="1:5">
      <c r="A118" t="s">
        <v>128</v>
      </c>
      <c r="B118">
        <v>2596000</v>
      </c>
      <c r="C118">
        <v>606650.62</v>
      </c>
      <c r="D118">
        <v>2271500.62</v>
      </c>
      <c r="E118">
        <v>931150</v>
      </c>
    </row>
    <row r="119" spans="1:5">
      <c r="A119" t="s">
        <v>129</v>
      </c>
      <c r="B119">
        <v>4031906</v>
      </c>
      <c r="C119">
        <v>0</v>
      </c>
      <c r="D119">
        <v>0</v>
      </c>
      <c r="E119">
        <v>4031906</v>
      </c>
    </row>
    <row r="120" spans="1:5">
      <c r="A120" t="s">
        <v>130</v>
      </c>
      <c r="B120">
        <v>2680454</v>
      </c>
      <c r="C120">
        <v>0</v>
      </c>
      <c r="D120">
        <v>2635023</v>
      </c>
      <c r="E120">
        <v>45431</v>
      </c>
    </row>
    <row r="121" spans="1:5">
      <c r="A121" t="s">
        <v>131</v>
      </c>
      <c r="B121">
        <v>0</v>
      </c>
      <c r="C121">
        <v>757142.1</v>
      </c>
      <c r="D121">
        <v>172044.76</v>
      </c>
      <c r="E121">
        <v>585097.34</v>
      </c>
    </row>
    <row r="122" spans="1:5">
      <c r="A122" t="s">
        <v>132</v>
      </c>
      <c r="B122">
        <v>0</v>
      </c>
      <c r="C122">
        <v>869025.01</v>
      </c>
      <c r="D122">
        <v>1.01</v>
      </c>
      <c r="E122">
        <v>869024</v>
      </c>
    </row>
    <row r="123" spans="1:5">
      <c r="A123" t="s">
        <v>133</v>
      </c>
      <c r="B123">
        <v>0</v>
      </c>
      <c r="C123">
        <v>774902.24</v>
      </c>
      <c r="D123">
        <v>774902.24</v>
      </c>
      <c r="E123">
        <v>0</v>
      </c>
    </row>
    <row r="124" spans="1:5">
      <c r="A124" t="s">
        <v>134</v>
      </c>
      <c r="B124">
        <v>-1.68</v>
      </c>
      <c r="C124">
        <v>17404075</v>
      </c>
      <c r="D124">
        <v>17404074.88</v>
      </c>
      <c r="E124">
        <v>-1.56</v>
      </c>
    </row>
    <row r="125" spans="1:5">
      <c r="A125" t="s">
        <v>135</v>
      </c>
      <c r="B125">
        <v>1413451</v>
      </c>
      <c r="C125">
        <v>1413451.2</v>
      </c>
      <c r="D125">
        <v>1413451.4</v>
      </c>
      <c r="E125">
        <v>1413450.8</v>
      </c>
    </row>
    <row r="126" spans="1:5">
      <c r="A126" t="s">
        <v>136</v>
      </c>
      <c r="B126">
        <v>1851129</v>
      </c>
      <c r="C126">
        <v>0</v>
      </c>
      <c r="D126">
        <v>1851129</v>
      </c>
      <c r="E126">
        <v>0</v>
      </c>
    </row>
    <row r="127" spans="1:5">
      <c r="A127" t="s">
        <v>137</v>
      </c>
      <c r="B127">
        <v>1265070</v>
      </c>
      <c r="C127">
        <v>0</v>
      </c>
      <c r="D127">
        <v>0</v>
      </c>
      <c r="E127">
        <v>1265070</v>
      </c>
    </row>
    <row r="128" spans="1:5">
      <c r="A128" t="s">
        <v>138</v>
      </c>
      <c r="B128">
        <v>0</v>
      </c>
      <c r="C128">
        <v>109307007.34</v>
      </c>
      <c r="D128">
        <v>0.38</v>
      </c>
      <c r="E128" s="7" t="s">
        <v>139</v>
      </c>
    </row>
    <row r="129" spans="1:5">
      <c r="A129" t="s">
        <v>140</v>
      </c>
      <c r="B129">
        <v>0</v>
      </c>
      <c r="C129">
        <v>55059496.32</v>
      </c>
      <c r="D129">
        <v>0.32</v>
      </c>
      <c r="E129">
        <v>55059496</v>
      </c>
    </row>
    <row r="130" spans="1:5">
      <c r="A130" t="s">
        <v>141</v>
      </c>
      <c r="B130">
        <v>0</v>
      </c>
      <c r="C130">
        <v>642835</v>
      </c>
      <c r="D130">
        <v>0</v>
      </c>
      <c r="E130">
        <v>642835</v>
      </c>
    </row>
    <row r="131" spans="1:5">
      <c r="A131" t="s">
        <v>142</v>
      </c>
      <c r="B131">
        <v>0</v>
      </c>
      <c r="C131">
        <v>4247327</v>
      </c>
      <c r="D131">
        <v>0</v>
      </c>
      <c r="E131">
        <v>4247327</v>
      </c>
    </row>
    <row r="132" spans="1:5">
      <c r="A132" t="s">
        <v>143</v>
      </c>
      <c r="B132">
        <v>0</v>
      </c>
      <c r="C132">
        <v>630549</v>
      </c>
      <c r="D132">
        <v>630549</v>
      </c>
      <c r="E132">
        <v>0</v>
      </c>
    </row>
    <row r="133" spans="1:5">
      <c r="A133" t="s">
        <v>144</v>
      </c>
      <c r="B133">
        <v>0</v>
      </c>
      <c r="C133">
        <v>229318</v>
      </c>
      <c r="D133">
        <v>0</v>
      </c>
      <c r="E133">
        <v>229318</v>
      </c>
    </row>
    <row r="134" spans="1:5">
      <c r="A134" t="s">
        <v>145</v>
      </c>
      <c r="B134">
        <v>0</v>
      </c>
      <c r="C134">
        <v>0</v>
      </c>
      <c r="D134">
        <v>97350</v>
      </c>
      <c r="E134">
        <v>-97350</v>
      </c>
    </row>
    <row r="135" spans="1:5">
      <c r="A135" t="s">
        <v>146</v>
      </c>
      <c r="B135">
        <v>3111040</v>
      </c>
      <c r="C135">
        <v>196116</v>
      </c>
      <c r="D135">
        <v>3307156</v>
      </c>
      <c r="E135">
        <v>0</v>
      </c>
    </row>
    <row r="136" spans="1:5">
      <c r="A136" t="s">
        <v>147</v>
      </c>
      <c r="B136">
        <v>0</v>
      </c>
      <c r="C136">
        <v>5689161.28</v>
      </c>
      <c r="D136">
        <v>2823942.24</v>
      </c>
      <c r="E136">
        <v>2865219.04</v>
      </c>
    </row>
    <row r="137" spans="1:5">
      <c r="A137" t="s">
        <v>148</v>
      </c>
      <c r="B137">
        <v>100294</v>
      </c>
      <c r="C137">
        <v>0</v>
      </c>
      <c r="D137">
        <v>100294.1</v>
      </c>
      <c r="E137">
        <v>-0.1</v>
      </c>
    </row>
    <row r="138" spans="1:5">
      <c r="A138" t="s">
        <v>149</v>
      </c>
      <c r="B138">
        <v>0</v>
      </c>
      <c r="C138">
        <v>2425638</v>
      </c>
      <c r="D138">
        <v>2183074</v>
      </c>
      <c r="E138">
        <v>242564</v>
      </c>
    </row>
    <row r="139" spans="1:5">
      <c r="A139" t="s">
        <v>150</v>
      </c>
      <c r="B139">
        <v>0</v>
      </c>
      <c r="C139">
        <v>3794089.4</v>
      </c>
      <c r="D139">
        <v>2411512.4</v>
      </c>
      <c r="E139">
        <v>1382577</v>
      </c>
    </row>
    <row r="140" spans="1:5">
      <c r="A140" t="s">
        <v>151</v>
      </c>
      <c r="B140">
        <v>0</v>
      </c>
      <c r="C140">
        <v>11008345</v>
      </c>
      <c r="D140">
        <v>10821762.72</v>
      </c>
      <c r="E140">
        <v>186582.28</v>
      </c>
    </row>
    <row r="141" spans="1:5">
      <c r="A141" t="s">
        <v>152</v>
      </c>
      <c r="B141">
        <v>102105</v>
      </c>
      <c r="C141">
        <v>171525</v>
      </c>
      <c r="D141">
        <v>273630.4</v>
      </c>
      <c r="E141">
        <v>-0.4</v>
      </c>
    </row>
    <row r="142" spans="1:5">
      <c r="A142" t="s">
        <v>153</v>
      </c>
      <c r="B142">
        <v>0</v>
      </c>
      <c r="C142">
        <v>340409</v>
      </c>
      <c r="D142">
        <v>340409</v>
      </c>
      <c r="E142">
        <v>0</v>
      </c>
    </row>
    <row r="143" spans="1:5">
      <c r="A143" t="s">
        <v>154</v>
      </c>
      <c r="B143">
        <v>0</v>
      </c>
      <c r="C143">
        <v>621052.53</v>
      </c>
      <c r="D143">
        <v>0.53</v>
      </c>
      <c r="E143">
        <v>621052</v>
      </c>
    </row>
    <row r="144" spans="1:5">
      <c r="A144" t="s">
        <v>155</v>
      </c>
      <c r="B144">
        <v>0</v>
      </c>
      <c r="C144">
        <v>1192272</v>
      </c>
      <c r="D144">
        <v>0</v>
      </c>
      <c r="E144">
        <v>1192272</v>
      </c>
    </row>
    <row r="145" spans="1:5">
      <c r="A145" t="s">
        <v>156</v>
      </c>
      <c r="B145">
        <v>0</v>
      </c>
      <c r="C145">
        <v>945135</v>
      </c>
      <c r="D145">
        <v>945135</v>
      </c>
      <c r="E145">
        <v>0</v>
      </c>
    </row>
    <row r="146" spans="1:5">
      <c r="A146" t="s">
        <v>157</v>
      </c>
      <c r="B146">
        <v>386759003.78</v>
      </c>
      <c r="C146">
        <v>561201235.4</v>
      </c>
      <c r="D146">
        <v>333800307.36</v>
      </c>
      <c r="E146">
        <v>614159931.82</v>
      </c>
    </row>
    <row r="148" spans="3:4">
      <c r="C148">
        <v>610517313.79</v>
      </c>
      <c r="D148">
        <v>-284499040.53</v>
      </c>
    </row>
    <row r="150" spans="3:3">
      <c r="C150" t="e" cm="1">
        <f t="array" ref="C150">C148-A147C146</f>
        <v>#NAME?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616"/>
  <sheetViews>
    <sheetView zoomScale="64" zoomScaleNormal="64" workbookViewId="0">
      <selection activeCell="G9" sqref="G9:G96"/>
    </sheetView>
  </sheetViews>
  <sheetFormatPr defaultColWidth="8.72727272727273" defaultRowHeight="14.5" outlineLevelCol="6"/>
  <cols>
    <col min="1" max="1" width="77" customWidth="1"/>
    <col min="2" max="2" width="32.4545454545455" customWidth="1"/>
    <col min="3" max="3" width="25.1818181818182" customWidth="1"/>
    <col min="4" max="4" width="25.8181818181818" customWidth="1"/>
    <col min="5" max="5" width="30.2727272727273" customWidth="1"/>
    <col min="7" max="7" width="14"/>
  </cols>
  <sheetData>
    <row r="1" spans="1:1">
      <c r="A1" t="s">
        <v>158</v>
      </c>
    </row>
    <row r="2" spans="1:1">
      <c r="A2" t="s">
        <v>159</v>
      </c>
    </row>
    <row r="3" spans="1:1">
      <c r="A3" t="s">
        <v>160</v>
      </c>
    </row>
    <row r="4" spans="1:1">
      <c r="A4" t="s">
        <v>161</v>
      </c>
    </row>
    <row r="5" spans="1:1">
      <c r="A5" t="s">
        <v>162</v>
      </c>
    </row>
    <row r="6" spans="1:1">
      <c r="A6" t="s">
        <v>162</v>
      </c>
    </row>
    <row r="7" spans="1:5">
      <c r="A7" t="s">
        <v>163</v>
      </c>
      <c r="B7" t="s">
        <v>164</v>
      </c>
      <c r="C7" t="s">
        <v>165</v>
      </c>
      <c r="D7" t="s">
        <v>166</v>
      </c>
      <c r="E7" t="s">
        <v>167</v>
      </c>
    </row>
    <row r="8" hidden="1" spans="1:5">
      <c r="A8" t="s">
        <v>168</v>
      </c>
      <c r="B8">
        <v>-198103089.6</v>
      </c>
      <c r="C8">
        <v>402831066.51</v>
      </c>
      <c r="D8">
        <v>594380142.47</v>
      </c>
      <c r="E8">
        <v>-389652165.56</v>
      </c>
    </row>
    <row r="9" s="6" customFormat="1" spans="1:7">
      <c r="A9" s="6" t="s">
        <v>169</v>
      </c>
      <c r="B9" s="6">
        <v>27098861.18</v>
      </c>
      <c r="C9" s="6">
        <v>561203019.11</v>
      </c>
      <c r="D9" s="6">
        <v>142687352.65</v>
      </c>
      <c r="E9" s="6">
        <v>445614527.64</v>
      </c>
      <c r="G9" s="6">
        <f>C9-D9</f>
        <v>418515666.46</v>
      </c>
    </row>
    <row r="10" s="6" customFormat="1" spans="1:7">
      <c r="A10" s="6" t="s">
        <v>170</v>
      </c>
      <c r="B10" s="6">
        <v>-25516805.69</v>
      </c>
      <c r="C10" s="6">
        <v>17490373.65</v>
      </c>
      <c r="D10" s="6">
        <v>49316076.83</v>
      </c>
      <c r="E10" s="6">
        <v>-57342508.87</v>
      </c>
      <c r="G10" s="6">
        <f>C10-D10</f>
        <v>-31825703.18</v>
      </c>
    </row>
    <row r="11" hidden="1" spans="1:5">
      <c r="A11" t="s">
        <v>171</v>
      </c>
      <c r="B11">
        <v>92722911.04</v>
      </c>
      <c r="C11">
        <v>82193567.32</v>
      </c>
      <c r="D11">
        <v>24580825.09</v>
      </c>
      <c r="E11">
        <v>150335653.27</v>
      </c>
    </row>
    <row r="12" hidden="1" spans="1:5">
      <c r="A12" t="s">
        <v>172</v>
      </c>
      <c r="B12">
        <v>-92044878.72</v>
      </c>
      <c r="C12">
        <v>0</v>
      </c>
      <c r="D12">
        <v>0</v>
      </c>
      <c r="E12">
        <v>-92044878.72</v>
      </c>
    </row>
    <row r="13" hidden="1" spans="1:1">
      <c r="A13" t="s">
        <v>173</v>
      </c>
    </row>
    <row r="14" hidden="1" spans="1:5">
      <c r="A14" t="s">
        <v>174</v>
      </c>
      <c r="B14">
        <v>7977025</v>
      </c>
      <c r="C14">
        <v>0</v>
      </c>
      <c r="D14">
        <v>0</v>
      </c>
      <c r="E14">
        <v>7977025</v>
      </c>
    </row>
    <row r="15" hidden="1" spans="1:5">
      <c r="A15" t="s">
        <v>175</v>
      </c>
      <c r="B15">
        <v>7977025</v>
      </c>
      <c r="C15">
        <v>0</v>
      </c>
      <c r="D15">
        <v>0</v>
      </c>
      <c r="E15">
        <v>7977025</v>
      </c>
    </row>
    <row r="16" hidden="1" spans="1:1">
      <c r="A16" t="s">
        <v>176</v>
      </c>
    </row>
    <row r="17" hidden="1" spans="1:1">
      <c r="A17" t="s">
        <v>177</v>
      </c>
    </row>
    <row r="18" hidden="1" spans="1:5">
      <c r="A18" t="s">
        <v>177</v>
      </c>
      <c r="B18">
        <v>12372618.83</v>
      </c>
      <c r="C18">
        <v>98921</v>
      </c>
      <c r="D18">
        <v>0</v>
      </c>
      <c r="E18">
        <v>12471539.83</v>
      </c>
    </row>
    <row r="19" hidden="1" spans="1:5">
      <c r="A19" t="s">
        <v>178</v>
      </c>
      <c r="B19">
        <v>12372618.83</v>
      </c>
      <c r="C19">
        <v>98921</v>
      </c>
      <c r="D19">
        <v>0</v>
      </c>
      <c r="E19">
        <v>12471539.83</v>
      </c>
    </row>
    <row r="20" hidden="1" spans="1:5">
      <c r="A20" t="s">
        <v>179</v>
      </c>
      <c r="B20">
        <v>12372618.83</v>
      </c>
      <c r="C20">
        <v>98921</v>
      </c>
      <c r="D20">
        <v>0</v>
      </c>
      <c r="E20">
        <v>12471539.83</v>
      </c>
    </row>
    <row r="21" hidden="1" spans="1:1">
      <c r="A21" t="s">
        <v>180</v>
      </c>
    </row>
    <row r="22" hidden="1" spans="1:1">
      <c r="A22" t="s">
        <v>181</v>
      </c>
    </row>
    <row r="23" hidden="1" spans="1:5">
      <c r="A23" t="s">
        <v>181</v>
      </c>
      <c r="B23">
        <v>4895412</v>
      </c>
      <c r="C23">
        <v>0</v>
      </c>
      <c r="D23">
        <v>0</v>
      </c>
      <c r="E23">
        <v>4895412</v>
      </c>
    </row>
    <row r="24" hidden="1" spans="1:5">
      <c r="A24" t="s">
        <v>182</v>
      </c>
      <c r="B24">
        <v>2719556</v>
      </c>
      <c r="C24">
        <v>0</v>
      </c>
      <c r="D24">
        <v>0</v>
      </c>
      <c r="E24">
        <v>2719556</v>
      </c>
    </row>
    <row r="25" hidden="1" spans="1:5">
      <c r="A25" t="s">
        <v>183</v>
      </c>
      <c r="B25">
        <v>7614968</v>
      </c>
      <c r="C25">
        <v>0</v>
      </c>
      <c r="D25">
        <v>0</v>
      </c>
      <c r="E25">
        <v>7614968</v>
      </c>
    </row>
    <row r="26" hidden="1" spans="1:5">
      <c r="A26" t="s">
        <v>184</v>
      </c>
      <c r="B26">
        <v>7614968</v>
      </c>
      <c r="C26">
        <v>0</v>
      </c>
      <c r="D26">
        <v>0</v>
      </c>
      <c r="E26">
        <v>7614968</v>
      </c>
    </row>
    <row r="27" hidden="1" spans="1:1">
      <c r="A27" t="s">
        <v>185</v>
      </c>
    </row>
    <row r="28" hidden="1" spans="1:1">
      <c r="A28" t="s">
        <v>186</v>
      </c>
    </row>
    <row r="29" hidden="1" spans="1:5">
      <c r="A29" t="s">
        <v>186</v>
      </c>
      <c r="B29">
        <v>62704574.18</v>
      </c>
      <c r="C29">
        <v>0</v>
      </c>
      <c r="D29">
        <v>619525</v>
      </c>
      <c r="E29">
        <v>62085049.18</v>
      </c>
    </row>
    <row r="30" hidden="1" spans="1:5">
      <c r="A30" t="s">
        <v>187</v>
      </c>
      <c r="B30">
        <v>-19499.71</v>
      </c>
      <c r="C30">
        <v>0</v>
      </c>
      <c r="D30">
        <v>0</v>
      </c>
      <c r="E30">
        <v>-19499.71</v>
      </c>
    </row>
    <row r="31" hidden="1" spans="1:5">
      <c r="A31" t="s">
        <v>188</v>
      </c>
      <c r="B31">
        <v>168000</v>
      </c>
      <c r="C31">
        <v>0</v>
      </c>
      <c r="D31">
        <v>0</v>
      </c>
      <c r="E31">
        <v>168000</v>
      </c>
    </row>
    <row r="32" hidden="1" spans="1:5">
      <c r="A32" t="s">
        <v>189</v>
      </c>
      <c r="B32">
        <v>1026575.36</v>
      </c>
      <c r="C32">
        <v>168790</v>
      </c>
      <c r="D32">
        <v>0</v>
      </c>
      <c r="E32">
        <v>1195365.36</v>
      </c>
    </row>
    <row r="33" hidden="1" spans="1:5">
      <c r="A33" t="s">
        <v>190</v>
      </c>
      <c r="B33">
        <v>63879649.83</v>
      </c>
      <c r="C33">
        <v>168790</v>
      </c>
      <c r="D33">
        <v>619525</v>
      </c>
      <c r="E33">
        <v>63428914.83</v>
      </c>
    </row>
    <row r="34" hidden="1" spans="1:5">
      <c r="A34" t="s">
        <v>191</v>
      </c>
      <c r="B34">
        <v>63879649.83</v>
      </c>
      <c r="C34">
        <v>168790</v>
      </c>
      <c r="D34">
        <v>619525</v>
      </c>
      <c r="E34">
        <v>63428914.83</v>
      </c>
    </row>
    <row r="35" hidden="1" spans="1:1">
      <c r="A35" t="s">
        <v>192</v>
      </c>
    </row>
    <row r="36" hidden="1" spans="1:1">
      <c r="A36" t="s">
        <v>193</v>
      </c>
    </row>
    <row r="37" hidden="1" spans="1:5">
      <c r="A37" t="s">
        <v>193</v>
      </c>
      <c r="B37">
        <v>12601043.67</v>
      </c>
      <c r="C37">
        <v>0</v>
      </c>
      <c r="D37">
        <v>0</v>
      </c>
      <c r="E37">
        <v>12601043.67</v>
      </c>
    </row>
    <row r="38" hidden="1" spans="1:5">
      <c r="A38" t="s">
        <v>194</v>
      </c>
      <c r="B38">
        <v>1961141.5</v>
      </c>
      <c r="C38">
        <v>98350</v>
      </c>
      <c r="D38">
        <v>0</v>
      </c>
      <c r="E38">
        <v>2059491.5</v>
      </c>
    </row>
    <row r="39" hidden="1" spans="1:5">
      <c r="A39" t="s">
        <v>195</v>
      </c>
      <c r="B39">
        <v>14562185.17</v>
      </c>
      <c r="C39">
        <v>98350</v>
      </c>
      <c r="D39">
        <v>0</v>
      </c>
      <c r="E39">
        <v>14660535.17</v>
      </c>
    </row>
    <row r="40" hidden="1" spans="1:1">
      <c r="A40" t="s">
        <v>196</v>
      </c>
    </row>
    <row r="41" hidden="1" spans="1:5">
      <c r="A41" t="s">
        <v>196</v>
      </c>
      <c r="B41">
        <v>5614871.12</v>
      </c>
      <c r="C41">
        <v>0</v>
      </c>
      <c r="D41">
        <v>0</v>
      </c>
      <c r="E41">
        <v>5614871.12</v>
      </c>
    </row>
    <row r="42" hidden="1" spans="1:5">
      <c r="A42" t="s">
        <v>197</v>
      </c>
      <c r="B42">
        <v>16000</v>
      </c>
      <c r="C42">
        <v>0</v>
      </c>
      <c r="D42">
        <v>0</v>
      </c>
      <c r="E42">
        <v>16000</v>
      </c>
    </row>
    <row r="43" hidden="1" spans="1:5">
      <c r="A43" t="s">
        <v>198</v>
      </c>
      <c r="B43">
        <v>5630871.12</v>
      </c>
      <c r="C43">
        <v>0</v>
      </c>
      <c r="D43">
        <v>0</v>
      </c>
      <c r="E43">
        <v>5630871.12</v>
      </c>
    </row>
    <row r="44" hidden="1" spans="1:5">
      <c r="A44" t="s">
        <v>199</v>
      </c>
      <c r="B44">
        <v>20193056.29</v>
      </c>
      <c r="C44">
        <v>98350</v>
      </c>
      <c r="D44">
        <v>0</v>
      </c>
      <c r="E44">
        <v>20291406.29</v>
      </c>
    </row>
    <row r="45" hidden="1" spans="1:1">
      <c r="A45" t="s">
        <v>200</v>
      </c>
    </row>
    <row r="46" hidden="1" spans="1:1">
      <c r="A46" t="s">
        <v>201</v>
      </c>
    </row>
    <row r="47" hidden="1" spans="1:5">
      <c r="A47" t="s">
        <v>202</v>
      </c>
      <c r="B47">
        <v>5400000</v>
      </c>
      <c r="C47">
        <v>0</v>
      </c>
      <c r="D47">
        <v>0</v>
      </c>
      <c r="E47">
        <v>5400000</v>
      </c>
    </row>
    <row r="48" hidden="1" spans="1:5">
      <c r="A48" t="s">
        <v>203</v>
      </c>
      <c r="B48">
        <v>420000</v>
      </c>
      <c r="C48">
        <v>0</v>
      </c>
      <c r="D48">
        <v>0</v>
      </c>
      <c r="E48">
        <v>420000</v>
      </c>
    </row>
    <row r="49" hidden="1" spans="1:5">
      <c r="A49" t="s">
        <v>204</v>
      </c>
      <c r="B49">
        <v>1431512</v>
      </c>
      <c r="C49">
        <v>0</v>
      </c>
      <c r="D49">
        <v>0</v>
      </c>
      <c r="E49">
        <v>1431512</v>
      </c>
    </row>
    <row r="50" hidden="1" spans="1:5">
      <c r="A50" t="s">
        <v>205</v>
      </c>
      <c r="B50">
        <v>200000</v>
      </c>
      <c r="C50">
        <v>0</v>
      </c>
      <c r="D50">
        <v>0</v>
      </c>
      <c r="E50">
        <v>200000</v>
      </c>
    </row>
    <row r="51" hidden="1" spans="1:5">
      <c r="A51" t="s">
        <v>206</v>
      </c>
      <c r="B51">
        <v>9463000</v>
      </c>
      <c r="C51">
        <v>0</v>
      </c>
      <c r="D51">
        <v>0</v>
      </c>
      <c r="E51">
        <v>9463000</v>
      </c>
    </row>
    <row r="52" hidden="1" spans="1:5">
      <c r="A52" t="s">
        <v>207</v>
      </c>
      <c r="B52">
        <v>3878445</v>
      </c>
      <c r="C52">
        <v>0</v>
      </c>
      <c r="D52">
        <v>0</v>
      </c>
      <c r="E52">
        <v>3878445</v>
      </c>
    </row>
    <row r="53" hidden="1" spans="1:5">
      <c r="A53" t="s">
        <v>208</v>
      </c>
      <c r="B53">
        <v>20792957</v>
      </c>
      <c r="C53">
        <v>0</v>
      </c>
      <c r="D53">
        <v>0</v>
      </c>
      <c r="E53">
        <v>20792957</v>
      </c>
    </row>
    <row r="54" hidden="1" spans="1:5">
      <c r="A54" t="s">
        <v>209</v>
      </c>
      <c r="B54">
        <v>20792957</v>
      </c>
      <c r="C54">
        <v>0</v>
      </c>
      <c r="D54">
        <v>0</v>
      </c>
      <c r="E54">
        <v>20792957</v>
      </c>
    </row>
    <row r="55" hidden="1" spans="1:1">
      <c r="A55" t="s">
        <v>210</v>
      </c>
    </row>
    <row r="56" hidden="1" spans="1:1">
      <c r="A56" t="s">
        <v>211</v>
      </c>
    </row>
    <row r="57" hidden="1" spans="1:5">
      <c r="A57" t="s">
        <v>212</v>
      </c>
      <c r="B57">
        <v>1217760</v>
      </c>
      <c r="C57">
        <v>0</v>
      </c>
      <c r="D57">
        <v>0</v>
      </c>
      <c r="E57">
        <v>1217760</v>
      </c>
    </row>
    <row r="58" hidden="1" spans="1:5">
      <c r="A58" t="s">
        <v>213</v>
      </c>
      <c r="B58">
        <v>2226000</v>
      </c>
      <c r="C58">
        <v>0</v>
      </c>
      <c r="D58">
        <v>0</v>
      </c>
      <c r="E58">
        <v>2226000</v>
      </c>
    </row>
    <row r="59" hidden="1" spans="1:5">
      <c r="A59" t="s">
        <v>214</v>
      </c>
      <c r="B59">
        <v>15000</v>
      </c>
      <c r="C59">
        <v>0</v>
      </c>
      <c r="D59">
        <v>0</v>
      </c>
      <c r="E59">
        <v>15000</v>
      </c>
    </row>
    <row r="60" hidden="1" spans="1:5">
      <c r="A60" t="s">
        <v>215</v>
      </c>
      <c r="B60">
        <v>357985</v>
      </c>
      <c r="C60">
        <v>0</v>
      </c>
      <c r="D60">
        <v>0</v>
      </c>
      <c r="E60">
        <v>357985</v>
      </c>
    </row>
    <row r="61" hidden="1" spans="1:5">
      <c r="A61" t="s">
        <v>216</v>
      </c>
      <c r="B61">
        <v>25000</v>
      </c>
      <c r="C61">
        <v>0</v>
      </c>
      <c r="D61">
        <v>0</v>
      </c>
      <c r="E61">
        <v>25000</v>
      </c>
    </row>
    <row r="62" hidden="1" spans="1:5">
      <c r="A62" t="s">
        <v>217</v>
      </c>
      <c r="B62">
        <v>3841745</v>
      </c>
      <c r="C62">
        <v>0</v>
      </c>
      <c r="D62">
        <v>0</v>
      </c>
      <c r="E62">
        <v>3841745</v>
      </c>
    </row>
    <row r="63" hidden="1" spans="1:5">
      <c r="A63" t="s">
        <v>218</v>
      </c>
      <c r="B63">
        <v>3841745</v>
      </c>
      <c r="C63">
        <v>0</v>
      </c>
      <c r="D63">
        <v>0</v>
      </c>
      <c r="E63">
        <v>3841745</v>
      </c>
    </row>
    <row r="64" hidden="1" spans="1:1">
      <c r="A64" t="s">
        <v>219</v>
      </c>
    </row>
    <row r="65" hidden="1" spans="1:5">
      <c r="A65" t="s">
        <v>220</v>
      </c>
      <c r="B65">
        <v>916000</v>
      </c>
      <c r="C65">
        <v>0</v>
      </c>
      <c r="D65">
        <v>42000</v>
      </c>
      <c r="E65">
        <v>874000</v>
      </c>
    </row>
    <row r="66" hidden="1" spans="1:1">
      <c r="A66" t="s">
        <v>221</v>
      </c>
    </row>
    <row r="67" hidden="1" spans="1:5">
      <c r="A67" t="s">
        <v>222</v>
      </c>
      <c r="B67">
        <v>3701200.9</v>
      </c>
      <c r="C67">
        <v>3484794.61</v>
      </c>
      <c r="D67">
        <v>3717688.9</v>
      </c>
      <c r="E67">
        <v>3468306.61</v>
      </c>
    </row>
    <row r="68" hidden="1" spans="1:5">
      <c r="A68" t="s">
        <v>223</v>
      </c>
      <c r="B68">
        <v>5890585.44</v>
      </c>
      <c r="C68">
        <v>8219496.39</v>
      </c>
      <c r="D68">
        <v>4766492.26</v>
      </c>
      <c r="E68">
        <v>9343589.57</v>
      </c>
    </row>
    <row r="69" hidden="1" spans="1:5">
      <c r="A69" t="s">
        <v>224</v>
      </c>
      <c r="B69">
        <v>9591786.34</v>
      </c>
      <c r="C69">
        <v>11704291</v>
      </c>
      <c r="D69">
        <v>8484181.16</v>
      </c>
      <c r="E69">
        <v>12811896.18</v>
      </c>
    </row>
    <row r="70" hidden="1" spans="1:5">
      <c r="A70" t="s">
        <v>225</v>
      </c>
      <c r="B70">
        <v>10507786.34</v>
      </c>
      <c r="C70">
        <v>11704291</v>
      </c>
      <c r="D70">
        <v>8526181.16</v>
      </c>
      <c r="E70">
        <v>13685896.18</v>
      </c>
    </row>
    <row r="71" hidden="1" spans="1:1">
      <c r="A71" t="s">
        <v>226</v>
      </c>
    </row>
    <row r="72" hidden="1" spans="1:5">
      <c r="A72" t="s">
        <v>227</v>
      </c>
      <c r="B72">
        <v>-7954635.97</v>
      </c>
      <c r="C72">
        <v>0</v>
      </c>
      <c r="D72">
        <v>886</v>
      </c>
      <c r="E72">
        <v>-7955521.97</v>
      </c>
    </row>
    <row r="73" hidden="1" spans="1:5">
      <c r="A73" t="s">
        <v>228</v>
      </c>
      <c r="B73">
        <v>-7954635.97</v>
      </c>
      <c r="C73">
        <v>0</v>
      </c>
      <c r="D73">
        <v>886</v>
      </c>
      <c r="E73">
        <v>-7955521.97</v>
      </c>
    </row>
    <row r="74" hidden="1" spans="1:1">
      <c r="A74" t="s">
        <v>229</v>
      </c>
    </row>
    <row r="75" hidden="1" spans="1:5">
      <c r="A75" t="s">
        <v>230</v>
      </c>
      <c r="B75">
        <v>-12369500.27</v>
      </c>
      <c r="C75">
        <v>0</v>
      </c>
      <c r="D75">
        <v>3022</v>
      </c>
      <c r="E75">
        <v>-12372522.27</v>
      </c>
    </row>
    <row r="76" hidden="1" spans="1:5">
      <c r="A76" t="s">
        <v>231</v>
      </c>
      <c r="B76">
        <v>-12369500.27</v>
      </c>
      <c r="C76">
        <v>0</v>
      </c>
      <c r="D76">
        <v>3022</v>
      </c>
      <c r="E76">
        <v>-12372522.27</v>
      </c>
    </row>
    <row r="77" hidden="1" spans="1:1">
      <c r="A77" t="s">
        <v>232</v>
      </c>
    </row>
    <row r="78" hidden="1" spans="1:5">
      <c r="A78" t="s">
        <v>233</v>
      </c>
      <c r="B78">
        <v>-4993018</v>
      </c>
      <c r="C78">
        <v>0</v>
      </c>
      <c r="D78">
        <v>22352</v>
      </c>
      <c r="E78">
        <v>-5015370</v>
      </c>
    </row>
    <row r="79" hidden="1" spans="1:5">
      <c r="A79" t="s">
        <v>234</v>
      </c>
      <c r="B79">
        <v>-4993018</v>
      </c>
      <c r="C79">
        <v>0</v>
      </c>
      <c r="D79">
        <v>22352</v>
      </c>
      <c r="E79">
        <v>-5015370</v>
      </c>
    </row>
    <row r="80" hidden="1" spans="1:1">
      <c r="A80" t="s">
        <v>235</v>
      </c>
    </row>
    <row r="81" hidden="1" spans="1:5">
      <c r="A81" t="s">
        <v>236</v>
      </c>
      <c r="B81">
        <v>-44813884.64</v>
      </c>
      <c r="C81">
        <v>618343</v>
      </c>
      <c r="D81">
        <v>1745593</v>
      </c>
      <c r="E81">
        <v>-45941134.64</v>
      </c>
    </row>
    <row r="82" hidden="1" spans="1:5">
      <c r="A82" t="s">
        <v>237</v>
      </c>
      <c r="B82">
        <v>-44813884.64</v>
      </c>
      <c r="C82">
        <v>618343</v>
      </c>
      <c r="D82">
        <v>1745593</v>
      </c>
      <c r="E82">
        <v>-45941134.64</v>
      </c>
    </row>
    <row r="83" hidden="1" spans="1:1">
      <c r="A83" t="s">
        <v>238</v>
      </c>
    </row>
    <row r="84" hidden="1" spans="1:5">
      <c r="A84" t="s">
        <v>239</v>
      </c>
      <c r="B84">
        <v>-9036058.23</v>
      </c>
      <c r="C84">
        <v>0</v>
      </c>
      <c r="D84">
        <v>236414</v>
      </c>
      <c r="E84">
        <v>-9272472.23</v>
      </c>
    </row>
    <row r="85" hidden="1" spans="1:5">
      <c r="A85" t="s">
        <v>240</v>
      </c>
      <c r="B85">
        <v>-3795466.5</v>
      </c>
      <c r="C85">
        <v>0</v>
      </c>
      <c r="D85">
        <v>43630</v>
      </c>
      <c r="E85">
        <v>-3839096.5</v>
      </c>
    </row>
    <row r="86" hidden="1" spans="1:5">
      <c r="A86" t="s">
        <v>241</v>
      </c>
      <c r="B86">
        <v>-3.68</v>
      </c>
      <c r="C86">
        <v>0</v>
      </c>
      <c r="D86">
        <v>0</v>
      </c>
      <c r="E86">
        <v>-3.68</v>
      </c>
    </row>
    <row r="87" hidden="1" spans="1:5">
      <c r="A87" t="s">
        <v>242</v>
      </c>
      <c r="B87">
        <v>-12831528.41</v>
      </c>
      <c r="C87">
        <v>0</v>
      </c>
      <c r="D87">
        <v>280044</v>
      </c>
      <c r="E87">
        <v>-13111572.41</v>
      </c>
    </row>
    <row r="88" hidden="1" spans="1:1">
      <c r="A88" t="s">
        <v>243</v>
      </c>
    </row>
    <row r="89" hidden="1" spans="1:5">
      <c r="A89" t="s">
        <v>244</v>
      </c>
      <c r="B89">
        <v>8476010.1</v>
      </c>
      <c r="C89">
        <v>17194958.36</v>
      </c>
      <c r="D89">
        <v>8476010.1</v>
      </c>
      <c r="E89">
        <v>17194958.36</v>
      </c>
    </row>
    <row r="90" hidden="1" spans="1:5">
      <c r="A90" t="s">
        <v>245</v>
      </c>
      <c r="B90">
        <v>8476010.1</v>
      </c>
      <c r="C90">
        <v>17194958.36</v>
      </c>
      <c r="D90">
        <v>8476010.1</v>
      </c>
      <c r="E90">
        <v>17194958.36</v>
      </c>
    </row>
    <row r="91" hidden="1" spans="1:1">
      <c r="A91" t="s">
        <v>246</v>
      </c>
    </row>
    <row r="92" hidden="1" spans="1:5">
      <c r="A92" t="s">
        <v>247</v>
      </c>
      <c r="B92">
        <v>40040844.38</v>
      </c>
      <c r="C92">
        <v>39592033.74</v>
      </c>
      <c r="D92">
        <v>40040844.38</v>
      </c>
      <c r="E92">
        <v>39592033.74</v>
      </c>
    </row>
    <row r="93" hidden="1" spans="1:5">
      <c r="A93" t="s">
        <v>248</v>
      </c>
      <c r="B93">
        <v>40040844.38</v>
      </c>
      <c r="C93">
        <v>39592033.74</v>
      </c>
      <c r="D93">
        <v>40040844.38</v>
      </c>
      <c r="E93">
        <v>39592033.74</v>
      </c>
    </row>
    <row r="94" hidden="1" spans="1:1">
      <c r="A94" t="s">
        <v>249</v>
      </c>
    </row>
    <row r="95" hidden="1" spans="1:1">
      <c r="A95" t="s">
        <v>250</v>
      </c>
    </row>
    <row r="96" s="6" customFormat="1" spans="1:7">
      <c r="A96" s="6" t="s">
        <v>250</v>
      </c>
      <c r="B96" s="6">
        <v>385176948.29</v>
      </c>
      <c r="C96" s="6">
        <v>0</v>
      </c>
      <c r="D96" s="6">
        <v>159302061.53</v>
      </c>
      <c r="E96" s="6">
        <v>225874886.76</v>
      </c>
      <c r="G96" s="6">
        <f>C96-D96</f>
        <v>-159302061.53</v>
      </c>
    </row>
    <row r="97" hidden="1" spans="1:5">
      <c r="A97" t="s">
        <v>251</v>
      </c>
      <c r="B97">
        <v>0</v>
      </c>
      <c r="C97">
        <v>258603138</v>
      </c>
      <c r="D97">
        <v>258603138.96</v>
      </c>
      <c r="E97">
        <v>-0.96</v>
      </c>
    </row>
    <row r="98" hidden="1" spans="1:5">
      <c r="A98" t="s">
        <v>252</v>
      </c>
      <c r="B98">
        <v>385176948.29</v>
      </c>
      <c r="C98">
        <v>258603138</v>
      </c>
      <c r="D98">
        <v>417905200.49</v>
      </c>
      <c r="E98">
        <v>225874885.8</v>
      </c>
    </row>
    <row r="99" hidden="1" spans="1:5">
      <c r="A99" t="s">
        <v>253</v>
      </c>
      <c r="B99">
        <v>385176948.29</v>
      </c>
      <c r="C99">
        <v>258603138</v>
      </c>
      <c r="D99">
        <v>417905200.49</v>
      </c>
      <c r="E99">
        <v>225874885.8</v>
      </c>
    </row>
    <row r="100" hidden="1" spans="1:1">
      <c r="A100" t="s">
        <v>254</v>
      </c>
    </row>
    <row r="101" hidden="1" spans="1:5">
      <c r="A101" t="s">
        <v>255</v>
      </c>
      <c r="B101">
        <v>125815588.91</v>
      </c>
      <c r="C101">
        <v>188067405.3</v>
      </c>
      <c r="D101">
        <v>124623761.9</v>
      </c>
      <c r="E101">
        <v>189259232.31</v>
      </c>
    </row>
    <row r="102" hidden="1" spans="1:5">
      <c r="A102" t="s">
        <v>256</v>
      </c>
      <c r="B102">
        <v>125815588.91</v>
      </c>
      <c r="C102">
        <v>188067405.3</v>
      </c>
      <c r="D102">
        <v>124623761.9</v>
      </c>
      <c r="E102">
        <v>189259232.31</v>
      </c>
    </row>
    <row r="103" hidden="1" spans="1:1">
      <c r="A103" t="s">
        <v>257</v>
      </c>
    </row>
    <row r="104" hidden="1" spans="1:5">
      <c r="A104" t="s">
        <v>258</v>
      </c>
      <c r="B104">
        <v>31565745</v>
      </c>
      <c r="C104">
        <v>0</v>
      </c>
      <c r="D104">
        <v>0</v>
      </c>
      <c r="E104">
        <v>31565745</v>
      </c>
    </row>
    <row r="105" hidden="1" spans="1:5">
      <c r="A105" t="s">
        <v>259</v>
      </c>
      <c r="B105">
        <v>31565745</v>
      </c>
      <c r="C105">
        <v>0</v>
      </c>
      <c r="D105">
        <v>0</v>
      </c>
      <c r="E105">
        <v>31565745</v>
      </c>
    </row>
    <row r="106" hidden="1" spans="1:1">
      <c r="A106" t="s">
        <v>260</v>
      </c>
    </row>
    <row r="107" hidden="1" spans="1:1">
      <c r="A107" t="s">
        <v>261</v>
      </c>
    </row>
    <row r="108" hidden="1" spans="1:5">
      <c r="A108" t="s">
        <v>262</v>
      </c>
      <c r="B108">
        <v>-66670110</v>
      </c>
      <c r="C108">
        <v>0</v>
      </c>
      <c r="D108">
        <v>0</v>
      </c>
      <c r="E108">
        <v>-66670110</v>
      </c>
    </row>
    <row r="109" hidden="1" spans="1:5">
      <c r="A109" t="s">
        <v>263</v>
      </c>
      <c r="B109">
        <v>-12791000</v>
      </c>
      <c r="C109">
        <v>0</v>
      </c>
      <c r="D109">
        <v>0</v>
      </c>
      <c r="E109">
        <v>-12791000</v>
      </c>
    </row>
    <row r="110" hidden="1" spans="1:5">
      <c r="A110" t="s">
        <v>264</v>
      </c>
      <c r="B110">
        <v>-79461110</v>
      </c>
      <c r="C110">
        <v>0</v>
      </c>
      <c r="D110">
        <v>0</v>
      </c>
      <c r="E110">
        <v>-79461110</v>
      </c>
    </row>
    <row r="111" hidden="1" spans="1:5">
      <c r="A111" t="s">
        <v>265</v>
      </c>
      <c r="B111">
        <v>-79461110</v>
      </c>
      <c r="C111">
        <v>0</v>
      </c>
      <c r="D111">
        <v>0</v>
      </c>
      <c r="E111">
        <v>-79461110</v>
      </c>
    </row>
    <row r="112" hidden="1" spans="1:1">
      <c r="A112" t="s">
        <v>266</v>
      </c>
    </row>
    <row r="113" hidden="1" spans="1:1">
      <c r="A113" t="s">
        <v>267</v>
      </c>
    </row>
    <row r="114" hidden="1" spans="1:5">
      <c r="A114" t="s">
        <v>267</v>
      </c>
      <c r="B114">
        <v>125458389.8</v>
      </c>
      <c r="C114">
        <v>0</v>
      </c>
      <c r="D114">
        <v>0</v>
      </c>
      <c r="E114">
        <v>125458389.8</v>
      </c>
    </row>
    <row r="115" hidden="1" spans="1:5">
      <c r="A115" t="s">
        <v>268</v>
      </c>
      <c r="B115">
        <v>0</v>
      </c>
      <c r="C115">
        <v>2.34</v>
      </c>
      <c r="D115">
        <v>0</v>
      </c>
      <c r="E115">
        <v>2.34</v>
      </c>
    </row>
    <row r="116" hidden="1" spans="1:5">
      <c r="A116" t="s">
        <v>269</v>
      </c>
      <c r="B116">
        <v>20337599.23</v>
      </c>
      <c r="C116">
        <v>5441472.34</v>
      </c>
      <c r="D116">
        <v>0</v>
      </c>
      <c r="E116">
        <v>25779071.57</v>
      </c>
    </row>
    <row r="117" hidden="1" spans="1:5">
      <c r="A117" t="s">
        <v>270</v>
      </c>
      <c r="B117">
        <v>9177605.19</v>
      </c>
      <c r="C117">
        <v>2162649.8</v>
      </c>
      <c r="D117">
        <v>0</v>
      </c>
      <c r="E117">
        <v>11340254.99</v>
      </c>
    </row>
    <row r="118" hidden="1" spans="1:5">
      <c r="A118" t="s">
        <v>271</v>
      </c>
      <c r="B118">
        <v>154973594.22</v>
      </c>
      <c r="C118">
        <v>7604124.48</v>
      </c>
      <c r="D118">
        <v>0</v>
      </c>
      <c r="E118">
        <v>162577718.7</v>
      </c>
    </row>
    <row r="119" hidden="1" spans="1:5">
      <c r="A119" t="s">
        <v>272</v>
      </c>
      <c r="B119">
        <v>154973594.22</v>
      </c>
      <c r="C119">
        <v>7604124.48</v>
      </c>
      <c r="D119">
        <v>0</v>
      </c>
      <c r="E119">
        <v>162577718.7</v>
      </c>
    </row>
    <row r="120" hidden="1" spans="1:1">
      <c r="A120" t="s">
        <v>273</v>
      </c>
    </row>
    <row r="121" hidden="1" spans="1:1">
      <c r="A121" t="s">
        <v>274</v>
      </c>
    </row>
    <row r="122" hidden="1" spans="1:5">
      <c r="A122" t="s">
        <v>275</v>
      </c>
      <c r="B122">
        <v>0</v>
      </c>
      <c r="C122">
        <v>185006</v>
      </c>
      <c r="D122">
        <v>0</v>
      </c>
      <c r="E122">
        <v>185006</v>
      </c>
    </row>
    <row r="123" hidden="1" spans="1:5">
      <c r="A123" t="s">
        <v>276</v>
      </c>
      <c r="B123">
        <v>0</v>
      </c>
      <c r="C123">
        <v>941565.89</v>
      </c>
      <c r="D123">
        <v>0</v>
      </c>
      <c r="E123">
        <v>941565.89</v>
      </c>
    </row>
    <row r="124" hidden="1" spans="1:5">
      <c r="A124" t="s">
        <v>277</v>
      </c>
      <c r="B124">
        <v>499090.3</v>
      </c>
      <c r="C124">
        <v>1102780.06</v>
      </c>
      <c r="D124">
        <v>113814.31</v>
      </c>
      <c r="E124">
        <v>1488056.05</v>
      </c>
    </row>
    <row r="125" hidden="1" spans="1:5">
      <c r="A125" t="s">
        <v>278</v>
      </c>
      <c r="B125">
        <v>499090.3</v>
      </c>
      <c r="C125">
        <v>2229351.95</v>
      </c>
      <c r="D125">
        <v>113814.31</v>
      </c>
      <c r="E125">
        <v>2614627.94</v>
      </c>
    </row>
    <row r="126" hidden="1" spans="1:1">
      <c r="A126" t="s">
        <v>279</v>
      </c>
    </row>
    <row r="127" hidden="1" spans="1:5">
      <c r="A127" t="s">
        <v>280</v>
      </c>
      <c r="B127">
        <v>0</v>
      </c>
      <c r="C127">
        <v>185006</v>
      </c>
      <c r="D127">
        <v>0</v>
      </c>
      <c r="E127">
        <v>185006</v>
      </c>
    </row>
    <row r="128" hidden="1" spans="1:5">
      <c r="A128" t="s">
        <v>281</v>
      </c>
      <c r="B128">
        <v>0</v>
      </c>
      <c r="C128">
        <v>941565.89</v>
      </c>
      <c r="D128">
        <v>0</v>
      </c>
      <c r="E128">
        <v>941565.89</v>
      </c>
    </row>
    <row r="129" hidden="1" spans="1:5">
      <c r="A129" t="s">
        <v>282</v>
      </c>
      <c r="B129">
        <v>499090.3</v>
      </c>
      <c r="C129">
        <v>1102780.06</v>
      </c>
      <c r="D129">
        <v>113814.31</v>
      </c>
      <c r="E129">
        <v>1488056.05</v>
      </c>
    </row>
    <row r="130" hidden="1" spans="1:5">
      <c r="A130" t="s">
        <v>283</v>
      </c>
      <c r="B130">
        <v>499090.3</v>
      </c>
      <c r="C130">
        <v>2229351.95</v>
      </c>
      <c r="D130">
        <v>113814.31</v>
      </c>
      <c r="E130">
        <v>2614627.94</v>
      </c>
    </row>
    <row r="131" hidden="1" spans="1:1">
      <c r="A131" t="s">
        <v>284</v>
      </c>
    </row>
    <row r="132" hidden="1" spans="1:5">
      <c r="A132" t="s">
        <v>285</v>
      </c>
      <c r="B132">
        <v>1942815</v>
      </c>
      <c r="C132">
        <v>2199070</v>
      </c>
      <c r="D132">
        <v>1942815</v>
      </c>
      <c r="E132">
        <v>2199070</v>
      </c>
    </row>
    <row r="133" hidden="1" spans="1:5">
      <c r="A133" t="s">
        <v>286</v>
      </c>
      <c r="B133">
        <v>1074474.45</v>
      </c>
      <c r="C133">
        <v>453862.29</v>
      </c>
      <c r="D133">
        <v>245661.42</v>
      </c>
      <c r="E133">
        <v>1282675.32</v>
      </c>
    </row>
    <row r="134" hidden="1" spans="1:5">
      <c r="A134" t="s">
        <v>287</v>
      </c>
      <c r="B134">
        <v>3017289.45</v>
      </c>
      <c r="C134">
        <v>2652932.29</v>
      </c>
      <c r="D134">
        <v>2188476.42</v>
      </c>
      <c r="E134">
        <v>3481745.32</v>
      </c>
    </row>
    <row r="135" hidden="1" spans="1:5">
      <c r="A135" t="s">
        <v>288</v>
      </c>
      <c r="B135">
        <v>4015470.05</v>
      </c>
      <c r="C135">
        <v>7111636.19</v>
      </c>
      <c r="D135">
        <v>2416105.04</v>
      </c>
      <c r="E135">
        <v>8711001.2</v>
      </c>
    </row>
    <row r="136" hidden="1" spans="1:1">
      <c r="A136" t="s">
        <v>289</v>
      </c>
    </row>
    <row r="137" hidden="1" spans="1:5">
      <c r="A137" t="s">
        <v>290</v>
      </c>
      <c r="B137">
        <v>16483813.81</v>
      </c>
      <c r="C137">
        <v>6890115</v>
      </c>
      <c r="D137">
        <v>2901016</v>
      </c>
      <c r="E137">
        <v>20472912.81</v>
      </c>
    </row>
    <row r="138" hidden="1" spans="1:5">
      <c r="A138" t="s">
        <v>291</v>
      </c>
      <c r="B138">
        <v>16483813.81</v>
      </c>
      <c r="C138">
        <v>6890115</v>
      </c>
      <c r="D138">
        <v>2901016</v>
      </c>
      <c r="E138">
        <v>20472912.81</v>
      </c>
    </row>
    <row r="139" hidden="1" spans="1:1">
      <c r="A139" t="s">
        <v>292</v>
      </c>
    </row>
    <row r="140" hidden="1" spans="1:5">
      <c r="A140" t="s">
        <v>293</v>
      </c>
      <c r="B140">
        <v>200000</v>
      </c>
      <c r="C140">
        <v>250000</v>
      </c>
      <c r="D140">
        <v>250000</v>
      </c>
      <c r="E140">
        <v>200000</v>
      </c>
    </row>
    <row r="141" hidden="1" spans="1:5">
      <c r="A141" t="s">
        <v>294</v>
      </c>
      <c r="B141">
        <v>200000</v>
      </c>
      <c r="C141">
        <v>250000</v>
      </c>
      <c r="D141">
        <v>250000</v>
      </c>
      <c r="E141">
        <v>200000</v>
      </c>
    </row>
    <row r="142" hidden="1" spans="1:1">
      <c r="A142" t="s">
        <v>295</v>
      </c>
    </row>
    <row r="143" hidden="1" spans="1:1">
      <c r="A143" t="s">
        <v>296</v>
      </c>
    </row>
    <row r="144" hidden="1" spans="1:5">
      <c r="A144" t="s">
        <v>297</v>
      </c>
      <c r="B144">
        <v>0</v>
      </c>
      <c r="C144">
        <v>388343</v>
      </c>
      <c r="D144">
        <v>388343</v>
      </c>
      <c r="E144">
        <v>0</v>
      </c>
    </row>
    <row r="145" hidden="1" spans="1:5">
      <c r="A145" t="s">
        <v>298</v>
      </c>
      <c r="B145">
        <v>0</v>
      </c>
      <c r="C145">
        <v>388343</v>
      </c>
      <c r="D145">
        <v>388343</v>
      </c>
      <c r="E145">
        <v>0</v>
      </c>
    </row>
    <row r="146" hidden="1" spans="1:1">
      <c r="A146" t="s">
        <v>299</v>
      </c>
    </row>
    <row r="147" hidden="1" spans="1:5">
      <c r="A147" t="s">
        <v>300</v>
      </c>
      <c r="B147">
        <v>13079.68</v>
      </c>
      <c r="C147">
        <v>1395256.02</v>
      </c>
      <c r="D147">
        <v>1403335.7</v>
      </c>
      <c r="E147">
        <v>5000</v>
      </c>
    </row>
    <row r="148" hidden="1" spans="1:5">
      <c r="A148" t="s">
        <v>301</v>
      </c>
      <c r="B148">
        <v>23523449.69</v>
      </c>
      <c r="C148">
        <v>79402543.9</v>
      </c>
      <c r="D148">
        <v>82671177.91</v>
      </c>
      <c r="E148">
        <v>20254815.68</v>
      </c>
    </row>
    <row r="149" hidden="1" spans="1:5">
      <c r="A149" t="s">
        <v>302</v>
      </c>
      <c r="B149">
        <v>23536529.37</v>
      </c>
      <c r="C149">
        <v>80797799.92</v>
      </c>
      <c r="D149">
        <v>84074513.61</v>
      </c>
      <c r="E149">
        <v>20259815.68</v>
      </c>
    </row>
    <row r="150" hidden="1" spans="1:1">
      <c r="A150" t="s">
        <v>303</v>
      </c>
    </row>
    <row r="151" hidden="1" spans="1:5">
      <c r="A151" t="s">
        <v>304</v>
      </c>
      <c r="B151">
        <v>3543329</v>
      </c>
      <c r="C151">
        <v>10068</v>
      </c>
      <c r="D151">
        <v>0</v>
      </c>
      <c r="E151">
        <v>3553397</v>
      </c>
    </row>
    <row r="152" hidden="1" spans="1:5">
      <c r="A152" t="s">
        <v>305</v>
      </c>
      <c r="B152">
        <v>31295136</v>
      </c>
      <c r="C152">
        <v>141288</v>
      </c>
      <c r="D152">
        <v>0</v>
      </c>
      <c r="E152">
        <v>31436424</v>
      </c>
    </row>
    <row r="153" hidden="1" spans="1:5">
      <c r="A153" t="s">
        <v>306</v>
      </c>
      <c r="B153">
        <v>31295136</v>
      </c>
      <c r="C153">
        <v>141288</v>
      </c>
      <c r="D153">
        <v>0</v>
      </c>
      <c r="E153">
        <v>31436424</v>
      </c>
    </row>
    <row r="154" hidden="1" spans="1:5">
      <c r="A154" t="s">
        <v>307</v>
      </c>
      <c r="B154">
        <v>65008767</v>
      </c>
      <c r="C154">
        <v>45000000</v>
      </c>
      <c r="D154">
        <v>110008767</v>
      </c>
      <c r="E154">
        <v>0</v>
      </c>
    </row>
    <row r="155" hidden="1" spans="1:5">
      <c r="A155" t="s">
        <v>308</v>
      </c>
      <c r="B155">
        <v>131142368</v>
      </c>
      <c r="C155">
        <v>45292644</v>
      </c>
      <c r="D155">
        <v>110008767</v>
      </c>
      <c r="E155">
        <v>66426245</v>
      </c>
    </row>
    <row r="156" hidden="1" spans="1:1">
      <c r="A156" t="s">
        <v>309</v>
      </c>
    </row>
    <row r="157" hidden="1" spans="1:5">
      <c r="A157" t="s">
        <v>310</v>
      </c>
      <c r="B157">
        <v>189926.35</v>
      </c>
      <c r="C157">
        <v>128762266.06</v>
      </c>
      <c r="D157">
        <v>108000000</v>
      </c>
      <c r="E157">
        <v>20952192.41</v>
      </c>
    </row>
    <row r="158" hidden="1" spans="1:5">
      <c r="A158" t="s">
        <v>311</v>
      </c>
      <c r="B158">
        <v>189926.35</v>
      </c>
      <c r="C158">
        <v>128762266.06</v>
      </c>
      <c r="D158">
        <v>108000000</v>
      </c>
      <c r="E158">
        <v>20952192.41</v>
      </c>
    </row>
    <row r="159" hidden="1" spans="1:1">
      <c r="A159" t="s">
        <v>312</v>
      </c>
    </row>
    <row r="160" hidden="1" spans="1:5">
      <c r="A160" t="s">
        <v>313</v>
      </c>
      <c r="B160">
        <v>527833.2</v>
      </c>
      <c r="C160">
        <v>3585133.67</v>
      </c>
      <c r="D160">
        <v>3910805.55</v>
      </c>
      <c r="E160">
        <v>202161.32</v>
      </c>
    </row>
    <row r="161" hidden="1" spans="1:5">
      <c r="A161" t="s">
        <v>314</v>
      </c>
      <c r="B161">
        <v>527833.2</v>
      </c>
      <c r="C161">
        <v>3585133.67</v>
      </c>
      <c r="D161">
        <v>3910805.55</v>
      </c>
      <c r="E161">
        <v>202161.32</v>
      </c>
    </row>
    <row r="162" hidden="1" spans="1:1">
      <c r="A162" t="s">
        <v>315</v>
      </c>
    </row>
    <row r="163" hidden="1" spans="1:5">
      <c r="A163" t="s">
        <v>316</v>
      </c>
      <c r="B163">
        <v>0</v>
      </c>
      <c r="C163">
        <v>30126153.05</v>
      </c>
      <c r="D163">
        <v>31486566.05</v>
      </c>
      <c r="E163">
        <v>-1360413</v>
      </c>
    </row>
    <row r="164" hidden="1" spans="1:5">
      <c r="A164" t="s">
        <v>317</v>
      </c>
      <c r="B164">
        <v>0</v>
      </c>
      <c r="C164">
        <v>7189503.7</v>
      </c>
      <c r="D164">
        <v>7045627.06</v>
      </c>
      <c r="E164">
        <v>143876.64</v>
      </c>
    </row>
    <row r="165" hidden="1" spans="1:5">
      <c r="A165" t="s">
        <v>318</v>
      </c>
      <c r="B165">
        <v>0</v>
      </c>
      <c r="C165">
        <v>158120</v>
      </c>
      <c r="D165">
        <v>226959</v>
      </c>
      <c r="E165">
        <v>-68839</v>
      </c>
    </row>
    <row r="166" hidden="1" spans="1:5">
      <c r="A166" t="s">
        <v>319</v>
      </c>
      <c r="B166">
        <v>0</v>
      </c>
      <c r="C166">
        <v>37473776.75</v>
      </c>
      <c r="D166">
        <v>38759152.11</v>
      </c>
      <c r="E166">
        <v>-1285375.36</v>
      </c>
    </row>
    <row r="167" hidden="1" spans="1:5">
      <c r="A167" t="s">
        <v>320</v>
      </c>
      <c r="B167">
        <v>155396656.92</v>
      </c>
      <c r="C167">
        <v>296299963.4</v>
      </c>
      <c r="D167">
        <v>345141581.27</v>
      </c>
      <c r="E167">
        <v>106555039.05</v>
      </c>
    </row>
    <row r="168" hidden="1" spans="1:1">
      <c r="A168" t="s">
        <v>321</v>
      </c>
    </row>
    <row r="169" hidden="1" spans="1:5">
      <c r="A169" t="s">
        <v>322</v>
      </c>
      <c r="B169">
        <v>65000</v>
      </c>
      <c r="C169">
        <v>32500</v>
      </c>
      <c r="D169">
        <v>0</v>
      </c>
      <c r="E169">
        <v>97500</v>
      </c>
    </row>
    <row r="170" hidden="1" spans="1:5">
      <c r="A170" t="s">
        <v>323</v>
      </c>
      <c r="B170">
        <v>64540</v>
      </c>
      <c r="C170">
        <v>0</v>
      </c>
      <c r="D170">
        <v>0</v>
      </c>
      <c r="E170">
        <v>64540</v>
      </c>
    </row>
    <row r="171" hidden="1" spans="1:5">
      <c r="A171" t="s">
        <v>324</v>
      </c>
      <c r="B171">
        <v>60000</v>
      </c>
      <c r="C171">
        <v>0</v>
      </c>
      <c r="D171">
        <v>0</v>
      </c>
      <c r="E171">
        <v>60000</v>
      </c>
    </row>
    <row r="172" hidden="1" spans="1:5">
      <c r="A172" t="s">
        <v>325</v>
      </c>
      <c r="B172">
        <v>48000</v>
      </c>
      <c r="C172">
        <v>24000</v>
      </c>
      <c r="D172">
        <v>0</v>
      </c>
      <c r="E172">
        <v>72000</v>
      </c>
    </row>
    <row r="173" hidden="1" spans="1:5">
      <c r="A173" t="s">
        <v>326</v>
      </c>
      <c r="B173">
        <v>237540</v>
      </c>
      <c r="C173">
        <v>56500</v>
      </c>
      <c r="D173">
        <v>0</v>
      </c>
      <c r="E173">
        <v>294040</v>
      </c>
    </row>
    <row r="174" hidden="1" spans="1:1">
      <c r="A174" t="s">
        <v>327</v>
      </c>
    </row>
    <row r="175" hidden="1" spans="1:5">
      <c r="A175" t="s">
        <v>328</v>
      </c>
      <c r="B175">
        <v>-9750000</v>
      </c>
      <c r="C175">
        <v>0</v>
      </c>
      <c r="D175">
        <v>0</v>
      </c>
      <c r="E175">
        <v>-9750000</v>
      </c>
    </row>
    <row r="176" hidden="1" spans="1:5">
      <c r="A176" t="s">
        <v>329</v>
      </c>
      <c r="B176">
        <v>-9750000</v>
      </c>
      <c r="C176">
        <v>0</v>
      </c>
      <c r="D176">
        <v>0</v>
      </c>
      <c r="E176">
        <v>-9750000</v>
      </c>
    </row>
    <row r="177" hidden="1" spans="1:1">
      <c r="A177" t="s">
        <v>330</v>
      </c>
    </row>
    <row r="178" hidden="1" spans="1:5">
      <c r="A178" t="s">
        <v>331</v>
      </c>
      <c r="B178">
        <v>-342420534.1</v>
      </c>
      <c r="C178">
        <v>0</v>
      </c>
      <c r="D178">
        <v>0</v>
      </c>
      <c r="E178">
        <v>-342420534.1</v>
      </c>
    </row>
    <row r="179" hidden="1" spans="1:5">
      <c r="A179" t="s">
        <v>332</v>
      </c>
      <c r="B179">
        <v>-65154114.05</v>
      </c>
      <c r="C179">
        <v>0</v>
      </c>
      <c r="D179">
        <v>0</v>
      </c>
      <c r="E179">
        <v>-65154114.05</v>
      </c>
    </row>
    <row r="180" hidden="1" spans="1:5">
      <c r="A180" t="s">
        <v>333</v>
      </c>
      <c r="B180">
        <v>-407574648.15</v>
      </c>
      <c r="C180">
        <v>0</v>
      </c>
      <c r="D180">
        <v>0</v>
      </c>
      <c r="E180">
        <v>-407574648.15</v>
      </c>
    </row>
    <row r="181" hidden="1" spans="1:1">
      <c r="A181" t="s">
        <v>334</v>
      </c>
    </row>
    <row r="182" hidden="1" spans="1:1">
      <c r="A182" t="s">
        <v>335</v>
      </c>
    </row>
    <row r="183" hidden="1" spans="1:5">
      <c r="A183" t="s">
        <v>335</v>
      </c>
      <c r="B183">
        <v>-79193553.52</v>
      </c>
      <c r="C183">
        <v>13124083.92</v>
      </c>
      <c r="D183">
        <v>6102444.07</v>
      </c>
      <c r="E183">
        <v>-72171913.67</v>
      </c>
    </row>
    <row r="184" hidden="1" spans="1:5">
      <c r="A184" t="s">
        <v>336</v>
      </c>
      <c r="B184">
        <v>0</v>
      </c>
      <c r="C184">
        <v>0</v>
      </c>
      <c r="D184">
        <v>9688</v>
      </c>
      <c r="E184">
        <v>-9688</v>
      </c>
    </row>
    <row r="185" hidden="1" spans="1:5">
      <c r="A185" t="s">
        <v>337</v>
      </c>
      <c r="B185">
        <v>0</v>
      </c>
      <c r="C185">
        <v>0</v>
      </c>
      <c r="D185">
        <v>19488190.61</v>
      </c>
      <c r="E185">
        <v>-19488190.61</v>
      </c>
    </row>
    <row r="186" hidden="1" spans="1:5">
      <c r="A186" t="s">
        <v>338</v>
      </c>
      <c r="B186">
        <v>-79193553.52</v>
      </c>
      <c r="C186">
        <v>13124083.92</v>
      </c>
      <c r="D186">
        <v>25600322.68</v>
      </c>
      <c r="E186">
        <v>-91669792.28</v>
      </c>
    </row>
    <row r="187" hidden="1" spans="1:5">
      <c r="A187" t="s">
        <v>339</v>
      </c>
      <c r="B187">
        <v>-79193553.52</v>
      </c>
      <c r="C187">
        <v>13124083.92</v>
      </c>
      <c r="D187">
        <v>25600322.68</v>
      </c>
      <c r="E187">
        <v>-91669792.28</v>
      </c>
    </row>
    <row r="188" hidden="1" spans="1:1">
      <c r="A188" t="s">
        <v>340</v>
      </c>
    </row>
    <row r="189" hidden="1" spans="1:5">
      <c r="A189" t="s">
        <v>341</v>
      </c>
      <c r="B189">
        <v>-17284482.26</v>
      </c>
      <c r="C189">
        <v>17284483.26</v>
      </c>
      <c r="D189">
        <v>54058665.9</v>
      </c>
      <c r="E189">
        <v>-54058664.9</v>
      </c>
    </row>
    <row r="190" hidden="1" spans="1:5">
      <c r="A190" t="s">
        <v>342</v>
      </c>
      <c r="B190">
        <v>-17284482.26</v>
      </c>
      <c r="C190">
        <v>17284483.26</v>
      </c>
      <c r="D190">
        <v>54058665.9</v>
      </c>
      <c r="E190">
        <v>-54058664.9</v>
      </c>
    </row>
    <row r="191" hidden="1" spans="1:1">
      <c r="A191" t="s">
        <v>343</v>
      </c>
    </row>
    <row r="192" hidden="1" spans="1:1">
      <c r="A192" t="s">
        <v>344</v>
      </c>
    </row>
    <row r="193" hidden="1" spans="1:5">
      <c r="A193" t="s">
        <v>345</v>
      </c>
      <c r="B193">
        <v>-11448544.02</v>
      </c>
      <c r="C193">
        <v>6879293</v>
      </c>
      <c r="D193">
        <v>0</v>
      </c>
      <c r="E193">
        <v>-4569251.02</v>
      </c>
    </row>
    <row r="194" hidden="1" spans="1:5">
      <c r="A194" t="s">
        <v>346</v>
      </c>
      <c r="B194">
        <v>-81369652.8</v>
      </c>
      <c r="C194">
        <v>81369652.8</v>
      </c>
      <c r="D194">
        <v>149730180.93</v>
      </c>
      <c r="E194">
        <v>-149730180.93</v>
      </c>
    </row>
    <row r="195" hidden="1" spans="1:5">
      <c r="A195" t="s">
        <v>347</v>
      </c>
      <c r="B195">
        <v>-17662583.46</v>
      </c>
      <c r="C195">
        <v>4051687</v>
      </c>
      <c r="D195">
        <v>4772119</v>
      </c>
      <c r="E195">
        <v>-18383015.46</v>
      </c>
    </row>
    <row r="196" hidden="1" spans="1:5">
      <c r="A196" t="s">
        <v>348</v>
      </c>
      <c r="B196">
        <v>-110480780.28</v>
      </c>
      <c r="C196">
        <v>92300632.8</v>
      </c>
      <c r="D196">
        <v>154502299.93</v>
      </c>
      <c r="E196">
        <v>-172682447.41</v>
      </c>
    </row>
    <row r="197" hidden="1" spans="1:1">
      <c r="A197" t="s">
        <v>349</v>
      </c>
    </row>
    <row r="198" hidden="1" spans="1:5">
      <c r="A198" t="s">
        <v>350</v>
      </c>
      <c r="B198">
        <v>-2281029.79</v>
      </c>
      <c r="C198">
        <v>0</v>
      </c>
      <c r="D198">
        <v>1806603</v>
      </c>
      <c r="E198">
        <v>-4087632.79</v>
      </c>
    </row>
    <row r="199" hidden="1" spans="1:5">
      <c r="A199" t="s">
        <v>351</v>
      </c>
      <c r="B199">
        <v>-6611574.07</v>
      </c>
      <c r="C199">
        <v>4243400</v>
      </c>
      <c r="D199">
        <v>2709905</v>
      </c>
      <c r="E199">
        <v>-5078079.07</v>
      </c>
    </row>
    <row r="200" hidden="1" spans="1:5">
      <c r="A200" t="s">
        <v>352</v>
      </c>
      <c r="B200">
        <v>-8892603.86</v>
      </c>
      <c r="C200">
        <v>4243400</v>
      </c>
      <c r="D200">
        <v>4516508</v>
      </c>
      <c r="E200">
        <v>-9165711.86</v>
      </c>
    </row>
    <row r="201" hidden="1" spans="1:5">
      <c r="A201" t="s">
        <v>353</v>
      </c>
      <c r="B201">
        <v>-119373384.14</v>
      </c>
      <c r="C201">
        <v>96544032.8</v>
      </c>
      <c r="D201">
        <v>159018807.93</v>
      </c>
      <c r="E201">
        <v>-181848159.27</v>
      </c>
    </row>
    <row r="202" hidden="1" spans="1:1">
      <c r="A202" t="s">
        <v>354</v>
      </c>
    </row>
    <row r="203" hidden="1" spans="1:1">
      <c r="A203" t="s">
        <v>355</v>
      </c>
    </row>
    <row r="204" hidden="1" spans="1:5">
      <c r="A204" t="s">
        <v>355</v>
      </c>
      <c r="B204">
        <v>-857727</v>
      </c>
      <c r="C204">
        <v>38182091</v>
      </c>
      <c r="D204">
        <v>37975943</v>
      </c>
      <c r="E204">
        <v>-651579</v>
      </c>
    </row>
    <row r="205" hidden="1" spans="1:5">
      <c r="A205" t="s">
        <v>356</v>
      </c>
      <c r="B205">
        <v>-984200</v>
      </c>
      <c r="C205">
        <v>0</v>
      </c>
      <c r="D205">
        <v>70300</v>
      </c>
      <c r="E205">
        <v>-1054500</v>
      </c>
    </row>
    <row r="206" hidden="1" spans="1:5">
      <c r="A206" t="s">
        <v>357</v>
      </c>
      <c r="B206">
        <v>-80232</v>
      </c>
      <c r="C206">
        <v>34074</v>
      </c>
      <c r="D206">
        <v>71491</v>
      </c>
      <c r="E206">
        <v>-117649</v>
      </c>
    </row>
    <row r="207" hidden="1" spans="1:5">
      <c r="A207" t="s">
        <v>358</v>
      </c>
      <c r="B207">
        <v>-2538124</v>
      </c>
      <c r="C207">
        <v>0</v>
      </c>
      <c r="D207">
        <v>150000</v>
      </c>
      <c r="E207">
        <v>-2688124</v>
      </c>
    </row>
    <row r="208" hidden="1" spans="1:5">
      <c r="A208" t="s">
        <v>359</v>
      </c>
      <c r="B208">
        <v>-3658864</v>
      </c>
      <c r="C208">
        <v>103936</v>
      </c>
      <c r="D208">
        <v>77587</v>
      </c>
      <c r="E208">
        <v>-3632515</v>
      </c>
    </row>
    <row r="209" hidden="1" spans="1:5">
      <c r="A209" t="s">
        <v>360</v>
      </c>
      <c r="B209">
        <v>-151065</v>
      </c>
      <c r="C209">
        <v>59646</v>
      </c>
      <c r="D209">
        <v>141532</v>
      </c>
      <c r="E209">
        <v>-232951</v>
      </c>
    </row>
    <row r="210" hidden="1" spans="1:5">
      <c r="A210" t="s">
        <v>361</v>
      </c>
      <c r="B210">
        <v>-357463</v>
      </c>
      <c r="C210">
        <v>75198</v>
      </c>
      <c r="D210">
        <v>256154</v>
      </c>
      <c r="E210">
        <v>-538419</v>
      </c>
    </row>
    <row r="211" hidden="1" spans="1:5">
      <c r="A211" t="s">
        <v>362</v>
      </c>
      <c r="B211">
        <v>-238000</v>
      </c>
      <c r="C211">
        <v>0</v>
      </c>
      <c r="D211">
        <v>119000</v>
      </c>
      <c r="E211">
        <v>-357000</v>
      </c>
    </row>
    <row r="212" hidden="1" spans="1:5">
      <c r="A212" t="s">
        <v>363</v>
      </c>
      <c r="B212">
        <v>-8865675</v>
      </c>
      <c r="C212">
        <v>38454945</v>
      </c>
      <c r="D212">
        <v>38862007</v>
      </c>
      <c r="E212">
        <v>-9272737</v>
      </c>
    </row>
    <row r="213" hidden="1" spans="1:1">
      <c r="A213" t="s">
        <v>364</v>
      </c>
    </row>
    <row r="214" hidden="1" spans="1:5">
      <c r="A214" t="s">
        <v>365</v>
      </c>
      <c r="B214">
        <v>-572601</v>
      </c>
      <c r="C214">
        <v>131920</v>
      </c>
      <c r="D214">
        <v>350943</v>
      </c>
      <c r="E214">
        <v>-791624</v>
      </c>
    </row>
    <row r="215" hidden="1" spans="1:5">
      <c r="A215" t="s">
        <v>366</v>
      </c>
      <c r="B215">
        <v>-27975</v>
      </c>
      <c r="C215">
        <v>27975</v>
      </c>
      <c r="D215">
        <v>28230</v>
      </c>
      <c r="E215">
        <v>-28230</v>
      </c>
    </row>
    <row r="216" hidden="1" spans="1:5">
      <c r="A216" t="s">
        <v>367</v>
      </c>
      <c r="B216">
        <v>-1510795</v>
      </c>
      <c r="C216">
        <v>1510795</v>
      </c>
      <c r="D216">
        <v>1511230</v>
      </c>
      <c r="E216">
        <v>-1511230</v>
      </c>
    </row>
    <row r="217" hidden="1" spans="1:5">
      <c r="A217" t="s">
        <v>368</v>
      </c>
      <c r="B217">
        <v>-62980</v>
      </c>
      <c r="C217">
        <v>62980</v>
      </c>
      <c r="D217">
        <v>62968</v>
      </c>
      <c r="E217">
        <v>-62968</v>
      </c>
    </row>
    <row r="218" hidden="1" spans="1:5">
      <c r="A218" t="s">
        <v>369</v>
      </c>
      <c r="B218">
        <v>-1510795</v>
      </c>
      <c r="C218">
        <v>1510795</v>
      </c>
      <c r="D218">
        <v>1511230</v>
      </c>
      <c r="E218">
        <v>-1511230</v>
      </c>
    </row>
    <row r="219" hidden="1" spans="1:5">
      <c r="A219" t="s">
        <v>370</v>
      </c>
      <c r="B219">
        <v>-3685146</v>
      </c>
      <c r="C219">
        <v>3244465</v>
      </c>
      <c r="D219">
        <v>3464601</v>
      </c>
      <c r="E219">
        <v>-3905282</v>
      </c>
    </row>
    <row r="220" hidden="1" spans="1:1">
      <c r="A220" t="s">
        <v>371</v>
      </c>
    </row>
    <row r="221" hidden="1" spans="1:5">
      <c r="A221" t="s">
        <v>371</v>
      </c>
      <c r="B221">
        <v>-1195</v>
      </c>
      <c r="C221">
        <v>0</v>
      </c>
      <c r="D221">
        <v>0</v>
      </c>
      <c r="E221">
        <v>-1195</v>
      </c>
    </row>
    <row r="222" hidden="1" spans="1:5">
      <c r="A222" t="s">
        <v>372</v>
      </c>
      <c r="B222">
        <v>-161</v>
      </c>
      <c r="C222">
        <v>161</v>
      </c>
      <c r="D222">
        <v>212</v>
      </c>
      <c r="E222">
        <v>-212</v>
      </c>
    </row>
    <row r="223" hidden="1" spans="1:5">
      <c r="A223" t="s">
        <v>373</v>
      </c>
      <c r="B223">
        <v>0</v>
      </c>
      <c r="C223">
        <v>0</v>
      </c>
      <c r="D223">
        <v>12889.5</v>
      </c>
      <c r="E223">
        <v>-12889.5</v>
      </c>
    </row>
    <row r="224" hidden="1" spans="1:5">
      <c r="A224" t="s">
        <v>374</v>
      </c>
      <c r="B224">
        <v>498</v>
      </c>
      <c r="C224">
        <v>697</v>
      </c>
      <c r="D224">
        <v>917</v>
      </c>
      <c r="E224">
        <v>278</v>
      </c>
    </row>
    <row r="225" hidden="1" spans="1:5">
      <c r="A225" t="s">
        <v>375</v>
      </c>
      <c r="B225">
        <v>-858</v>
      </c>
      <c r="C225">
        <v>858</v>
      </c>
      <c r="D225">
        <v>14018.5</v>
      </c>
      <c r="E225">
        <v>-14018.5</v>
      </c>
    </row>
    <row r="226" hidden="1" spans="1:1">
      <c r="A226" t="s">
        <v>376</v>
      </c>
    </row>
    <row r="227" hidden="1" spans="1:5">
      <c r="A227" t="s">
        <v>376</v>
      </c>
      <c r="B227">
        <v>-7879917</v>
      </c>
      <c r="C227">
        <v>0</v>
      </c>
      <c r="D227">
        <v>2700000</v>
      </c>
      <c r="E227">
        <v>-10579917</v>
      </c>
    </row>
    <row r="228" hidden="1" spans="1:5">
      <c r="A228" t="s">
        <v>377</v>
      </c>
      <c r="B228">
        <v>-70101985.31</v>
      </c>
      <c r="C228">
        <v>0</v>
      </c>
      <c r="D228">
        <v>0</v>
      </c>
      <c r="E228">
        <v>-70101985.31</v>
      </c>
    </row>
    <row r="229" hidden="1" spans="1:5">
      <c r="A229" t="s">
        <v>378</v>
      </c>
      <c r="B229">
        <v>-77981902.31</v>
      </c>
      <c r="C229">
        <v>0</v>
      </c>
      <c r="D229">
        <v>2700000</v>
      </c>
      <c r="E229">
        <v>-80681902.31</v>
      </c>
    </row>
    <row r="230" hidden="1" spans="1:5">
      <c r="A230" t="s">
        <v>379</v>
      </c>
      <c r="B230">
        <v>-90533581.31</v>
      </c>
      <c r="C230">
        <v>41700268</v>
      </c>
      <c r="D230">
        <v>45040626.5</v>
      </c>
      <c r="E230">
        <v>-93873939.81</v>
      </c>
    </row>
    <row r="231" hidden="1" spans="1:1">
      <c r="A231" t="s">
        <v>380</v>
      </c>
    </row>
    <row r="232" hidden="1" spans="1:1">
      <c r="A232" t="s">
        <v>381</v>
      </c>
    </row>
    <row r="233" hidden="1" spans="1:5">
      <c r="A233" t="s">
        <v>382</v>
      </c>
      <c r="B233">
        <v>-22105978</v>
      </c>
      <c r="C233">
        <v>22105978</v>
      </c>
      <c r="D233">
        <v>5087036</v>
      </c>
      <c r="E233">
        <v>-5087036</v>
      </c>
    </row>
    <row r="234" hidden="1" spans="1:5">
      <c r="A234" t="s">
        <v>383</v>
      </c>
      <c r="B234">
        <v>-22105978</v>
      </c>
      <c r="C234">
        <v>22105978</v>
      </c>
      <c r="D234">
        <v>5087036</v>
      </c>
      <c r="E234">
        <v>-5087036</v>
      </c>
    </row>
    <row r="235" hidden="1" spans="1:5">
      <c r="A235" t="s">
        <v>384</v>
      </c>
      <c r="B235">
        <v>-48616</v>
      </c>
      <c r="C235">
        <v>43000</v>
      </c>
      <c r="D235">
        <v>46304</v>
      </c>
      <c r="E235">
        <v>-51920</v>
      </c>
    </row>
    <row r="236" hidden="1" spans="1:1">
      <c r="A236" t="s">
        <v>385</v>
      </c>
    </row>
    <row r="237" hidden="1" spans="1:5">
      <c r="A237" t="s">
        <v>386</v>
      </c>
      <c r="B237">
        <v>0</v>
      </c>
      <c r="C237">
        <v>451479.33</v>
      </c>
      <c r="D237">
        <v>451479.33</v>
      </c>
      <c r="E237">
        <v>0</v>
      </c>
    </row>
    <row r="238" hidden="1" spans="1:5">
      <c r="A238" t="s">
        <v>387</v>
      </c>
      <c r="B238">
        <v>0</v>
      </c>
      <c r="C238">
        <v>454677.34</v>
      </c>
      <c r="D238">
        <v>261211.9</v>
      </c>
      <c r="E238">
        <v>193465.44</v>
      </c>
    </row>
    <row r="239" hidden="1" spans="1:5">
      <c r="A239" t="s">
        <v>388</v>
      </c>
      <c r="B239">
        <v>2019.6</v>
      </c>
      <c r="C239">
        <v>5065927.06</v>
      </c>
      <c r="D239">
        <v>8188002.1</v>
      </c>
      <c r="E239">
        <v>-3120055.44</v>
      </c>
    </row>
    <row r="240" hidden="1" spans="1:5">
      <c r="A240" t="s">
        <v>389</v>
      </c>
      <c r="B240">
        <v>-8466.48</v>
      </c>
      <c r="C240">
        <v>52921.96</v>
      </c>
      <c r="D240">
        <v>52921.96</v>
      </c>
      <c r="E240">
        <v>-8466.48</v>
      </c>
    </row>
    <row r="241" hidden="1" spans="1:5">
      <c r="A241" t="s">
        <v>390</v>
      </c>
      <c r="B241">
        <v>5512647.12</v>
      </c>
      <c r="C241">
        <v>3322354.5</v>
      </c>
      <c r="D241">
        <v>579905</v>
      </c>
      <c r="E241">
        <v>8255096.62</v>
      </c>
    </row>
    <row r="242" hidden="1" spans="1:5">
      <c r="A242" t="s">
        <v>391</v>
      </c>
      <c r="B242">
        <v>3099459.95</v>
      </c>
      <c r="C242">
        <v>2578941.64</v>
      </c>
      <c r="D242">
        <v>80306.5</v>
      </c>
      <c r="E242">
        <v>5598095.09</v>
      </c>
    </row>
    <row r="243" hidden="1" spans="1:5">
      <c r="A243" t="s">
        <v>392</v>
      </c>
      <c r="B243">
        <v>8911189.2</v>
      </c>
      <c r="C243">
        <v>5927385</v>
      </c>
      <c r="D243">
        <v>717600.38</v>
      </c>
      <c r="E243">
        <v>14120973.82</v>
      </c>
    </row>
    <row r="244" hidden="1" spans="1:5">
      <c r="A244" t="s">
        <v>393</v>
      </c>
      <c r="B244">
        <v>1136648.19</v>
      </c>
      <c r="C244">
        <v>181081.8</v>
      </c>
      <c r="D244">
        <v>10067.63</v>
      </c>
      <c r="E244">
        <v>1307662.36</v>
      </c>
    </row>
    <row r="245" hidden="1" spans="1:5">
      <c r="A245" t="s">
        <v>394</v>
      </c>
      <c r="B245">
        <v>-114986.2</v>
      </c>
      <c r="C245">
        <v>0</v>
      </c>
      <c r="D245">
        <v>0</v>
      </c>
      <c r="E245">
        <v>-114986.2</v>
      </c>
    </row>
    <row r="246" hidden="1" spans="1:5">
      <c r="A246" t="s">
        <v>395</v>
      </c>
      <c r="B246">
        <v>-18034.68</v>
      </c>
      <c r="C246">
        <v>0</v>
      </c>
      <c r="D246">
        <v>2712</v>
      </c>
      <c r="E246">
        <v>-20746.68</v>
      </c>
    </row>
    <row r="247" hidden="1" spans="1:5">
      <c r="A247" t="s">
        <v>396</v>
      </c>
      <c r="B247">
        <v>-77808.53</v>
      </c>
      <c r="C247">
        <v>0</v>
      </c>
      <c r="D247">
        <v>64927.5</v>
      </c>
      <c r="E247">
        <v>-142736.03</v>
      </c>
    </row>
    <row r="248" hidden="1" spans="1:5">
      <c r="A248" t="s">
        <v>397</v>
      </c>
      <c r="B248">
        <v>-4614668.61</v>
      </c>
      <c r="C248">
        <v>6750</v>
      </c>
      <c r="D248">
        <v>2826309</v>
      </c>
      <c r="E248">
        <v>-7434227.61</v>
      </c>
    </row>
    <row r="249" hidden="1" spans="1:5">
      <c r="A249" t="s">
        <v>398</v>
      </c>
      <c r="B249">
        <v>-11388.75</v>
      </c>
      <c r="C249">
        <v>0</v>
      </c>
      <c r="D249">
        <v>4750</v>
      </c>
      <c r="E249">
        <v>-16138.75</v>
      </c>
    </row>
    <row r="250" hidden="1" spans="1:5">
      <c r="A250" t="s">
        <v>399</v>
      </c>
      <c r="B250">
        <v>-22095.13</v>
      </c>
      <c r="C250">
        <v>0</v>
      </c>
      <c r="D250">
        <v>24944.28</v>
      </c>
      <c r="E250">
        <v>-47039.41</v>
      </c>
    </row>
    <row r="251" hidden="1" spans="1:5">
      <c r="A251" t="s">
        <v>400</v>
      </c>
      <c r="B251">
        <v>-3121623.25</v>
      </c>
      <c r="C251">
        <v>0</v>
      </c>
      <c r="D251">
        <v>1925176.54</v>
      </c>
      <c r="E251">
        <v>-5046799.79</v>
      </c>
    </row>
    <row r="252" hidden="1" spans="1:5">
      <c r="A252" t="s">
        <v>401</v>
      </c>
      <c r="B252">
        <v>-15944.67</v>
      </c>
      <c r="C252">
        <v>0</v>
      </c>
      <c r="D252">
        <v>7905.63</v>
      </c>
      <c r="E252">
        <v>-23850.3</v>
      </c>
    </row>
    <row r="253" hidden="1" spans="1:5">
      <c r="A253" t="s">
        <v>402</v>
      </c>
      <c r="B253">
        <v>-4001.17</v>
      </c>
      <c r="C253">
        <v>0</v>
      </c>
      <c r="D253">
        <v>2911.68</v>
      </c>
      <c r="E253">
        <v>-6912.85</v>
      </c>
    </row>
    <row r="254" hidden="1" spans="1:5">
      <c r="A254" t="s">
        <v>403</v>
      </c>
      <c r="B254">
        <v>-126595.02</v>
      </c>
      <c r="C254">
        <v>0</v>
      </c>
      <c r="D254">
        <v>48952.59</v>
      </c>
      <c r="E254">
        <v>-175547.61</v>
      </c>
    </row>
    <row r="255" hidden="1" spans="1:5">
      <c r="A255" t="s">
        <v>404</v>
      </c>
      <c r="B255">
        <v>-8999778.37</v>
      </c>
      <c r="C255">
        <v>260688.56</v>
      </c>
      <c r="D255">
        <v>5289409.55</v>
      </c>
      <c r="E255">
        <v>-14028499.36</v>
      </c>
    </row>
    <row r="256" hidden="1" spans="1:5">
      <c r="A256" t="s">
        <v>405</v>
      </c>
      <c r="B256">
        <v>-1143136.17</v>
      </c>
      <c r="C256">
        <v>0</v>
      </c>
      <c r="D256">
        <v>155381.85</v>
      </c>
      <c r="E256">
        <v>-1298518.02</v>
      </c>
    </row>
    <row r="257" hidden="1" spans="1:5">
      <c r="A257" t="s">
        <v>406</v>
      </c>
      <c r="B257">
        <v>649877.49</v>
      </c>
      <c r="C257">
        <v>96711.13</v>
      </c>
      <c r="D257">
        <v>0</v>
      </c>
      <c r="E257">
        <v>746588.62</v>
      </c>
    </row>
    <row r="258" hidden="1" spans="1:5">
      <c r="A258" t="s">
        <v>407</v>
      </c>
      <c r="B258">
        <v>1033314.52</v>
      </c>
      <c r="C258">
        <v>18398918.32</v>
      </c>
      <c r="D258">
        <v>20694875.42</v>
      </c>
      <c r="E258">
        <v>-1262642.58</v>
      </c>
    </row>
    <row r="259" hidden="1" spans="1:1">
      <c r="A259" t="s">
        <v>408</v>
      </c>
    </row>
    <row r="260" hidden="1" spans="1:5">
      <c r="A260" t="s">
        <v>409</v>
      </c>
      <c r="B260">
        <v>0</v>
      </c>
      <c r="C260">
        <v>451479.33</v>
      </c>
      <c r="D260">
        <v>451479.33</v>
      </c>
      <c r="E260">
        <v>0</v>
      </c>
    </row>
    <row r="261" hidden="1" spans="1:5">
      <c r="A261" t="s">
        <v>410</v>
      </c>
      <c r="B261">
        <v>0</v>
      </c>
      <c r="C261">
        <v>454677.34</v>
      </c>
      <c r="D261">
        <v>261211.9</v>
      </c>
      <c r="E261">
        <v>193465.44</v>
      </c>
    </row>
    <row r="262" hidden="1" spans="1:5">
      <c r="A262" t="s">
        <v>411</v>
      </c>
      <c r="B262">
        <v>2019.6</v>
      </c>
      <c r="C262">
        <v>5065927.06</v>
      </c>
      <c r="D262">
        <v>8188002.1</v>
      </c>
      <c r="E262">
        <v>-3120055.44</v>
      </c>
    </row>
    <row r="263" hidden="1" spans="1:5">
      <c r="A263" t="s">
        <v>412</v>
      </c>
      <c r="B263">
        <v>-8466.48</v>
      </c>
      <c r="C263">
        <v>52921.96</v>
      </c>
      <c r="D263">
        <v>52921.96</v>
      </c>
      <c r="E263">
        <v>-8466.48</v>
      </c>
    </row>
    <row r="264" hidden="1" spans="1:5">
      <c r="A264" t="s">
        <v>413</v>
      </c>
      <c r="B264">
        <v>5512647.12</v>
      </c>
      <c r="C264">
        <v>3322354.5</v>
      </c>
      <c r="D264">
        <v>579905</v>
      </c>
      <c r="E264">
        <v>8255096.62</v>
      </c>
    </row>
    <row r="265" hidden="1" spans="1:5">
      <c r="A265" t="s">
        <v>414</v>
      </c>
      <c r="B265">
        <v>3099459.95</v>
      </c>
      <c r="C265">
        <v>2578941.64</v>
      </c>
      <c r="D265">
        <v>80306.5</v>
      </c>
      <c r="E265">
        <v>5598095.09</v>
      </c>
    </row>
    <row r="266" hidden="1" spans="1:5">
      <c r="A266" t="s">
        <v>415</v>
      </c>
      <c r="B266">
        <v>8911189.2</v>
      </c>
      <c r="C266">
        <v>5927385</v>
      </c>
      <c r="D266">
        <v>717600.38</v>
      </c>
      <c r="E266">
        <v>14120973.82</v>
      </c>
    </row>
    <row r="267" hidden="1" spans="1:5">
      <c r="A267" t="s">
        <v>416</v>
      </c>
      <c r="B267">
        <v>1136648.19</v>
      </c>
      <c r="C267">
        <v>181081.8</v>
      </c>
      <c r="D267">
        <v>10067.63</v>
      </c>
      <c r="E267">
        <v>1307662.36</v>
      </c>
    </row>
    <row r="268" hidden="1" spans="1:5">
      <c r="A268" t="s">
        <v>417</v>
      </c>
      <c r="B268">
        <v>-114986.2</v>
      </c>
      <c r="C268">
        <v>0</v>
      </c>
      <c r="D268">
        <v>0</v>
      </c>
      <c r="E268">
        <v>-114986.2</v>
      </c>
    </row>
    <row r="269" hidden="1" spans="1:5">
      <c r="A269" t="s">
        <v>418</v>
      </c>
      <c r="B269">
        <v>-18034.68</v>
      </c>
      <c r="C269">
        <v>0</v>
      </c>
      <c r="D269">
        <v>2712</v>
      </c>
      <c r="E269">
        <v>-20746.68</v>
      </c>
    </row>
    <row r="270" hidden="1" spans="1:5">
      <c r="A270" t="s">
        <v>419</v>
      </c>
      <c r="B270">
        <v>-77808.53</v>
      </c>
      <c r="C270">
        <v>0</v>
      </c>
      <c r="D270">
        <v>64927.5</v>
      </c>
      <c r="E270">
        <v>-142736.03</v>
      </c>
    </row>
    <row r="271" hidden="1" spans="1:5">
      <c r="A271" t="s">
        <v>420</v>
      </c>
      <c r="B271">
        <v>-4614668.61</v>
      </c>
      <c r="C271">
        <v>6750</v>
      </c>
      <c r="D271">
        <v>2826309</v>
      </c>
      <c r="E271">
        <v>-7434227.61</v>
      </c>
    </row>
    <row r="272" hidden="1" spans="1:5">
      <c r="A272" t="s">
        <v>421</v>
      </c>
      <c r="B272">
        <v>-11388.75</v>
      </c>
      <c r="C272">
        <v>0</v>
      </c>
      <c r="D272">
        <v>4750</v>
      </c>
      <c r="E272">
        <v>-16138.75</v>
      </c>
    </row>
    <row r="273" hidden="1" spans="1:5">
      <c r="A273" t="s">
        <v>422</v>
      </c>
      <c r="B273">
        <v>-22095.13</v>
      </c>
      <c r="C273">
        <v>0</v>
      </c>
      <c r="D273">
        <v>24944.28</v>
      </c>
      <c r="E273">
        <v>-47039.41</v>
      </c>
    </row>
    <row r="274" hidden="1" spans="1:5">
      <c r="A274" t="s">
        <v>423</v>
      </c>
      <c r="B274">
        <v>-3121623.25</v>
      </c>
      <c r="C274">
        <v>0</v>
      </c>
      <c r="D274">
        <v>1925176.54</v>
      </c>
      <c r="E274">
        <v>-5046799.79</v>
      </c>
    </row>
    <row r="275" hidden="1" spans="1:5">
      <c r="A275" t="s">
        <v>424</v>
      </c>
      <c r="B275">
        <v>-15944.67</v>
      </c>
      <c r="C275">
        <v>0</v>
      </c>
      <c r="D275">
        <v>7905.63</v>
      </c>
      <c r="E275">
        <v>-23850.3</v>
      </c>
    </row>
    <row r="276" hidden="1" spans="1:5">
      <c r="A276" t="s">
        <v>425</v>
      </c>
      <c r="B276">
        <v>-4001.17</v>
      </c>
      <c r="C276">
        <v>0</v>
      </c>
      <c r="D276">
        <v>2911.68</v>
      </c>
      <c r="E276">
        <v>-6912.85</v>
      </c>
    </row>
    <row r="277" hidden="1" spans="1:5">
      <c r="A277" t="s">
        <v>426</v>
      </c>
      <c r="B277">
        <v>-126595.02</v>
      </c>
      <c r="C277">
        <v>0</v>
      </c>
      <c r="D277">
        <v>48952.59</v>
      </c>
      <c r="E277">
        <v>-175547.61</v>
      </c>
    </row>
    <row r="278" hidden="1" spans="1:5">
      <c r="A278" t="s">
        <v>427</v>
      </c>
      <c r="B278">
        <v>-8999778.37</v>
      </c>
      <c r="C278">
        <v>260688.56</v>
      </c>
      <c r="D278">
        <v>5289409.55</v>
      </c>
      <c r="E278">
        <v>-14028499.36</v>
      </c>
    </row>
    <row r="279" hidden="1" spans="1:5">
      <c r="A279" t="s">
        <v>428</v>
      </c>
      <c r="B279">
        <v>-1143136.17</v>
      </c>
      <c r="C279">
        <v>0</v>
      </c>
      <c r="D279">
        <v>155381.85</v>
      </c>
      <c r="E279">
        <v>-1298518.02</v>
      </c>
    </row>
    <row r="280" hidden="1" spans="1:5">
      <c r="A280" t="s">
        <v>429</v>
      </c>
      <c r="B280">
        <v>649877.49</v>
      </c>
      <c r="C280">
        <v>96711.13</v>
      </c>
      <c r="D280">
        <v>0</v>
      </c>
      <c r="E280">
        <v>746588.62</v>
      </c>
    </row>
    <row r="281" hidden="1" spans="1:5">
      <c r="A281" t="s">
        <v>430</v>
      </c>
      <c r="B281">
        <v>1033314.52</v>
      </c>
      <c r="C281">
        <v>18398918.32</v>
      </c>
      <c r="D281">
        <v>20694875.42</v>
      </c>
      <c r="E281">
        <v>-1262642.58</v>
      </c>
    </row>
    <row r="282" hidden="1" spans="1:1">
      <c r="A282" t="s">
        <v>431</v>
      </c>
    </row>
    <row r="283" hidden="1" spans="1:5">
      <c r="A283" t="s">
        <v>432</v>
      </c>
      <c r="B283">
        <v>0</v>
      </c>
      <c r="C283">
        <v>18155339.64</v>
      </c>
      <c r="D283">
        <v>18281699.64</v>
      </c>
      <c r="E283">
        <v>-126360</v>
      </c>
    </row>
    <row r="284" hidden="1" spans="1:5">
      <c r="A284" t="s">
        <v>433</v>
      </c>
      <c r="B284">
        <v>-4039.2</v>
      </c>
      <c r="C284">
        <v>4427618.35</v>
      </c>
      <c r="D284">
        <v>4834679.89</v>
      </c>
      <c r="E284">
        <v>-411100.74</v>
      </c>
    </row>
    <row r="285" hidden="1" spans="1:5">
      <c r="A285" t="s">
        <v>434</v>
      </c>
      <c r="B285">
        <v>0</v>
      </c>
      <c r="C285">
        <v>28783044.56</v>
      </c>
      <c r="D285">
        <v>22231929.4</v>
      </c>
      <c r="E285">
        <v>6551115.16</v>
      </c>
    </row>
    <row r="286" hidden="1" spans="1:5">
      <c r="A286" t="s">
        <v>435</v>
      </c>
      <c r="B286">
        <v>16932.96</v>
      </c>
      <c r="C286">
        <v>373363.71</v>
      </c>
      <c r="D286">
        <v>373363.71</v>
      </c>
      <c r="E286">
        <v>16932.96</v>
      </c>
    </row>
    <row r="287" hidden="1" spans="1:5">
      <c r="A287" t="s">
        <v>436</v>
      </c>
      <c r="B287">
        <v>9951316.67</v>
      </c>
      <c r="C287">
        <v>8713782.54</v>
      </c>
      <c r="D287">
        <v>62850</v>
      </c>
      <c r="E287">
        <v>18602249.21</v>
      </c>
    </row>
    <row r="288" hidden="1" spans="1:5">
      <c r="A288" t="s">
        <v>437</v>
      </c>
      <c r="B288">
        <v>1424975.08</v>
      </c>
      <c r="C288">
        <v>496560.13</v>
      </c>
      <c r="D288">
        <v>0</v>
      </c>
      <c r="E288">
        <v>1921535.21</v>
      </c>
    </row>
    <row r="289" hidden="1" spans="1:5">
      <c r="A289" t="s">
        <v>438</v>
      </c>
      <c r="B289">
        <v>30779125.03</v>
      </c>
      <c r="C289">
        <v>7328353.4</v>
      </c>
      <c r="D289">
        <v>249290</v>
      </c>
      <c r="E289">
        <v>37858188.43</v>
      </c>
    </row>
    <row r="290" hidden="1" spans="1:5">
      <c r="A290" t="s">
        <v>439</v>
      </c>
      <c r="B290">
        <v>402329.22</v>
      </c>
      <c r="C290">
        <v>74435.42</v>
      </c>
      <c r="D290">
        <v>14850</v>
      </c>
      <c r="E290">
        <v>461914.64</v>
      </c>
    </row>
    <row r="291" hidden="1" spans="1:5">
      <c r="A291" t="s">
        <v>440</v>
      </c>
      <c r="B291">
        <v>-16500</v>
      </c>
      <c r="C291">
        <v>0</v>
      </c>
      <c r="D291">
        <v>7080</v>
      </c>
      <c r="E291">
        <v>-23580</v>
      </c>
    </row>
    <row r="292" hidden="1" spans="1:5">
      <c r="A292" t="s">
        <v>441</v>
      </c>
      <c r="B292">
        <v>0</v>
      </c>
      <c r="C292">
        <v>0</v>
      </c>
      <c r="D292">
        <v>18340</v>
      </c>
      <c r="E292">
        <v>-18340</v>
      </c>
    </row>
    <row r="293" hidden="1" spans="1:5">
      <c r="A293" t="s">
        <v>442</v>
      </c>
      <c r="B293">
        <v>-11217224.69</v>
      </c>
      <c r="C293">
        <v>160888.68</v>
      </c>
      <c r="D293">
        <v>8602554.22</v>
      </c>
      <c r="E293">
        <v>-19658890.23</v>
      </c>
    </row>
    <row r="294" hidden="1" spans="1:5">
      <c r="A294" t="s">
        <v>443</v>
      </c>
      <c r="B294">
        <v>-1176191.68</v>
      </c>
      <c r="C294">
        <v>0</v>
      </c>
      <c r="D294">
        <v>589132.27</v>
      </c>
      <c r="E294">
        <v>-1765323.95</v>
      </c>
    </row>
    <row r="295" hidden="1" spans="1:5">
      <c r="A295" t="s">
        <v>444</v>
      </c>
      <c r="B295">
        <v>0</v>
      </c>
      <c r="C295">
        <v>0</v>
      </c>
      <c r="D295">
        <v>14863.18</v>
      </c>
      <c r="E295">
        <v>-14863.18</v>
      </c>
    </row>
    <row r="296" hidden="1" spans="1:5">
      <c r="A296" t="s">
        <v>445</v>
      </c>
      <c r="B296">
        <v>-31523166.65</v>
      </c>
      <c r="C296">
        <v>171820.41</v>
      </c>
      <c r="D296">
        <v>7279974.69</v>
      </c>
      <c r="E296">
        <v>-38631320.93</v>
      </c>
    </row>
    <row r="297" hidden="1" spans="1:5">
      <c r="A297" t="s">
        <v>446</v>
      </c>
      <c r="B297">
        <v>-347405.28</v>
      </c>
      <c r="C297">
        <v>0</v>
      </c>
      <c r="D297">
        <v>49865</v>
      </c>
      <c r="E297">
        <v>-397270.28</v>
      </c>
    </row>
    <row r="298" hidden="1" spans="1:5">
      <c r="A298" t="s">
        <v>447</v>
      </c>
      <c r="B298">
        <v>199832.77</v>
      </c>
      <c r="C298">
        <v>43518.24</v>
      </c>
      <c r="D298">
        <v>0</v>
      </c>
      <c r="E298">
        <v>243351.01</v>
      </c>
    </row>
    <row r="299" hidden="1" spans="1:5">
      <c r="A299" t="s">
        <v>448</v>
      </c>
      <c r="B299">
        <v>-1510015.77</v>
      </c>
      <c r="C299">
        <v>68728725.08</v>
      </c>
      <c r="D299">
        <v>62610472</v>
      </c>
      <c r="E299">
        <v>4608237.31</v>
      </c>
    </row>
    <row r="300" hidden="1" spans="1:1">
      <c r="A300" t="s">
        <v>449</v>
      </c>
    </row>
    <row r="301" hidden="1" spans="1:5">
      <c r="A301" t="s">
        <v>450</v>
      </c>
      <c r="B301">
        <v>-640176.48</v>
      </c>
      <c r="C301">
        <v>6268940.46</v>
      </c>
      <c r="D301">
        <v>8360543.81</v>
      </c>
      <c r="E301">
        <v>-2731779.83</v>
      </c>
    </row>
    <row r="302" hidden="1" spans="1:5">
      <c r="A302" t="s">
        <v>451</v>
      </c>
      <c r="B302">
        <v>67683.55</v>
      </c>
      <c r="C302">
        <v>392635.7</v>
      </c>
      <c r="D302">
        <v>540327.95</v>
      </c>
      <c r="E302">
        <v>-80008.7</v>
      </c>
    </row>
    <row r="303" hidden="1" spans="1:5">
      <c r="A303" t="s">
        <v>452</v>
      </c>
      <c r="B303">
        <v>-7576405.76</v>
      </c>
      <c r="C303">
        <v>24860832.43</v>
      </c>
      <c r="D303">
        <v>18735364.14</v>
      </c>
      <c r="E303">
        <v>-1450937.47</v>
      </c>
    </row>
    <row r="304" hidden="1" spans="1:5">
      <c r="A304" t="s">
        <v>453</v>
      </c>
      <c r="B304">
        <v>3701232.96</v>
      </c>
      <c r="C304">
        <v>23326017.53</v>
      </c>
      <c r="D304">
        <v>36190326.87</v>
      </c>
      <c r="E304">
        <v>-9163076.38</v>
      </c>
    </row>
    <row r="305" hidden="1" spans="1:5">
      <c r="A305" t="s">
        <v>454</v>
      </c>
      <c r="B305">
        <v>-4447665.73</v>
      </c>
      <c r="C305">
        <v>54848426.12</v>
      </c>
      <c r="D305">
        <v>63826562.77</v>
      </c>
      <c r="E305">
        <v>-13425802.38</v>
      </c>
    </row>
    <row r="306" hidden="1" spans="1:1">
      <c r="A306" t="s">
        <v>455</v>
      </c>
    </row>
    <row r="307" hidden="1" spans="1:5">
      <c r="A307" t="s">
        <v>456</v>
      </c>
      <c r="B307">
        <v>85498.09</v>
      </c>
      <c r="C307">
        <v>0</v>
      </c>
      <c r="D307">
        <v>0</v>
      </c>
      <c r="E307">
        <v>85498.09</v>
      </c>
    </row>
    <row r="308" hidden="1" spans="1:5">
      <c r="A308" t="s">
        <v>457</v>
      </c>
      <c r="B308">
        <v>85498.09</v>
      </c>
      <c r="C308">
        <v>0</v>
      </c>
      <c r="D308">
        <v>0</v>
      </c>
      <c r="E308">
        <v>85498.09</v>
      </c>
    </row>
    <row r="309" hidden="1" spans="1:1">
      <c r="A309" t="s">
        <v>458</v>
      </c>
    </row>
    <row r="310" hidden="1" spans="1:5">
      <c r="A310" t="s">
        <v>459</v>
      </c>
      <c r="B310">
        <v>85498.09</v>
      </c>
      <c r="C310">
        <v>0</v>
      </c>
      <c r="D310">
        <v>0</v>
      </c>
      <c r="E310">
        <v>85498.09</v>
      </c>
    </row>
    <row r="311" hidden="1" spans="1:5">
      <c r="A311" t="s">
        <v>460</v>
      </c>
      <c r="B311">
        <v>85498.09</v>
      </c>
      <c r="C311">
        <v>0</v>
      </c>
      <c r="D311">
        <v>0</v>
      </c>
      <c r="E311">
        <v>85498.09</v>
      </c>
    </row>
    <row r="312" hidden="1" spans="1:1">
      <c r="A312" t="s">
        <v>461</v>
      </c>
    </row>
    <row r="313" hidden="1" spans="1:5">
      <c r="A313" t="s">
        <v>462</v>
      </c>
      <c r="B313">
        <v>762.29</v>
      </c>
      <c r="C313">
        <v>0</v>
      </c>
      <c r="D313">
        <v>0</v>
      </c>
      <c r="E313">
        <v>762.29</v>
      </c>
    </row>
    <row r="314" hidden="1" spans="1:5">
      <c r="A314" t="s">
        <v>463</v>
      </c>
      <c r="B314">
        <v>24858.36</v>
      </c>
      <c r="C314">
        <v>0</v>
      </c>
      <c r="D314">
        <v>0</v>
      </c>
      <c r="E314">
        <v>24858.36</v>
      </c>
    </row>
    <row r="315" hidden="1" spans="1:5">
      <c r="A315" t="s">
        <v>464</v>
      </c>
      <c r="B315">
        <v>25620.65</v>
      </c>
      <c r="C315">
        <v>0</v>
      </c>
      <c r="D315">
        <v>0</v>
      </c>
      <c r="E315">
        <v>25620.65</v>
      </c>
    </row>
    <row r="316" hidden="1" spans="1:1">
      <c r="A316" t="s">
        <v>465</v>
      </c>
    </row>
    <row r="317" hidden="1" spans="1:5">
      <c r="A317" t="s">
        <v>466</v>
      </c>
      <c r="B317">
        <v>-13486</v>
      </c>
      <c r="C317">
        <v>13486</v>
      </c>
      <c r="D317">
        <v>13542</v>
      </c>
      <c r="E317">
        <v>-13542</v>
      </c>
    </row>
    <row r="318" hidden="1" spans="1:5">
      <c r="A318" t="s">
        <v>467</v>
      </c>
      <c r="B318">
        <v>-9379</v>
      </c>
      <c r="C318">
        <v>9379</v>
      </c>
      <c r="D318">
        <v>117367</v>
      </c>
      <c r="E318">
        <v>-117367</v>
      </c>
    </row>
    <row r="319" hidden="1" spans="1:5">
      <c r="A319" t="s">
        <v>468</v>
      </c>
      <c r="B319">
        <v>-1753525</v>
      </c>
      <c r="C319">
        <v>1755986</v>
      </c>
      <c r="D319">
        <v>3767057.55</v>
      </c>
      <c r="E319">
        <v>-3764596.55</v>
      </c>
    </row>
    <row r="320" hidden="1" spans="1:5">
      <c r="A320" t="s">
        <v>469</v>
      </c>
      <c r="B320">
        <v>0</v>
      </c>
      <c r="C320">
        <v>120</v>
      </c>
      <c r="D320">
        <v>120</v>
      </c>
      <c r="E320">
        <v>0</v>
      </c>
    </row>
    <row r="321" hidden="1" spans="1:5">
      <c r="A321" t="s">
        <v>470</v>
      </c>
      <c r="B321">
        <v>0</v>
      </c>
      <c r="C321">
        <v>3845</v>
      </c>
      <c r="D321">
        <v>3845</v>
      </c>
      <c r="E321">
        <v>0</v>
      </c>
    </row>
    <row r="322" hidden="1" spans="1:5">
      <c r="A322" t="s">
        <v>471</v>
      </c>
      <c r="B322">
        <v>0.15</v>
      </c>
      <c r="C322">
        <v>15418.33</v>
      </c>
      <c r="D322">
        <v>15418.48</v>
      </c>
      <c r="E322">
        <v>0</v>
      </c>
    </row>
    <row r="323" hidden="1" spans="1:5">
      <c r="A323" t="s">
        <v>472</v>
      </c>
      <c r="B323">
        <v>0</v>
      </c>
      <c r="C323">
        <v>6771</v>
      </c>
      <c r="D323">
        <v>6771</v>
      </c>
      <c r="E323">
        <v>0</v>
      </c>
    </row>
    <row r="324" hidden="1" spans="1:5">
      <c r="A324" t="s">
        <v>473</v>
      </c>
      <c r="B324">
        <v>0</v>
      </c>
      <c r="C324">
        <v>117127</v>
      </c>
      <c r="D324">
        <v>117127</v>
      </c>
      <c r="E324">
        <v>0</v>
      </c>
    </row>
    <row r="325" hidden="1" spans="1:5">
      <c r="A325" t="s">
        <v>474</v>
      </c>
      <c r="B325">
        <v>-0.43</v>
      </c>
      <c r="C325">
        <v>3728015.77</v>
      </c>
      <c r="D325">
        <v>3728015.34</v>
      </c>
      <c r="E325">
        <v>0</v>
      </c>
    </row>
    <row r="326" hidden="1" spans="1:5">
      <c r="A326" t="s">
        <v>475</v>
      </c>
      <c r="B326">
        <v>0</v>
      </c>
      <c r="C326">
        <v>120</v>
      </c>
      <c r="D326">
        <v>120</v>
      </c>
      <c r="E326">
        <v>0</v>
      </c>
    </row>
    <row r="327" hidden="1" spans="1:5">
      <c r="A327" t="s">
        <v>476</v>
      </c>
      <c r="B327">
        <v>0</v>
      </c>
      <c r="C327">
        <v>3845</v>
      </c>
      <c r="D327">
        <v>3845</v>
      </c>
      <c r="E327">
        <v>0</v>
      </c>
    </row>
    <row r="328" hidden="1" spans="1:5">
      <c r="A328" t="s">
        <v>477</v>
      </c>
      <c r="B328">
        <v>0.15</v>
      </c>
      <c r="C328">
        <v>15418.33</v>
      </c>
      <c r="D328">
        <v>15418.48</v>
      </c>
      <c r="E328">
        <v>0</v>
      </c>
    </row>
    <row r="329" hidden="1" spans="1:5">
      <c r="A329" t="s">
        <v>478</v>
      </c>
      <c r="B329">
        <v>0</v>
      </c>
      <c r="C329">
        <v>6771</v>
      </c>
      <c r="D329">
        <v>6771</v>
      </c>
      <c r="E329">
        <v>0</v>
      </c>
    </row>
    <row r="330" hidden="1" spans="1:5">
      <c r="A330" t="s">
        <v>479</v>
      </c>
      <c r="B330">
        <v>-50546</v>
      </c>
      <c r="C330">
        <v>50546</v>
      </c>
      <c r="D330">
        <v>9982</v>
      </c>
      <c r="E330">
        <v>-9982</v>
      </c>
    </row>
    <row r="331" hidden="1" spans="1:5">
      <c r="A331" t="s">
        <v>480</v>
      </c>
      <c r="B331">
        <v>-1826936.13</v>
      </c>
      <c r="C331">
        <v>5726848.43</v>
      </c>
      <c r="D331">
        <v>7805399.85</v>
      </c>
      <c r="E331">
        <v>-3905487.55</v>
      </c>
    </row>
    <row r="332" hidden="1" spans="1:1">
      <c r="A332" t="s">
        <v>481</v>
      </c>
    </row>
    <row r="333" hidden="1" spans="1:5">
      <c r="A333" t="s">
        <v>481</v>
      </c>
      <c r="B333">
        <v>0</v>
      </c>
      <c r="C333">
        <v>4636105.98</v>
      </c>
      <c r="D333">
        <v>4636105.98</v>
      </c>
      <c r="E333">
        <v>0</v>
      </c>
    </row>
    <row r="334" hidden="1" spans="1:5">
      <c r="A334" t="s">
        <v>482</v>
      </c>
      <c r="B334">
        <v>-282426</v>
      </c>
      <c r="C334">
        <v>285746</v>
      </c>
      <c r="D334">
        <v>28200</v>
      </c>
      <c r="E334">
        <v>-24880</v>
      </c>
    </row>
    <row r="335" hidden="1" spans="1:5">
      <c r="A335" t="s">
        <v>483</v>
      </c>
      <c r="B335">
        <v>-271982</v>
      </c>
      <c r="C335">
        <v>292319.48</v>
      </c>
      <c r="D335">
        <v>142569.44</v>
      </c>
      <c r="E335">
        <v>-122231.96</v>
      </c>
    </row>
    <row r="336" hidden="1" spans="1:5">
      <c r="A336" t="s">
        <v>484</v>
      </c>
      <c r="B336">
        <v>-529514.56</v>
      </c>
      <c r="C336">
        <v>633219</v>
      </c>
      <c r="D336">
        <v>673327.54</v>
      </c>
      <c r="E336">
        <v>-569623.1</v>
      </c>
    </row>
    <row r="337" hidden="1" spans="1:5">
      <c r="A337" t="s">
        <v>485</v>
      </c>
      <c r="B337">
        <v>-6209</v>
      </c>
      <c r="C337">
        <v>6209.82</v>
      </c>
      <c r="D337">
        <v>114112.92</v>
      </c>
      <c r="E337">
        <v>-114112.1</v>
      </c>
    </row>
    <row r="338" hidden="1" spans="1:5">
      <c r="A338" t="s">
        <v>486</v>
      </c>
      <c r="B338">
        <v>-622464</v>
      </c>
      <c r="C338">
        <v>743085</v>
      </c>
      <c r="D338">
        <v>1389395.45</v>
      </c>
      <c r="E338">
        <v>-1268774.45</v>
      </c>
    </row>
    <row r="339" hidden="1" spans="1:5">
      <c r="A339" t="s">
        <v>487</v>
      </c>
      <c r="B339">
        <v>-206563</v>
      </c>
      <c r="C339">
        <v>206563</v>
      </c>
      <c r="D339">
        <v>189885.9</v>
      </c>
      <c r="E339">
        <v>-189885.9</v>
      </c>
    </row>
    <row r="340" hidden="1" spans="1:5">
      <c r="A340" t="s">
        <v>488</v>
      </c>
      <c r="B340">
        <v>-310801</v>
      </c>
      <c r="C340">
        <v>315201</v>
      </c>
      <c r="D340">
        <v>375050</v>
      </c>
      <c r="E340">
        <v>-370650</v>
      </c>
    </row>
    <row r="341" hidden="1" spans="1:5">
      <c r="A341" t="s">
        <v>489</v>
      </c>
      <c r="B341">
        <v>-417917.82</v>
      </c>
      <c r="C341">
        <v>442360.95</v>
      </c>
      <c r="D341">
        <v>584248.22</v>
      </c>
      <c r="E341">
        <v>-559805.09</v>
      </c>
    </row>
    <row r="342" hidden="1" spans="1:5">
      <c r="A342" t="s">
        <v>490</v>
      </c>
      <c r="B342">
        <v>-20976</v>
      </c>
      <c r="C342">
        <v>145316</v>
      </c>
      <c r="D342">
        <v>223702.36</v>
      </c>
      <c r="E342">
        <v>-99362.36</v>
      </c>
    </row>
    <row r="343" hidden="1" spans="1:5">
      <c r="A343" t="s">
        <v>491</v>
      </c>
      <c r="B343">
        <v>-962335</v>
      </c>
      <c r="C343">
        <v>969335</v>
      </c>
      <c r="D343">
        <v>830068</v>
      </c>
      <c r="E343">
        <v>-823068</v>
      </c>
    </row>
    <row r="344" hidden="1" spans="1:5">
      <c r="A344" t="s">
        <v>492</v>
      </c>
      <c r="B344">
        <v>-190571</v>
      </c>
      <c r="C344">
        <v>381142</v>
      </c>
      <c r="D344">
        <v>1642462.38</v>
      </c>
      <c r="E344">
        <v>-1451891.38</v>
      </c>
    </row>
    <row r="345" hidden="1" spans="1:5">
      <c r="A345" t="s">
        <v>493</v>
      </c>
      <c r="B345">
        <v>-4253</v>
      </c>
      <c r="C345">
        <v>4253</v>
      </c>
      <c r="D345">
        <v>5367</v>
      </c>
      <c r="E345">
        <v>-5367</v>
      </c>
    </row>
    <row r="346" hidden="1" spans="1:5">
      <c r="A346" t="s">
        <v>494</v>
      </c>
      <c r="B346">
        <v>0</v>
      </c>
      <c r="C346">
        <v>0.9</v>
      </c>
      <c r="D346">
        <v>1338</v>
      </c>
      <c r="E346">
        <v>-1337.1</v>
      </c>
    </row>
    <row r="347" hidden="1" spans="1:5">
      <c r="A347" t="s">
        <v>495</v>
      </c>
      <c r="B347">
        <v>-3826012.38</v>
      </c>
      <c r="C347">
        <v>9060857.13</v>
      </c>
      <c r="D347">
        <v>10835833.19</v>
      </c>
      <c r="E347">
        <v>-5600988.44</v>
      </c>
    </row>
    <row r="348" hidden="1" spans="1:1">
      <c r="A348" t="s">
        <v>496</v>
      </c>
    </row>
    <row r="349" hidden="1" spans="1:5">
      <c r="A349" t="s">
        <v>497</v>
      </c>
      <c r="B349">
        <v>-489184.2</v>
      </c>
      <c r="C349">
        <v>4950</v>
      </c>
      <c r="D349">
        <v>596265.33</v>
      </c>
      <c r="E349">
        <v>-1080499.53</v>
      </c>
    </row>
    <row r="350" hidden="1" spans="1:5">
      <c r="A350" t="s">
        <v>498</v>
      </c>
      <c r="B350">
        <v>-489184.2</v>
      </c>
      <c r="C350">
        <v>4950</v>
      </c>
      <c r="D350">
        <v>596265.33</v>
      </c>
      <c r="E350">
        <v>-1080499.53</v>
      </c>
    </row>
    <row r="351" hidden="1" spans="1:5">
      <c r="A351" t="s">
        <v>499</v>
      </c>
      <c r="B351">
        <v>-146271.78</v>
      </c>
      <c r="C351">
        <v>347295</v>
      </c>
      <c r="D351">
        <v>585939.58</v>
      </c>
      <c r="E351">
        <v>-384916.36</v>
      </c>
    </row>
    <row r="352" hidden="1" spans="1:5">
      <c r="A352" t="s">
        <v>500</v>
      </c>
      <c r="B352">
        <v>-1124640.18</v>
      </c>
      <c r="C352">
        <v>357195</v>
      </c>
      <c r="D352">
        <v>1778470.24</v>
      </c>
      <c r="E352">
        <v>-2545915.42</v>
      </c>
    </row>
    <row r="353" hidden="1" spans="1:1">
      <c r="A353" t="s">
        <v>501</v>
      </c>
    </row>
    <row r="354" hidden="1" spans="1:5">
      <c r="A354" t="s">
        <v>502</v>
      </c>
      <c r="B354">
        <v>849242.77</v>
      </c>
      <c r="C354">
        <v>0</v>
      </c>
      <c r="D354">
        <v>0</v>
      </c>
      <c r="E354">
        <v>849242.77</v>
      </c>
    </row>
    <row r="355" hidden="1" spans="1:5">
      <c r="A355" t="s">
        <v>503</v>
      </c>
      <c r="B355">
        <v>301094.45</v>
      </c>
      <c r="C355">
        <v>0</v>
      </c>
      <c r="D355">
        <v>0</v>
      </c>
      <c r="E355">
        <v>301094.45</v>
      </c>
    </row>
    <row r="356" hidden="1" spans="1:5">
      <c r="A356" t="s">
        <v>504</v>
      </c>
      <c r="B356">
        <v>1614110.46</v>
      </c>
      <c r="C356">
        <v>0</v>
      </c>
      <c r="D356">
        <v>0</v>
      </c>
      <c r="E356">
        <v>1614110.46</v>
      </c>
    </row>
    <row r="357" hidden="1" spans="1:5">
      <c r="A357" t="s">
        <v>505</v>
      </c>
      <c r="B357">
        <v>18355.61</v>
      </c>
      <c r="C357">
        <v>0</v>
      </c>
      <c r="D357">
        <v>0</v>
      </c>
      <c r="E357">
        <v>18355.61</v>
      </c>
    </row>
    <row r="358" hidden="1" spans="1:5">
      <c r="A358" t="s">
        <v>506</v>
      </c>
      <c r="B358">
        <v>849240.77</v>
      </c>
      <c r="C358">
        <v>0</v>
      </c>
      <c r="D358">
        <v>0</v>
      </c>
      <c r="E358">
        <v>849240.77</v>
      </c>
    </row>
    <row r="359" hidden="1" spans="1:5">
      <c r="A359" t="s">
        <v>507</v>
      </c>
      <c r="B359">
        <v>301094.45</v>
      </c>
      <c r="C359">
        <v>0</v>
      </c>
      <c r="D359">
        <v>0</v>
      </c>
      <c r="E359">
        <v>301094.45</v>
      </c>
    </row>
    <row r="360" hidden="1" spans="1:5">
      <c r="A360" t="s">
        <v>508</v>
      </c>
      <c r="B360">
        <v>1614109.46</v>
      </c>
      <c r="C360">
        <v>0</v>
      </c>
      <c r="D360">
        <v>0</v>
      </c>
      <c r="E360">
        <v>1614109.46</v>
      </c>
    </row>
    <row r="361" hidden="1" spans="1:5">
      <c r="A361" t="s">
        <v>509</v>
      </c>
      <c r="B361">
        <v>18355.61</v>
      </c>
      <c r="C361">
        <v>0</v>
      </c>
      <c r="D361">
        <v>0</v>
      </c>
      <c r="E361">
        <v>18355.61</v>
      </c>
    </row>
    <row r="362" hidden="1" spans="1:5">
      <c r="A362" t="s">
        <v>510</v>
      </c>
      <c r="B362">
        <v>443416.7</v>
      </c>
      <c r="C362">
        <v>0</v>
      </c>
      <c r="D362">
        <v>0</v>
      </c>
      <c r="E362">
        <v>443416.7</v>
      </c>
    </row>
    <row r="363" hidden="1" spans="1:5">
      <c r="A363" t="s">
        <v>511</v>
      </c>
      <c r="B363">
        <v>843048.11</v>
      </c>
      <c r="C363">
        <v>0</v>
      </c>
      <c r="D363">
        <v>0</v>
      </c>
      <c r="E363">
        <v>843048.11</v>
      </c>
    </row>
    <row r="364" hidden="1" spans="1:5">
      <c r="A364" t="s">
        <v>512</v>
      </c>
      <c r="B364">
        <v>3297.6</v>
      </c>
      <c r="C364">
        <v>0</v>
      </c>
      <c r="D364">
        <v>0</v>
      </c>
      <c r="E364">
        <v>3297.6</v>
      </c>
    </row>
    <row r="365" hidden="1" spans="1:5">
      <c r="A365" t="s">
        <v>513</v>
      </c>
      <c r="B365">
        <v>6855365.99</v>
      </c>
      <c r="C365">
        <v>0</v>
      </c>
      <c r="D365">
        <v>0</v>
      </c>
      <c r="E365">
        <v>6855365.99</v>
      </c>
    </row>
    <row r="366" hidden="1" spans="1:5">
      <c r="A366" t="s">
        <v>514</v>
      </c>
      <c r="B366">
        <v>-25771252.33</v>
      </c>
      <c r="C366">
        <v>197668866.4</v>
      </c>
      <c r="D366">
        <v>193379828.89</v>
      </c>
      <c r="E366">
        <v>-21482214.82</v>
      </c>
    </row>
    <row r="367" hidden="1" spans="1:1">
      <c r="A367" t="s">
        <v>515</v>
      </c>
    </row>
    <row r="368" hidden="1" spans="1:1">
      <c r="A368" t="s">
        <v>516</v>
      </c>
    </row>
    <row r="369" hidden="1" spans="1:5">
      <c r="A369" t="s">
        <v>517</v>
      </c>
      <c r="B369">
        <v>-25065839.73</v>
      </c>
      <c r="C369">
        <v>25065840.6</v>
      </c>
      <c r="D369">
        <v>5978758.35</v>
      </c>
      <c r="E369">
        <v>-5978757.48</v>
      </c>
    </row>
    <row r="370" hidden="1" spans="1:5">
      <c r="A370" t="s">
        <v>518</v>
      </c>
      <c r="B370">
        <v>-25065839.73</v>
      </c>
      <c r="C370">
        <v>25065840.6</v>
      </c>
      <c r="D370">
        <v>5978758.35</v>
      </c>
      <c r="E370">
        <v>-5978757.48</v>
      </c>
    </row>
    <row r="371" hidden="1" spans="1:5">
      <c r="A371" t="s">
        <v>519</v>
      </c>
      <c r="B371">
        <v>-1375122</v>
      </c>
      <c r="C371">
        <v>0</v>
      </c>
      <c r="D371">
        <v>73630</v>
      </c>
      <c r="E371">
        <v>-1448752</v>
      </c>
    </row>
    <row r="372" hidden="1" spans="1:5">
      <c r="A372" t="s">
        <v>520</v>
      </c>
      <c r="B372">
        <v>-26440961.73</v>
      </c>
      <c r="C372">
        <v>25065840.6</v>
      </c>
      <c r="D372">
        <v>6052388.35</v>
      </c>
      <c r="E372">
        <v>-7427509.48</v>
      </c>
    </row>
    <row r="373" hidden="1" spans="1:1">
      <c r="A373" t="s">
        <v>521</v>
      </c>
    </row>
    <row r="374" hidden="1" spans="1:1">
      <c r="A374" t="s">
        <v>522</v>
      </c>
    </row>
    <row r="375" hidden="1" spans="1:5">
      <c r="A375" t="s">
        <v>523</v>
      </c>
      <c r="B375">
        <v>19882882.09</v>
      </c>
      <c r="C375">
        <v>236402994.23</v>
      </c>
      <c r="D375">
        <v>258947797.22</v>
      </c>
      <c r="E375">
        <v>-2661920.9</v>
      </c>
    </row>
    <row r="376" hidden="1" spans="1:5">
      <c r="A376" t="s">
        <v>524</v>
      </c>
      <c r="B376">
        <v>25558.48</v>
      </c>
      <c r="C376">
        <v>163446.86</v>
      </c>
      <c r="D376">
        <v>455.1</v>
      </c>
      <c r="E376">
        <v>188550.24</v>
      </c>
    </row>
    <row r="377" hidden="1" spans="1:5">
      <c r="A377" t="s">
        <v>525</v>
      </c>
      <c r="B377">
        <v>19908440.57</v>
      </c>
      <c r="C377">
        <v>236566441.09</v>
      </c>
      <c r="D377">
        <v>258948252.32</v>
      </c>
      <c r="E377">
        <v>-2473370.66</v>
      </c>
    </row>
    <row r="378" hidden="1" spans="1:5">
      <c r="A378" t="s">
        <v>526</v>
      </c>
      <c r="B378">
        <v>19908440.57</v>
      </c>
      <c r="C378">
        <v>236566441.09</v>
      </c>
      <c r="D378">
        <v>258948252.32</v>
      </c>
      <c r="E378">
        <v>-2473370.66</v>
      </c>
    </row>
    <row r="379" hidden="1" spans="1:1">
      <c r="A379" t="s">
        <v>527</v>
      </c>
    </row>
    <row r="380" hidden="1" spans="1:1">
      <c r="A380" t="s">
        <v>528</v>
      </c>
    </row>
    <row r="381" hidden="1" spans="1:5">
      <c r="A381" t="s">
        <v>529</v>
      </c>
      <c r="B381">
        <v>41937629</v>
      </c>
      <c r="C381">
        <v>7197482</v>
      </c>
      <c r="D381">
        <v>24500</v>
      </c>
      <c r="E381">
        <v>49110611</v>
      </c>
    </row>
    <row r="382" hidden="1" spans="1:5">
      <c r="A382" t="s">
        <v>530</v>
      </c>
      <c r="B382">
        <v>0</v>
      </c>
      <c r="C382">
        <v>45895.39</v>
      </c>
      <c r="D382">
        <v>45895.39</v>
      </c>
      <c r="E382">
        <v>0</v>
      </c>
    </row>
    <row r="383" hidden="1" spans="1:5">
      <c r="A383" t="s">
        <v>531</v>
      </c>
      <c r="B383">
        <v>43450</v>
      </c>
      <c r="C383">
        <v>1250</v>
      </c>
      <c r="D383">
        <v>0</v>
      </c>
      <c r="E383">
        <v>44700</v>
      </c>
    </row>
    <row r="384" hidden="1" spans="1:5">
      <c r="A384" t="s">
        <v>532</v>
      </c>
      <c r="B384">
        <v>752867.24</v>
      </c>
      <c r="C384">
        <v>150842</v>
      </c>
      <c r="D384">
        <v>3100</v>
      </c>
      <c r="E384">
        <v>900609.24</v>
      </c>
    </row>
    <row r="385" hidden="1" spans="1:5">
      <c r="A385" t="s">
        <v>533</v>
      </c>
      <c r="B385">
        <v>459600</v>
      </c>
      <c r="C385">
        <v>154008</v>
      </c>
      <c r="D385">
        <v>0</v>
      </c>
      <c r="E385">
        <v>613608</v>
      </c>
    </row>
    <row r="386" hidden="1" spans="1:5">
      <c r="A386" t="s">
        <v>534</v>
      </c>
      <c r="B386">
        <v>940320.41</v>
      </c>
      <c r="C386">
        <v>477020</v>
      </c>
      <c r="D386">
        <v>5640</v>
      </c>
      <c r="E386">
        <v>1411700.41</v>
      </c>
    </row>
    <row r="387" hidden="1" spans="1:5">
      <c r="A387" t="s">
        <v>535</v>
      </c>
      <c r="B387">
        <v>23153323.84</v>
      </c>
      <c r="C387">
        <v>15362598.25</v>
      </c>
      <c r="D387">
        <v>1123185</v>
      </c>
      <c r="E387">
        <v>37392737.09</v>
      </c>
    </row>
    <row r="388" hidden="1" spans="1:5">
      <c r="A388" t="s">
        <v>536</v>
      </c>
      <c r="B388">
        <v>54426930.98</v>
      </c>
      <c r="C388">
        <v>161747395.19</v>
      </c>
      <c r="D388">
        <v>98948332.16</v>
      </c>
      <c r="E388">
        <v>117225994.01</v>
      </c>
    </row>
    <row r="389" hidden="1" spans="1:5">
      <c r="A389" t="s">
        <v>537</v>
      </c>
      <c r="B389">
        <v>3318549.37</v>
      </c>
      <c r="C389">
        <v>6605541.18</v>
      </c>
      <c r="D389">
        <v>0</v>
      </c>
      <c r="E389">
        <v>9924090.55</v>
      </c>
    </row>
    <row r="390" hidden="1" spans="1:5">
      <c r="A390" t="s">
        <v>538</v>
      </c>
      <c r="B390">
        <v>4072976</v>
      </c>
      <c r="C390">
        <v>107136</v>
      </c>
      <c r="D390">
        <v>0</v>
      </c>
      <c r="E390">
        <v>4180112</v>
      </c>
    </row>
    <row r="391" hidden="1" spans="1:5">
      <c r="A391" t="s">
        <v>539</v>
      </c>
      <c r="B391">
        <v>37026989</v>
      </c>
      <c r="C391">
        <v>35407186.49</v>
      </c>
      <c r="D391">
        <v>2865900</v>
      </c>
      <c r="E391">
        <v>69568275.49</v>
      </c>
    </row>
    <row r="392" hidden="1" spans="1:5">
      <c r="A392" t="s">
        <v>540</v>
      </c>
      <c r="B392">
        <v>19363</v>
      </c>
      <c r="C392">
        <v>4781</v>
      </c>
      <c r="D392">
        <v>0</v>
      </c>
      <c r="E392">
        <v>24144</v>
      </c>
    </row>
    <row r="393" hidden="1" spans="1:5">
      <c r="A393" t="s">
        <v>541</v>
      </c>
      <c r="B393">
        <v>1066000</v>
      </c>
      <c r="C393">
        <v>361000</v>
      </c>
      <c r="D393">
        <v>18000</v>
      </c>
      <c r="E393">
        <v>1409000</v>
      </c>
    </row>
    <row r="394" hidden="1" spans="1:5">
      <c r="A394" t="s">
        <v>542</v>
      </c>
      <c r="B394">
        <v>16580258.17</v>
      </c>
      <c r="C394">
        <v>19664935.48</v>
      </c>
      <c r="D394">
        <v>17500</v>
      </c>
      <c r="E394">
        <v>36227693.65</v>
      </c>
    </row>
    <row r="395" hidden="1" spans="1:5">
      <c r="A395" t="s">
        <v>543</v>
      </c>
      <c r="B395">
        <v>0</v>
      </c>
      <c r="C395">
        <v>112691.33</v>
      </c>
      <c r="D395">
        <v>0</v>
      </c>
      <c r="E395">
        <v>112691.33</v>
      </c>
    </row>
    <row r="396" hidden="1" spans="1:5">
      <c r="A396" t="s">
        <v>544</v>
      </c>
      <c r="B396">
        <v>106598.12</v>
      </c>
      <c r="C396">
        <v>22071.74</v>
      </c>
      <c r="D396">
        <v>0</v>
      </c>
      <c r="E396">
        <v>128669.86</v>
      </c>
    </row>
    <row r="397" hidden="1" spans="1:5">
      <c r="A397" t="s">
        <v>545</v>
      </c>
      <c r="B397">
        <v>2566654</v>
      </c>
      <c r="C397">
        <v>1094500</v>
      </c>
      <c r="D397">
        <v>9400</v>
      </c>
      <c r="E397">
        <v>3651754</v>
      </c>
    </row>
    <row r="398" hidden="1" spans="1:5">
      <c r="A398" t="s">
        <v>546</v>
      </c>
      <c r="B398">
        <v>21101400</v>
      </c>
      <c r="C398">
        <v>8632900</v>
      </c>
      <c r="D398">
        <v>0</v>
      </c>
      <c r="E398">
        <v>29734300</v>
      </c>
    </row>
    <row r="399" hidden="1" spans="1:5">
      <c r="A399" t="s">
        <v>547</v>
      </c>
      <c r="B399">
        <v>4206518.75</v>
      </c>
      <c r="C399">
        <v>7631953.75</v>
      </c>
      <c r="D399">
        <v>0</v>
      </c>
      <c r="E399">
        <v>11838472.5</v>
      </c>
    </row>
    <row r="400" hidden="1" spans="1:5">
      <c r="A400" t="s">
        <v>548</v>
      </c>
      <c r="B400">
        <v>4265916</v>
      </c>
      <c r="C400">
        <v>625750</v>
      </c>
      <c r="D400">
        <v>67500</v>
      </c>
      <c r="E400">
        <v>4824166</v>
      </c>
    </row>
    <row r="401" hidden="1" spans="1:5">
      <c r="A401" t="s">
        <v>549</v>
      </c>
      <c r="B401">
        <v>4953071.14</v>
      </c>
      <c r="C401">
        <v>1854078.85</v>
      </c>
      <c r="D401">
        <v>48992</v>
      </c>
      <c r="E401">
        <v>6758157.99</v>
      </c>
    </row>
    <row r="402" hidden="1" spans="1:5">
      <c r="A402" t="s">
        <v>550</v>
      </c>
      <c r="B402">
        <v>7820629</v>
      </c>
      <c r="C402">
        <v>6154900</v>
      </c>
      <c r="D402">
        <v>490000</v>
      </c>
      <c r="E402">
        <v>13485529</v>
      </c>
    </row>
    <row r="403" hidden="1" spans="1:5">
      <c r="A403" t="s">
        <v>551</v>
      </c>
      <c r="B403">
        <v>67200</v>
      </c>
      <c r="C403">
        <v>26000</v>
      </c>
      <c r="D403">
        <v>0</v>
      </c>
      <c r="E403">
        <v>93200</v>
      </c>
    </row>
    <row r="404" hidden="1" spans="1:5">
      <c r="A404" t="s">
        <v>552</v>
      </c>
      <c r="B404">
        <v>2021808.79</v>
      </c>
      <c r="C404">
        <v>640656.96</v>
      </c>
      <c r="D404">
        <v>15896</v>
      </c>
      <c r="E404">
        <v>2646569.75</v>
      </c>
    </row>
    <row r="405" hidden="1" spans="1:5">
      <c r="A405" t="s">
        <v>553</v>
      </c>
      <c r="B405">
        <v>1455794</v>
      </c>
      <c r="C405">
        <v>1482916</v>
      </c>
      <c r="D405">
        <v>0</v>
      </c>
      <c r="E405">
        <v>2938710</v>
      </c>
    </row>
    <row r="406" hidden="1" spans="1:5">
      <c r="A406" t="s">
        <v>554</v>
      </c>
      <c r="B406">
        <v>381919</v>
      </c>
      <c r="C406">
        <v>2960660</v>
      </c>
      <c r="D406">
        <v>115000</v>
      </c>
      <c r="E406">
        <v>3227579</v>
      </c>
    </row>
    <row r="407" hidden="1" spans="1:5">
      <c r="A407" t="s">
        <v>555</v>
      </c>
      <c r="B407">
        <v>8143657</v>
      </c>
      <c r="C407">
        <v>2641144.5</v>
      </c>
      <c r="D407">
        <v>0</v>
      </c>
      <c r="E407">
        <v>10784801.5</v>
      </c>
    </row>
    <row r="408" hidden="1" spans="1:5">
      <c r="A408" t="s">
        <v>556</v>
      </c>
      <c r="B408">
        <v>454293.62</v>
      </c>
      <c r="C408">
        <v>458648.13</v>
      </c>
      <c r="D408">
        <v>900</v>
      </c>
      <c r="E408">
        <v>912041.75</v>
      </c>
    </row>
    <row r="409" hidden="1" spans="1:5">
      <c r="A409" t="s">
        <v>557</v>
      </c>
      <c r="B409">
        <v>65676.5</v>
      </c>
      <c r="C409">
        <v>21600</v>
      </c>
      <c r="D409">
        <v>0</v>
      </c>
      <c r="E409">
        <v>87276.5</v>
      </c>
    </row>
    <row r="410" hidden="1" spans="1:5">
      <c r="A410" t="s">
        <v>558</v>
      </c>
      <c r="B410">
        <v>454294.61</v>
      </c>
      <c r="C410">
        <v>458648.13</v>
      </c>
      <c r="D410">
        <v>900</v>
      </c>
      <c r="E410">
        <v>912042.74</v>
      </c>
    </row>
    <row r="411" hidden="1" spans="1:5">
      <c r="A411" t="s">
        <v>559</v>
      </c>
      <c r="B411">
        <v>19908181</v>
      </c>
      <c r="C411">
        <v>16941814</v>
      </c>
      <c r="D411">
        <v>4687500</v>
      </c>
      <c r="E411">
        <v>32162495</v>
      </c>
    </row>
    <row r="412" hidden="1" spans="1:5">
      <c r="A412" t="s">
        <v>560</v>
      </c>
      <c r="B412">
        <v>477666.27</v>
      </c>
      <c r="C412">
        <v>198121</v>
      </c>
      <c r="D412">
        <v>28000</v>
      </c>
      <c r="E412">
        <v>647787.27</v>
      </c>
    </row>
    <row r="413" hidden="1" spans="1:5">
      <c r="A413" t="s">
        <v>561</v>
      </c>
      <c r="B413">
        <v>5069065.8</v>
      </c>
      <c r="C413">
        <v>4443382</v>
      </c>
      <c r="D413">
        <v>243538</v>
      </c>
      <c r="E413">
        <v>9268909.8</v>
      </c>
    </row>
    <row r="414" hidden="1" spans="1:5">
      <c r="A414" t="s">
        <v>562</v>
      </c>
      <c r="B414">
        <v>4798924.6</v>
      </c>
      <c r="C414">
        <v>999548.55</v>
      </c>
      <c r="D414">
        <v>15302</v>
      </c>
      <c r="E414">
        <v>5783171.15</v>
      </c>
    </row>
    <row r="415" hidden="1" spans="1:5">
      <c r="A415" t="s">
        <v>563</v>
      </c>
      <c r="B415">
        <v>1560813.55</v>
      </c>
      <c r="C415">
        <v>867194.31</v>
      </c>
      <c r="D415">
        <v>25181</v>
      </c>
      <c r="E415">
        <v>2402826.86</v>
      </c>
    </row>
    <row r="416" hidden="1" spans="1:5">
      <c r="A416" t="s">
        <v>564</v>
      </c>
      <c r="B416">
        <v>3535526.87</v>
      </c>
      <c r="C416">
        <v>4096778.36</v>
      </c>
      <c r="D416">
        <v>196900</v>
      </c>
      <c r="E416">
        <v>7435405.23</v>
      </c>
    </row>
    <row r="417" hidden="1" spans="1:5">
      <c r="A417" t="s">
        <v>565</v>
      </c>
      <c r="B417">
        <v>11733.04</v>
      </c>
      <c r="C417">
        <v>13182.8</v>
      </c>
      <c r="D417">
        <v>0</v>
      </c>
      <c r="E417">
        <v>24915.84</v>
      </c>
    </row>
    <row r="418" hidden="1" spans="1:5">
      <c r="A418" t="s">
        <v>566</v>
      </c>
      <c r="B418">
        <v>1128184</v>
      </c>
      <c r="C418">
        <v>51022.89</v>
      </c>
      <c r="D418">
        <v>14108</v>
      </c>
      <c r="E418">
        <v>1165098.89</v>
      </c>
    </row>
    <row r="419" hidden="1" spans="1:5">
      <c r="A419" t="s">
        <v>567</v>
      </c>
      <c r="B419">
        <v>202777458.77</v>
      </c>
      <c r="C419">
        <v>87926770.84</v>
      </c>
      <c r="D419">
        <v>5329453.49</v>
      </c>
      <c r="E419">
        <v>285374776.12</v>
      </c>
    </row>
    <row r="420" hidden="1" spans="1:5">
      <c r="A420" t="s">
        <v>568</v>
      </c>
      <c r="B420">
        <v>481131241.44</v>
      </c>
      <c r="C420">
        <v>397644005.12</v>
      </c>
      <c r="D420">
        <v>114340623.04</v>
      </c>
      <c r="E420">
        <v>764434623.52</v>
      </c>
    </row>
    <row r="421" hidden="1" spans="1:5">
      <c r="A421" t="s">
        <v>569</v>
      </c>
      <c r="B421">
        <v>481131241.44</v>
      </c>
      <c r="C421">
        <v>397644005.12</v>
      </c>
      <c r="D421">
        <v>114340623.04</v>
      </c>
      <c r="E421">
        <v>764434623.52</v>
      </c>
    </row>
    <row r="422" hidden="1" spans="1:1">
      <c r="A422" t="s">
        <v>570</v>
      </c>
    </row>
    <row r="423" hidden="1" spans="1:1">
      <c r="A423" t="s">
        <v>571</v>
      </c>
    </row>
    <row r="424" hidden="1" spans="1:5">
      <c r="A424" t="s">
        <v>572</v>
      </c>
      <c r="B424">
        <v>2990629</v>
      </c>
      <c r="C424">
        <v>2757273.49</v>
      </c>
      <c r="D424">
        <v>944451</v>
      </c>
      <c r="E424">
        <v>4803451.49</v>
      </c>
    </row>
    <row r="425" hidden="1" spans="1:5">
      <c r="A425" t="s">
        <v>573</v>
      </c>
      <c r="B425">
        <v>2759493.4</v>
      </c>
      <c r="C425">
        <v>10883948.8</v>
      </c>
      <c r="D425">
        <v>9640377</v>
      </c>
      <c r="E425">
        <v>4003065.2</v>
      </c>
    </row>
    <row r="426" hidden="1" spans="1:5">
      <c r="A426" t="s">
        <v>574</v>
      </c>
      <c r="B426">
        <v>5750122.4</v>
      </c>
      <c r="C426">
        <v>13641222.29</v>
      </c>
      <c r="D426">
        <v>10584828</v>
      </c>
      <c r="E426">
        <v>8806516.69</v>
      </c>
    </row>
    <row r="427" hidden="1" spans="1:5">
      <c r="A427" t="s">
        <v>575</v>
      </c>
      <c r="B427">
        <v>53586</v>
      </c>
      <c r="C427">
        <v>18250</v>
      </c>
      <c r="D427">
        <v>15125</v>
      </c>
      <c r="E427">
        <v>56711</v>
      </c>
    </row>
    <row r="428" hidden="1" spans="1:5">
      <c r="A428" t="s">
        <v>576</v>
      </c>
      <c r="B428">
        <v>250320.4</v>
      </c>
      <c r="C428">
        <v>113448</v>
      </c>
      <c r="D428">
        <v>15386</v>
      </c>
      <c r="E428">
        <v>348382.4</v>
      </c>
    </row>
    <row r="429" hidden="1" spans="1:5">
      <c r="A429" t="s">
        <v>577</v>
      </c>
      <c r="B429">
        <v>254364.32</v>
      </c>
      <c r="C429">
        <v>88702.68</v>
      </c>
      <c r="D429">
        <v>31535</v>
      </c>
      <c r="E429">
        <v>311532</v>
      </c>
    </row>
    <row r="430" hidden="1" spans="1:5">
      <c r="A430" t="s">
        <v>578</v>
      </c>
      <c r="B430">
        <v>645705.05</v>
      </c>
      <c r="C430">
        <v>398300</v>
      </c>
      <c r="D430">
        <v>42100</v>
      </c>
      <c r="E430">
        <v>1001905.05</v>
      </c>
    </row>
    <row r="431" hidden="1" spans="1:5">
      <c r="A431" t="s">
        <v>579</v>
      </c>
      <c r="B431">
        <v>514000.98</v>
      </c>
      <c r="C431">
        <v>292730.63</v>
      </c>
      <c r="D431">
        <v>76000</v>
      </c>
      <c r="E431">
        <v>730731.61</v>
      </c>
    </row>
    <row r="432" hidden="1" spans="1:5">
      <c r="A432" t="s">
        <v>580</v>
      </c>
      <c r="B432">
        <v>7468099.15</v>
      </c>
      <c r="C432">
        <v>14552653.6</v>
      </c>
      <c r="D432">
        <v>10764974</v>
      </c>
      <c r="E432">
        <v>11255778.75</v>
      </c>
    </row>
    <row r="433" hidden="1" spans="1:1">
      <c r="A433" t="s">
        <v>581</v>
      </c>
    </row>
    <row r="434" hidden="1" spans="1:5">
      <c r="A434" t="s">
        <v>582</v>
      </c>
      <c r="B434">
        <v>6854978</v>
      </c>
      <c r="C434">
        <v>3360489</v>
      </c>
      <c r="D434">
        <v>0</v>
      </c>
      <c r="E434">
        <v>10215467</v>
      </c>
    </row>
    <row r="435" hidden="1" spans="1:5">
      <c r="A435" t="s">
        <v>583</v>
      </c>
      <c r="B435">
        <v>27500</v>
      </c>
      <c r="C435">
        <v>27500</v>
      </c>
      <c r="D435">
        <v>27500</v>
      </c>
      <c r="E435">
        <v>27500</v>
      </c>
    </row>
    <row r="436" hidden="1" spans="1:5">
      <c r="A436" t="s">
        <v>584</v>
      </c>
      <c r="B436">
        <v>6882478</v>
      </c>
      <c r="C436">
        <v>3387989</v>
      </c>
      <c r="D436">
        <v>27500</v>
      </c>
      <c r="E436">
        <v>10242967</v>
      </c>
    </row>
    <row r="437" hidden="1" spans="1:1">
      <c r="A437" t="s">
        <v>585</v>
      </c>
    </row>
    <row r="438" hidden="1" spans="1:5">
      <c r="A438" t="s">
        <v>586</v>
      </c>
      <c r="B438">
        <v>16000</v>
      </c>
      <c r="C438">
        <v>8050</v>
      </c>
      <c r="D438">
        <v>0</v>
      </c>
      <c r="E438">
        <v>24050</v>
      </c>
    </row>
    <row r="439" hidden="1" spans="1:5">
      <c r="A439" t="s">
        <v>587</v>
      </c>
      <c r="B439">
        <v>16000</v>
      </c>
      <c r="C439">
        <v>8050</v>
      </c>
      <c r="D439">
        <v>0</v>
      </c>
      <c r="E439">
        <v>24050</v>
      </c>
    </row>
    <row r="440" hidden="1" spans="1:1">
      <c r="A440" t="s">
        <v>588</v>
      </c>
    </row>
    <row r="441" hidden="1" spans="1:5">
      <c r="A441" t="s">
        <v>589</v>
      </c>
      <c r="B441">
        <v>1334581</v>
      </c>
      <c r="C441">
        <v>1358247.2</v>
      </c>
      <c r="D441">
        <v>678150</v>
      </c>
      <c r="E441">
        <v>2014678.2</v>
      </c>
    </row>
    <row r="442" hidden="1" spans="1:5">
      <c r="A442" t="s">
        <v>590</v>
      </c>
      <c r="B442">
        <v>1205038</v>
      </c>
      <c r="C442">
        <v>1126167.51</v>
      </c>
      <c r="D442">
        <v>440162.25</v>
      </c>
      <c r="E442">
        <v>1891043.26</v>
      </c>
    </row>
    <row r="443" hidden="1" spans="1:5">
      <c r="A443" t="s">
        <v>591</v>
      </c>
      <c r="B443">
        <v>373302</v>
      </c>
      <c r="C443">
        <v>440575</v>
      </c>
      <c r="D443">
        <v>243197</v>
      </c>
      <c r="E443">
        <v>570680</v>
      </c>
    </row>
    <row r="444" hidden="1" spans="1:5">
      <c r="A444" t="s">
        <v>592</v>
      </c>
      <c r="B444">
        <v>95401</v>
      </c>
      <c r="C444">
        <v>68877</v>
      </c>
      <c r="D444">
        <v>24750</v>
      </c>
      <c r="E444">
        <v>139528</v>
      </c>
    </row>
    <row r="445" hidden="1" spans="1:5">
      <c r="A445" t="s">
        <v>593</v>
      </c>
      <c r="B445">
        <v>142681.61</v>
      </c>
      <c r="C445">
        <v>152072.59</v>
      </c>
      <c r="D445">
        <v>94500</v>
      </c>
      <c r="E445">
        <v>200254.2</v>
      </c>
    </row>
    <row r="446" hidden="1" spans="1:5">
      <c r="A446" t="s">
        <v>594</v>
      </c>
      <c r="B446">
        <v>3151003.61</v>
      </c>
      <c r="C446">
        <v>3145939.3</v>
      </c>
      <c r="D446">
        <v>1480759.25</v>
      </c>
      <c r="E446">
        <v>4816183.66</v>
      </c>
    </row>
    <row r="447" hidden="1" spans="1:1">
      <c r="A447" t="s">
        <v>595</v>
      </c>
    </row>
    <row r="448" hidden="1" spans="1:5">
      <c r="A448" t="s">
        <v>596</v>
      </c>
      <c r="B448">
        <v>0</v>
      </c>
      <c r="C448">
        <v>110000</v>
      </c>
      <c r="D448">
        <v>110000</v>
      </c>
      <c r="E448">
        <v>0</v>
      </c>
    </row>
    <row r="449" hidden="1" spans="1:5">
      <c r="A449" t="s">
        <v>597</v>
      </c>
      <c r="B449">
        <v>2915447.53</v>
      </c>
      <c r="C449">
        <v>1810206</v>
      </c>
      <c r="D449">
        <v>704000</v>
      </c>
      <c r="E449">
        <v>4021653.53</v>
      </c>
    </row>
    <row r="450" hidden="1" spans="1:5">
      <c r="A450" t="s">
        <v>598</v>
      </c>
      <c r="B450">
        <v>400000</v>
      </c>
      <c r="C450">
        <v>200000</v>
      </c>
      <c r="D450">
        <v>0</v>
      </c>
      <c r="E450">
        <v>600000</v>
      </c>
    </row>
    <row r="451" hidden="1" spans="1:5">
      <c r="A451" t="s">
        <v>599</v>
      </c>
      <c r="B451">
        <v>57779</v>
      </c>
      <c r="C451">
        <v>48039</v>
      </c>
      <c r="D451">
        <v>0</v>
      </c>
      <c r="E451">
        <v>105818</v>
      </c>
    </row>
    <row r="452" hidden="1" spans="1:5">
      <c r="A452" t="s">
        <v>600</v>
      </c>
      <c r="B452">
        <v>6200</v>
      </c>
      <c r="C452">
        <v>3776</v>
      </c>
      <c r="D452">
        <v>0</v>
      </c>
      <c r="E452">
        <v>9976</v>
      </c>
    </row>
    <row r="453" hidden="1" spans="1:5">
      <c r="A453" t="s">
        <v>601</v>
      </c>
      <c r="B453">
        <v>1200</v>
      </c>
      <c r="C453">
        <v>610</v>
      </c>
      <c r="D453">
        <v>0</v>
      </c>
      <c r="E453">
        <v>1810</v>
      </c>
    </row>
    <row r="454" hidden="1" spans="1:5">
      <c r="A454" t="s">
        <v>602</v>
      </c>
      <c r="B454">
        <v>3380626.53</v>
      </c>
      <c r="C454">
        <v>2172631</v>
      </c>
      <c r="D454">
        <v>814000</v>
      </c>
      <c r="E454">
        <v>4739257.53</v>
      </c>
    </row>
    <row r="455" hidden="1" spans="1:1">
      <c r="A455" t="s">
        <v>603</v>
      </c>
    </row>
    <row r="456" hidden="1" spans="1:5">
      <c r="A456" t="s">
        <v>604</v>
      </c>
      <c r="B456">
        <v>5036803</v>
      </c>
      <c r="C456">
        <v>8759908</v>
      </c>
      <c r="D456">
        <v>4243400</v>
      </c>
      <c r="E456">
        <v>9553311</v>
      </c>
    </row>
    <row r="457" hidden="1" spans="1:5">
      <c r="A457" t="s">
        <v>605</v>
      </c>
      <c r="B457">
        <v>5036803</v>
      </c>
      <c r="C457">
        <v>8759908</v>
      </c>
      <c r="D457">
        <v>4243400</v>
      </c>
      <c r="E457">
        <v>9553311</v>
      </c>
    </row>
    <row r="458" hidden="1" spans="1:1">
      <c r="A458" t="s">
        <v>606</v>
      </c>
    </row>
    <row r="459" hidden="1" spans="1:5">
      <c r="A459" t="s">
        <v>607</v>
      </c>
      <c r="B459">
        <v>5.9</v>
      </c>
      <c r="C459">
        <v>0</v>
      </c>
      <c r="D459">
        <v>0</v>
      </c>
      <c r="E459">
        <v>5.9</v>
      </c>
    </row>
    <row r="460" hidden="1" spans="1:5">
      <c r="A460" t="s">
        <v>608</v>
      </c>
      <c r="B460">
        <v>5.9</v>
      </c>
      <c r="C460">
        <v>0</v>
      </c>
      <c r="D460">
        <v>0</v>
      </c>
      <c r="E460">
        <v>5.9</v>
      </c>
    </row>
    <row r="461" hidden="1" spans="1:1">
      <c r="A461" t="s">
        <v>609</v>
      </c>
    </row>
    <row r="462" hidden="1" spans="1:1">
      <c r="A462" t="s">
        <v>610</v>
      </c>
    </row>
    <row r="463" hidden="1" spans="1:5">
      <c r="A463" t="s">
        <v>610</v>
      </c>
      <c r="B463">
        <v>3200</v>
      </c>
      <c r="C463">
        <v>5904.43</v>
      </c>
      <c r="D463">
        <v>3200</v>
      </c>
      <c r="E463">
        <v>5904.43</v>
      </c>
    </row>
    <row r="464" hidden="1" spans="1:5">
      <c r="A464" t="s">
        <v>611</v>
      </c>
      <c r="B464">
        <v>10799</v>
      </c>
      <c r="C464">
        <v>12345</v>
      </c>
      <c r="D464">
        <v>3548</v>
      </c>
      <c r="E464">
        <v>19596</v>
      </c>
    </row>
    <row r="465" hidden="1" spans="1:5">
      <c r="A465" t="s">
        <v>612</v>
      </c>
      <c r="B465">
        <v>126728.76</v>
      </c>
      <c r="C465">
        <v>135242.04</v>
      </c>
      <c r="D465">
        <v>60465</v>
      </c>
      <c r="E465">
        <v>201505.8</v>
      </c>
    </row>
    <row r="466" hidden="1" spans="1:5">
      <c r="A466" t="s">
        <v>613</v>
      </c>
      <c r="B466">
        <v>140727.76</v>
      </c>
      <c r="C466">
        <v>153491.47</v>
      </c>
      <c r="D466">
        <v>67213</v>
      </c>
      <c r="E466">
        <v>227006.23</v>
      </c>
    </row>
    <row r="467" hidden="1" spans="1:5">
      <c r="A467" t="s">
        <v>614</v>
      </c>
      <c r="B467">
        <v>55647.57</v>
      </c>
      <c r="C467">
        <v>99657.66</v>
      </c>
      <c r="D467">
        <v>23000</v>
      </c>
      <c r="E467">
        <v>132305.23</v>
      </c>
    </row>
    <row r="468" hidden="1" spans="1:5">
      <c r="A468" t="s">
        <v>615</v>
      </c>
      <c r="B468">
        <v>196375.33</v>
      </c>
      <c r="C468">
        <v>253149.13</v>
      </c>
      <c r="D468">
        <v>90213</v>
      </c>
      <c r="E468">
        <v>359311.46</v>
      </c>
    </row>
    <row r="469" hidden="1" spans="1:1">
      <c r="A469" t="s">
        <v>616</v>
      </c>
    </row>
    <row r="470" hidden="1" spans="1:5">
      <c r="A470" t="s">
        <v>617</v>
      </c>
      <c r="B470">
        <v>102438.78</v>
      </c>
      <c r="C470">
        <v>117417.28</v>
      </c>
      <c r="D470">
        <v>33000</v>
      </c>
      <c r="E470">
        <v>186856.06</v>
      </c>
    </row>
    <row r="471" hidden="1" spans="1:5">
      <c r="A471" t="s">
        <v>618</v>
      </c>
      <c r="B471">
        <v>102438.78</v>
      </c>
      <c r="C471">
        <v>117417.28</v>
      </c>
      <c r="D471">
        <v>33000</v>
      </c>
      <c r="E471">
        <v>186856.06</v>
      </c>
    </row>
    <row r="472" hidden="1" spans="1:1">
      <c r="A472" t="s">
        <v>619</v>
      </c>
    </row>
    <row r="473" hidden="1" spans="1:1">
      <c r="A473" t="s">
        <v>620</v>
      </c>
    </row>
    <row r="474" hidden="1" spans="1:5">
      <c r="A474" t="s">
        <v>621</v>
      </c>
      <c r="B474">
        <v>40000</v>
      </c>
      <c r="C474">
        <v>20000</v>
      </c>
      <c r="D474">
        <v>0</v>
      </c>
      <c r="E474">
        <v>60000</v>
      </c>
    </row>
    <row r="475" hidden="1" spans="1:5">
      <c r="A475" t="s">
        <v>622</v>
      </c>
      <c r="B475">
        <v>71758</v>
      </c>
      <c r="C475">
        <v>146879</v>
      </c>
      <c r="D475">
        <v>0</v>
      </c>
      <c r="E475">
        <v>218637</v>
      </c>
    </row>
    <row r="476" hidden="1" spans="1:5">
      <c r="A476" t="s">
        <v>623</v>
      </c>
      <c r="B476">
        <v>308488</v>
      </c>
      <c r="C476">
        <v>54244</v>
      </c>
      <c r="D476">
        <v>0</v>
      </c>
      <c r="E476">
        <v>362732</v>
      </c>
    </row>
    <row r="477" hidden="1" spans="1:5">
      <c r="A477" t="s">
        <v>624</v>
      </c>
      <c r="B477">
        <v>1732</v>
      </c>
      <c r="C477">
        <v>0</v>
      </c>
      <c r="D477">
        <v>3378</v>
      </c>
      <c r="E477">
        <v>-1646</v>
      </c>
    </row>
    <row r="478" hidden="1" spans="1:5">
      <c r="A478" t="s">
        <v>625</v>
      </c>
      <c r="B478">
        <v>5784</v>
      </c>
      <c r="C478">
        <v>2892</v>
      </c>
      <c r="D478">
        <v>0</v>
      </c>
      <c r="E478">
        <v>8676</v>
      </c>
    </row>
    <row r="479" hidden="1" spans="1:5">
      <c r="A479" t="s">
        <v>626</v>
      </c>
      <c r="B479">
        <v>353078</v>
      </c>
      <c r="C479">
        <v>176539</v>
      </c>
      <c r="D479">
        <v>0</v>
      </c>
      <c r="E479">
        <v>529617</v>
      </c>
    </row>
    <row r="480" hidden="1" spans="1:5">
      <c r="A480" t="s">
        <v>627</v>
      </c>
      <c r="B480">
        <v>3021</v>
      </c>
      <c r="C480">
        <v>1485</v>
      </c>
      <c r="D480">
        <v>0</v>
      </c>
      <c r="E480">
        <v>4506</v>
      </c>
    </row>
    <row r="481" hidden="1" spans="1:5">
      <c r="A481" t="s">
        <v>628</v>
      </c>
      <c r="B481">
        <v>40000</v>
      </c>
      <c r="C481">
        <v>20000</v>
      </c>
      <c r="D481">
        <v>0</v>
      </c>
      <c r="E481">
        <v>60000</v>
      </c>
    </row>
    <row r="482" hidden="1" spans="1:5">
      <c r="A482" t="s">
        <v>629</v>
      </c>
      <c r="B482">
        <v>7219</v>
      </c>
      <c r="C482">
        <v>3605</v>
      </c>
      <c r="D482">
        <v>0</v>
      </c>
      <c r="E482">
        <v>10824</v>
      </c>
    </row>
    <row r="483" hidden="1" spans="1:5">
      <c r="A483" t="s">
        <v>630</v>
      </c>
      <c r="B483">
        <v>3455</v>
      </c>
      <c r="C483">
        <v>1699</v>
      </c>
      <c r="D483">
        <v>0</v>
      </c>
      <c r="E483">
        <v>5154</v>
      </c>
    </row>
    <row r="484" hidden="1" spans="1:5">
      <c r="A484" t="s">
        <v>631</v>
      </c>
      <c r="B484">
        <v>834535</v>
      </c>
      <c r="C484">
        <v>427343</v>
      </c>
      <c r="D484">
        <v>3378</v>
      </c>
      <c r="E484">
        <v>1258500</v>
      </c>
    </row>
    <row r="485" hidden="1" spans="1:5">
      <c r="A485" t="s">
        <v>632</v>
      </c>
      <c r="B485">
        <v>834535</v>
      </c>
      <c r="C485">
        <v>427343</v>
      </c>
      <c r="D485">
        <v>3378</v>
      </c>
      <c r="E485">
        <v>1258500</v>
      </c>
    </row>
    <row r="486" hidden="1" spans="1:1">
      <c r="A486" t="s">
        <v>633</v>
      </c>
    </row>
    <row r="487" hidden="1" spans="1:5">
      <c r="A487" t="s">
        <v>634</v>
      </c>
      <c r="B487">
        <v>60892</v>
      </c>
      <c r="C487">
        <v>42327</v>
      </c>
      <c r="D487">
        <v>0</v>
      </c>
      <c r="E487">
        <v>103219</v>
      </c>
    </row>
    <row r="488" hidden="1" spans="1:5">
      <c r="A488" t="s">
        <v>635</v>
      </c>
      <c r="B488">
        <v>31532</v>
      </c>
      <c r="C488">
        <v>187969</v>
      </c>
      <c r="D488">
        <v>0</v>
      </c>
      <c r="E488">
        <v>219501</v>
      </c>
    </row>
    <row r="489" hidden="1" spans="1:1">
      <c r="A489" t="s">
        <v>636</v>
      </c>
    </row>
    <row r="490" hidden="1" spans="1:5">
      <c r="A490" t="s">
        <v>636</v>
      </c>
      <c r="B490">
        <v>61016.7</v>
      </c>
      <c r="C490">
        <v>20119.5</v>
      </c>
      <c r="D490">
        <v>0</v>
      </c>
      <c r="E490">
        <v>81136.2</v>
      </c>
    </row>
    <row r="491" hidden="1" spans="1:5">
      <c r="A491" t="s">
        <v>637</v>
      </c>
      <c r="B491">
        <v>61016.7</v>
      </c>
      <c r="C491">
        <v>20119.5</v>
      </c>
      <c r="D491">
        <v>0</v>
      </c>
      <c r="E491">
        <v>81136.2</v>
      </c>
    </row>
    <row r="492" hidden="1" spans="1:5">
      <c r="A492" t="s">
        <v>638</v>
      </c>
      <c r="B492">
        <v>276766.48</v>
      </c>
      <c r="C492">
        <v>234887.74</v>
      </c>
      <c r="D492">
        <v>150000</v>
      </c>
      <c r="E492">
        <v>361654.22</v>
      </c>
    </row>
    <row r="493" hidden="1" spans="1:5">
      <c r="A493" t="s">
        <v>639</v>
      </c>
      <c r="B493">
        <v>34218</v>
      </c>
      <c r="C493">
        <v>34543</v>
      </c>
      <c r="D493">
        <v>15000</v>
      </c>
      <c r="E493">
        <v>53761</v>
      </c>
    </row>
    <row r="494" hidden="1" spans="1:5">
      <c r="A494" t="s">
        <v>640</v>
      </c>
      <c r="B494">
        <v>813473.13</v>
      </c>
      <c r="C494">
        <v>275206.14</v>
      </c>
      <c r="D494">
        <v>92000</v>
      </c>
      <c r="E494">
        <v>996679.27</v>
      </c>
    </row>
    <row r="495" hidden="1" spans="1:5">
      <c r="A495" t="s">
        <v>641</v>
      </c>
      <c r="B495">
        <v>1277898.31</v>
      </c>
      <c r="C495">
        <v>795052.38</v>
      </c>
      <c r="D495">
        <v>257000</v>
      </c>
      <c r="E495">
        <v>1815950.69</v>
      </c>
    </row>
    <row r="496" hidden="1" spans="1:1">
      <c r="A496" t="s">
        <v>642</v>
      </c>
    </row>
    <row r="497" hidden="1" spans="1:1">
      <c r="A497" t="s">
        <v>643</v>
      </c>
    </row>
    <row r="498" hidden="1" spans="1:5">
      <c r="A498" t="s">
        <v>643</v>
      </c>
      <c r="B498">
        <v>531995</v>
      </c>
      <c r="C498">
        <v>17333</v>
      </c>
      <c r="D498">
        <v>0</v>
      </c>
      <c r="E498">
        <v>549328</v>
      </c>
    </row>
    <row r="499" hidden="1" spans="1:5">
      <c r="A499" t="s">
        <v>644</v>
      </c>
      <c r="B499">
        <v>531995</v>
      </c>
      <c r="C499">
        <v>17333</v>
      </c>
      <c r="D499">
        <v>0</v>
      </c>
      <c r="E499">
        <v>549328</v>
      </c>
    </row>
    <row r="500" hidden="1" spans="1:5">
      <c r="A500" t="s">
        <v>645</v>
      </c>
      <c r="B500">
        <v>531995</v>
      </c>
      <c r="C500">
        <v>17333</v>
      </c>
      <c r="D500">
        <v>0</v>
      </c>
      <c r="E500">
        <v>549328</v>
      </c>
    </row>
    <row r="501" hidden="1" spans="1:1">
      <c r="A501" t="s">
        <v>646</v>
      </c>
    </row>
    <row r="502" hidden="1" spans="1:5">
      <c r="A502" t="s">
        <v>647</v>
      </c>
      <c r="B502">
        <v>64151.91</v>
      </c>
      <c r="C502">
        <v>45895.39</v>
      </c>
      <c r="D502">
        <v>0</v>
      </c>
      <c r="E502">
        <v>110047.3</v>
      </c>
    </row>
    <row r="503" hidden="1" spans="1:5">
      <c r="A503" t="s">
        <v>648</v>
      </c>
      <c r="B503">
        <v>112500</v>
      </c>
      <c r="C503">
        <v>111250</v>
      </c>
      <c r="D503">
        <v>55000</v>
      </c>
      <c r="E503">
        <v>168750</v>
      </c>
    </row>
    <row r="504" hidden="1" spans="1:5">
      <c r="A504" t="s">
        <v>649</v>
      </c>
      <c r="B504">
        <v>842064.08</v>
      </c>
      <c r="C504">
        <v>206080</v>
      </c>
      <c r="D504">
        <v>0</v>
      </c>
      <c r="E504">
        <v>1048144.08</v>
      </c>
    </row>
    <row r="505" hidden="1" spans="1:5">
      <c r="A505" t="s">
        <v>650</v>
      </c>
      <c r="B505">
        <v>1018715.99</v>
      </c>
      <c r="C505">
        <v>363225.39</v>
      </c>
      <c r="D505">
        <v>55000</v>
      </c>
      <c r="E505">
        <v>1326941.38</v>
      </c>
    </row>
    <row r="506" hidden="1" spans="1:1">
      <c r="A506" t="s">
        <v>651</v>
      </c>
    </row>
    <row r="507" hidden="1" spans="1:5">
      <c r="A507" t="s">
        <v>652</v>
      </c>
      <c r="B507">
        <v>17000</v>
      </c>
      <c r="C507">
        <v>0</v>
      </c>
      <c r="D507">
        <v>0</v>
      </c>
      <c r="E507">
        <v>17000</v>
      </c>
    </row>
    <row r="508" hidden="1" spans="1:5">
      <c r="A508" t="s">
        <v>653</v>
      </c>
      <c r="B508">
        <v>2500</v>
      </c>
      <c r="C508">
        <v>2500</v>
      </c>
      <c r="D508">
        <v>0</v>
      </c>
      <c r="E508">
        <v>5000</v>
      </c>
    </row>
    <row r="509" hidden="1" spans="1:5">
      <c r="A509" t="s">
        <v>654</v>
      </c>
      <c r="B509">
        <v>19500</v>
      </c>
      <c r="C509">
        <v>2500</v>
      </c>
      <c r="D509">
        <v>0</v>
      </c>
      <c r="E509">
        <v>22000</v>
      </c>
    </row>
    <row r="510" hidden="1" spans="1:1">
      <c r="A510" t="s">
        <v>655</v>
      </c>
    </row>
    <row r="511" hidden="1" spans="1:5">
      <c r="A511" t="s">
        <v>656</v>
      </c>
      <c r="B511">
        <v>42510796</v>
      </c>
      <c r="C511">
        <v>21758493</v>
      </c>
      <c r="D511">
        <v>0</v>
      </c>
      <c r="E511">
        <v>64269289</v>
      </c>
    </row>
    <row r="512" hidden="1" spans="1:5">
      <c r="A512" t="s">
        <v>657</v>
      </c>
      <c r="B512">
        <v>21255399</v>
      </c>
      <c r="C512">
        <v>10879247</v>
      </c>
      <c r="D512">
        <v>0</v>
      </c>
      <c r="E512">
        <v>32134646</v>
      </c>
    </row>
    <row r="513" hidden="1" spans="1:5">
      <c r="A513" t="s">
        <v>658</v>
      </c>
      <c r="B513">
        <v>87920</v>
      </c>
      <c r="C513">
        <v>175414</v>
      </c>
      <c r="D513">
        <v>0</v>
      </c>
      <c r="E513">
        <v>263334</v>
      </c>
    </row>
    <row r="514" hidden="1" spans="1:5">
      <c r="A514" t="s">
        <v>659</v>
      </c>
      <c r="B514">
        <v>151674</v>
      </c>
      <c r="C514">
        <v>77587</v>
      </c>
      <c r="D514">
        <v>0</v>
      </c>
      <c r="E514">
        <v>229261</v>
      </c>
    </row>
    <row r="515" hidden="1" spans="1:5">
      <c r="A515" t="s">
        <v>660</v>
      </c>
      <c r="B515">
        <v>500298</v>
      </c>
      <c r="C515">
        <v>0</v>
      </c>
      <c r="D515">
        <v>0</v>
      </c>
      <c r="E515">
        <v>500298</v>
      </c>
    </row>
    <row r="516" hidden="1" spans="1:5">
      <c r="A516" t="s">
        <v>661</v>
      </c>
      <c r="B516">
        <v>22882198</v>
      </c>
      <c r="C516">
        <v>11623597</v>
      </c>
      <c r="D516">
        <v>0</v>
      </c>
      <c r="E516">
        <v>34505795</v>
      </c>
    </row>
    <row r="517" hidden="1" spans="1:5">
      <c r="A517" t="s">
        <v>662</v>
      </c>
      <c r="B517">
        <v>508803</v>
      </c>
      <c r="C517">
        <v>256154</v>
      </c>
      <c r="D517">
        <v>0</v>
      </c>
      <c r="E517">
        <v>764957</v>
      </c>
    </row>
    <row r="518" hidden="1" spans="1:5">
      <c r="A518" t="s">
        <v>663</v>
      </c>
      <c r="B518">
        <v>366430</v>
      </c>
      <c r="C518">
        <v>249895</v>
      </c>
      <c r="D518">
        <v>0</v>
      </c>
      <c r="E518">
        <v>616325</v>
      </c>
    </row>
    <row r="519" hidden="1" spans="1:5">
      <c r="A519" t="s">
        <v>664</v>
      </c>
      <c r="B519">
        <v>140600</v>
      </c>
      <c r="C519">
        <v>70300</v>
      </c>
      <c r="D519">
        <v>0</v>
      </c>
      <c r="E519">
        <v>210900</v>
      </c>
    </row>
    <row r="520" hidden="1" spans="1:5">
      <c r="A520" t="s">
        <v>665</v>
      </c>
      <c r="B520">
        <v>140952</v>
      </c>
      <c r="C520">
        <v>71491</v>
      </c>
      <c r="D520">
        <v>0</v>
      </c>
      <c r="E520">
        <v>212443</v>
      </c>
    </row>
    <row r="521" hidden="1" spans="1:5">
      <c r="A521" t="s">
        <v>666</v>
      </c>
      <c r="B521">
        <v>92116</v>
      </c>
      <c r="C521">
        <v>93060</v>
      </c>
      <c r="D521">
        <v>92116</v>
      </c>
      <c r="E521">
        <v>93060</v>
      </c>
    </row>
    <row r="522" hidden="1" spans="1:5">
      <c r="A522" t="s">
        <v>667</v>
      </c>
      <c r="B522">
        <v>279065</v>
      </c>
      <c r="C522">
        <v>141532</v>
      </c>
      <c r="D522">
        <v>0</v>
      </c>
      <c r="E522">
        <v>420597</v>
      </c>
    </row>
    <row r="523" hidden="1" spans="1:5">
      <c r="A523" t="s">
        <v>668</v>
      </c>
      <c r="B523">
        <v>704521</v>
      </c>
      <c r="C523">
        <v>350943</v>
      </c>
      <c r="D523">
        <v>0</v>
      </c>
      <c r="E523">
        <v>1055464</v>
      </c>
    </row>
    <row r="524" hidden="1" spans="1:5">
      <c r="A524" t="s">
        <v>669</v>
      </c>
      <c r="B524">
        <v>238000</v>
      </c>
      <c r="C524">
        <v>119000</v>
      </c>
      <c r="D524">
        <v>0</v>
      </c>
      <c r="E524">
        <v>357000</v>
      </c>
    </row>
    <row r="525" hidden="1" spans="1:5">
      <c r="A525" t="s">
        <v>670</v>
      </c>
      <c r="B525">
        <v>470000</v>
      </c>
      <c r="C525">
        <v>235000</v>
      </c>
      <c r="D525">
        <v>0</v>
      </c>
      <c r="E525">
        <v>705000</v>
      </c>
    </row>
    <row r="526" hidden="1" spans="1:5">
      <c r="A526" t="s">
        <v>671</v>
      </c>
      <c r="B526">
        <v>209205</v>
      </c>
      <c r="C526">
        <v>102575</v>
      </c>
      <c r="D526">
        <v>0</v>
      </c>
      <c r="E526">
        <v>311780</v>
      </c>
    </row>
    <row r="527" hidden="1" spans="1:5">
      <c r="A527" t="s">
        <v>672</v>
      </c>
      <c r="B527">
        <v>90537977</v>
      </c>
      <c r="C527">
        <v>46204288</v>
      </c>
      <c r="D527">
        <v>92116</v>
      </c>
      <c r="E527">
        <v>136650149</v>
      </c>
    </row>
    <row r="528" hidden="1" spans="1:1">
      <c r="A528" t="s">
        <v>673</v>
      </c>
    </row>
    <row r="529" hidden="1" spans="1:5">
      <c r="A529" t="s">
        <v>674</v>
      </c>
      <c r="B529">
        <v>500000</v>
      </c>
      <c r="C529">
        <v>150000</v>
      </c>
      <c r="D529">
        <v>0</v>
      </c>
      <c r="E529">
        <v>650000</v>
      </c>
    </row>
    <row r="530" hidden="1" spans="1:5">
      <c r="A530" t="s">
        <v>675</v>
      </c>
      <c r="B530">
        <v>500000</v>
      </c>
      <c r="C530">
        <v>150000</v>
      </c>
      <c r="D530">
        <v>0</v>
      </c>
      <c r="E530">
        <v>650000</v>
      </c>
    </row>
    <row r="531" hidden="1" spans="1:1">
      <c r="A531" t="s">
        <v>676</v>
      </c>
    </row>
    <row r="532" hidden="1" spans="1:1">
      <c r="A532" t="s">
        <v>677</v>
      </c>
    </row>
    <row r="533" hidden="1" spans="1:5">
      <c r="A533" t="s">
        <v>677</v>
      </c>
      <c r="B533">
        <v>1195</v>
      </c>
      <c r="C533">
        <v>0</v>
      </c>
      <c r="D533">
        <v>0</v>
      </c>
      <c r="E533">
        <v>1195</v>
      </c>
    </row>
    <row r="534" hidden="1" spans="1:5">
      <c r="A534" t="s">
        <v>678</v>
      </c>
      <c r="B534">
        <v>2269043</v>
      </c>
      <c r="C534">
        <v>1123416</v>
      </c>
      <c r="D534">
        <v>5001</v>
      </c>
      <c r="E534">
        <v>3387458</v>
      </c>
    </row>
    <row r="535" hidden="1" spans="1:5">
      <c r="A535" t="s">
        <v>679</v>
      </c>
      <c r="B535">
        <v>751763</v>
      </c>
      <c r="C535">
        <v>395315</v>
      </c>
      <c r="D535">
        <v>2500</v>
      </c>
      <c r="E535">
        <v>1144578</v>
      </c>
    </row>
    <row r="536" hidden="1" spans="1:5">
      <c r="A536" t="s">
        <v>680</v>
      </c>
      <c r="B536">
        <v>697</v>
      </c>
      <c r="C536">
        <v>917</v>
      </c>
      <c r="D536">
        <v>0</v>
      </c>
      <c r="E536">
        <v>1614</v>
      </c>
    </row>
    <row r="537" hidden="1" spans="1:5">
      <c r="A537" t="s">
        <v>681</v>
      </c>
      <c r="B537">
        <v>3022698</v>
      </c>
      <c r="C537">
        <v>1519648</v>
      </c>
      <c r="D537">
        <v>7501</v>
      </c>
      <c r="E537">
        <v>4534845</v>
      </c>
    </row>
    <row r="538" hidden="1" spans="1:5">
      <c r="A538" t="s">
        <v>682</v>
      </c>
      <c r="B538">
        <v>181880</v>
      </c>
      <c r="C538">
        <v>91198</v>
      </c>
      <c r="D538">
        <v>60</v>
      </c>
      <c r="E538">
        <v>273018</v>
      </c>
    </row>
    <row r="539" hidden="1" spans="1:5">
      <c r="A539" t="s">
        <v>683</v>
      </c>
      <c r="B539">
        <v>3204578</v>
      </c>
      <c r="C539">
        <v>1610846</v>
      </c>
      <c r="D539">
        <v>7561</v>
      </c>
      <c r="E539">
        <v>4807863</v>
      </c>
    </row>
    <row r="540" hidden="1" spans="1:1">
      <c r="A540" t="s">
        <v>684</v>
      </c>
    </row>
    <row r="541" hidden="1" spans="1:5">
      <c r="A541" t="s">
        <v>685</v>
      </c>
      <c r="B541">
        <v>5400000</v>
      </c>
      <c r="C541">
        <v>2700000</v>
      </c>
      <c r="D541">
        <v>0</v>
      </c>
      <c r="E541">
        <v>8100000</v>
      </c>
    </row>
    <row r="542" hidden="1" spans="1:5">
      <c r="A542" t="s">
        <v>686</v>
      </c>
      <c r="B542">
        <v>0</v>
      </c>
      <c r="C542">
        <v>0</v>
      </c>
      <c r="D542">
        <v>4368</v>
      </c>
      <c r="E542">
        <v>-4368</v>
      </c>
    </row>
    <row r="543" hidden="1" spans="1:5">
      <c r="A543" t="s">
        <v>687</v>
      </c>
      <c r="B543">
        <v>0</v>
      </c>
      <c r="C543">
        <v>12889.5</v>
      </c>
      <c r="D543">
        <v>0</v>
      </c>
      <c r="E543">
        <v>12889.5</v>
      </c>
    </row>
    <row r="544" hidden="1" spans="1:5">
      <c r="A544" t="s">
        <v>688</v>
      </c>
      <c r="B544">
        <v>0</v>
      </c>
      <c r="C544">
        <v>115000</v>
      </c>
      <c r="D544">
        <v>0</v>
      </c>
      <c r="E544">
        <v>115000</v>
      </c>
    </row>
    <row r="545" hidden="1" spans="1:5">
      <c r="A545" t="s">
        <v>689</v>
      </c>
      <c r="B545">
        <v>500298</v>
      </c>
      <c r="C545">
        <v>500298</v>
      </c>
      <c r="D545">
        <v>0</v>
      </c>
      <c r="E545">
        <v>1000596</v>
      </c>
    </row>
    <row r="546" hidden="1" spans="1:1">
      <c r="A546" t="s">
        <v>690</v>
      </c>
    </row>
    <row r="547" hidden="1" spans="1:5">
      <c r="A547" t="s">
        <v>690</v>
      </c>
      <c r="B547">
        <v>1318369.37</v>
      </c>
      <c r="C547">
        <v>697477.25</v>
      </c>
      <c r="D547">
        <v>41872</v>
      </c>
      <c r="E547">
        <v>1973974.62</v>
      </c>
    </row>
    <row r="548" hidden="1" spans="1:5">
      <c r="A548" t="s">
        <v>691</v>
      </c>
      <c r="B548">
        <v>155861.75</v>
      </c>
      <c r="C548">
        <v>19309.9</v>
      </c>
      <c r="D548">
        <v>0</v>
      </c>
      <c r="E548">
        <v>175171.65</v>
      </c>
    </row>
    <row r="549" hidden="1" spans="1:5">
      <c r="A549" t="s">
        <v>692</v>
      </c>
      <c r="B549">
        <v>1474231.12</v>
      </c>
      <c r="C549">
        <v>716787.15</v>
      </c>
      <c r="D549">
        <v>41872</v>
      </c>
      <c r="E549">
        <v>2149146.27</v>
      </c>
    </row>
    <row r="550" hidden="1" spans="1:1">
      <c r="A550" t="s">
        <v>693</v>
      </c>
    </row>
    <row r="551" hidden="1" spans="1:5">
      <c r="A551" t="s">
        <v>694</v>
      </c>
      <c r="B551">
        <v>127880</v>
      </c>
      <c r="C551">
        <v>102110</v>
      </c>
      <c r="D551">
        <v>45000</v>
      </c>
      <c r="E551">
        <v>184990</v>
      </c>
    </row>
    <row r="552" hidden="1" spans="1:5">
      <c r="A552" t="s">
        <v>695</v>
      </c>
      <c r="B552">
        <v>127880</v>
      </c>
      <c r="C552">
        <v>102110</v>
      </c>
      <c r="D552">
        <v>45000</v>
      </c>
      <c r="E552">
        <v>184990</v>
      </c>
    </row>
    <row r="553" hidden="1" spans="1:5">
      <c r="A553" t="s">
        <v>696</v>
      </c>
      <c r="B553">
        <v>0</v>
      </c>
      <c r="C553">
        <v>700</v>
      </c>
      <c r="D553">
        <v>0</v>
      </c>
      <c r="E553">
        <v>700</v>
      </c>
    </row>
    <row r="554" hidden="1" spans="1:5">
      <c r="A554" t="s">
        <v>697</v>
      </c>
      <c r="B554">
        <v>7502409.12</v>
      </c>
      <c r="C554">
        <v>4147784.65</v>
      </c>
      <c r="D554">
        <v>91240</v>
      </c>
      <c r="E554">
        <v>11558953.77</v>
      </c>
    </row>
    <row r="555" hidden="1" spans="1:1">
      <c r="A555" t="s">
        <v>698</v>
      </c>
    </row>
    <row r="556" hidden="1" spans="1:5">
      <c r="A556" t="s">
        <v>699</v>
      </c>
      <c r="B556">
        <v>8000</v>
      </c>
      <c r="C556">
        <v>0</v>
      </c>
      <c r="D556">
        <v>0</v>
      </c>
      <c r="E556">
        <v>8000</v>
      </c>
    </row>
    <row r="557" hidden="1" spans="1:5">
      <c r="A557" t="s">
        <v>700</v>
      </c>
      <c r="B557">
        <v>4253</v>
      </c>
      <c r="C557">
        <v>5367</v>
      </c>
      <c r="D557">
        <v>0</v>
      </c>
      <c r="E557">
        <v>9620</v>
      </c>
    </row>
    <row r="558" hidden="1" spans="1:5">
      <c r="A558" t="s">
        <v>701</v>
      </c>
      <c r="B558">
        <v>660000</v>
      </c>
      <c r="C558">
        <v>2530000</v>
      </c>
      <c r="D558">
        <v>2200000</v>
      </c>
      <c r="E558">
        <v>990000</v>
      </c>
    </row>
    <row r="559" hidden="1" spans="1:5">
      <c r="A559" t="s">
        <v>702</v>
      </c>
      <c r="B559">
        <v>43357.78</v>
      </c>
      <c r="C559">
        <v>13903.61</v>
      </c>
      <c r="D559">
        <v>0</v>
      </c>
      <c r="E559">
        <v>57261.39</v>
      </c>
    </row>
    <row r="560" hidden="1" spans="1:5">
      <c r="A560" t="s">
        <v>703</v>
      </c>
      <c r="B560">
        <v>43357.78</v>
      </c>
      <c r="C560">
        <v>13903.61</v>
      </c>
      <c r="D560">
        <v>0</v>
      </c>
      <c r="E560">
        <v>57261.39</v>
      </c>
    </row>
    <row r="561" hidden="1" spans="1:5">
      <c r="A561" t="s">
        <v>704</v>
      </c>
      <c r="B561">
        <v>758968.56</v>
      </c>
      <c r="C561">
        <v>2563174.22</v>
      </c>
      <c r="D561">
        <v>2200000</v>
      </c>
      <c r="E561">
        <v>1122142.78</v>
      </c>
    </row>
    <row r="562" hidden="1" spans="1:1">
      <c r="A562" t="s">
        <v>705</v>
      </c>
    </row>
    <row r="563" hidden="1" spans="1:5">
      <c r="A563" t="s">
        <v>706</v>
      </c>
      <c r="B563">
        <v>207</v>
      </c>
      <c r="C563">
        <v>135</v>
      </c>
      <c r="D563">
        <v>0</v>
      </c>
      <c r="E563">
        <v>342</v>
      </c>
    </row>
    <row r="564" hidden="1" spans="1:5">
      <c r="A564" t="s">
        <v>707</v>
      </c>
      <c r="B564">
        <v>207</v>
      </c>
      <c r="C564">
        <v>135</v>
      </c>
      <c r="D564">
        <v>0</v>
      </c>
      <c r="E564">
        <v>342</v>
      </c>
    </row>
    <row r="565" hidden="1" spans="1:1">
      <c r="A565" t="s">
        <v>708</v>
      </c>
    </row>
    <row r="566" hidden="1" spans="1:1">
      <c r="A566" t="s">
        <v>709</v>
      </c>
    </row>
    <row r="567" hidden="1" spans="1:5">
      <c r="A567" t="s">
        <v>710</v>
      </c>
      <c r="B567">
        <v>590549</v>
      </c>
      <c r="C567">
        <v>0</v>
      </c>
      <c r="D567">
        <v>0</v>
      </c>
      <c r="E567">
        <v>590549</v>
      </c>
    </row>
    <row r="568" hidden="1" spans="1:5">
      <c r="A568" t="s">
        <v>711</v>
      </c>
      <c r="B568">
        <v>590549</v>
      </c>
      <c r="C568">
        <v>0</v>
      </c>
      <c r="D568">
        <v>0</v>
      </c>
      <c r="E568">
        <v>590549</v>
      </c>
    </row>
    <row r="569" hidden="1" spans="1:5">
      <c r="A569" t="s">
        <v>712</v>
      </c>
      <c r="B569">
        <v>590549</v>
      </c>
      <c r="C569">
        <v>0</v>
      </c>
      <c r="D569">
        <v>0</v>
      </c>
      <c r="E569">
        <v>590549</v>
      </c>
    </row>
    <row r="570" hidden="1" spans="1:1">
      <c r="A570" t="s">
        <v>713</v>
      </c>
    </row>
    <row r="571" hidden="1" spans="1:5">
      <c r="A571" t="s">
        <v>714</v>
      </c>
      <c r="B571">
        <v>1000</v>
      </c>
      <c r="C571">
        <v>0</v>
      </c>
      <c r="D571">
        <v>0</v>
      </c>
      <c r="E571">
        <v>1000</v>
      </c>
    </row>
    <row r="572" hidden="1" spans="1:5">
      <c r="A572" t="s">
        <v>715</v>
      </c>
      <c r="B572">
        <v>358738.98</v>
      </c>
      <c r="C572">
        <v>156424.04</v>
      </c>
      <c r="D572">
        <v>0</v>
      </c>
      <c r="E572">
        <v>515163.02</v>
      </c>
    </row>
    <row r="573" hidden="1" spans="1:5">
      <c r="A573" t="s">
        <v>716</v>
      </c>
      <c r="B573">
        <v>70809.7</v>
      </c>
      <c r="C573">
        <v>0</v>
      </c>
      <c r="D573">
        <v>0</v>
      </c>
      <c r="E573">
        <v>70809.7</v>
      </c>
    </row>
    <row r="574" hidden="1" spans="1:5">
      <c r="A574" t="s">
        <v>717</v>
      </c>
      <c r="B574">
        <v>45911</v>
      </c>
      <c r="C574">
        <v>22937</v>
      </c>
      <c r="D574">
        <v>0</v>
      </c>
      <c r="E574">
        <v>68848</v>
      </c>
    </row>
    <row r="575" hidden="1" spans="1:5">
      <c r="A575" t="s">
        <v>718</v>
      </c>
      <c r="B575">
        <v>476459.68</v>
      </c>
      <c r="C575">
        <v>179361.04</v>
      </c>
      <c r="D575">
        <v>0</v>
      </c>
      <c r="E575">
        <v>655820.72</v>
      </c>
    </row>
    <row r="576" hidden="1" spans="1:1">
      <c r="A576" t="s">
        <v>719</v>
      </c>
    </row>
    <row r="577" hidden="1" spans="1:5">
      <c r="A577" t="s">
        <v>720</v>
      </c>
      <c r="B577">
        <v>5140.15</v>
      </c>
      <c r="C577">
        <v>1182</v>
      </c>
      <c r="D577">
        <v>0</v>
      </c>
      <c r="E577">
        <v>6322.15</v>
      </c>
    </row>
    <row r="578" hidden="1" spans="1:5">
      <c r="A578" t="s">
        <v>721</v>
      </c>
      <c r="B578">
        <v>5140.15</v>
      </c>
      <c r="C578">
        <v>1182</v>
      </c>
      <c r="D578">
        <v>0</v>
      </c>
      <c r="E578">
        <v>6322.15</v>
      </c>
    </row>
    <row r="579" hidden="1" spans="1:1">
      <c r="A579" t="s">
        <v>722</v>
      </c>
    </row>
    <row r="580" hidden="1" spans="1:5">
      <c r="A580" t="s">
        <v>723</v>
      </c>
      <c r="B580">
        <v>3848203</v>
      </c>
      <c r="C580">
        <v>1814994</v>
      </c>
      <c r="D580">
        <v>0</v>
      </c>
      <c r="E580">
        <v>5663197</v>
      </c>
    </row>
    <row r="581" hidden="1" spans="1:5">
      <c r="A581" t="s">
        <v>724</v>
      </c>
      <c r="B581">
        <v>239624</v>
      </c>
      <c r="C581">
        <v>176141</v>
      </c>
      <c r="D581">
        <v>0</v>
      </c>
      <c r="E581">
        <v>415765</v>
      </c>
    </row>
    <row r="582" hidden="1" spans="1:5">
      <c r="A582" t="s">
        <v>725</v>
      </c>
      <c r="B582">
        <v>69543</v>
      </c>
      <c r="C582">
        <v>34502</v>
      </c>
      <c r="D582">
        <v>0</v>
      </c>
      <c r="E582">
        <v>104045</v>
      </c>
    </row>
    <row r="583" hidden="1" spans="1:5">
      <c r="A583" t="s">
        <v>726</v>
      </c>
      <c r="B583">
        <v>0</v>
      </c>
      <c r="C583">
        <v>1463</v>
      </c>
      <c r="D583">
        <v>0</v>
      </c>
      <c r="E583">
        <v>1463</v>
      </c>
    </row>
    <row r="584" hidden="1" spans="1:5">
      <c r="A584" t="s">
        <v>727</v>
      </c>
      <c r="B584">
        <v>97606</v>
      </c>
      <c r="C584">
        <v>22352</v>
      </c>
      <c r="D584">
        <v>0</v>
      </c>
      <c r="E584">
        <v>119958</v>
      </c>
    </row>
    <row r="585" hidden="1" spans="1:5">
      <c r="A585" t="s">
        <v>728</v>
      </c>
      <c r="B585">
        <v>4254976</v>
      </c>
      <c r="C585">
        <v>2049452</v>
      </c>
      <c r="D585">
        <v>0</v>
      </c>
      <c r="E585">
        <v>6304428</v>
      </c>
    </row>
    <row r="586" hidden="1" spans="1:1">
      <c r="A586" t="s">
        <v>729</v>
      </c>
    </row>
    <row r="587" hidden="1" spans="1:5">
      <c r="A587" t="s">
        <v>730</v>
      </c>
      <c r="B587">
        <v>4921</v>
      </c>
      <c r="C587">
        <v>2445</v>
      </c>
      <c r="D587">
        <v>0</v>
      </c>
      <c r="E587">
        <v>7366</v>
      </c>
    </row>
    <row r="588" hidden="1" spans="1:5">
      <c r="A588" t="s">
        <v>731</v>
      </c>
      <c r="B588">
        <v>4921</v>
      </c>
      <c r="C588">
        <v>2445</v>
      </c>
      <c r="D588">
        <v>0</v>
      </c>
      <c r="E588">
        <v>7366</v>
      </c>
    </row>
    <row r="589" hidden="1" spans="1:1">
      <c r="A589" t="s">
        <v>732</v>
      </c>
    </row>
    <row r="590" hidden="1" spans="1:5">
      <c r="A590" t="s">
        <v>733</v>
      </c>
      <c r="B590">
        <v>-69319.54</v>
      </c>
      <c r="C590">
        <v>6159.94</v>
      </c>
      <c r="D590">
        <v>116.74</v>
      </c>
      <c r="E590">
        <v>-63276.34</v>
      </c>
    </row>
    <row r="591" hidden="1" spans="1:5">
      <c r="A591" t="s">
        <v>734</v>
      </c>
      <c r="B591">
        <v>-69319.54</v>
      </c>
      <c r="C591">
        <v>6159.94</v>
      </c>
      <c r="D591">
        <v>116.74</v>
      </c>
      <c r="E591">
        <v>-63276.34</v>
      </c>
    </row>
    <row r="592" hidden="1" spans="1:1">
      <c r="A592" t="s">
        <v>735</v>
      </c>
    </row>
    <row r="593" hidden="1" spans="1:5">
      <c r="A593" t="s">
        <v>736</v>
      </c>
      <c r="B593">
        <v>-4374000</v>
      </c>
      <c r="C593">
        <v>0</v>
      </c>
      <c r="D593">
        <v>0</v>
      </c>
      <c r="E593">
        <v>-4374000</v>
      </c>
    </row>
    <row r="594" hidden="1" spans="1:5">
      <c r="A594" t="s">
        <v>737</v>
      </c>
      <c r="B594">
        <v>-4374000</v>
      </c>
      <c r="C594">
        <v>0</v>
      </c>
      <c r="D594">
        <v>0</v>
      </c>
      <c r="E594">
        <v>-4374000</v>
      </c>
    </row>
    <row r="595" hidden="1" spans="1:1">
      <c r="A595" t="s">
        <v>738</v>
      </c>
    </row>
    <row r="596" hidden="1" spans="1:1">
      <c r="A596" t="s">
        <v>739</v>
      </c>
    </row>
    <row r="597" hidden="1" spans="1:5">
      <c r="A597" t="s">
        <v>740</v>
      </c>
      <c r="B597">
        <v>12791000</v>
      </c>
      <c r="C597">
        <v>0</v>
      </c>
      <c r="D597">
        <v>0</v>
      </c>
      <c r="E597">
        <v>12791000</v>
      </c>
    </row>
    <row r="598" hidden="1" spans="1:5">
      <c r="A598" t="s">
        <v>741</v>
      </c>
      <c r="B598">
        <v>12791000</v>
      </c>
      <c r="C598">
        <v>0</v>
      </c>
      <c r="D598">
        <v>0</v>
      </c>
      <c r="E598">
        <v>12791000</v>
      </c>
    </row>
    <row r="599" hidden="1" spans="1:5">
      <c r="A599" t="s">
        <v>742</v>
      </c>
      <c r="B599">
        <v>12791000</v>
      </c>
      <c r="C599">
        <v>0</v>
      </c>
      <c r="D599">
        <v>0</v>
      </c>
      <c r="E599">
        <v>12791000</v>
      </c>
    </row>
    <row r="600" hidden="1" spans="1:1">
      <c r="A600" t="s">
        <v>743</v>
      </c>
    </row>
    <row r="601" hidden="1" spans="1:1">
      <c r="A601" t="s">
        <v>744</v>
      </c>
    </row>
    <row r="602" hidden="1" spans="1:5">
      <c r="A602" t="s">
        <v>745</v>
      </c>
      <c r="B602">
        <v>-379091061.96</v>
      </c>
      <c r="C602">
        <v>193872434.41</v>
      </c>
      <c r="D602">
        <v>484908663.65</v>
      </c>
      <c r="E602">
        <v>-670127291.2</v>
      </c>
    </row>
    <row r="603" hidden="1" spans="1:5">
      <c r="A603" t="s">
        <v>746</v>
      </c>
      <c r="B603">
        <v>-202777457.78</v>
      </c>
      <c r="C603">
        <v>82500</v>
      </c>
      <c r="D603">
        <v>82597317.34</v>
      </c>
      <c r="E603">
        <v>-285292275.12</v>
      </c>
    </row>
    <row r="604" hidden="1" spans="1:5">
      <c r="A604" t="s">
        <v>747</v>
      </c>
      <c r="B604">
        <v>-581868519.74</v>
      </c>
      <c r="C604">
        <v>193954934.41</v>
      </c>
      <c r="D604">
        <v>567505980.99</v>
      </c>
      <c r="E604">
        <v>-955419566.32</v>
      </c>
    </row>
    <row r="605" hidden="1" spans="1:5">
      <c r="A605" t="s">
        <v>748</v>
      </c>
      <c r="B605">
        <v>-581868519.74</v>
      </c>
      <c r="C605">
        <v>193954934.41</v>
      </c>
      <c r="D605">
        <v>567505980.99</v>
      </c>
      <c r="E605">
        <v>-955419566.32</v>
      </c>
    </row>
    <row r="606" hidden="1" spans="1:1">
      <c r="A606" t="s">
        <v>749</v>
      </c>
    </row>
    <row r="607" hidden="1" spans="1:1">
      <c r="A607" t="s">
        <v>750</v>
      </c>
    </row>
    <row r="608" hidden="1" spans="1:5">
      <c r="A608" t="s">
        <v>751</v>
      </c>
      <c r="B608">
        <v>-663655</v>
      </c>
      <c r="C608">
        <v>8767</v>
      </c>
      <c r="D608">
        <v>560467</v>
      </c>
      <c r="E608">
        <v>-1215355</v>
      </c>
    </row>
    <row r="609" hidden="1" spans="1:5">
      <c r="A609" t="s">
        <v>752</v>
      </c>
      <c r="B609">
        <v>-663655</v>
      </c>
      <c r="C609">
        <v>8767</v>
      </c>
      <c r="D609">
        <v>560467</v>
      </c>
      <c r="E609">
        <v>-1215355</v>
      </c>
    </row>
    <row r="610" hidden="1" spans="1:5">
      <c r="A610" t="s">
        <v>753</v>
      </c>
      <c r="B610">
        <v>-16278.88</v>
      </c>
      <c r="C610">
        <v>0</v>
      </c>
      <c r="D610">
        <v>15167.66</v>
      </c>
      <c r="E610">
        <v>-31446.54</v>
      </c>
    </row>
    <row r="611" hidden="1" spans="1:5">
      <c r="A611" t="s">
        <v>754</v>
      </c>
      <c r="B611">
        <v>0</v>
      </c>
      <c r="C611">
        <v>0</v>
      </c>
      <c r="D611">
        <v>23120</v>
      </c>
      <c r="E611">
        <v>-23120</v>
      </c>
    </row>
    <row r="612" hidden="1" spans="1:5">
      <c r="A612" t="s">
        <v>755</v>
      </c>
      <c r="B612">
        <v>-679933.88</v>
      </c>
      <c r="C612">
        <v>8767</v>
      </c>
      <c r="D612">
        <v>598754.66</v>
      </c>
      <c r="E612">
        <v>-1269921.54</v>
      </c>
    </row>
    <row r="613" hidden="1" spans="1:1">
      <c r="A613" t="s">
        <v>756</v>
      </c>
    </row>
    <row r="614" hidden="1" spans="1:5">
      <c r="A614" t="s">
        <v>757</v>
      </c>
      <c r="B614">
        <v>34955.59</v>
      </c>
      <c r="C614">
        <v>70667.52</v>
      </c>
      <c r="D614">
        <v>5976.48</v>
      </c>
      <c r="E614">
        <v>99646.63</v>
      </c>
    </row>
    <row r="615" hidden="1" spans="1:5">
      <c r="A615" t="s">
        <v>758</v>
      </c>
      <c r="B615">
        <v>34955.59</v>
      </c>
      <c r="C615">
        <v>70667.52</v>
      </c>
      <c r="D615">
        <v>5976.48</v>
      </c>
      <c r="E615">
        <v>99646.63</v>
      </c>
    </row>
    <row r="616" hidden="1" spans="1:5">
      <c r="A616" t="s">
        <v>157</v>
      </c>
      <c r="B616">
        <v>0</v>
      </c>
      <c r="C616">
        <v>3208627005.11</v>
      </c>
      <c r="D616">
        <v>3208627005.11</v>
      </c>
      <c r="E616">
        <v>0</v>
      </c>
    </row>
  </sheetData>
  <autoFilter xmlns:etc="http://www.wps.cn/officeDocument/2017/etCustomData" ref="A7:E616" etc:filterBottomFollowUsedRange="0">
    <filterColumn colId="1">
      <colorFilter dxfId="0"/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E15" sqref="E15"/>
    </sheetView>
  </sheetViews>
  <sheetFormatPr defaultColWidth="8.72727272727273" defaultRowHeight="14.5" outlineLevelCol="5"/>
  <cols>
    <col min="1" max="1" width="29.8181818181818" customWidth="1"/>
    <col min="2" max="2" width="14" customWidth="1"/>
    <col min="3" max="3" width="12.8181818181818" customWidth="1"/>
    <col min="4" max="4" width="17.2727272727273" customWidth="1"/>
    <col min="5" max="5" width="14" customWidth="1"/>
    <col min="6" max="6" width="14"/>
  </cols>
  <sheetData>
    <row r="1" spans="1:1">
      <c r="A1" t="s">
        <v>759</v>
      </c>
    </row>
    <row r="2" spans="1:6">
      <c r="A2" t="s">
        <v>169</v>
      </c>
      <c r="C2" s="3">
        <v>445614527.64</v>
      </c>
      <c r="D2" s="3">
        <v>418515666.46</v>
      </c>
      <c r="E2" s="3">
        <v>436004257.96</v>
      </c>
      <c r="F2" s="3">
        <f>D2-E2</f>
        <v>-17488591.5</v>
      </c>
    </row>
    <row r="3" spans="1:6">
      <c r="A3" t="s">
        <v>170</v>
      </c>
      <c r="C3" s="3">
        <v>-57342508.87</v>
      </c>
      <c r="D3" s="3">
        <v>-31825703.18</v>
      </c>
      <c r="E3" s="3">
        <v>49316076.83</v>
      </c>
      <c r="F3" s="3">
        <f>D3-E3</f>
        <v>-81141780.01</v>
      </c>
    </row>
    <row r="4" spans="1:6">
      <c r="A4" t="s">
        <v>250</v>
      </c>
      <c r="C4" s="3">
        <v>225874886.76</v>
      </c>
      <c r="D4" s="3">
        <v>-159302061.53</v>
      </c>
      <c r="E4" s="3">
        <v>-159302061.53</v>
      </c>
      <c r="F4" s="3">
        <f>D4-E4</f>
        <v>0</v>
      </c>
    </row>
    <row r="5" spans="1:6">
      <c r="A5" s="4" t="s">
        <v>157</v>
      </c>
      <c r="B5" s="4"/>
      <c r="C5" s="5">
        <f>SUM(C2:C4)</f>
        <v>614146905.53</v>
      </c>
      <c r="D5" s="3">
        <f>SUM(D2:D4)</f>
        <v>227387901.75</v>
      </c>
      <c r="E5" s="3">
        <f>SUM(E2:E4)</f>
        <v>326018273.26</v>
      </c>
      <c r="F5" s="3">
        <f>D5-E5</f>
        <v>-98630371.51</v>
      </c>
    </row>
    <row r="7" spans="1:6">
      <c r="A7" s="4" t="s">
        <v>760</v>
      </c>
      <c r="B7" s="4"/>
      <c r="C7" s="4">
        <v>614159931.82</v>
      </c>
      <c r="D7">
        <v>227400928.04</v>
      </c>
      <c r="E7"/>
      <c r="F7" s="3">
        <f>F2-F3</f>
        <v>63653188.51</v>
      </c>
    </row>
    <row r="9" spans="1:4">
      <c r="A9" t="s">
        <v>761</v>
      </c>
      <c r="C9">
        <f>C5-C7</f>
        <v>-13026.2900000811</v>
      </c>
      <c r="D9">
        <f>D7-D5</f>
        <v>13026.2899999321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631"/>
  <sheetViews>
    <sheetView zoomScale="77" zoomScaleNormal="77" topLeftCell="E518" workbookViewId="0">
      <selection activeCell="G631" sqref="G631"/>
    </sheetView>
  </sheetViews>
  <sheetFormatPr defaultColWidth="8.72727272727273" defaultRowHeight="14.5"/>
  <cols>
    <col min="1" max="1" width="10.4545454545455" customWidth="1"/>
    <col min="2" max="2" width="21.6363636363636" customWidth="1"/>
    <col min="3" max="3" width="18.4545454545455" customWidth="1"/>
    <col min="4" max="4" width="30.6363636363636" customWidth="1"/>
    <col min="5" max="5" width="127.181818181818" customWidth="1"/>
    <col min="6" max="6" width="96.3636363636364" customWidth="1"/>
    <col min="7" max="7" width="14" customWidth="1"/>
    <col min="8" max="8" width="65.5181818181818" style="1" customWidth="1"/>
    <col min="9" max="9" width="16.9090909090909" style="1" customWidth="1"/>
  </cols>
  <sheetData>
    <row r="1" spans="1:9">
      <c r="A1" t="s">
        <v>762</v>
      </c>
      <c r="B1" t="s">
        <v>763</v>
      </c>
      <c r="C1" t="s">
        <v>764</v>
      </c>
      <c r="D1" t="s">
        <v>765</v>
      </c>
      <c r="E1" t="s">
        <v>766</v>
      </c>
      <c r="F1" t="s">
        <v>163</v>
      </c>
      <c r="G1" t="s">
        <v>767</v>
      </c>
      <c r="I1" s="1" t="s">
        <v>768</v>
      </c>
    </row>
    <row r="2" spans="1:9">
      <c r="A2">
        <v>12227</v>
      </c>
      <c r="B2" t="s">
        <v>769</v>
      </c>
      <c r="C2" t="s">
        <v>770</v>
      </c>
      <c r="D2" t="s">
        <v>771</v>
      </c>
      <c r="E2" t="s">
        <v>33</v>
      </c>
      <c r="F2" t="s">
        <v>169</v>
      </c>
      <c r="G2">
        <v>-1492232</v>
      </c>
      <c r="H2" s="2">
        <f>ABS(G2)</f>
        <v>1492232</v>
      </c>
      <c r="I2" s="1">
        <v>45809</v>
      </c>
    </row>
    <row r="3" spans="1:9">
      <c r="A3">
        <v>12227</v>
      </c>
      <c r="B3" t="s">
        <v>769</v>
      </c>
      <c r="C3" t="s">
        <v>770</v>
      </c>
      <c r="D3" t="s">
        <v>771</v>
      </c>
      <c r="E3" t="s">
        <v>13</v>
      </c>
      <c r="F3" t="s">
        <v>169</v>
      </c>
      <c r="G3">
        <v>-1</v>
      </c>
      <c r="H3" s="2">
        <f t="shared" ref="H3:H66" si="0">ABS(G3)</f>
        <v>1</v>
      </c>
      <c r="I3" s="1">
        <v>45809</v>
      </c>
    </row>
    <row r="4" spans="1:9">
      <c r="A4">
        <v>12227</v>
      </c>
      <c r="B4" t="s">
        <v>769</v>
      </c>
      <c r="C4" t="s">
        <v>770</v>
      </c>
      <c r="D4" t="s">
        <v>771</v>
      </c>
      <c r="E4" t="s">
        <v>772</v>
      </c>
      <c r="F4" t="s">
        <v>169</v>
      </c>
      <c r="G4">
        <v>-1610447.16</v>
      </c>
      <c r="H4" s="2">
        <f t="shared" si="0"/>
        <v>1610447.16</v>
      </c>
      <c r="I4" s="1">
        <v>45809</v>
      </c>
    </row>
    <row r="5" spans="1:9">
      <c r="A5">
        <v>12227</v>
      </c>
      <c r="B5" t="s">
        <v>769</v>
      </c>
      <c r="C5" t="s">
        <v>770</v>
      </c>
      <c r="D5" t="s">
        <v>771</v>
      </c>
      <c r="E5" t="s">
        <v>773</v>
      </c>
      <c r="F5" t="s">
        <v>169</v>
      </c>
      <c r="G5">
        <v>-10855.7</v>
      </c>
      <c r="H5" s="2">
        <f t="shared" si="0"/>
        <v>10855.7</v>
      </c>
      <c r="I5" s="1">
        <v>45809</v>
      </c>
    </row>
    <row r="6" spans="1:9">
      <c r="A6">
        <v>12227</v>
      </c>
      <c r="B6" t="s">
        <v>769</v>
      </c>
      <c r="C6" t="s">
        <v>770</v>
      </c>
      <c r="D6" t="s">
        <v>771</v>
      </c>
      <c r="E6" t="s">
        <v>104</v>
      </c>
      <c r="F6" t="s">
        <v>169</v>
      </c>
      <c r="G6">
        <v>-10279.56</v>
      </c>
      <c r="H6" s="2">
        <f t="shared" si="0"/>
        <v>10279.56</v>
      </c>
      <c r="I6" s="1">
        <v>45809</v>
      </c>
    </row>
    <row r="7" spans="1:9">
      <c r="A7">
        <v>12227</v>
      </c>
      <c r="B7" t="s">
        <v>769</v>
      </c>
      <c r="C7" t="s">
        <v>770</v>
      </c>
      <c r="D7" t="s">
        <v>771</v>
      </c>
      <c r="E7" t="s">
        <v>107</v>
      </c>
      <c r="F7" t="s">
        <v>169</v>
      </c>
      <c r="G7">
        <v>-29087.46</v>
      </c>
      <c r="H7" s="2">
        <f t="shared" si="0"/>
        <v>29087.46</v>
      </c>
      <c r="I7" s="1">
        <v>45809</v>
      </c>
    </row>
    <row r="8" spans="1:9">
      <c r="A8">
        <v>12227</v>
      </c>
      <c r="B8" t="s">
        <v>769</v>
      </c>
      <c r="C8" t="s">
        <v>770</v>
      </c>
      <c r="D8" t="s">
        <v>771</v>
      </c>
      <c r="E8" t="s">
        <v>774</v>
      </c>
      <c r="F8" t="s">
        <v>169</v>
      </c>
      <c r="G8">
        <v>-14810</v>
      </c>
      <c r="H8" s="2">
        <f t="shared" si="0"/>
        <v>14810</v>
      </c>
      <c r="I8" s="1">
        <v>45809</v>
      </c>
    </row>
    <row r="9" spans="1:9">
      <c r="A9">
        <v>12227</v>
      </c>
      <c r="B9" t="s">
        <v>769</v>
      </c>
      <c r="C9" t="s">
        <v>770</v>
      </c>
      <c r="D9" t="s">
        <v>771</v>
      </c>
      <c r="E9" t="s">
        <v>53</v>
      </c>
      <c r="F9" t="s">
        <v>169</v>
      </c>
      <c r="G9">
        <v>-7813736</v>
      </c>
      <c r="H9" s="2">
        <f t="shared" si="0"/>
        <v>7813736</v>
      </c>
      <c r="I9" s="1">
        <v>45809</v>
      </c>
    </row>
    <row r="10" spans="1:9">
      <c r="A10">
        <v>12227</v>
      </c>
      <c r="B10" t="s">
        <v>769</v>
      </c>
      <c r="C10" t="s">
        <v>770</v>
      </c>
      <c r="D10" t="s">
        <v>771</v>
      </c>
      <c r="E10" t="s">
        <v>57</v>
      </c>
      <c r="F10" t="s">
        <v>169</v>
      </c>
      <c r="G10">
        <v>-212400</v>
      </c>
      <c r="H10" s="2">
        <f t="shared" si="0"/>
        <v>212400</v>
      </c>
      <c r="I10" s="1">
        <v>45809</v>
      </c>
    </row>
    <row r="11" spans="1:9">
      <c r="A11">
        <v>12227</v>
      </c>
      <c r="B11" t="s">
        <v>769</v>
      </c>
      <c r="C11" t="s">
        <v>770</v>
      </c>
      <c r="D11" t="s">
        <v>771</v>
      </c>
      <c r="E11" t="s">
        <v>60</v>
      </c>
      <c r="F11" t="s">
        <v>169</v>
      </c>
      <c r="G11">
        <v>-140420</v>
      </c>
      <c r="H11" s="2">
        <f t="shared" si="0"/>
        <v>140420</v>
      </c>
      <c r="I11" s="1">
        <v>45809</v>
      </c>
    </row>
    <row r="12" spans="1:9">
      <c r="A12">
        <v>12227</v>
      </c>
      <c r="B12" t="s">
        <v>769</v>
      </c>
      <c r="C12" t="s">
        <v>770</v>
      </c>
      <c r="D12" t="s">
        <v>771</v>
      </c>
      <c r="E12" t="s">
        <v>11</v>
      </c>
      <c r="F12" t="s">
        <v>169</v>
      </c>
      <c r="G12">
        <v>-124733.34</v>
      </c>
      <c r="H12" s="2">
        <f t="shared" si="0"/>
        <v>124733.34</v>
      </c>
      <c r="I12" s="1">
        <v>45809</v>
      </c>
    </row>
    <row r="13" spans="1:9">
      <c r="A13">
        <v>12227</v>
      </c>
      <c r="B13" t="s">
        <v>769</v>
      </c>
      <c r="C13" t="s">
        <v>770</v>
      </c>
      <c r="D13" t="s">
        <v>771</v>
      </c>
      <c r="E13" t="s">
        <v>775</v>
      </c>
      <c r="F13" t="s">
        <v>169</v>
      </c>
      <c r="G13">
        <v>-301478.34</v>
      </c>
      <c r="H13" s="2">
        <f t="shared" si="0"/>
        <v>301478.34</v>
      </c>
      <c r="I13" s="1">
        <v>45809</v>
      </c>
    </row>
    <row r="14" spans="1:9">
      <c r="A14">
        <v>12227</v>
      </c>
      <c r="B14" t="s">
        <v>769</v>
      </c>
      <c r="C14" t="s">
        <v>770</v>
      </c>
      <c r="D14" t="s">
        <v>771</v>
      </c>
      <c r="E14" t="s">
        <v>776</v>
      </c>
      <c r="F14" t="s">
        <v>169</v>
      </c>
      <c r="G14">
        <v>-720214.34</v>
      </c>
      <c r="H14" s="2">
        <f t="shared" si="0"/>
        <v>720214.34</v>
      </c>
      <c r="I14" s="1">
        <v>45809</v>
      </c>
    </row>
    <row r="15" spans="1:9">
      <c r="A15">
        <v>12227</v>
      </c>
      <c r="B15" t="s">
        <v>769</v>
      </c>
      <c r="C15" t="s">
        <v>770</v>
      </c>
      <c r="D15" t="s">
        <v>771</v>
      </c>
      <c r="E15" t="s">
        <v>777</v>
      </c>
      <c r="F15" t="s">
        <v>169</v>
      </c>
      <c r="G15">
        <v>-4493156.36</v>
      </c>
      <c r="H15" s="2">
        <f t="shared" si="0"/>
        <v>4493156.36</v>
      </c>
      <c r="I15" s="1">
        <v>45809</v>
      </c>
    </row>
    <row r="16" spans="1:9">
      <c r="A16">
        <v>12227</v>
      </c>
      <c r="B16" t="s">
        <v>769</v>
      </c>
      <c r="C16" t="s">
        <v>770</v>
      </c>
      <c r="D16" t="s">
        <v>771</v>
      </c>
      <c r="E16" t="s">
        <v>133</v>
      </c>
      <c r="F16" t="s">
        <v>169</v>
      </c>
      <c r="G16">
        <v>-310632</v>
      </c>
      <c r="H16" s="2">
        <f t="shared" si="0"/>
        <v>310632</v>
      </c>
      <c r="I16" s="1">
        <v>45809</v>
      </c>
    </row>
    <row r="17" hidden="1" spans="1:9">
      <c r="A17">
        <v>33875</v>
      </c>
      <c r="B17" t="s">
        <v>769</v>
      </c>
      <c r="C17" t="s">
        <v>778</v>
      </c>
      <c r="D17" t="s">
        <v>779</v>
      </c>
      <c r="E17" t="s">
        <v>13</v>
      </c>
      <c r="F17" t="s">
        <v>169</v>
      </c>
      <c r="G17">
        <v>1</v>
      </c>
      <c r="H17" s="2">
        <f t="shared" si="0"/>
        <v>1</v>
      </c>
      <c r="I17" s="1">
        <v>45809</v>
      </c>
    </row>
    <row r="18" hidden="1" spans="1:9">
      <c r="A18">
        <v>17716</v>
      </c>
      <c r="B18" t="s">
        <v>769</v>
      </c>
      <c r="C18" t="s">
        <v>780</v>
      </c>
      <c r="D18" t="s">
        <v>781</v>
      </c>
      <c r="E18" t="s">
        <v>65</v>
      </c>
      <c r="F18" t="s">
        <v>169</v>
      </c>
      <c r="G18">
        <v>0.4</v>
      </c>
      <c r="H18" s="2">
        <f t="shared" si="0"/>
        <v>0.4</v>
      </c>
      <c r="I18" s="1">
        <v>45810</v>
      </c>
    </row>
    <row r="19" hidden="1" spans="1:9">
      <c r="A19">
        <v>17717</v>
      </c>
      <c r="B19" t="s">
        <v>782</v>
      </c>
      <c r="C19" t="s">
        <v>783</v>
      </c>
      <c r="D19" t="s">
        <v>783</v>
      </c>
      <c r="E19" t="s">
        <v>65</v>
      </c>
      <c r="F19" t="s">
        <v>169</v>
      </c>
      <c r="G19">
        <v>451314.6</v>
      </c>
      <c r="H19" s="2">
        <f t="shared" si="0"/>
        <v>451314.6</v>
      </c>
      <c r="I19" s="1">
        <v>45810</v>
      </c>
    </row>
    <row r="20" hidden="1" spans="1:9">
      <c r="A20">
        <v>20978</v>
      </c>
      <c r="B20" t="s">
        <v>769</v>
      </c>
      <c r="C20" t="s">
        <v>784</v>
      </c>
      <c r="D20" t="s">
        <v>785</v>
      </c>
      <c r="E20" t="s">
        <v>142</v>
      </c>
      <c r="F20" t="s">
        <v>169</v>
      </c>
      <c r="G20">
        <v>147648</v>
      </c>
      <c r="H20" s="2">
        <f t="shared" si="0"/>
        <v>147648</v>
      </c>
      <c r="I20" s="1">
        <v>45810</v>
      </c>
    </row>
    <row r="21" hidden="1" spans="1:9">
      <c r="A21">
        <v>20978</v>
      </c>
      <c r="B21" t="s">
        <v>769</v>
      </c>
      <c r="C21" t="s">
        <v>784</v>
      </c>
      <c r="D21" t="s">
        <v>785</v>
      </c>
      <c r="E21" t="s">
        <v>142</v>
      </c>
      <c r="F21" t="s">
        <v>169</v>
      </c>
      <c r="G21">
        <v>2051624</v>
      </c>
      <c r="H21" s="2">
        <f t="shared" si="0"/>
        <v>2051624</v>
      </c>
      <c r="I21" s="1">
        <v>45810</v>
      </c>
    </row>
    <row r="22" hidden="1" spans="1:9">
      <c r="A22">
        <v>20978</v>
      </c>
      <c r="B22" t="s">
        <v>769</v>
      </c>
      <c r="C22" t="s">
        <v>784</v>
      </c>
      <c r="D22" t="s">
        <v>785</v>
      </c>
      <c r="E22" t="s">
        <v>141</v>
      </c>
      <c r="F22" t="s">
        <v>169</v>
      </c>
      <c r="G22">
        <v>22066</v>
      </c>
      <c r="H22" s="2">
        <f t="shared" si="0"/>
        <v>22066</v>
      </c>
      <c r="I22" s="1">
        <v>45810</v>
      </c>
    </row>
    <row r="23" hidden="1" spans="1:9">
      <c r="A23">
        <v>20978</v>
      </c>
      <c r="B23" t="s">
        <v>769</v>
      </c>
      <c r="C23" t="s">
        <v>784</v>
      </c>
      <c r="D23" t="s">
        <v>785</v>
      </c>
      <c r="E23" t="s">
        <v>141</v>
      </c>
      <c r="F23" t="s">
        <v>169</v>
      </c>
      <c r="G23">
        <v>394203</v>
      </c>
      <c r="H23" s="2">
        <f t="shared" si="0"/>
        <v>394203</v>
      </c>
      <c r="I23" s="1">
        <v>45810</v>
      </c>
    </row>
    <row r="24" hidden="1" spans="1:9">
      <c r="A24">
        <v>20978</v>
      </c>
      <c r="B24" t="s">
        <v>769</v>
      </c>
      <c r="C24" t="s">
        <v>784</v>
      </c>
      <c r="D24" t="s">
        <v>785</v>
      </c>
      <c r="E24" t="s">
        <v>141</v>
      </c>
      <c r="F24" t="s">
        <v>169</v>
      </c>
      <c r="G24">
        <v>201190</v>
      </c>
      <c r="H24" s="2">
        <f t="shared" si="0"/>
        <v>201190</v>
      </c>
      <c r="I24" s="1">
        <v>45810</v>
      </c>
    </row>
    <row r="25" hidden="1" spans="1:9">
      <c r="A25">
        <v>20978</v>
      </c>
      <c r="B25" t="s">
        <v>769</v>
      </c>
      <c r="C25" t="s">
        <v>784</v>
      </c>
      <c r="D25" t="s">
        <v>785</v>
      </c>
      <c r="E25" t="s">
        <v>140</v>
      </c>
      <c r="F25" t="s">
        <v>169</v>
      </c>
      <c r="G25">
        <v>603479</v>
      </c>
      <c r="H25" s="2">
        <f t="shared" si="0"/>
        <v>603479</v>
      </c>
      <c r="I25" s="1">
        <v>45810</v>
      </c>
    </row>
    <row r="26" hidden="1" spans="1:9">
      <c r="A26">
        <v>20978</v>
      </c>
      <c r="B26" t="s">
        <v>769</v>
      </c>
      <c r="C26" t="s">
        <v>784</v>
      </c>
      <c r="D26" t="s">
        <v>785</v>
      </c>
      <c r="E26" t="s">
        <v>140</v>
      </c>
      <c r="F26" t="s">
        <v>169</v>
      </c>
      <c r="G26">
        <v>719741</v>
      </c>
      <c r="H26" s="2">
        <f t="shared" si="0"/>
        <v>719741</v>
      </c>
      <c r="I26" s="1">
        <v>45810</v>
      </c>
    </row>
    <row r="27" hidden="1" spans="1:9">
      <c r="A27">
        <v>20978</v>
      </c>
      <c r="B27" t="s">
        <v>769</v>
      </c>
      <c r="C27" t="s">
        <v>784</v>
      </c>
      <c r="D27" t="s">
        <v>785</v>
      </c>
      <c r="E27" t="s">
        <v>140</v>
      </c>
      <c r="F27" t="s">
        <v>169</v>
      </c>
      <c r="G27">
        <v>13339180</v>
      </c>
      <c r="H27" s="2">
        <f t="shared" si="0"/>
        <v>13339180</v>
      </c>
      <c r="I27" s="1">
        <v>45810</v>
      </c>
    </row>
    <row r="28" hidden="1" spans="1:9">
      <c r="A28">
        <v>20978</v>
      </c>
      <c r="B28" t="s">
        <v>769</v>
      </c>
      <c r="C28" t="s">
        <v>784</v>
      </c>
      <c r="D28" t="s">
        <v>785</v>
      </c>
      <c r="E28" t="s">
        <v>138</v>
      </c>
      <c r="F28" t="s">
        <v>169</v>
      </c>
      <c r="G28">
        <v>17417122</v>
      </c>
      <c r="H28" s="2">
        <f t="shared" si="0"/>
        <v>17417122</v>
      </c>
      <c r="I28" s="1">
        <v>45810</v>
      </c>
    </row>
    <row r="29" hidden="1" spans="1:9">
      <c r="A29">
        <v>20978</v>
      </c>
      <c r="B29" t="s">
        <v>769</v>
      </c>
      <c r="C29" t="s">
        <v>784</v>
      </c>
      <c r="D29" t="s">
        <v>785</v>
      </c>
      <c r="E29" t="s">
        <v>138</v>
      </c>
      <c r="F29" t="s">
        <v>169</v>
      </c>
      <c r="G29">
        <v>7742331</v>
      </c>
      <c r="H29" s="2">
        <f t="shared" si="0"/>
        <v>7742331</v>
      </c>
      <c r="I29" s="1">
        <v>45810</v>
      </c>
    </row>
    <row r="30" hidden="1" spans="1:9">
      <c r="A30">
        <v>20978</v>
      </c>
      <c r="B30" t="s">
        <v>769</v>
      </c>
      <c r="C30" t="s">
        <v>784</v>
      </c>
      <c r="D30" t="s">
        <v>785</v>
      </c>
      <c r="E30" t="s">
        <v>138</v>
      </c>
      <c r="F30" t="s">
        <v>169</v>
      </c>
      <c r="G30">
        <v>46557321</v>
      </c>
      <c r="H30" s="2">
        <f t="shared" si="0"/>
        <v>46557321</v>
      </c>
      <c r="I30" s="1">
        <v>45810</v>
      </c>
    </row>
    <row r="31" hidden="1" spans="1:9">
      <c r="A31">
        <v>21682</v>
      </c>
      <c r="B31" t="s">
        <v>782</v>
      </c>
      <c r="C31" t="s">
        <v>786</v>
      </c>
      <c r="D31" t="s">
        <v>786</v>
      </c>
      <c r="E31" t="s">
        <v>787</v>
      </c>
      <c r="F31" t="s">
        <v>169</v>
      </c>
      <c r="G31">
        <v>1298000</v>
      </c>
      <c r="H31" s="2">
        <f t="shared" si="0"/>
        <v>1298000</v>
      </c>
      <c r="I31" s="1">
        <v>45810</v>
      </c>
    </row>
    <row r="32" hidden="1" spans="1:9">
      <c r="A32">
        <v>21685</v>
      </c>
      <c r="B32" t="s">
        <v>782</v>
      </c>
      <c r="C32" t="s">
        <v>788</v>
      </c>
      <c r="D32" t="s">
        <v>788</v>
      </c>
      <c r="E32" t="s">
        <v>776</v>
      </c>
      <c r="F32" t="s">
        <v>169</v>
      </c>
      <c r="G32">
        <v>2360000</v>
      </c>
      <c r="H32" s="2">
        <f t="shared" si="0"/>
        <v>2360000</v>
      </c>
      <c r="I32" s="1">
        <v>45810</v>
      </c>
    </row>
    <row r="33" spans="1:9">
      <c r="A33">
        <v>21692</v>
      </c>
      <c r="B33" t="s">
        <v>769</v>
      </c>
      <c r="C33" t="s">
        <v>789</v>
      </c>
      <c r="D33" t="s">
        <v>790</v>
      </c>
      <c r="E33" t="s">
        <v>787</v>
      </c>
      <c r="F33" t="s">
        <v>169</v>
      </c>
      <c r="G33">
        <v>-0.18</v>
      </c>
      <c r="H33" s="2">
        <f t="shared" si="0"/>
        <v>0.18</v>
      </c>
      <c r="I33" s="1">
        <v>45810</v>
      </c>
    </row>
    <row r="34" hidden="1" spans="1:9">
      <c r="A34">
        <v>21693</v>
      </c>
      <c r="B34" t="s">
        <v>782</v>
      </c>
      <c r="C34" t="s">
        <v>791</v>
      </c>
      <c r="D34" t="s">
        <v>791</v>
      </c>
      <c r="E34" t="s">
        <v>787</v>
      </c>
      <c r="F34" t="s">
        <v>169</v>
      </c>
      <c r="G34">
        <v>2208962.14</v>
      </c>
      <c r="H34" s="2">
        <f t="shared" si="0"/>
        <v>2208962.14</v>
      </c>
      <c r="I34" s="1">
        <v>45810</v>
      </c>
    </row>
    <row r="35" hidden="1" spans="1:9">
      <c r="A35">
        <v>21784</v>
      </c>
      <c r="B35" t="s">
        <v>782</v>
      </c>
      <c r="C35" t="s">
        <v>792</v>
      </c>
      <c r="D35" t="s">
        <v>792</v>
      </c>
      <c r="E35" t="s">
        <v>47</v>
      </c>
      <c r="F35" t="s">
        <v>169</v>
      </c>
      <c r="G35">
        <v>2135210</v>
      </c>
      <c r="H35" s="2">
        <f t="shared" si="0"/>
        <v>2135210</v>
      </c>
      <c r="I35" s="1">
        <v>45810</v>
      </c>
    </row>
    <row r="36" hidden="1" spans="1:9">
      <c r="A36">
        <v>21786</v>
      </c>
      <c r="B36" t="s">
        <v>782</v>
      </c>
      <c r="C36" t="s">
        <v>793</v>
      </c>
      <c r="D36" t="s">
        <v>793</v>
      </c>
      <c r="E36" t="s">
        <v>47</v>
      </c>
      <c r="F36" t="s">
        <v>169</v>
      </c>
      <c r="G36">
        <v>1394052</v>
      </c>
      <c r="H36" s="2">
        <f t="shared" si="0"/>
        <v>1394052</v>
      </c>
      <c r="I36" s="1">
        <v>45810</v>
      </c>
    </row>
    <row r="37" spans="1:9">
      <c r="A37">
        <v>21788</v>
      </c>
      <c r="B37" t="s">
        <v>769</v>
      </c>
      <c r="C37" t="s">
        <v>794</v>
      </c>
      <c r="D37" t="s">
        <v>795</v>
      </c>
      <c r="E37" t="s">
        <v>128</v>
      </c>
      <c r="F37" t="s">
        <v>169</v>
      </c>
      <c r="G37">
        <v>-0.16</v>
      </c>
      <c r="H37" s="2">
        <f t="shared" si="0"/>
        <v>0.16</v>
      </c>
      <c r="I37" s="1">
        <v>45810</v>
      </c>
    </row>
    <row r="38" hidden="1" spans="1:9">
      <c r="A38">
        <v>21789</v>
      </c>
      <c r="B38" t="s">
        <v>782</v>
      </c>
      <c r="C38" t="s">
        <v>796</v>
      </c>
      <c r="D38" t="s">
        <v>796</v>
      </c>
      <c r="E38" t="s">
        <v>128</v>
      </c>
      <c r="F38" t="s">
        <v>169</v>
      </c>
      <c r="G38">
        <v>266696.16</v>
      </c>
      <c r="H38" s="2">
        <f t="shared" si="0"/>
        <v>266696.16</v>
      </c>
      <c r="I38" s="1">
        <v>45810</v>
      </c>
    </row>
    <row r="39" spans="1:9">
      <c r="A39">
        <v>21790</v>
      </c>
      <c r="B39" t="s">
        <v>769</v>
      </c>
      <c r="C39" t="s">
        <v>797</v>
      </c>
      <c r="D39" t="s">
        <v>798</v>
      </c>
      <c r="E39" t="s">
        <v>18</v>
      </c>
      <c r="F39" t="s">
        <v>169</v>
      </c>
      <c r="G39">
        <v>-0.3</v>
      </c>
      <c r="H39" s="2">
        <f t="shared" si="0"/>
        <v>0.3</v>
      </c>
      <c r="I39" s="1">
        <v>45810</v>
      </c>
    </row>
    <row r="40" hidden="1" spans="1:9">
      <c r="A40">
        <v>21791</v>
      </c>
      <c r="B40" t="s">
        <v>782</v>
      </c>
      <c r="C40" t="s">
        <v>799</v>
      </c>
      <c r="D40" t="s">
        <v>799</v>
      </c>
      <c r="E40" t="s">
        <v>18</v>
      </c>
      <c r="F40" t="s">
        <v>169</v>
      </c>
      <c r="G40">
        <v>497588.3</v>
      </c>
      <c r="H40" s="2">
        <f t="shared" si="0"/>
        <v>497588.3</v>
      </c>
      <c r="I40" s="1">
        <v>45810</v>
      </c>
    </row>
    <row r="41" hidden="1" spans="1:9">
      <c r="A41">
        <v>21792</v>
      </c>
      <c r="B41" t="s">
        <v>769</v>
      </c>
      <c r="C41" t="s">
        <v>800</v>
      </c>
      <c r="D41" t="s">
        <v>801</v>
      </c>
      <c r="E41" t="s">
        <v>69</v>
      </c>
      <c r="F41" t="s">
        <v>169</v>
      </c>
      <c r="G41">
        <v>0.5</v>
      </c>
      <c r="H41" s="2">
        <f t="shared" si="0"/>
        <v>0.5</v>
      </c>
      <c r="I41" s="1">
        <v>45810</v>
      </c>
    </row>
    <row r="42" hidden="1" spans="1:9">
      <c r="A42">
        <v>21793</v>
      </c>
      <c r="B42" t="s">
        <v>782</v>
      </c>
      <c r="C42" t="s">
        <v>802</v>
      </c>
      <c r="D42" t="s">
        <v>802</v>
      </c>
      <c r="E42" t="s">
        <v>69</v>
      </c>
      <c r="F42" t="s">
        <v>169</v>
      </c>
      <c r="G42">
        <v>290427.5</v>
      </c>
      <c r="H42" s="2">
        <f t="shared" si="0"/>
        <v>290427.5</v>
      </c>
      <c r="I42" s="1">
        <v>45810</v>
      </c>
    </row>
    <row r="43" hidden="1" spans="1:9">
      <c r="A43">
        <v>21795</v>
      </c>
      <c r="B43" t="s">
        <v>782</v>
      </c>
      <c r="C43" t="s">
        <v>803</v>
      </c>
      <c r="D43" t="s">
        <v>803</v>
      </c>
      <c r="E43" t="s">
        <v>787</v>
      </c>
      <c r="F43" t="s">
        <v>169</v>
      </c>
      <c r="G43">
        <v>148680</v>
      </c>
      <c r="H43" s="2">
        <f t="shared" si="0"/>
        <v>148680</v>
      </c>
      <c r="I43" s="1">
        <v>45810</v>
      </c>
    </row>
    <row r="44" spans="1:9">
      <c r="A44">
        <v>22524</v>
      </c>
      <c r="B44" t="s">
        <v>769</v>
      </c>
      <c r="C44" t="s">
        <v>804</v>
      </c>
      <c r="D44" t="s">
        <v>805</v>
      </c>
      <c r="E44" t="s">
        <v>39</v>
      </c>
      <c r="F44" t="s">
        <v>169</v>
      </c>
      <c r="G44">
        <v>-0.3</v>
      </c>
      <c r="H44" s="2">
        <f t="shared" si="0"/>
        <v>0.3</v>
      </c>
      <c r="I44" s="1">
        <v>45810</v>
      </c>
    </row>
    <row r="45" hidden="1" spans="1:9">
      <c r="A45">
        <v>22525</v>
      </c>
      <c r="B45" t="s">
        <v>782</v>
      </c>
      <c r="C45" t="s">
        <v>806</v>
      </c>
      <c r="D45" t="s">
        <v>806</v>
      </c>
      <c r="E45" t="s">
        <v>39</v>
      </c>
      <c r="F45" t="s">
        <v>169</v>
      </c>
      <c r="G45">
        <v>716950.3</v>
      </c>
      <c r="H45" s="2">
        <f t="shared" si="0"/>
        <v>716950.3</v>
      </c>
      <c r="I45" s="1">
        <v>45810</v>
      </c>
    </row>
    <row r="46" spans="1:9">
      <c r="A46">
        <v>22719</v>
      </c>
      <c r="B46" t="s">
        <v>807</v>
      </c>
      <c r="C46" t="s">
        <v>808</v>
      </c>
      <c r="D46" t="s">
        <v>809</v>
      </c>
      <c r="E46" t="s">
        <v>47</v>
      </c>
      <c r="F46" t="s">
        <v>810</v>
      </c>
      <c r="G46">
        <v>-2438437.5</v>
      </c>
      <c r="H46" s="2">
        <f t="shared" si="0"/>
        <v>2438437.5</v>
      </c>
      <c r="I46" s="1">
        <v>45810</v>
      </c>
    </row>
    <row r="47" spans="1:9">
      <c r="A47">
        <v>22720</v>
      </c>
      <c r="B47" t="s">
        <v>811</v>
      </c>
      <c r="C47" t="s">
        <v>812</v>
      </c>
      <c r="D47" t="s">
        <v>162</v>
      </c>
      <c r="E47" t="s">
        <v>47</v>
      </c>
      <c r="F47" t="s">
        <v>810</v>
      </c>
      <c r="G47">
        <v>-69062.5</v>
      </c>
      <c r="H47" s="2">
        <f t="shared" si="0"/>
        <v>69062.5</v>
      </c>
      <c r="I47" s="1">
        <v>45810</v>
      </c>
    </row>
    <row r="48" spans="1:9">
      <c r="A48">
        <v>22721</v>
      </c>
      <c r="B48" t="s">
        <v>807</v>
      </c>
      <c r="C48" t="s">
        <v>813</v>
      </c>
      <c r="D48" t="s">
        <v>814</v>
      </c>
      <c r="E48" t="s">
        <v>80</v>
      </c>
      <c r="F48" t="s">
        <v>810</v>
      </c>
      <c r="G48">
        <v>-178367</v>
      </c>
      <c r="H48" s="2">
        <f t="shared" si="0"/>
        <v>178367</v>
      </c>
      <c r="I48" s="1">
        <v>45810</v>
      </c>
    </row>
    <row r="49" spans="1:9">
      <c r="A49">
        <v>22722</v>
      </c>
      <c r="B49" t="s">
        <v>811</v>
      </c>
      <c r="C49" t="s">
        <v>815</v>
      </c>
      <c r="D49" t="s">
        <v>162</v>
      </c>
      <c r="E49" t="s">
        <v>80</v>
      </c>
      <c r="F49" t="s">
        <v>810</v>
      </c>
      <c r="G49">
        <v>-16516</v>
      </c>
      <c r="H49" s="2">
        <f t="shared" si="0"/>
        <v>16516</v>
      </c>
      <c r="I49" s="1">
        <v>45810</v>
      </c>
    </row>
    <row r="50" hidden="1" spans="1:9">
      <c r="A50">
        <v>22723</v>
      </c>
      <c r="B50" t="s">
        <v>816</v>
      </c>
      <c r="C50" t="s">
        <v>817</v>
      </c>
      <c r="D50" t="s">
        <v>818</v>
      </c>
      <c r="E50" t="s">
        <v>776</v>
      </c>
      <c r="F50" t="s">
        <v>170</v>
      </c>
      <c r="G50">
        <v>15936.17</v>
      </c>
      <c r="H50" s="2">
        <f t="shared" si="0"/>
        <v>15936.17</v>
      </c>
      <c r="I50" s="1">
        <v>45810</v>
      </c>
    </row>
    <row r="51" spans="1:9">
      <c r="A51">
        <v>22724</v>
      </c>
      <c r="B51" t="s">
        <v>807</v>
      </c>
      <c r="C51" t="s">
        <v>819</v>
      </c>
      <c r="D51" t="s">
        <v>820</v>
      </c>
      <c r="E51" t="s">
        <v>102</v>
      </c>
      <c r="F51" t="s">
        <v>810</v>
      </c>
      <c r="G51">
        <v>-12760</v>
      </c>
      <c r="H51" s="2">
        <f t="shared" si="0"/>
        <v>12760</v>
      </c>
      <c r="I51" s="1">
        <v>45810</v>
      </c>
    </row>
    <row r="52" spans="1:9">
      <c r="A52">
        <v>22725</v>
      </c>
      <c r="B52" t="s">
        <v>811</v>
      </c>
      <c r="C52" t="s">
        <v>821</v>
      </c>
      <c r="D52" t="s">
        <v>162</v>
      </c>
      <c r="E52" t="s">
        <v>102</v>
      </c>
      <c r="F52" t="s">
        <v>810</v>
      </c>
      <c r="G52">
        <v>-220</v>
      </c>
      <c r="H52" s="2">
        <f t="shared" si="0"/>
        <v>220</v>
      </c>
      <c r="I52" s="1">
        <v>45810</v>
      </c>
    </row>
    <row r="53" hidden="1" spans="1:9">
      <c r="A53">
        <v>22726</v>
      </c>
      <c r="B53" t="s">
        <v>816</v>
      </c>
      <c r="C53" t="s">
        <v>822</v>
      </c>
      <c r="D53" t="s">
        <v>823</v>
      </c>
      <c r="E53" t="s">
        <v>13</v>
      </c>
      <c r="F53" t="s">
        <v>170</v>
      </c>
      <c r="G53">
        <v>1</v>
      </c>
      <c r="H53" s="2">
        <f t="shared" si="0"/>
        <v>1</v>
      </c>
      <c r="I53" s="1">
        <v>45810</v>
      </c>
    </row>
    <row r="54" hidden="1" spans="1:9">
      <c r="A54">
        <v>22939</v>
      </c>
      <c r="B54" t="s">
        <v>769</v>
      </c>
      <c r="C54" t="s">
        <v>824</v>
      </c>
      <c r="D54" t="s">
        <v>825</v>
      </c>
      <c r="E54" t="s">
        <v>95</v>
      </c>
      <c r="F54" t="s">
        <v>169</v>
      </c>
      <c r="G54">
        <v>0.04</v>
      </c>
      <c r="H54" s="2">
        <f t="shared" si="0"/>
        <v>0.04</v>
      </c>
      <c r="I54" s="1">
        <v>45810</v>
      </c>
    </row>
    <row r="55" hidden="1" spans="1:9">
      <c r="A55">
        <v>22940</v>
      </c>
      <c r="B55" t="s">
        <v>782</v>
      </c>
      <c r="C55" t="s">
        <v>826</v>
      </c>
      <c r="D55" t="s">
        <v>826</v>
      </c>
      <c r="E55" t="s">
        <v>95</v>
      </c>
      <c r="F55" t="s">
        <v>169</v>
      </c>
      <c r="G55">
        <v>419043.96</v>
      </c>
      <c r="H55" s="2">
        <f t="shared" si="0"/>
        <v>419043.96</v>
      </c>
      <c r="I55" s="1">
        <v>45810</v>
      </c>
    </row>
    <row r="56" hidden="1" spans="1:9">
      <c r="A56">
        <v>30795</v>
      </c>
      <c r="B56" t="s">
        <v>782</v>
      </c>
      <c r="C56" t="s">
        <v>827</v>
      </c>
      <c r="D56" t="s">
        <v>827</v>
      </c>
      <c r="E56" t="s">
        <v>787</v>
      </c>
      <c r="F56" t="s">
        <v>169</v>
      </c>
      <c r="G56">
        <v>802400</v>
      </c>
      <c r="H56" s="2">
        <f t="shared" si="0"/>
        <v>802400</v>
      </c>
      <c r="I56" s="1">
        <v>45810</v>
      </c>
    </row>
    <row r="57" hidden="1" spans="1:9">
      <c r="A57">
        <v>30800</v>
      </c>
      <c r="B57" t="s">
        <v>782</v>
      </c>
      <c r="C57" t="s">
        <v>828</v>
      </c>
      <c r="D57" t="s">
        <v>828</v>
      </c>
      <c r="E57" t="s">
        <v>69</v>
      </c>
      <c r="F57" t="s">
        <v>169</v>
      </c>
      <c r="G57">
        <v>236236</v>
      </c>
      <c r="H57" s="2">
        <f t="shared" si="0"/>
        <v>236236</v>
      </c>
      <c r="I57" s="1">
        <v>45810</v>
      </c>
    </row>
    <row r="58" spans="1:9">
      <c r="A58">
        <v>17738</v>
      </c>
      <c r="B58" t="s">
        <v>769</v>
      </c>
      <c r="C58" t="s">
        <v>829</v>
      </c>
      <c r="D58" t="s">
        <v>830</v>
      </c>
      <c r="E58" t="s">
        <v>135</v>
      </c>
      <c r="F58" t="s">
        <v>169</v>
      </c>
      <c r="G58">
        <v>-0.2</v>
      </c>
      <c r="H58" s="2">
        <f t="shared" si="0"/>
        <v>0.2</v>
      </c>
      <c r="I58" s="1">
        <v>45811</v>
      </c>
    </row>
    <row r="59" hidden="1" spans="1:9">
      <c r="A59">
        <v>17739</v>
      </c>
      <c r="B59" t="s">
        <v>782</v>
      </c>
      <c r="C59" t="s">
        <v>831</v>
      </c>
      <c r="D59" t="s">
        <v>831</v>
      </c>
      <c r="E59" t="s">
        <v>135</v>
      </c>
      <c r="F59" t="s">
        <v>169</v>
      </c>
      <c r="G59">
        <v>1413451.2</v>
      </c>
      <c r="H59" s="2">
        <f t="shared" si="0"/>
        <v>1413451.2</v>
      </c>
      <c r="I59" s="1">
        <v>45811</v>
      </c>
    </row>
    <row r="60" hidden="1" spans="1:9">
      <c r="A60">
        <v>21694</v>
      </c>
      <c r="B60" t="s">
        <v>769</v>
      </c>
      <c r="C60" t="s">
        <v>832</v>
      </c>
      <c r="D60" t="s">
        <v>833</v>
      </c>
      <c r="E60" t="s">
        <v>18</v>
      </c>
      <c r="F60" t="s">
        <v>169</v>
      </c>
      <c r="G60">
        <v>0.48</v>
      </c>
      <c r="H60" s="2">
        <f t="shared" si="0"/>
        <v>0.48</v>
      </c>
      <c r="I60" s="1">
        <v>45811</v>
      </c>
    </row>
    <row r="61" hidden="1" spans="1:9">
      <c r="A61">
        <v>21695</v>
      </c>
      <c r="B61" t="s">
        <v>782</v>
      </c>
      <c r="C61" t="s">
        <v>834</v>
      </c>
      <c r="D61" t="s">
        <v>834</v>
      </c>
      <c r="E61" t="s">
        <v>18</v>
      </c>
      <c r="F61" t="s">
        <v>169</v>
      </c>
      <c r="G61">
        <v>94416.52</v>
      </c>
      <c r="H61" s="2">
        <f t="shared" si="0"/>
        <v>94416.52</v>
      </c>
      <c r="I61" s="1">
        <v>45811</v>
      </c>
    </row>
    <row r="62" hidden="1" spans="1:9">
      <c r="A62">
        <v>21800</v>
      </c>
      <c r="B62" t="s">
        <v>769</v>
      </c>
      <c r="C62" t="s">
        <v>835</v>
      </c>
      <c r="D62" t="s">
        <v>836</v>
      </c>
      <c r="E62" t="s">
        <v>48</v>
      </c>
      <c r="F62" t="s">
        <v>169</v>
      </c>
      <c r="G62">
        <v>0.32</v>
      </c>
      <c r="H62" s="2">
        <f t="shared" si="0"/>
        <v>0.32</v>
      </c>
      <c r="I62" s="1">
        <v>45811</v>
      </c>
    </row>
    <row r="63" hidden="1" spans="1:9">
      <c r="A63">
        <v>21801</v>
      </c>
      <c r="B63" t="s">
        <v>782</v>
      </c>
      <c r="C63" t="s">
        <v>837</v>
      </c>
      <c r="D63" t="s">
        <v>837</v>
      </c>
      <c r="E63" t="s">
        <v>48</v>
      </c>
      <c r="F63" t="s">
        <v>169</v>
      </c>
      <c r="G63">
        <v>455333.68</v>
      </c>
      <c r="H63" s="2">
        <f t="shared" si="0"/>
        <v>455333.68</v>
      </c>
      <c r="I63" s="1">
        <v>45811</v>
      </c>
    </row>
    <row r="64" spans="1:9">
      <c r="A64">
        <v>22897</v>
      </c>
      <c r="B64" t="s">
        <v>807</v>
      </c>
      <c r="C64" t="s">
        <v>838</v>
      </c>
      <c r="D64" t="s">
        <v>839</v>
      </c>
      <c r="E64" t="s">
        <v>58</v>
      </c>
      <c r="F64" t="s">
        <v>169</v>
      </c>
      <c r="G64">
        <v>-505056.57</v>
      </c>
      <c r="H64" s="2">
        <f t="shared" si="0"/>
        <v>505056.57</v>
      </c>
      <c r="I64" s="1">
        <v>45811</v>
      </c>
    </row>
    <row r="65" spans="1:9">
      <c r="A65">
        <v>22899</v>
      </c>
      <c r="B65" t="s">
        <v>807</v>
      </c>
      <c r="C65" t="s">
        <v>840</v>
      </c>
      <c r="D65" t="s">
        <v>841</v>
      </c>
      <c r="E65" t="s">
        <v>842</v>
      </c>
      <c r="F65" t="s">
        <v>810</v>
      </c>
      <c r="G65">
        <v>-134956.8</v>
      </c>
      <c r="H65" s="2">
        <f t="shared" si="0"/>
        <v>134956.8</v>
      </c>
      <c r="I65" s="1">
        <v>45811</v>
      </c>
    </row>
    <row r="66" spans="1:9">
      <c r="A66">
        <v>22904</v>
      </c>
      <c r="B66" t="s">
        <v>807</v>
      </c>
      <c r="C66" t="s">
        <v>843</v>
      </c>
      <c r="D66" t="s">
        <v>844</v>
      </c>
      <c r="E66" t="s">
        <v>79</v>
      </c>
      <c r="F66" t="s">
        <v>810</v>
      </c>
      <c r="G66">
        <v>-17794927</v>
      </c>
      <c r="H66" s="2">
        <f t="shared" si="0"/>
        <v>17794927</v>
      </c>
      <c r="I66" s="1">
        <v>45811</v>
      </c>
    </row>
    <row r="67" hidden="1" spans="1:9">
      <c r="A67">
        <v>22914</v>
      </c>
      <c r="B67" t="s">
        <v>816</v>
      </c>
      <c r="C67" t="s">
        <v>845</v>
      </c>
      <c r="D67" t="s">
        <v>846</v>
      </c>
      <c r="E67" t="s">
        <v>776</v>
      </c>
      <c r="F67" t="s">
        <v>170</v>
      </c>
      <c r="G67">
        <v>16159.37</v>
      </c>
      <c r="H67" s="2">
        <f t="shared" ref="H67:H130" si="1">ABS(G67)</f>
        <v>16159.37</v>
      </c>
      <c r="I67" s="1">
        <v>45811</v>
      </c>
    </row>
    <row r="68" spans="1:9">
      <c r="A68">
        <v>25364</v>
      </c>
      <c r="B68" t="s">
        <v>847</v>
      </c>
      <c r="C68" t="s">
        <v>848</v>
      </c>
      <c r="D68" t="s">
        <v>848</v>
      </c>
      <c r="E68" t="s">
        <v>135</v>
      </c>
      <c r="F68" t="s">
        <v>810</v>
      </c>
      <c r="G68">
        <v>-1413451.2</v>
      </c>
      <c r="H68" s="2">
        <f t="shared" si="1"/>
        <v>1413451.2</v>
      </c>
      <c r="I68" s="1">
        <v>45811</v>
      </c>
    </row>
    <row r="69" hidden="1" spans="1:9">
      <c r="A69">
        <v>25374</v>
      </c>
      <c r="B69" t="s">
        <v>782</v>
      </c>
      <c r="C69" t="s">
        <v>849</v>
      </c>
      <c r="D69" t="s">
        <v>849</v>
      </c>
      <c r="E69" t="s">
        <v>850</v>
      </c>
      <c r="F69" t="s">
        <v>169</v>
      </c>
      <c r="G69">
        <v>172044.66</v>
      </c>
      <c r="H69" s="2">
        <f t="shared" si="1"/>
        <v>172044.66</v>
      </c>
      <c r="I69" s="1">
        <v>45811</v>
      </c>
    </row>
    <row r="70" hidden="1" spans="1:9">
      <c r="A70">
        <v>25376</v>
      </c>
      <c r="B70" t="s">
        <v>769</v>
      </c>
      <c r="C70" t="s">
        <v>851</v>
      </c>
      <c r="D70" t="s">
        <v>852</v>
      </c>
      <c r="E70" t="s">
        <v>850</v>
      </c>
      <c r="F70" t="s">
        <v>169</v>
      </c>
      <c r="G70">
        <v>0.34</v>
      </c>
      <c r="H70" s="2">
        <f t="shared" si="1"/>
        <v>0.34</v>
      </c>
      <c r="I70" s="1">
        <v>45811</v>
      </c>
    </row>
    <row r="71" spans="1:9">
      <c r="A71">
        <v>54640</v>
      </c>
      <c r="B71" t="s">
        <v>807</v>
      </c>
      <c r="C71" t="s">
        <v>853</v>
      </c>
      <c r="D71" t="s">
        <v>854</v>
      </c>
      <c r="E71" t="s">
        <v>48</v>
      </c>
      <c r="F71" t="s">
        <v>810</v>
      </c>
      <c r="G71">
        <v>-3977904.83</v>
      </c>
      <c r="H71" s="2">
        <f t="shared" si="1"/>
        <v>3977904.83</v>
      </c>
      <c r="I71" s="1">
        <v>45811</v>
      </c>
    </row>
    <row r="72" spans="1:9">
      <c r="A72">
        <v>54641</v>
      </c>
      <c r="B72" t="s">
        <v>811</v>
      </c>
      <c r="C72" t="s">
        <v>855</v>
      </c>
      <c r="D72" t="s">
        <v>162</v>
      </c>
      <c r="E72" t="s">
        <v>48</v>
      </c>
      <c r="F72" t="s">
        <v>810</v>
      </c>
      <c r="G72">
        <v>-66223.17</v>
      </c>
      <c r="H72" s="2">
        <f t="shared" si="1"/>
        <v>66223.17</v>
      </c>
      <c r="I72" s="1">
        <v>45811</v>
      </c>
    </row>
    <row r="73" hidden="1" spans="1:9">
      <c r="A73">
        <v>17745</v>
      </c>
      <c r="B73" t="s">
        <v>782</v>
      </c>
      <c r="C73" t="s">
        <v>856</v>
      </c>
      <c r="D73" t="s">
        <v>856</v>
      </c>
      <c r="E73" t="s">
        <v>857</v>
      </c>
      <c r="F73" t="s">
        <v>169</v>
      </c>
      <c r="G73">
        <v>14160</v>
      </c>
      <c r="H73" s="2">
        <f t="shared" si="1"/>
        <v>14160</v>
      </c>
      <c r="I73" s="1">
        <v>45812</v>
      </c>
    </row>
    <row r="74" hidden="1" spans="1:9">
      <c r="A74">
        <v>21698</v>
      </c>
      <c r="B74" t="s">
        <v>769</v>
      </c>
      <c r="C74" t="s">
        <v>858</v>
      </c>
      <c r="D74" t="s">
        <v>859</v>
      </c>
      <c r="E74" t="s">
        <v>48</v>
      </c>
      <c r="F74" t="s">
        <v>169</v>
      </c>
      <c r="G74">
        <v>0.38</v>
      </c>
      <c r="H74" s="2">
        <f t="shared" si="1"/>
        <v>0.38</v>
      </c>
      <c r="I74" s="1">
        <v>45812</v>
      </c>
    </row>
    <row r="75" hidden="1" spans="1:9">
      <c r="A75">
        <v>21699</v>
      </c>
      <c r="B75" t="s">
        <v>782</v>
      </c>
      <c r="C75" t="s">
        <v>860</v>
      </c>
      <c r="D75" t="s">
        <v>860</v>
      </c>
      <c r="E75" t="s">
        <v>48</v>
      </c>
      <c r="F75" t="s">
        <v>169</v>
      </c>
      <c r="G75">
        <v>3027772.62</v>
      </c>
      <c r="H75" s="2">
        <f t="shared" si="1"/>
        <v>3027772.62</v>
      </c>
      <c r="I75" s="1">
        <v>45812</v>
      </c>
    </row>
    <row r="76" hidden="1" spans="1:9">
      <c r="A76">
        <v>21805</v>
      </c>
      <c r="B76" t="s">
        <v>769</v>
      </c>
      <c r="C76" t="s">
        <v>861</v>
      </c>
      <c r="D76" t="s">
        <v>862</v>
      </c>
      <c r="E76" t="s">
        <v>80</v>
      </c>
      <c r="F76" t="s">
        <v>169</v>
      </c>
      <c r="G76">
        <v>0.19</v>
      </c>
      <c r="H76" s="2">
        <f t="shared" si="1"/>
        <v>0.19</v>
      </c>
      <c r="I76" s="1">
        <v>45812</v>
      </c>
    </row>
    <row r="77" hidden="1" spans="1:9">
      <c r="A77">
        <v>21806</v>
      </c>
      <c r="B77" t="s">
        <v>782</v>
      </c>
      <c r="C77" t="s">
        <v>863</v>
      </c>
      <c r="D77" t="s">
        <v>863</v>
      </c>
      <c r="E77" t="s">
        <v>80</v>
      </c>
      <c r="F77" t="s">
        <v>169</v>
      </c>
      <c r="G77">
        <v>52680.81</v>
      </c>
      <c r="H77" s="2">
        <f t="shared" si="1"/>
        <v>52680.81</v>
      </c>
      <c r="I77" s="1">
        <v>45812</v>
      </c>
    </row>
    <row r="78" hidden="1" spans="1:9">
      <c r="A78">
        <v>21814</v>
      </c>
      <c r="B78" t="s">
        <v>782</v>
      </c>
      <c r="C78" t="s">
        <v>864</v>
      </c>
      <c r="D78" t="s">
        <v>864</v>
      </c>
      <c r="E78" t="s">
        <v>16</v>
      </c>
      <c r="F78" t="s">
        <v>169</v>
      </c>
      <c r="G78">
        <v>42480</v>
      </c>
      <c r="H78" s="2">
        <f t="shared" si="1"/>
        <v>42480</v>
      </c>
      <c r="I78" s="1">
        <v>45812</v>
      </c>
    </row>
    <row r="79" hidden="1" spans="1:9">
      <c r="A79">
        <v>21815</v>
      </c>
      <c r="B79" t="s">
        <v>782</v>
      </c>
      <c r="C79" t="s">
        <v>865</v>
      </c>
      <c r="D79" t="s">
        <v>865</v>
      </c>
      <c r="E79" t="s">
        <v>866</v>
      </c>
      <c r="F79" t="s">
        <v>169</v>
      </c>
      <c r="G79">
        <v>196116</v>
      </c>
      <c r="H79" s="2">
        <f t="shared" si="1"/>
        <v>196116</v>
      </c>
      <c r="I79" s="1">
        <v>45812</v>
      </c>
    </row>
    <row r="80" spans="1:9">
      <c r="A80">
        <v>21818</v>
      </c>
      <c r="B80" t="s">
        <v>769</v>
      </c>
      <c r="C80" t="s">
        <v>867</v>
      </c>
      <c r="D80" t="s">
        <v>868</v>
      </c>
      <c r="E80" t="s">
        <v>18</v>
      </c>
      <c r="F80" t="s">
        <v>169</v>
      </c>
      <c r="G80">
        <v>-0.1</v>
      </c>
      <c r="H80" s="2">
        <f t="shared" si="1"/>
        <v>0.1</v>
      </c>
      <c r="I80" s="1">
        <v>45812</v>
      </c>
    </row>
    <row r="81" hidden="1" spans="1:9">
      <c r="A81">
        <v>21819</v>
      </c>
      <c r="B81" t="s">
        <v>782</v>
      </c>
      <c r="C81" t="s">
        <v>869</v>
      </c>
      <c r="D81" t="s">
        <v>869</v>
      </c>
      <c r="E81" t="s">
        <v>18</v>
      </c>
      <c r="F81" t="s">
        <v>169</v>
      </c>
      <c r="G81">
        <v>38875.1</v>
      </c>
      <c r="H81" s="2">
        <f t="shared" si="1"/>
        <v>38875.1</v>
      </c>
      <c r="I81" s="1">
        <v>45812</v>
      </c>
    </row>
    <row r="82" hidden="1" spans="1:9">
      <c r="A82">
        <v>21824</v>
      </c>
      <c r="B82" t="s">
        <v>782</v>
      </c>
      <c r="C82" t="s">
        <v>870</v>
      </c>
      <c r="D82" t="s">
        <v>870</v>
      </c>
      <c r="E82" t="s">
        <v>19</v>
      </c>
      <c r="F82" t="s">
        <v>169</v>
      </c>
      <c r="G82">
        <v>1298000</v>
      </c>
      <c r="H82" s="2">
        <f t="shared" si="1"/>
        <v>1298000</v>
      </c>
      <c r="I82" s="1">
        <v>45812</v>
      </c>
    </row>
    <row r="83" spans="1:9">
      <c r="A83">
        <v>22342</v>
      </c>
      <c r="B83" t="s">
        <v>769</v>
      </c>
      <c r="C83" t="s">
        <v>871</v>
      </c>
      <c r="D83" t="s">
        <v>872</v>
      </c>
      <c r="E83" t="s">
        <v>36</v>
      </c>
      <c r="F83" t="s">
        <v>169</v>
      </c>
      <c r="G83">
        <v>-0.16</v>
      </c>
      <c r="H83" s="2">
        <f t="shared" si="1"/>
        <v>0.16</v>
      </c>
      <c r="I83" s="1">
        <v>45812</v>
      </c>
    </row>
    <row r="84" hidden="1" spans="1:9">
      <c r="A84">
        <v>22343</v>
      </c>
      <c r="B84" t="s">
        <v>782</v>
      </c>
      <c r="C84" t="s">
        <v>873</v>
      </c>
      <c r="D84" t="s">
        <v>873</v>
      </c>
      <c r="E84" t="s">
        <v>36</v>
      </c>
      <c r="F84" t="s">
        <v>169</v>
      </c>
      <c r="G84">
        <v>1073991.16</v>
      </c>
      <c r="H84" s="2">
        <f t="shared" si="1"/>
        <v>1073991.16</v>
      </c>
      <c r="I84" s="1">
        <v>45812</v>
      </c>
    </row>
    <row r="85" spans="1:9">
      <c r="A85">
        <v>22346</v>
      </c>
      <c r="B85" t="s">
        <v>769</v>
      </c>
      <c r="C85" t="s">
        <v>874</v>
      </c>
      <c r="D85" t="s">
        <v>875</v>
      </c>
      <c r="E85" t="s">
        <v>85</v>
      </c>
      <c r="F85" t="s">
        <v>169</v>
      </c>
      <c r="G85">
        <v>-0.36</v>
      </c>
      <c r="H85" s="2">
        <f t="shared" si="1"/>
        <v>0.36</v>
      </c>
      <c r="I85" s="1">
        <v>45812</v>
      </c>
    </row>
    <row r="86" hidden="1" spans="1:9">
      <c r="A86">
        <v>22347</v>
      </c>
      <c r="B86" t="s">
        <v>782</v>
      </c>
      <c r="C86" t="s">
        <v>876</v>
      </c>
      <c r="D86" t="s">
        <v>876</v>
      </c>
      <c r="E86" t="s">
        <v>85</v>
      </c>
      <c r="F86" t="s">
        <v>169</v>
      </c>
      <c r="G86">
        <v>1223780.36</v>
      </c>
      <c r="H86" s="2">
        <f t="shared" si="1"/>
        <v>1223780.36</v>
      </c>
      <c r="I86" s="1">
        <v>45812</v>
      </c>
    </row>
    <row r="87" spans="1:9">
      <c r="A87">
        <v>22919</v>
      </c>
      <c r="B87" t="s">
        <v>807</v>
      </c>
      <c r="C87" t="s">
        <v>877</v>
      </c>
      <c r="D87" t="s">
        <v>878</v>
      </c>
      <c r="E87" t="s">
        <v>65</v>
      </c>
      <c r="F87" t="s">
        <v>810</v>
      </c>
      <c r="G87">
        <v>-407644.28</v>
      </c>
      <c r="H87" s="2">
        <f t="shared" si="1"/>
        <v>407644.28</v>
      </c>
      <c r="I87" s="1">
        <v>45812</v>
      </c>
    </row>
    <row r="88" spans="1:9">
      <c r="A88">
        <v>22923</v>
      </c>
      <c r="B88" t="s">
        <v>807</v>
      </c>
      <c r="C88" t="s">
        <v>879</v>
      </c>
      <c r="D88" t="s">
        <v>880</v>
      </c>
      <c r="E88" t="s">
        <v>62</v>
      </c>
      <c r="F88" t="s">
        <v>810</v>
      </c>
      <c r="G88">
        <v>-144918.8</v>
      </c>
      <c r="H88" s="2">
        <f t="shared" si="1"/>
        <v>144918.8</v>
      </c>
      <c r="I88" s="1">
        <v>45812</v>
      </c>
    </row>
    <row r="89" spans="1:9">
      <c r="A89">
        <v>22941</v>
      </c>
      <c r="B89" t="s">
        <v>807</v>
      </c>
      <c r="C89" t="s">
        <v>881</v>
      </c>
      <c r="D89" t="s">
        <v>882</v>
      </c>
      <c r="E89" t="s">
        <v>86</v>
      </c>
      <c r="F89" t="s">
        <v>810</v>
      </c>
      <c r="G89">
        <v>-7015.68</v>
      </c>
      <c r="H89" s="2">
        <f t="shared" si="1"/>
        <v>7015.68</v>
      </c>
      <c r="I89" s="1">
        <v>45812</v>
      </c>
    </row>
    <row r="90" hidden="1" spans="1:9">
      <c r="A90">
        <v>23494</v>
      </c>
      <c r="B90" t="s">
        <v>769</v>
      </c>
      <c r="C90" t="s">
        <v>883</v>
      </c>
      <c r="D90" t="s">
        <v>884</v>
      </c>
      <c r="E90" t="s">
        <v>885</v>
      </c>
      <c r="F90" t="s">
        <v>169</v>
      </c>
      <c r="G90">
        <v>0.16</v>
      </c>
      <c r="H90" s="2">
        <f t="shared" si="1"/>
        <v>0.16</v>
      </c>
      <c r="I90" s="1">
        <v>45812</v>
      </c>
    </row>
    <row r="91" hidden="1" spans="1:9">
      <c r="A91">
        <v>23495</v>
      </c>
      <c r="B91" t="s">
        <v>782</v>
      </c>
      <c r="C91" t="s">
        <v>886</v>
      </c>
      <c r="D91" t="s">
        <v>886</v>
      </c>
      <c r="E91" t="s">
        <v>885</v>
      </c>
      <c r="F91" t="s">
        <v>169</v>
      </c>
      <c r="G91">
        <v>31550.84</v>
      </c>
      <c r="H91" s="2">
        <f t="shared" si="1"/>
        <v>31550.84</v>
      </c>
      <c r="I91" s="1">
        <v>45812</v>
      </c>
    </row>
    <row r="92" hidden="1" spans="1:9">
      <c r="A92">
        <v>30803</v>
      </c>
      <c r="B92" t="s">
        <v>782</v>
      </c>
      <c r="C92" t="s">
        <v>887</v>
      </c>
      <c r="D92" t="s">
        <v>887</v>
      </c>
      <c r="E92" t="s">
        <v>18</v>
      </c>
      <c r="F92" t="s">
        <v>169</v>
      </c>
      <c r="G92">
        <v>66717.2</v>
      </c>
      <c r="H92" s="2">
        <f t="shared" si="1"/>
        <v>66717.2</v>
      </c>
      <c r="I92" s="1">
        <v>45812</v>
      </c>
    </row>
    <row r="93" hidden="1" spans="1:9">
      <c r="A93">
        <v>30805</v>
      </c>
      <c r="B93" t="s">
        <v>782</v>
      </c>
      <c r="C93" t="s">
        <v>888</v>
      </c>
      <c r="D93" t="s">
        <v>888</v>
      </c>
      <c r="E93" t="s">
        <v>18</v>
      </c>
      <c r="F93" t="s">
        <v>169</v>
      </c>
      <c r="G93">
        <v>1433067.28</v>
      </c>
      <c r="H93" s="2">
        <f t="shared" si="1"/>
        <v>1433067.28</v>
      </c>
      <c r="I93" s="1">
        <v>45812</v>
      </c>
    </row>
    <row r="94" spans="1:9">
      <c r="A94">
        <v>33132</v>
      </c>
      <c r="B94" t="s">
        <v>769</v>
      </c>
      <c r="C94" t="s">
        <v>889</v>
      </c>
      <c r="D94" t="s">
        <v>890</v>
      </c>
      <c r="E94" t="s">
        <v>18</v>
      </c>
      <c r="F94" t="s">
        <v>169</v>
      </c>
      <c r="G94">
        <v>-0.2</v>
      </c>
      <c r="H94" s="2">
        <f t="shared" si="1"/>
        <v>0.2</v>
      </c>
      <c r="I94" s="1">
        <v>45812</v>
      </c>
    </row>
    <row r="95" hidden="1" spans="1:9">
      <c r="A95">
        <v>33912</v>
      </c>
      <c r="B95" t="s">
        <v>816</v>
      </c>
      <c r="C95" t="s">
        <v>891</v>
      </c>
      <c r="D95" t="s">
        <v>892</v>
      </c>
      <c r="E95" t="s">
        <v>776</v>
      </c>
      <c r="F95" t="s">
        <v>170</v>
      </c>
      <c r="G95">
        <v>16100.89</v>
      </c>
      <c r="H95" s="2">
        <f t="shared" si="1"/>
        <v>16100.89</v>
      </c>
      <c r="I95" s="1">
        <v>45812</v>
      </c>
    </row>
    <row r="96" hidden="1" spans="1:9">
      <c r="A96">
        <v>34444</v>
      </c>
      <c r="B96" t="s">
        <v>782</v>
      </c>
      <c r="C96" t="s">
        <v>893</v>
      </c>
      <c r="D96" t="s">
        <v>893</v>
      </c>
      <c r="E96" t="s">
        <v>41</v>
      </c>
      <c r="F96" t="s">
        <v>169</v>
      </c>
      <c r="G96">
        <v>13837973.28</v>
      </c>
      <c r="H96" s="2">
        <f t="shared" si="1"/>
        <v>13837973.28</v>
      </c>
      <c r="I96" s="1">
        <v>45812</v>
      </c>
    </row>
    <row r="97" spans="1:9">
      <c r="A97">
        <v>34453</v>
      </c>
      <c r="B97" t="s">
        <v>769</v>
      </c>
      <c r="C97" t="s">
        <v>894</v>
      </c>
      <c r="D97" t="s">
        <v>895</v>
      </c>
      <c r="E97" t="s">
        <v>41</v>
      </c>
      <c r="F97" t="s">
        <v>169</v>
      </c>
      <c r="G97">
        <v>-0.28</v>
      </c>
      <c r="H97" s="2">
        <f t="shared" si="1"/>
        <v>0.28</v>
      </c>
      <c r="I97" s="1">
        <v>45812</v>
      </c>
    </row>
    <row r="98" hidden="1" spans="1:9">
      <c r="A98">
        <v>17795</v>
      </c>
      <c r="B98" t="s">
        <v>782</v>
      </c>
      <c r="C98" t="s">
        <v>896</v>
      </c>
      <c r="D98" t="s">
        <v>896</v>
      </c>
      <c r="E98" t="s">
        <v>775</v>
      </c>
      <c r="F98" t="s">
        <v>169</v>
      </c>
      <c r="G98">
        <v>6336600</v>
      </c>
      <c r="H98" s="2">
        <f t="shared" si="1"/>
        <v>6336600</v>
      </c>
      <c r="I98" s="1">
        <v>45813</v>
      </c>
    </row>
    <row r="99" spans="1:9">
      <c r="A99">
        <v>21834</v>
      </c>
      <c r="B99" t="s">
        <v>769</v>
      </c>
      <c r="C99" t="s">
        <v>897</v>
      </c>
      <c r="D99" t="s">
        <v>898</v>
      </c>
      <c r="E99" t="s">
        <v>842</v>
      </c>
      <c r="F99" t="s">
        <v>169</v>
      </c>
      <c r="G99">
        <v>-0.22</v>
      </c>
      <c r="H99" s="2">
        <f t="shared" si="1"/>
        <v>0.22</v>
      </c>
      <c r="I99" s="1">
        <v>45813</v>
      </c>
    </row>
    <row r="100" hidden="1" spans="1:9">
      <c r="A100">
        <v>21835</v>
      </c>
      <c r="B100" t="s">
        <v>782</v>
      </c>
      <c r="C100" t="s">
        <v>899</v>
      </c>
      <c r="D100" t="s">
        <v>899</v>
      </c>
      <c r="E100" t="s">
        <v>842</v>
      </c>
      <c r="F100" t="s">
        <v>169</v>
      </c>
      <c r="G100">
        <v>316569.22</v>
      </c>
      <c r="H100" s="2">
        <f t="shared" si="1"/>
        <v>316569.22</v>
      </c>
      <c r="I100" s="1">
        <v>45813</v>
      </c>
    </row>
    <row r="101" hidden="1" spans="1:9">
      <c r="A101">
        <v>21837</v>
      </c>
      <c r="B101" t="s">
        <v>782</v>
      </c>
      <c r="C101" t="s">
        <v>900</v>
      </c>
      <c r="D101" t="s">
        <v>900</v>
      </c>
      <c r="E101" t="s">
        <v>842</v>
      </c>
      <c r="F101" t="s">
        <v>169</v>
      </c>
      <c r="G101">
        <v>42834</v>
      </c>
      <c r="H101" s="2">
        <f t="shared" si="1"/>
        <v>42834</v>
      </c>
      <c r="I101" s="1">
        <v>45813</v>
      </c>
    </row>
    <row r="102" hidden="1" spans="1:9">
      <c r="A102">
        <v>21844</v>
      </c>
      <c r="B102" t="s">
        <v>769</v>
      </c>
      <c r="C102" t="s">
        <v>901</v>
      </c>
      <c r="D102" t="s">
        <v>902</v>
      </c>
      <c r="E102" t="s">
        <v>842</v>
      </c>
      <c r="F102" t="s">
        <v>169</v>
      </c>
      <c r="G102">
        <v>0.2</v>
      </c>
      <c r="H102" s="2">
        <f t="shared" si="1"/>
        <v>0.2</v>
      </c>
      <c r="I102" s="1">
        <v>45813</v>
      </c>
    </row>
    <row r="103" hidden="1" spans="1:9">
      <c r="A103">
        <v>21845</v>
      </c>
      <c r="B103" t="s">
        <v>782</v>
      </c>
      <c r="C103" t="s">
        <v>903</v>
      </c>
      <c r="D103" t="s">
        <v>903</v>
      </c>
      <c r="E103" t="s">
        <v>842</v>
      </c>
      <c r="F103" t="s">
        <v>169</v>
      </c>
      <c r="G103">
        <v>57890.8</v>
      </c>
      <c r="H103" s="2">
        <f t="shared" si="1"/>
        <v>57890.8</v>
      </c>
      <c r="I103" s="1">
        <v>45813</v>
      </c>
    </row>
    <row r="104" hidden="1" spans="1:9">
      <c r="A104">
        <v>21847</v>
      </c>
      <c r="B104" t="s">
        <v>782</v>
      </c>
      <c r="C104" t="s">
        <v>904</v>
      </c>
      <c r="D104" t="s">
        <v>904</v>
      </c>
      <c r="E104" t="s">
        <v>842</v>
      </c>
      <c r="F104" t="s">
        <v>169</v>
      </c>
      <c r="G104">
        <v>71390</v>
      </c>
      <c r="H104" s="2">
        <f t="shared" si="1"/>
        <v>71390</v>
      </c>
      <c r="I104" s="1">
        <v>45813</v>
      </c>
    </row>
    <row r="105" spans="1:9">
      <c r="A105">
        <v>21848</v>
      </c>
      <c r="B105" t="s">
        <v>769</v>
      </c>
      <c r="C105" t="s">
        <v>905</v>
      </c>
      <c r="D105" t="s">
        <v>906</v>
      </c>
      <c r="E105" t="s">
        <v>842</v>
      </c>
      <c r="F105" t="s">
        <v>169</v>
      </c>
      <c r="G105">
        <v>-0.2</v>
      </c>
      <c r="H105" s="2">
        <f t="shared" si="1"/>
        <v>0.2</v>
      </c>
      <c r="I105" s="1">
        <v>45813</v>
      </c>
    </row>
    <row r="106" hidden="1" spans="1:9">
      <c r="A106">
        <v>21849</v>
      </c>
      <c r="B106" t="s">
        <v>782</v>
      </c>
      <c r="C106" t="s">
        <v>907</v>
      </c>
      <c r="D106" t="s">
        <v>907</v>
      </c>
      <c r="E106" t="s">
        <v>842</v>
      </c>
      <c r="F106" t="s">
        <v>169</v>
      </c>
      <c r="G106">
        <v>96571.2</v>
      </c>
      <c r="H106" s="2">
        <f t="shared" si="1"/>
        <v>96571.2</v>
      </c>
      <c r="I106" s="1">
        <v>45813</v>
      </c>
    </row>
    <row r="107" spans="1:9">
      <c r="A107">
        <v>22944</v>
      </c>
      <c r="B107" t="s">
        <v>807</v>
      </c>
      <c r="C107" t="s">
        <v>908</v>
      </c>
      <c r="D107" t="s">
        <v>909</v>
      </c>
      <c r="E107" t="s">
        <v>910</v>
      </c>
      <c r="F107" t="s">
        <v>810</v>
      </c>
      <c r="G107">
        <v>-530646</v>
      </c>
      <c r="H107" s="2">
        <f t="shared" si="1"/>
        <v>530646</v>
      </c>
      <c r="I107" s="1">
        <v>45813</v>
      </c>
    </row>
    <row r="108" spans="1:9">
      <c r="A108">
        <v>22949</v>
      </c>
      <c r="B108" t="s">
        <v>807</v>
      </c>
      <c r="C108" t="s">
        <v>911</v>
      </c>
      <c r="D108" t="s">
        <v>912</v>
      </c>
      <c r="E108" t="s">
        <v>53</v>
      </c>
      <c r="F108" t="s">
        <v>810</v>
      </c>
      <c r="G108">
        <v>-70876</v>
      </c>
      <c r="H108" s="2">
        <f t="shared" si="1"/>
        <v>70876</v>
      </c>
      <c r="I108" s="1">
        <v>45813</v>
      </c>
    </row>
    <row r="109" hidden="1" spans="1:9">
      <c r="A109">
        <v>22951</v>
      </c>
      <c r="B109" t="s">
        <v>816</v>
      </c>
      <c r="C109" t="s">
        <v>913</v>
      </c>
      <c r="D109" t="s">
        <v>914</v>
      </c>
      <c r="E109" t="s">
        <v>776</v>
      </c>
      <c r="F109" t="s">
        <v>170</v>
      </c>
      <c r="G109">
        <v>64578.99</v>
      </c>
      <c r="H109" s="2">
        <f t="shared" si="1"/>
        <v>64578.99</v>
      </c>
      <c r="I109" s="1">
        <v>45813</v>
      </c>
    </row>
    <row r="110" spans="1:9">
      <c r="A110">
        <v>23054</v>
      </c>
      <c r="B110" t="s">
        <v>807</v>
      </c>
      <c r="C110" t="s">
        <v>915</v>
      </c>
      <c r="D110" t="s">
        <v>916</v>
      </c>
      <c r="E110" t="s">
        <v>910</v>
      </c>
      <c r="F110" t="s">
        <v>810</v>
      </c>
      <c r="G110">
        <v>-548319.87</v>
      </c>
      <c r="H110" s="2">
        <f t="shared" si="1"/>
        <v>548319.87</v>
      </c>
      <c r="I110" s="1">
        <v>45813</v>
      </c>
    </row>
    <row r="111" spans="1:9">
      <c r="A111">
        <v>23056</v>
      </c>
      <c r="B111" t="s">
        <v>807</v>
      </c>
      <c r="C111" t="s">
        <v>917</v>
      </c>
      <c r="D111" t="s">
        <v>918</v>
      </c>
      <c r="E111" t="s">
        <v>66</v>
      </c>
      <c r="F111" t="s">
        <v>810</v>
      </c>
      <c r="G111">
        <v>-36209.48</v>
      </c>
      <c r="H111" s="2">
        <f t="shared" si="1"/>
        <v>36209.48</v>
      </c>
      <c r="I111" s="1">
        <v>45813</v>
      </c>
    </row>
    <row r="112" spans="1:9">
      <c r="A112">
        <v>25368</v>
      </c>
      <c r="B112" t="s">
        <v>847</v>
      </c>
      <c r="C112" t="s">
        <v>919</v>
      </c>
      <c r="D112" t="s">
        <v>919</v>
      </c>
      <c r="E112" t="s">
        <v>920</v>
      </c>
      <c r="F112" t="s">
        <v>169</v>
      </c>
      <c r="G112">
        <v>-100294.1</v>
      </c>
      <c r="H112" s="2">
        <f t="shared" si="1"/>
        <v>100294.1</v>
      </c>
      <c r="I112" s="1">
        <v>45813</v>
      </c>
    </row>
    <row r="113" spans="1:9">
      <c r="A113">
        <v>25372</v>
      </c>
      <c r="B113" t="s">
        <v>847</v>
      </c>
      <c r="C113" t="s">
        <v>921</v>
      </c>
      <c r="D113" t="s">
        <v>921</v>
      </c>
      <c r="E113" t="s">
        <v>922</v>
      </c>
      <c r="F113" t="s">
        <v>169</v>
      </c>
      <c r="G113">
        <v>-102105.4</v>
      </c>
      <c r="H113" s="2">
        <f t="shared" si="1"/>
        <v>102105.4</v>
      </c>
      <c r="I113" s="1">
        <v>45813</v>
      </c>
    </row>
    <row r="114" spans="1:9">
      <c r="A114">
        <v>17800</v>
      </c>
      <c r="B114" t="s">
        <v>769</v>
      </c>
      <c r="C114" t="s">
        <v>923</v>
      </c>
      <c r="D114" t="s">
        <v>924</v>
      </c>
      <c r="E114" t="s">
        <v>857</v>
      </c>
      <c r="F114" t="s">
        <v>169</v>
      </c>
      <c r="G114">
        <v>-0.1</v>
      </c>
      <c r="H114" s="2">
        <f t="shared" si="1"/>
        <v>0.1</v>
      </c>
      <c r="I114" s="1">
        <v>45814</v>
      </c>
    </row>
    <row r="115" hidden="1" spans="1:9">
      <c r="A115">
        <v>17801</v>
      </c>
      <c r="B115" t="s">
        <v>782</v>
      </c>
      <c r="C115" t="s">
        <v>925</v>
      </c>
      <c r="D115" t="s">
        <v>925</v>
      </c>
      <c r="E115" t="s">
        <v>857</v>
      </c>
      <c r="F115" t="s">
        <v>169</v>
      </c>
      <c r="G115">
        <v>802984.1</v>
      </c>
      <c r="H115" s="2">
        <f t="shared" si="1"/>
        <v>802984.1</v>
      </c>
      <c r="I115" s="1">
        <v>45814</v>
      </c>
    </row>
    <row r="116" hidden="1" spans="1:9">
      <c r="A116">
        <v>21950</v>
      </c>
      <c r="B116" t="s">
        <v>769</v>
      </c>
      <c r="C116" t="s">
        <v>926</v>
      </c>
      <c r="D116" t="s">
        <v>927</v>
      </c>
      <c r="E116" t="s">
        <v>80</v>
      </c>
      <c r="F116" t="s">
        <v>169</v>
      </c>
      <c r="G116">
        <v>0.28</v>
      </c>
      <c r="H116" s="2">
        <f t="shared" si="1"/>
        <v>0.28</v>
      </c>
      <c r="I116" s="1">
        <v>45814</v>
      </c>
    </row>
    <row r="117" hidden="1" spans="1:9">
      <c r="A117">
        <v>21951</v>
      </c>
      <c r="B117" t="s">
        <v>782</v>
      </c>
      <c r="C117" t="s">
        <v>928</v>
      </c>
      <c r="D117" t="s">
        <v>928</v>
      </c>
      <c r="E117" t="s">
        <v>80</v>
      </c>
      <c r="F117" t="s">
        <v>169</v>
      </c>
      <c r="G117">
        <v>1271733.72</v>
      </c>
      <c r="H117" s="2">
        <f t="shared" si="1"/>
        <v>1271733.72</v>
      </c>
      <c r="I117" s="1">
        <v>45814</v>
      </c>
    </row>
    <row r="118" spans="1:9">
      <c r="A118">
        <v>21953</v>
      </c>
      <c r="B118" t="s">
        <v>769</v>
      </c>
      <c r="C118" t="s">
        <v>929</v>
      </c>
      <c r="D118" t="s">
        <v>930</v>
      </c>
      <c r="E118" t="s">
        <v>80</v>
      </c>
      <c r="F118" t="s">
        <v>169</v>
      </c>
      <c r="G118">
        <v>-0.4</v>
      </c>
      <c r="H118" s="2">
        <f t="shared" si="1"/>
        <v>0.4</v>
      </c>
      <c r="I118" s="1">
        <v>45814</v>
      </c>
    </row>
    <row r="119" hidden="1" spans="1:9">
      <c r="A119">
        <v>21954</v>
      </c>
      <c r="B119" t="s">
        <v>782</v>
      </c>
      <c r="C119" t="s">
        <v>931</v>
      </c>
      <c r="D119" t="s">
        <v>931</v>
      </c>
      <c r="E119" t="s">
        <v>80</v>
      </c>
      <c r="F119" t="s">
        <v>169</v>
      </c>
      <c r="G119">
        <v>54332.4</v>
      </c>
      <c r="H119" s="2">
        <f t="shared" si="1"/>
        <v>54332.4</v>
      </c>
      <c r="I119" s="1">
        <v>45814</v>
      </c>
    </row>
    <row r="120" hidden="1" spans="1:9">
      <c r="A120">
        <v>21957</v>
      </c>
      <c r="B120" t="s">
        <v>769</v>
      </c>
      <c r="C120" t="s">
        <v>932</v>
      </c>
      <c r="D120" t="s">
        <v>933</v>
      </c>
      <c r="E120" t="s">
        <v>23</v>
      </c>
      <c r="F120" t="s">
        <v>169</v>
      </c>
      <c r="G120">
        <v>0.4</v>
      </c>
      <c r="H120" s="2">
        <f t="shared" si="1"/>
        <v>0.4</v>
      </c>
      <c r="I120" s="1">
        <v>45814</v>
      </c>
    </row>
    <row r="121" hidden="1" spans="1:9">
      <c r="A121">
        <v>21958</v>
      </c>
      <c r="B121" t="s">
        <v>782</v>
      </c>
      <c r="C121" t="s">
        <v>934</v>
      </c>
      <c r="D121" t="s">
        <v>934</v>
      </c>
      <c r="E121" t="s">
        <v>23</v>
      </c>
      <c r="F121" t="s">
        <v>169</v>
      </c>
      <c r="G121">
        <v>178186.6</v>
      </c>
      <c r="H121" s="2">
        <f t="shared" si="1"/>
        <v>178186.6</v>
      </c>
      <c r="I121" s="1">
        <v>45814</v>
      </c>
    </row>
    <row r="122" hidden="1" spans="1:9">
      <c r="A122">
        <v>23060</v>
      </c>
      <c r="B122" t="s">
        <v>816</v>
      </c>
      <c r="C122" t="s">
        <v>935</v>
      </c>
      <c r="D122" t="s">
        <v>936</v>
      </c>
      <c r="E122" t="s">
        <v>937</v>
      </c>
      <c r="F122" t="s">
        <v>170</v>
      </c>
      <c r="G122">
        <v>2183074</v>
      </c>
      <c r="H122" s="2">
        <f t="shared" si="1"/>
        <v>2183074</v>
      </c>
      <c r="I122" s="1">
        <v>45814</v>
      </c>
    </row>
    <row r="123" spans="1:9">
      <c r="A123">
        <v>23118</v>
      </c>
      <c r="B123" t="s">
        <v>807</v>
      </c>
      <c r="C123" t="s">
        <v>938</v>
      </c>
      <c r="D123" t="s">
        <v>939</v>
      </c>
      <c r="E123" t="s">
        <v>54</v>
      </c>
      <c r="F123" t="s">
        <v>810</v>
      </c>
      <c r="G123">
        <v>-308157.82</v>
      </c>
      <c r="H123" s="2">
        <f t="shared" si="1"/>
        <v>308157.82</v>
      </c>
      <c r="I123" s="1">
        <v>45814</v>
      </c>
    </row>
    <row r="124" spans="1:9">
      <c r="A124">
        <v>23125</v>
      </c>
      <c r="B124" t="s">
        <v>807</v>
      </c>
      <c r="C124" t="s">
        <v>940</v>
      </c>
      <c r="D124" t="s">
        <v>941</v>
      </c>
      <c r="E124" t="s">
        <v>942</v>
      </c>
      <c r="F124" t="s">
        <v>810</v>
      </c>
      <c r="G124">
        <v>-9002125.54</v>
      </c>
      <c r="H124" s="2">
        <f t="shared" si="1"/>
        <v>9002125.54</v>
      </c>
      <c r="I124" s="1">
        <v>45814</v>
      </c>
    </row>
    <row r="125" spans="1:9">
      <c r="A125">
        <v>23129</v>
      </c>
      <c r="B125" t="s">
        <v>807</v>
      </c>
      <c r="C125" t="s">
        <v>943</v>
      </c>
      <c r="D125" t="s">
        <v>944</v>
      </c>
      <c r="E125" t="s">
        <v>842</v>
      </c>
      <c r="F125" t="s">
        <v>810</v>
      </c>
      <c r="G125">
        <v>-116121.01</v>
      </c>
      <c r="H125" s="2">
        <f t="shared" si="1"/>
        <v>116121.01</v>
      </c>
      <c r="I125" s="1">
        <v>45814</v>
      </c>
    </row>
    <row r="126" spans="1:9">
      <c r="A126">
        <v>23130</v>
      </c>
      <c r="B126" t="s">
        <v>811</v>
      </c>
      <c r="C126" t="s">
        <v>945</v>
      </c>
      <c r="D126" t="s">
        <v>162</v>
      </c>
      <c r="E126" t="s">
        <v>842</v>
      </c>
      <c r="F126" t="s">
        <v>810</v>
      </c>
      <c r="G126">
        <v>-10751.99</v>
      </c>
      <c r="H126" s="2">
        <f t="shared" si="1"/>
        <v>10751.99</v>
      </c>
      <c r="I126" s="1">
        <v>45814</v>
      </c>
    </row>
    <row r="127" spans="1:9">
      <c r="A127">
        <v>23133</v>
      </c>
      <c r="B127" t="s">
        <v>807</v>
      </c>
      <c r="C127" t="s">
        <v>946</v>
      </c>
      <c r="D127" t="s">
        <v>947</v>
      </c>
      <c r="E127" t="s">
        <v>842</v>
      </c>
      <c r="F127" t="s">
        <v>810</v>
      </c>
      <c r="G127">
        <v>-1101382.82</v>
      </c>
      <c r="H127" s="2">
        <f t="shared" si="1"/>
        <v>1101382.82</v>
      </c>
      <c r="I127" s="1">
        <v>45814</v>
      </c>
    </row>
    <row r="128" spans="1:9">
      <c r="A128">
        <v>23134</v>
      </c>
      <c r="B128" t="s">
        <v>811</v>
      </c>
      <c r="C128" t="s">
        <v>948</v>
      </c>
      <c r="D128" t="s">
        <v>162</v>
      </c>
      <c r="E128" t="s">
        <v>842</v>
      </c>
      <c r="F128" t="s">
        <v>810</v>
      </c>
      <c r="G128">
        <v>-101980.18</v>
      </c>
      <c r="H128" s="2">
        <f t="shared" si="1"/>
        <v>101980.18</v>
      </c>
      <c r="I128" s="1">
        <v>45814</v>
      </c>
    </row>
    <row r="129" spans="1:9">
      <c r="A129">
        <v>23146</v>
      </c>
      <c r="B129" t="s">
        <v>807</v>
      </c>
      <c r="C129" t="s">
        <v>949</v>
      </c>
      <c r="D129" t="s">
        <v>950</v>
      </c>
      <c r="E129" t="s">
        <v>842</v>
      </c>
      <c r="F129" t="s">
        <v>810</v>
      </c>
      <c r="G129">
        <v>-116121.01</v>
      </c>
      <c r="H129" s="2">
        <f t="shared" si="1"/>
        <v>116121.01</v>
      </c>
      <c r="I129" s="1">
        <v>45814</v>
      </c>
    </row>
    <row r="130" spans="1:9">
      <c r="A130">
        <v>23149</v>
      </c>
      <c r="B130" t="s">
        <v>807</v>
      </c>
      <c r="C130" t="s">
        <v>951</v>
      </c>
      <c r="D130" t="s">
        <v>952</v>
      </c>
      <c r="E130" t="s">
        <v>842</v>
      </c>
      <c r="F130" t="s">
        <v>810</v>
      </c>
      <c r="G130">
        <v>-116121.01</v>
      </c>
      <c r="H130" s="2">
        <f t="shared" si="1"/>
        <v>116121.01</v>
      </c>
      <c r="I130" s="1">
        <v>45814</v>
      </c>
    </row>
    <row r="131" spans="1:9">
      <c r="A131">
        <v>23158</v>
      </c>
      <c r="B131" t="s">
        <v>807</v>
      </c>
      <c r="C131" t="s">
        <v>953</v>
      </c>
      <c r="D131" t="s">
        <v>954</v>
      </c>
      <c r="E131" t="s">
        <v>842</v>
      </c>
      <c r="F131" t="s">
        <v>810</v>
      </c>
      <c r="G131">
        <v>-271268.5</v>
      </c>
      <c r="H131" s="2">
        <f t="shared" ref="H131:H194" si="2">ABS(G131)</f>
        <v>271268.5</v>
      </c>
      <c r="I131" s="1">
        <v>45814</v>
      </c>
    </row>
    <row r="132" spans="1:9">
      <c r="A132">
        <v>23159</v>
      </c>
      <c r="B132" t="s">
        <v>811</v>
      </c>
      <c r="C132" t="s">
        <v>955</v>
      </c>
      <c r="D132" t="s">
        <v>162</v>
      </c>
      <c r="E132" t="s">
        <v>842</v>
      </c>
      <c r="F132" t="s">
        <v>810</v>
      </c>
      <c r="G132">
        <v>-25117.5</v>
      </c>
      <c r="H132" s="2">
        <f t="shared" si="2"/>
        <v>25117.5</v>
      </c>
      <c r="I132" s="1">
        <v>45814</v>
      </c>
    </row>
    <row r="133" spans="1:9">
      <c r="A133">
        <v>23165</v>
      </c>
      <c r="B133" t="s">
        <v>807</v>
      </c>
      <c r="C133" t="s">
        <v>956</v>
      </c>
      <c r="D133" t="s">
        <v>957</v>
      </c>
      <c r="E133" t="s">
        <v>842</v>
      </c>
      <c r="F133" t="s">
        <v>810</v>
      </c>
      <c r="G133">
        <v>-8575138.12</v>
      </c>
      <c r="H133" s="2">
        <f t="shared" si="2"/>
        <v>8575138.12</v>
      </c>
      <c r="I133" s="1">
        <v>45814</v>
      </c>
    </row>
    <row r="134" spans="1:9">
      <c r="A134">
        <v>23166</v>
      </c>
      <c r="B134" t="s">
        <v>811</v>
      </c>
      <c r="C134" t="s">
        <v>958</v>
      </c>
      <c r="D134" t="s">
        <v>162</v>
      </c>
      <c r="E134" t="s">
        <v>842</v>
      </c>
      <c r="F134" t="s">
        <v>810</v>
      </c>
      <c r="G134">
        <v>-798682.88</v>
      </c>
      <c r="H134" s="2">
        <f t="shared" si="2"/>
        <v>798682.88</v>
      </c>
      <c r="I134" s="1">
        <v>45814</v>
      </c>
    </row>
    <row r="135" spans="1:9">
      <c r="A135">
        <v>23169</v>
      </c>
      <c r="B135" t="s">
        <v>807</v>
      </c>
      <c r="C135" t="s">
        <v>959</v>
      </c>
      <c r="D135" t="s">
        <v>960</v>
      </c>
      <c r="E135" t="s">
        <v>842</v>
      </c>
      <c r="F135" t="s">
        <v>169</v>
      </c>
      <c r="G135">
        <v>-43956</v>
      </c>
      <c r="H135" s="2">
        <f t="shared" si="2"/>
        <v>43956</v>
      </c>
      <c r="I135" s="1">
        <v>45814</v>
      </c>
    </row>
    <row r="136" spans="1:9">
      <c r="A136">
        <v>23170</v>
      </c>
      <c r="B136" t="s">
        <v>811</v>
      </c>
      <c r="C136" t="s">
        <v>961</v>
      </c>
      <c r="D136" t="s">
        <v>162</v>
      </c>
      <c r="E136" t="s">
        <v>842</v>
      </c>
      <c r="F136" t="s">
        <v>169</v>
      </c>
      <c r="G136">
        <v>-4070</v>
      </c>
      <c r="H136" s="2">
        <f t="shared" si="2"/>
        <v>4070</v>
      </c>
      <c r="I136" s="1">
        <v>45814</v>
      </c>
    </row>
    <row r="137" hidden="1" spans="1:9">
      <c r="A137">
        <v>23171</v>
      </c>
      <c r="B137" t="s">
        <v>816</v>
      </c>
      <c r="C137" t="s">
        <v>962</v>
      </c>
      <c r="D137" t="s">
        <v>963</v>
      </c>
      <c r="E137" t="s">
        <v>776</v>
      </c>
      <c r="F137" t="s">
        <v>170</v>
      </c>
      <c r="G137">
        <v>24122.09</v>
      </c>
      <c r="H137" s="2">
        <f t="shared" si="2"/>
        <v>24122.09</v>
      </c>
      <c r="I137" s="1">
        <v>45814</v>
      </c>
    </row>
    <row r="138" spans="1:9">
      <c r="A138">
        <v>25356</v>
      </c>
      <c r="B138" t="s">
        <v>847</v>
      </c>
      <c r="C138" t="s">
        <v>964</v>
      </c>
      <c r="D138" t="s">
        <v>964</v>
      </c>
      <c r="E138" t="s">
        <v>857</v>
      </c>
      <c r="F138" t="s">
        <v>169</v>
      </c>
      <c r="G138">
        <v>-802984.1</v>
      </c>
      <c r="H138" s="2">
        <f t="shared" si="2"/>
        <v>802984.1</v>
      </c>
      <c r="I138" s="1">
        <v>45814</v>
      </c>
    </row>
    <row r="139" spans="1:9">
      <c r="A139">
        <v>25373</v>
      </c>
      <c r="B139" t="s">
        <v>847</v>
      </c>
      <c r="C139" t="s">
        <v>965</v>
      </c>
      <c r="D139" t="s">
        <v>965</v>
      </c>
      <c r="E139" t="s">
        <v>23</v>
      </c>
      <c r="F139" t="s">
        <v>810</v>
      </c>
      <c r="G139">
        <v>-178186.6</v>
      </c>
      <c r="H139" s="2">
        <f t="shared" si="2"/>
        <v>178186.6</v>
      </c>
      <c r="I139" s="1">
        <v>45814</v>
      </c>
    </row>
    <row r="140" hidden="1" spans="1:9">
      <c r="A140">
        <v>30814</v>
      </c>
      <c r="B140" t="s">
        <v>782</v>
      </c>
      <c r="C140" t="s">
        <v>966</v>
      </c>
      <c r="D140" t="s">
        <v>966</v>
      </c>
      <c r="E140" t="s">
        <v>773</v>
      </c>
      <c r="F140" t="s">
        <v>169</v>
      </c>
      <c r="G140">
        <v>16874</v>
      </c>
      <c r="H140" s="2">
        <f t="shared" si="2"/>
        <v>16874</v>
      </c>
      <c r="I140" s="1">
        <v>45814</v>
      </c>
    </row>
    <row r="141" spans="1:9">
      <c r="A141">
        <v>40574</v>
      </c>
      <c r="B141" t="s">
        <v>807</v>
      </c>
      <c r="C141" t="s">
        <v>967</v>
      </c>
      <c r="D141" t="s">
        <v>968</v>
      </c>
      <c r="E141" t="s">
        <v>842</v>
      </c>
      <c r="F141" t="s">
        <v>169</v>
      </c>
      <c r="G141">
        <v>-772192.57</v>
      </c>
      <c r="H141" s="2">
        <f t="shared" si="2"/>
        <v>772192.57</v>
      </c>
      <c r="I141" s="1">
        <v>45814</v>
      </c>
    </row>
    <row r="142" spans="1:9">
      <c r="A142">
        <v>40576</v>
      </c>
      <c r="B142" t="s">
        <v>811</v>
      </c>
      <c r="C142" t="s">
        <v>969</v>
      </c>
      <c r="D142" t="s">
        <v>162</v>
      </c>
      <c r="E142" t="s">
        <v>842</v>
      </c>
      <c r="F142" t="s">
        <v>169</v>
      </c>
      <c r="G142">
        <v>-71501.43</v>
      </c>
      <c r="H142" s="2">
        <f t="shared" si="2"/>
        <v>71501.43</v>
      </c>
      <c r="I142" s="1">
        <v>45814</v>
      </c>
    </row>
    <row r="143" spans="1:9">
      <c r="A143">
        <v>40584</v>
      </c>
      <c r="B143" t="s">
        <v>807</v>
      </c>
      <c r="C143" t="s">
        <v>970</v>
      </c>
      <c r="D143" t="s">
        <v>971</v>
      </c>
      <c r="E143" t="s">
        <v>842</v>
      </c>
      <c r="F143" t="s">
        <v>169</v>
      </c>
      <c r="G143">
        <v>-160076.42</v>
      </c>
      <c r="H143" s="2">
        <f t="shared" si="2"/>
        <v>160076.42</v>
      </c>
      <c r="I143" s="1">
        <v>45814</v>
      </c>
    </row>
    <row r="144" spans="1:9">
      <c r="A144">
        <v>40585</v>
      </c>
      <c r="B144" t="s">
        <v>811</v>
      </c>
      <c r="C144" t="s">
        <v>972</v>
      </c>
      <c r="D144" t="s">
        <v>162</v>
      </c>
      <c r="E144" t="s">
        <v>842</v>
      </c>
      <c r="F144" t="s">
        <v>169</v>
      </c>
      <c r="G144">
        <v>-14822.58</v>
      </c>
      <c r="H144" s="2">
        <f t="shared" si="2"/>
        <v>14822.58</v>
      </c>
      <c r="I144" s="1">
        <v>45814</v>
      </c>
    </row>
    <row r="145" hidden="1" spans="1:9">
      <c r="A145">
        <v>23172</v>
      </c>
      <c r="B145" t="s">
        <v>816</v>
      </c>
      <c r="C145" t="s">
        <v>973</v>
      </c>
      <c r="D145" t="s">
        <v>974</v>
      </c>
      <c r="E145" t="s">
        <v>776</v>
      </c>
      <c r="F145" t="s">
        <v>170</v>
      </c>
      <c r="G145">
        <v>72251.27</v>
      </c>
      <c r="H145" s="2">
        <f t="shared" si="2"/>
        <v>72251.27</v>
      </c>
      <c r="I145" s="1">
        <v>45815</v>
      </c>
    </row>
    <row r="146" hidden="1" spans="1:9">
      <c r="A146">
        <v>23174</v>
      </c>
      <c r="B146" t="s">
        <v>816</v>
      </c>
      <c r="C146" t="s">
        <v>975</v>
      </c>
      <c r="D146" t="s">
        <v>976</v>
      </c>
      <c r="E146" t="s">
        <v>772</v>
      </c>
      <c r="F146" t="s">
        <v>170</v>
      </c>
      <c r="G146">
        <v>1213494.8</v>
      </c>
      <c r="H146" s="2">
        <f t="shared" si="2"/>
        <v>1213494.8</v>
      </c>
      <c r="I146" s="1">
        <v>45815</v>
      </c>
    </row>
    <row r="147" hidden="1" spans="1:9">
      <c r="A147">
        <v>23175</v>
      </c>
      <c r="B147" t="s">
        <v>816</v>
      </c>
      <c r="C147" t="s">
        <v>977</v>
      </c>
      <c r="D147" t="s">
        <v>978</v>
      </c>
      <c r="E147" t="s">
        <v>922</v>
      </c>
      <c r="F147" t="s">
        <v>170</v>
      </c>
      <c r="G147">
        <v>171525</v>
      </c>
      <c r="H147" s="2">
        <f t="shared" si="2"/>
        <v>171525</v>
      </c>
      <c r="I147" s="1">
        <v>45815</v>
      </c>
    </row>
    <row r="148" hidden="1" spans="1:9">
      <c r="A148">
        <v>17821</v>
      </c>
      <c r="B148" t="s">
        <v>769</v>
      </c>
      <c r="C148" t="s">
        <v>979</v>
      </c>
      <c r="D148" t="s">
        <v>980</v>
      </c>
      <c r="E148" t="s">
        <v>58</v>
      </c>
      <c r="F148" t="s">
        <v>169</v>
      </c>
      <c r="G148">
        <v>0.2</v>
      </c>
      <c r="H148" s="2">
        <f t="shared" si="2"/>
        <v>0.2</v>
      </c>
      <c r="I148" s="1">
        <v>45817</v>
      </c>
    </row>
    <row r="149" hidden="1" spans="1:9">
      <c r="A149">
        <v>17822</v>
      </c>
      <c r="B149" t="s">
        <v>782</v>
      </c>
      <c r="C149" t="s">
        <v>981</v>
      </c>
      <c r="D149" t="s">
        <v>981</v>
      </c>
      <c r="E149" t="s">
        <v>58</v>
      </c>
      <c r="F149" t="s">
        <v>169</v>
      </c>
      <c r="G149">
        <v>588890.8</v>
      </c>
      <c r="H149" s="2">
        <f t="shared" si="2"/>
        <v>588890.8</v>
      </c>
      <c r="I149" s="1">
        <v>45817</v>
      </c>
    </row>
    <row r="150" hidden="1" spans="1:9">
      <c r="A150">
        <v>21963</v>
      </c>
      <c r="B150" t="s">
        <v>769</v>
      </c>
      <c r="C150" t="s">
        <v>982</v>
      </c>
      <c r="D150" t="s">
        <v>983</v>
      </c>
      <c r="E150" t="s">
        <v>110</v>
      </c>
      <c r="F150" t="s">
        <v>169</v>
      </c>
      <c r="G150">
        <v>0.25</v>
      </c>
      <c r="H150" s="2">
        <f t="shared" si="2"/>
        <v>0.25</v>
      </c>
      <c r="I150" s="1">
        <v>45817</v>
      </c>
    </row>
    <row r="151" hidden="1" spans="1:9">
      <c r="A151">
        <v>21964</v>
      </c>
      <c r="B151" t="s">
        <v>782</v>
      </c>
      <c r="C151" t="s">
        <v>984</v>
      </c>
      <c r="D151" t="s">
        <v>984</v>
      </c>
      <c r="E151" t="s">
        <v>110</v>
      </c>
      <c r="F151" t="s">
        <v>169</v>
      </c>
      <c r="G151">
        <v>356827.75</v>
      </c>
      <c r="H151" s="2">
        <f t="shared" si="2"/>
        <v>356827.75</v>
      </c>
      <c r="I151" s="1">
        <v>45817</v>
      </c>
    </row>
    <row r="152" hidden="1" spans="1:9">
      <c r="A152">
        <v>21966</v>
      </c>
      <c r="B152" t="s">
        <v>769</v>
      </c>
      <c r="C152" t="s">
        <v>985</v>
      </c>
      <c r="D152" t="s">
        <v>986</v>
      </c>
      <c r="E152" t="s">
        <v>910</v>
      </c>
      <c r="F152" t="s">
        <v>169</v>
      </c>
      <c r="G152">
        <v>0.14</v>
      </c>
      <c r="H152" s="2">
        <f t="shared" si="2"/>
        <v>0.14</v>
      </c>
      <c r="I152" s="1">
        <v>45817</v>
      </c>
    </row>
    <row r="153" hidden="1" spans="1:9">
      <c r="A153">
        <v>21967</v>
      </c>
      <c r="B153" t="s">
        <v>782</v>
      </c>
      <c r="C153" t="s">
        <v>987</v>
      </c>
      <c r="D153" t="s">
        <v>987</v>
      </c>
      <c r="E153" t="s">
        <v>910</v>
      </c>
      <c r="F153" t="s">
        <v>169</v>
      </c>
      <c r="G153">
        <v>907293.86</v>
      </c>
      <c r="H153" s="2">
        <f t="shared" si="2"/>
        <v>907293.86</v>
      </c>
      <c r="I153" s="1">
        <v>45817</v>
      </c>
    </row>
    <row r="154" spans="1:9">
      <c r="A154">
        <v>22348</v>
      </c>
      <c r="B154" t="s">
        <v>769</v>
      </c>
      <c r="C154" t="s">
        <v>988</v>
      </c>
      <c r="D154" t="s">
        <v>989</v>
      </c>
      <c r="E154" t="s">
        <v>132</v>
      </c>
      <c r="F154" t="s">
        <v>169</v>
      </c>
      <c r="G154">
        <v>-0.31</v>
      </c>
      <c r="H154" s="2">
        <f t="shared" si="2"/>
        <v>0.31</v>
      </c>
      <c r="I154" s="1">
        <v>45817</v>
      </c>
    </row>
    <row r="155" hidden="1" spans="1:9">
      <c r="A155">
        <v>22349</v>
      </c>
      <c r="B155" t="s">
        <v>782</v>
      </c>
      <c r="C155" t="s">
        <v>990</v>
      </c>
      <c r="D155" t="s">
        <v>990</v>
      </c>
      <c r="E155" t="s">
        <v>132</v>
      </c>
      <c r="F155" t="s">
        <v>169</v>
      </c>
      <c r="G155">
        <v>38040.31</v>
      </c>
      <c r="H155" s="2">
        <f t="shared" si="2"/>
        <v>38040.31</v>
      </c>
      <c r="I155" s="1">
        <v>45817</v>
      </c>
    </row>
    <row r="156" hidden="1" spans="1:9">
      <c r="A156">
        <v>22350</v>
      </c>
      <c r="B156" t="s">
        <v>769</v>
      </c>
      <c r="C156" t="s">
        <v>991</v>
      </c>
      <c r="D156" t="s">
        <v>992</v>
      </c>
      <c r="E156" t="s">
        <v>132</v>
      </c>
      <c r="F156" t="s">
        <v>169</v>
      </c>
      <c r="G156">
        <v>0.07</v>
      </c>
      <c r="H156" s="2">
        <f t="shared" si="2"/>
        <v>0.07</v>
      </c>
      <c r="I156" s="1">
        <v>45817</v>
      </c>
    </row>
    <row r="157" hidden="1" spans="1:9">
      <c r="A157">
        <v>22351</v>
      </c>
      <c r="B157" t="s">
        <v>782</v>
      </c>
      <c r="C157" t="s">
        <v>993</v>
      </c>
      <c r="D157" t="s">
        <v>993</v>
      </c>
      <c r="E157" t="s">
        <v>132</v>
      </c>
      <c r="F157" t="s">
        <v>169</v>
      </c>
      <c r="G157">
        <v>39134.93</v>
      </c>
      <c r="H157" s="2">
        <f t="shared" si="2"/>
        <v>39134.93</v>
      </c>
      <c r="I157" s="1">
        <v>45817</v>
      </c>
    </row>
    <row r="158" spans="1:9">
      <c r="A158">
        <v>22360</v>
      </c>
      <c r="B158" t="s">
        <v>769</v>
      </c>
      <c r="C158" t="s">
        <v>994</v>
      </c>
      <c r="D158" t="s">
        <v>995</v>
      </c>
      <c r="E158" t="s">
        <v>132</v>
      </c>
      <c r="F158" t="s">
        <v>169</v>
      </c>
      <c r="G158">
        <v>-0.3</v>
      </c>
      <c r="H158" s="2">
        <f t="shared" si="2"/>
        <v>0.3</v>
      </c>
      <c r="I158" s="1">
        <v>45817</v>
      </c>
    </row>
    <row r="159" hidden="1" spans="1:9">
      <c r="A159">
        <v>22361</v>
      </c>
      <c r="B159" t="s">
        <v>782</v>
      </c>
      <c r="C159" t="s">
        <v>996</v>
      </c>
      <c r="D159" t="s">
        <v>996</v>
      </c>
      <c r="E159" t="s">
        <v>132</v>
      </c>
      <c r="F159" t="s">
        <v>169</v>
      </c>
      <c r="G159">
        <v>600831.3</v>
      </c>
      <c r="H159" s="2">
        <f t="shared" si="2"/>
        <v>600831.3</v>
      </c>
      <c r="I159" s="1">
        <v>45817</v>
      </c>
    </row>
    <row r="160" hidden="1" spans="1:9">
      <c r="A160">
        <v>22529</v>
      </c>
      <c r="B160" t="s">
        <v>769</v>
      </c>
      <c r="C160" t="s">
        <v>997</v>
      </c>
      <c r="D160" t="s">
        <v>998</v>
      </c>
      <c r="E160" t="s">
        <v>777</v>
      </c>
      <c r="F160" t="s">
        <v>169</v>
      </c>
      <c r="G160">
        <v>0.39</v>
      </c>
      <c r="H160" s="2">
        <f t="shared" si="2"/>
        <v>0.39</v>
      </c>
      <c r="I160" s="1">
        <v>45817</v>
      </c>
    </row>
    <row r="161" hidden="1" spans="1:9">
      <c r="A161">
        <v>22530</v>
      </c>
      <c r="B161" t="s">
        <v>782</v>
      </c>
      <c r="C161" t="s">
        <v>999</v>
      </c>
      <c r="D161" t="s">
        <v>999</v>
      </c>
      <c r="E161" t="s">
        <v>777</v>
      </c>
      <c r="F161" t="s">
        <v>169</v>
      </c>
      <c r="G161">
        <v>888642.61</v>
      </c>
      <c r="H161" s="2">
        <f t="shared" si="2"/>
        <v>888642.61</v>
      </c>
      <c r="I161" s="1">
        <v>45817</v>
      </c>
    </row>
    <row r="162" spans="1:9">
      <c r="A162">
        <v>23176</v>
      </c>
      <c r="B162" t="s">
        <v>807</v>
      </c>
      <c r="C162" t="s">
        <v>1000</v>
      </c>
      <c r="D162" t="s">
        <v>1001</v>
      </c>
      <c r="E162" t="s">
        <v>1002</v>
      </c>
      <c r="F162" t="s">
        <v>169</v>
      </c>
      <c r="G162">
        <v>-197779</v>
      </c>
      <c r="H162" s="2">
        <f t="shared" si="2"/>
        <v>197779</v>
      </c>
      <c r="I162" s="1">
        <v>45817</v>
      </c>
    </row>
    <row r="163" spans="1:9">
      <c r="A163">
        <v>23179</v>
      </c>
      <c r="B163" t="s">
        <v>807</v>
      </c>
      <c r="C163" t="s">
        <v>1003</v>
      </c>
      <c r="D163" t="s">
        <v>1004</v>
      </c>
      <c r="E163" t="s">
        <v>44</v>
      </c>
      <c r="F163" t="s">
        <v>810</v>
      </c>
      <c r="G163">
        <v>-163446.86</v>
      </c>
      <c r="H163" s="2">
        <f t="shared" si="2"/>
        <v>163446.86</v>
      </c>
      <c r="I163" s="1">
        <v>45817</v>
      </c>
    </row>
    <row r="164" spans="1:9">
      <c r="A164">
        <v>23179</v>
      </c>
      <c r="B164" t="s">
        <v>807</v>
      </c>
      <c r="C164" t="s">
        <v>1003</v>
      </c>
      <c r="D164" t="s">
        <v>1004</v>
      </c>
      <c r="E164" t="s">
        <v>44</v>
      </c>
      <c r="F164" t="s">
        <v>810</v>
      </c>
      <c r="G164">
        <v>-6449.85</v>
      </c>
      <c r="H164" s="2">
        <f t="shared" si="2"/>
        <v>6449.85</v>
      </c>
      <c r="I164" s="1">
        <v>45817</v>
      </c>
    </row>
    <row r="165" spans="1:9">
      <c r="A165">
        <v>23182</v>
      </c>
      <c r="B165" t="s">
        <v>807</v>
      </c>
      <c r="C165" t="s">
        <v>1005</v>
      </c>
      <c r="D165" t="s">
        <v>1006</v>
      </c>
      <c r="E165" t="s">
        <v>22</v>
      </c>
      <c r="F165" t="s">
        <v>169</v>
      </c>
      <c r="G165">
        <v>-490000</v>
      </c>
      <c r="H165" s="2">
        <f t="shared" si="2"/>
        <v>490000</v>
      </c>
      <c r="I165" s="1">
        <v>45817</v>
      </c>
    </row>
    <row r="166" hidden="1" spans="1:9">
      <c r="A166">
        <v>23183</v>
      </c>
      <c r="B166" t="s">
        <v>816</v>
      </c>
      <c r="C166" t="s">
        <v>1007</v>
      </c>
      <c r="D166" t="s">
        <v>1008</v>
      </c>
      <c r="E166" t="s">
        <v>776</v>
      </c>
      <c r="F166" t="s">
        <v>170</v>
      </c>
      <c r="G166">
        <v>40266.84</v>
      </c>
      <c r="H166" s="2">
        <f t="shared" si="2"/>
        <v>40266.84</v>
      </c>
      <c r="I166" s="1">
        <v>45817</v>
      </c>
    </row>
    <row r="167" hidden="1" spans="1:9">
      <c r="A167">
        <v>30816</v>
      </c>
      <c r="B167" t="s">
        <v>782</v>
      </c>
      <c r="C167" t="s">
        <v>1009</v>
      </c>
      <c r="D167" t="s">
        <v>1009</v>
      </c>
      <c r="E167" t="s">
        <v>69</v>
      </c>
      <c r="F167" t="s">
        <v>169</v>
      </c>
      <c r="G167">
        <v>4367382.31</v>
      </c>
      <c r="H167" s="2">
        <f t="shared" si="2"/>
        <v>4367382.31</v>
      </c>
      <c r="I167" s="1">
        <v>45817</v>
      </c>
    </row>
    <row r="168" hidden="1" spans="1:9">
      <c r="A168">
        <v>34468</v>
      </c>
      <c r="B168" t="s">
        <v>782</v>
      </c>
      <c r="C168" t="s">
        <v>1010</v>
      </c>
      <c r="D168" t="s">
        <v>1010</v>
      </c>
      <c r="E168" t="s">
        <v>132</v>
      </c>
      <c r="F168" t="s">
        <v>169</v>
      </c>
      <c r="G168">
        <v>191018.4</v>
      </c>
      <c r="H168" s="2">
        <f t="shared" si="2"/>
        <v>191018.4</v>
      </c>
      <c r="I168" s="1">
        <v>45817</v>
      </c>
    </row>
    <row r="169" spans="1:9">
      <c r="A169">
        <v>34475</v>
      </c>
      <c r="B169" t="s">
        <v>769</v>
      </c>
      <c r="C169" t="s">
        <v>1011</v>
      </c>
      <c r="D169" t="s">
        <v>1012</v>
      </c>
      <c r="E169" t="s">
        <v>132</v>
      </c>
      <c r="F169" t="s">
        <v>169</v>
      </c>
      <c r="G169">
        <v>-0.4</v>
      </c>
      <c r="H169" s="2">
        <f t="shared" si="2"/>
        <v>0.4</v>
      </c>
      <c r="I169" s="1">
        <v>45817</v>
      </c>
    </row>
    <row r="170" hidden="1" spans="1:9">
      <c r="A170">
        <v>17814</v>
      </c>
      <c r="B170" t="s">
        <v>782</v>
      </c>
      <c r="C170" t="s">
        <v>1013</v>
      </c>
      <c r="D170" t="s">
        <v>1013</v>
      </c>
      <c r="E170" t="s">
        <v>97</v>
      </c>
      <c r="F170" t="s">
        <v>169</v>
      </c>
      <c r="G170">
        <v>794376</v>
      </c>
      <c r="H170" s="2">
        <f t="shared" si="2"/>
        <v>794376</v>
      </c>
      <c r="I170" s="1">
        <v>45818</v>
      </c>
    </row>
    <row r="171" spans="1:9">
      <c r="A171">
        <v>17829</v>
      </c>
      <c r="B171" t="s">
        <v>769</v>
      </c>
      <c r="C171" t="s">
        <v>1014</v>
      </c>
      <c r="D171" t="s">
        <v>1015</v>
      </c>
      <c r="E171" t="s">
        <v>58</v>
      </c>
      <c r="F171" t="s">
        <v>169</v>
      </c>
      <c r="G171">
        <v>-0.28</v>
      </c>
      <c r="H171" s="2">
        <f t="shared" si="2"/>
        <v>0.28</v>
      </c>
      <c r="I171" s="1">
        <v>45818</v>
      </c>
    </row>
    <row r="172" hidden="1" spans="1:9">
      <c r="A172">
        <v>17830</v>
      </c>
      <c r="B172" t="s">
        <v>782</v>
      </c>
      <c r="C172" t="s">
        <v>1016</v>
      </c>
      <c r="D172" t="s">
        <v>1016</v>
      </c>
      <c r="E172" t="s">
        <v>58</v>
      </c>
      <c r="F172" t="s">
        <v>169</v>
      </c>
      <c r="G172">
        <v>1760791.28</v>
      </c>
      <c r="H172" s="2">
        <f t="shared" si="2"/>
        <v>1760791.28</v>
      </c>
      <c r="I172" s="1">
        <v>45818</v>
      </c>
    </row>
    <row r="173" hidden="1" spans="1:9">
      <c r="A173">
        <v>18003</v>
      </c>
      <c r="B173" t="s">
        <v>782</v>
      </c>
      <c r="C173" t="s">
        <v>1017</v>
      </c>
      <c r="D173" t="s">
        <v>1017</v>
      </c>
      <c r="E173" t="s">
        <v>58</v>
      </c>
      <c r="F173" t="s">
        <v>169</v>
      </c>
      <c r="G173">
        <v>767118</v>
      </c>
      <c r="H173" s="2">
        <f t="shared" si="2"/>
        <v>767118</v>
      </c>
      <c r="I173" s="1">
        <v>45818</v>
      </c>
    </row>
    <row r="174" hidden="1" spans="1:9">
      <c r="A174">
        <v>18018</v>
      </c>
      <c r="B174" t="s">
        <v>782</v>
      </c>
      <c r="C174" t="s">
        <v>1018</v>
      </c>
      <c r="D174" t="s">
        <v>1018</v>
      </c>
      <c r="E174" t="s">
        <v>53</v>
      </c>
      <c r="F174" t="s">
        <v>169</v>
      </c>
      <c r="G174">
        <v>28343139.8</v>
      </c>
      <c r="H174" s="2">
        <f t="shared" si="2"/>
        <v>28343139.8</v>
      </c>
      <c r="I174" s="1">
        <v>45818</v>
      </c>
    </row>
    <row r="175" hidden="1" spans="1:9">
      <c r="A175">
        <v>22407</v>
      </c>
      <c r="B175" t="s">
        <v>769</v>
      </c>
      <c r="C175" t="s">
        <v>1019</v>
      </c>
      <c r="D175" t="s">
        <v>1020</v>
      </c>
      <c r="E175" t="s">
        <v>53</v>
      </c>
      <c r="F175" t="s">
        <v>169</v>
      </c>
      <c r="G175">
        <v>0.2</v>
      </c>
      <c r="H175" s="2">
        <f t="shared" si="2"/>
        <v>0.2</v>
      </c>
      <c r="I175" s="1">
        <v>45818</v>
      </c>
    </row>
    <row r="176" spans="1:9">
      <c r="A176">
        <v>23186</v>
      </c>
      <c r="B176" t="s">
        <v>807</v>
      </c>
      <c r="C176" t="s">
        <v>1021</v>
      </c>
      <c r="D176" t="s">
        <v>1022</v>
      </c>
      <c r="E176" t="s">
        <v>14</v>
      </c>
      <c r="F176" t="s">
        <v>169</v>
      </c>
      <c r="G176">
        <v>-1330560</v>
      </c>
      <c r="H176" s="2">
        <f t="shared" si="2"/>
        <v>1330560</v>
      </c>
      <c r="I176" s="1">
        <v>45818</v>
      </c>
    </row>
    <row r="177" spans="1:9">
      <c r="A177">
        <v>23187</v>
      </c>
      <c r="B177" t="s">
        <v>811</v>
      </c>
      <c r="C177" t="s">
        <v>1023</v>
      </c>
      <c r="D177" t="s">
        <v>162</v>
      </c>
      <c r="E177" t="s">
        <v>14</v>
      </c>
      <c r="F177" t="s">
        <v>169</v>
      </c>
      <c r="G177">
        <v>-123200</v>
      </c>
      <c r="H177" s="2">
        <f t="shared" si="2"/>
        <v>123200</v>
      </c>
      <c r="I177" s="1">
        <v>45818</v>
      </c>
    </row>
    <row r="178" spans="1:9">
      <c r="A178">
        <v>23207</v>
      </c>
      <c r="B178" t="s">
        <v>807</v>
      </c>
      <c r="C178" t="s">
        <v>1024</v>
      </c>
      <c r="D178" t="s">
        <v>1025</v>
      </c>
      <c r="E178" t="s">
        <v>18</v>
      </c>
      <c r="F178" t="s">
        <v>169</v>
      </c>
      <c r="G178">
        <v>-68526.96</v>
      </c>
      <c r="H178" s="2">
        <f t="shared" si="2"/>
        <v>68526.96</v>
      </c>
      <c r="I178" s="1">
        <v>45818</v>
      </c>
    </row>
    <row r="179" spans="1:9">
      <c r="A179">
        <v>23228</v>
      </c>
      <c r="B179" t="s">
        <v>807</v>
      </c>
      <c r="C179" t="s">
        <v>1026</v>
      </c>
      <c r="D179" t="s">
        <v>1027</v>
      </c>
      <c r="E179" t="s">
        <v>22</v>
      </c>
      <c r="F179" t="s">
        <v>169</v>
      </c>
      <c r="G179">
        <v>-582704</v>
      </c>
      <c r="H179" s="2">
        <f t="shared" si="2"/>
        <v>582704</v>
      </c>
      <c r="I179" s="1">
        <v>45818</v>
      </c>
    </row>
    <row r="180" spans="1:9">
      <c r="A180">
        <v>23239</v>
      </c>
      <c r="B180" t="s">
        <v>807</v>
      </c>
      <c r="C180" t="s">
        <v>1028</v>
      </c>
      <c r="D180" t="s">
        <v>1029</v>
      </c>
      <c r="E180" t="s">
        <v>80</v>
      </c>
      <c r="F180" t="s">
        <v>810</v>
      </c>
      <c r="G180">
        <v>-315862</v>
      </c>
      <c r="H180" s="2">
        <f t="shared" si="2"/>
        <v>315862</v>
      </c>
      <c r="I180" s="1">
        <v>45818</v>
      </c>
    </row>
    <row r="181" spans="1:9">
      <c r="A181">
        <v>23240</v>
      </c>
      <c r="B181" t="s">
        <v>811</v>
      </c>
      <c r="C181" t="s">
        <v>1030</v>
      </c>
      <c r="D181" t="s">
        <v>162</v>
      </c>
      <c r="E181" t="s">
        <v>80</v>
      </c>
      <c r="F181" t="s">
        <v>810</v>
      </c>
      <c r="G181">
        <v>-29246</v>
      </c>
      <c r="H181" s="2">
        <f t="shared" si="2"/>
        <v>29246</v>
      </c>
      <c r="I181" s="1">
        <v>45818</v>
      </c>
    </row>
    <row r="182" hidden="1" spans="1:9">
      <c r="A182">
        <v>30819</v>
      </c>
      <c r="B182" t="s">
        <v>782</v>
      </c>
      <c r="C182" t="s">
        <v>1031</v>
      </c>
      <c r="D182" t="s">
        <v>1031</v>
      </c>
      <c r="E182" t="s">
        <v>98</v>
      </c>
      <c r="F182" t="s">
        <v>169</v>
      </c>
      <c r="G182">
        <v>1505276.15</v>
      </c>
      <c r="H182" s="2">
        <f t="shared" si="2"/>
        <v>1505276.15</v>
      </c>
      <c r="I182" s="1">
        <v>45818</v>
      </c>
    </row>
    <row r="183" spans="1:9">
      <c r="A183">
        <v>33133</v>
      </c>
      <c r="B183" t="s">
        <v>769</v>
      </c>
      <c r="C183" t="s">
        <v>1032</v>
      </c>
      <c r="D183" t="s">
        <v>1033</v>
      </c>
      <c r="E183" t="s">
        <v>98</v>
      </c>
      <c r="F183" t="s">
        <v>169</v>
      </c>
      <c r="G183">
        <v>-0.15</v>
      </c>
      <c r="H183" s="2">
        <f t="shared" si="2"/>
        <v>0.15</v>
      </c>
      <c r="I183" s="1">
        <v>45818</v>
      </c>
    </row>
    <row r="184" hidden="1" spans="1:9">
      <c r="A184">
        <v>34447</v>
      </c>
      <c r="B184" t="s">
        <v>782</v>
      </c>
      <c r="C184" t="s">
        <v>1034</v>
      </c>
      <c r="D184" t="s">
        <v>1034</v>
      </c>
      <c r="E184" t="s">
        <v>86</v>
      </c>
      <c r="F184" t="s">
        <v>169</v>
      </c>
      <c r="G184">
        <v>87225.6</v>
      </c>
      <c r="H184" s="2">
        <f t="shared" si="2"/>
        <v>87225.6</v>
      </c>
      <c r="I184" s="1">
        <v>45818</v>
      </c>
    </row>
    <row r="185" hidden="1" spans="1:9">
      <c r="A185">
        <v>34448</v>
      </c>
      <c r="B185" t="s">
        <v>769</v>
      </c>
      <c r="C185" t="s">
        <v>1035</v>
      </c>
      <c r="D185" t="s">
        <v>1036</v>
      </c>
      <c r="E185" t="s">
        <v>86</v>
      </c>
      <c r="F185" t="s">
        <v>169</v>
      </c>
      <c r="G185">
        <v>0.4</v>
      </c>
      <c r="H185" s="2">
        <f t="shared" si="2"/>
        <v>0.4</v>
      </c>
      <c r="I185" s="1">
        <v>45818</v>
      </c>
    </row>
    <row r="186" spans="1:9">
      <c r="A186">
        <v>38596</v>
      </c>
      <c r="B186" t="s">
        <v>807</v>
      </c>
      <c r="C186" t="s">
        <v>1037</v>
      </c>
      <c r="D186" t="s">
        <v>1038</v>
      </c>
      <c r="E186" t="s">
        <v>65</v>
      </c>
      <c r="F186" t="s">
        <v>169</v>
      </c>
      <c r="G186">
        <v>-470475</v>
      </c>
      <c r="H186" s="2">
        <f t="shared" si="2"/>
        <v>470475</v>
      </c>
      <c r="I186" s="1">
        <v>45818</v>
      </c>
    </row>
    <row r="187" spans="1:9">
      <c r="A187">
        <v>38597</v>
      </c>
      <c r="B187" t="s">
        <v>811</v>
      </c>
      <c r="C187" t="s">
        <v>1039</v>
      </c>
      <c r="D187" t="s">
        <v>162</v>
      </c>
      <c r="E187" t="s">
        <v>65</v>
      </c>
      <c r="F187" t="s">
        <v>169</v>
      </c>
      <c r="G187">
        <v>-13325</v>
      </c>
      <c r="H187" s="2">
        <f t="shared" si="2"/>
        <v>13325</v>
      </c>
      <c r="I187" s="1">
        <v>45818</v>
      </c>
    </row>
    <row r="188" spans="1:9">
      <c r="A188">
        <v>40589</v>
      </c>
      <c r="B188" t="s">
        <v>807</v>
      </c>
      <c r="C188" t="s">
        <v>1040</v>
      </c>
      <c r="D188" t="s">
        <v>1041</v>
      </c>
      <c r="E188" t="s">
        <v>48</v>
      </c>
      <c r="F188" t="s">
        <v>169</v>
      </c>
      <c r="G188">
        <v>-3241504.52</v>
      </c>
      <c r="H188" s="2">
        <f t="shared" si="2"/>
        <v>3241504.52</v>
      </c>
      <c r="I188" s="1">
        <v>45818</v>
      </c>
    </row>
    <row r="189" spans="1:9">
      <c r="A189">
        <v>40590</v>
      </c>
      <c r="B189" t="s">
        <v>811</v>
      </c>
      <c r="C189" t="s">
        <v>1042</v>
      </c>
      <c r="D189" t="s">
        <v>162</v>
      </c>
      <c r="E189" t="s">
        <v>48</v>
      </c>
      <c r="F189" t="s">
        <v>169</v>
      </c>
      <c r="G189">
        <v>-53049.48</v>
      </c>
      <c r="H189" s="2">
        <f t="shared" si="2"/>
        <v>53049.48</v>
      </c>
      <c r="I189" s="1">
        <v>45818</v>
      </c>
    </row>
    <row r="190" hidden="1" spans="1:9">
      <c r="A190">
        <v>18033</v>
      </c>
      <c r="B190" t="s">
        <v>782</v>
      </c>
      <c r="C190" t="s">
        <v>1043</v>
      </c>
      <c r="D190" t="s">
        <v>1043</v>
      </c>
      <c r="E190" t="s">
        <v>43</v>
      </c>
      <c r="F190" t="s">
        <v>169</v>
      </c>
      <c r="G190">
        <v>426393</v>
      </c>
      <c r="H190" s="2">
        <f t="shared" si="2"/>
        <v>426393</v>
      </c>
      <c r="I190" s="1">
        <v>45819</v>
      </c>
    </row>
    <row r="191" hidden="1" spans="1:9">
      <c r="A191">
        <v>22528</v>
      </c>
      <c r="B191" t="s">
        <v>782</v>
      </c>
      <c r="C191" t="s">
        <v>1044</v>
      </c>
      <c r="D191" t="s">
        <v>1044</v>
      </c>
      <c r="E191" t="s">
        <v>1045</v>
      </c>
      <c r="F191" t="s">
        <v>169</v>
      </c>
      <c r="G191">
        <v>579262</v>
      </c>
      <c r="H191" s="2">
        <f t="shared" si="2"/>
        <v>579262</v>
      </c>
      <c r="I191" s="1">
        <v>45819</v>
      </c>
    </row>
    <row r="192" hidden="1" spans="1:9">
      <c r="A192">
        <v>22531</v>
      </c>
      <c r="B192" t="s">
        <v>782</v>
      </c>
      <c r="C192" t="s">
        <v>1046</v>
      </c>
      <c r="D192" t="s">
        <v>1046</v>
      </c>
      <c r="E192" t="s">
        <v>1045</v>
      </c>
      <c r="F192" t="s">
        <v>169</v>
      </c>
      <c r="G192">
        <v>429520</v>
      </c>
      <c r="H192" s="2">
        <f t="shared" si="2"/>
        <v>429520</v>
      </c>
      <c r="I192" s="1">
        <v>45819</v>
      </c>
    </row>
    <row r="193" hidden="1" spans="1:9">
      <c r="A193">
        <v>22532</v>
      </c>
      <c r="B193" t="s">
        <v>782</v>
      </c>
      <c r="C193" t="s">
        <v>1047</v>
      </c>
      <c r="D193" t="s">
        <v>1047</v>
      </c>
      <c r="E193" t="s">
        <v>1045</v>
      </c>
      <c r="F193" t="s">
        <v>169</v>
      </c>
      <c r="G193">
        <v>183490</v>
      </c>
      <c r="H193" s="2">
        <f t="shared" si="2"/>
        <v>183490</v>
      </c>
      <c r="I193" s="1">
        <v>45819</v>
      </c>
    </row>
    <row r="194" hidden="1" spans="1:9">
      <c r="A194">
        <v>22533</v>
      </c>
      <c r="B194" t="s">
        <v>782</v>
      </c>
      <c r="C194" t="s">
        <v>1048</v>
      </c>
      <c r="D194" t="s">
        <v>1048</v>
      </c>
      <c r="E194" t="s">
        <v>1045</v>
      </c>
      <c r="F194" t="s">
        <v>169</v>
      </c>
      <c r="G194">
        <v>579262</v>
      </c>
      <c r="H194" s="2">
        <f t="shared" si="2"/>
        <v>579262</v>
      </c>
      <c r="I194" s="1">
        <v>45819</v>
      </c>
    </row>
    <row r="195" hidden="1" spans="1:9">
      <c r="A195">
        <v>22534</v>
      </c>
      <c r="B195" t="s">
        <v>782</v>
      </c>
      <c r="C195" t="s">
        <v>1049</v>
      </c>
      <c r="D195" t="s">
        <v>1049</v>
      </c>
      <c r="E195" t="s">
        <v>1045</v>
      </c>
      <c r="F195" t="s">
        <v>169</v>
      </c>
      <c r="G195">
        <v>429520</v>
      </c>
      <c r="H195" s="2">
        <f t="shared" ref="H195:H258" si="3">ABS(G195)</f>
        <v>429520</v>
      </c>
      <c r="I195" s="1">
        <v>45819</v>
      </c>
    </row>
    <row r="196" hidden="1" spans="1:9">
      <c r="A196">
        <v>22535</v>
      </c>
      <c r="B196" t="s">
        <v>782</v>
      </c>
      <c r="C196" t="s">
        <v>1050</v>
      </c>
      <c r="D196" t="s">
        <v>1050</v>
      </c>
      <c r="E196" t="s">
        <v>1045</v>
      </c>
      <c r="F196" t="s">
        <v>169</v>
      </c>
      <c r="G196">
        <v>183490</v>
      </c>
      <c r="H196" s="2">
        <f t="shared" si="3"/>
        <v>183490</v>
      </c>
      <c r="I196" s="1">
        <v>45819</v>
      </c>
    </row>
    <row r="197" hidden="1" spans="1:9">
      <c r="A197">
        <v>22536</v>
      </c>
      <c r="B197" t="s">
        <v>782</v>
      </c>
      <c r="C197" t="s">
        <v>1051</v>
      </c>
      <c r="D197" t="s">
        <v>1051</v>
      </c>
      <c r="E197" t="s">
        <v>1045</v>
      </c>
      <c r="F197" t="s">
        <v>169</v>
      </c>
      <c r="G197">
        <v>579262</v>
      </c>
      <c r="H197" s="2">
        <f t="shared" si="3"/>
        <v>579262</v>
      </c>
      <c r="I197" s="1">
        <v>45819</v>
      </c>
    </row>
    <row r="198" hidden="1" spans="1:9">
      <c r="A198">
        <v>22537</v>
      </c>
      <c r="B198" t="s">
        <v>782</v>
      </c>
      <c r="C198" t="s">
        <v>1052</v>
      </c>
      <c r="D198" t="s">
        <v>1052</v>
      </c>
      <c r="E198" t="s">
        <v>1045</v>
      </c>
      <c r="F198" t="s">
        <v>169</v>
      </c>
      <c r="G198">
        <v>429520</v>
      </c>
      <c r="H198" s="2">
        <f t="shared" si="3"/>
        <v>429520</v>
      </c>
      <c r="I198" s="1">
        <v>45819</v>
      </c>
    </row>
    <row r="199" hidden="1" spans="1:9">
      <c r="A199">
        <v>22538</v>
      </c>
      <c r="B199" t="s">
        <v>782</v>
      </c>
      <c r="C199" t="s">
        <v>1053</v>
      </c>
      <c r="D199" t="s">
        <v>1053</v>
      </c>
      <c r="E199" t="s">
        <v>1045</v>
      </c>
      <c r="F199" t="s">
        <v>169</v>
      </c>
      <c r="G199">
        <v>183490</v>
      </c>
      <c r="H199" s="2">
        <f t="shared" si="3"/>
        <v>183490</v>
      </c>
      <c r="I199" s="1">
        <v>45819</v>
      </c>
    </row>
    <row r="200" spans="1:9">
      <c r="A200">
        <v>23247</v>
      </c>
      <c r="B200" t="s">
        <v>807</v>
      </c>
      <c r="C200" t="s">
        <v>1054</v>
      </c>
      <c r="D200" t="s">
        <v>1055</v>
      </c>
      <c r="E200" t="s">
        <v>910</v>
      </c>
      <c r="F200" t="s">
        <v>810</v>
      </c>
      <c r="G200">
        <v>-634659</v>
      </c>
      <c r="H200" s="2">
        <f t="shared" si="3"/>
        <v>634659</v>
      </c>
      <c r="I200" s="1">
        <v>45819</v>
      </c>
    </row>
    <row r="201" spans="1:9">
      <c r="A201">
        <v>23248</v>
      </c>
      <c r="B201" t="s">
        <v>811</v>
      </c>
      <c r="C201" t="s">
        <v>1056</v>
      </c>
      <c r="D201" t="s">
        <v>162</v>
      </c>
      <c r="E201" t="s">
        <v>910</v>
      </c>
      <c r="F201" t="s">
        <v>810</v>
      </c>
      <c r="G201">
        <v>-17975</v>
      </c>
      <c r="H201" s="2">
        <f t="shared" si="3"/>
        <v>17975</v>
      </c>
      <c r="I201" s="1">
        <v>45819</v>
      </c>
    </row>
    <row r="202" spans="1:9">
      <c r="A202">
        <v>23250</v>
      </c>
      <c r="B202" t="s">
        <v>807</v>
      </c>
      <c r="C202" t="s">
        <v>1057</v>
      </c>
      <c r="D202" t="s">
        <v>1058</v>
      </c>
      <c r="E202" t="s">
        <v>85</v>
      </c>
      <c r="F202" t="s">
        <v>169</v>
      </c>
      <c r="G202">
        <v>-1203038</v>
      </c>
      <c r="H202" s="2">
        <f t="shared" si="3"/>
        <v>1203038</v>
      </c>
      <c r="I202" s="1">
        <v>45819</v>
      </c>
    </row>
    <row r="203" spans="1:9">
      <c r="A203">
        <v>23256</v>
      </c>
      <c r="B203" t="s">
        <v>807</v>
      </c>
      <c r="C203" t="s">
        <v>1059</v>
      </c>
      <c r="D203" t="s">
        <v>1060</v>
      </c>
      <c r="E203" t="s">
        <v>842</v>
      </c>
      <c r="F203" t="s">
        <v>810</v>
      </c>
      <c r="G203">
        <v>-28036.8</v>
      </c>
      <c r="H203" s="2">
        <f t="shared" si="3"/>
        <v>28036.8</v>
      </c>
      <c r="I203" s="1">
        <v>45819</v>
      </c>
    </row>
    <row r="204" spans="1:9">
      <c r="A204">
        <v>23257</v>
      </c>
      <c r="B204" t="s">
        <v>811</v>
      </c>
      <c r="C204" t="s">
        <v>1061</v>
      </c>
      <c r="D204" t="s">
        <v>162</v>
      </c>
      <c r="E204" t="s">
        <v>842</v>
      </c>
      <c r="F204" t="s">
        <v>810</v>
      </c>
      <c r="G204">
        <v>-2596.2</v>
      </c>
      <c r="H204" s="2">
        <f t="shared" si="3"/>
        <v>2596.2</v>
      </c>
      <c r="I204" s="1">
        <v>45819</v>
      </c>
    </row>
    <row r="205" spans="1:9">
      <c r="A205">
        <v>23260</v>
      </c>
      <c r="B205" t="s">
        <v>807</v>
      </c>
      <c r="C205" t="s">
        <v>1062</v>
      </c>
      <c r="D205" t="s">
        <v>1063</v>
      </c>
      <c r="E205" t="s">
        <v>842</v>
      </c>
      <c r="F205" t="s">
        <v>810</v>
      </c>
      <c r="G205">
        <v>-519125.55</v>
      </c>
      <c r="H205" s="2">
        <f t="shared" si="3"/>
        <v>519125.55</v>
      </c>
      <c r="I205" s="1">
        <v>45819</v>
      </c>
    </row>
    <row r="206" spans="1:9">
      <c r="A206">
        <v>23261</v>
      </c>
      <c r="B206" t="s">
        <v>811</v>
      </c>
      <c r="C206" t="s">
        <v>1064</v>
      </c>
      <c r="D206" t="s">
        <v>162</v>
      </c>
      <c r="E206" t="s">
        <v>842</v>
      </c>
      <c r="F206" t="s">
        <v>810</v>
      </c>
      <c r="G206">
        <v>-48068.45</v>
      </c>
      <c r="H206" s="2">
        <f t="shared" si="3"/>
        <v>48068.45</v>
      </c>
      <c r="I206" s="1">
        <v>45819</v>
      </c>
    </row>
    <row r="207" spans="1:9">
      <c r="A207">
        <v>23265</v>
      </c>
      <c r="B207" t="s">
        <v>807</v>
      </c>
      <c r="C207" t="s">
        <v>1065</v>
      </c>
      <c r="D207" t="s">
        <v>1066</v>
      </c>
      <c r="E207" t="s">
        <v>842</v>
      </c>
      <c r="F207" t="s">
        <v>810</v>
      </c>
      <c r="G207">
        <v>-983222.58</v>
      </c>
      <c r="H207" s="2">
        <f t="shared" si="3"/>
        <v>983222.58</v>
      </c>
      <c r="I207" s="1">
        <v>45819</v>
      </c>
    </row>
    <row r="208" spans="1:9">
      <c r="A208">
        <v>23266</v>
      </c>
      <c r="B208" t="s">
        <v>811</v>
      </c>
      <c r="C208" t="s">
        <v>1067</v>
      </c>
      <c r="D208" t="s">
        <v>162</v>
      </c>
      <c r="E208" t="s">
        <v>842</v>
      </c>
      <c r="F208" t="s">
        <v>810</v>
      </c>
      <c r="G208">
        <v>-81140.42</v>
      </c>
      <c r="H208" s="2">
        <f t="shared" si="3"/>
        <v>81140.42</v>
      </c>
      <c r="I208" s="1">
        <v>45819</v>
      </c>
    </row>
    <row r="209" spans="1:9">
      <c r="A209">
        <v>23268</v>
      </c>
      <c r="B209" t="s">
        <v>807</v>
      </c>
      <c r="C209" t="s">
        <v>1068</v>
      </c>
      <c r="D209" t="s">
        <v>1069</v>
      </c>
      <c r="E209" t="s">
        <v>842</v>
      </c>
      <c r="F209" t="s">
        <v>810</v>
      </c>
      <c r="G209">
        <v>-2053308.84</v>
      </c>
      <c r="H209" s="2">
        <f t="shared" si="3"/>
        <v>2053308.84</v>
      </c>
      <c r="I209" s="1">
        <v>45819</v>
      </c>
    </row>
    <row r="210" spans="1:9">
      <c r="A210">
        <v>23269</v>
      </c>
      <c r="B210" t="s">
        <v>811</v>
      </c>
      <c r="C210" t="s">
        <v>1070</v>
      </c>
      <c r="D210" t="s">
        <v>162</v>
      </c>
      <c r="E210" t="s">
        <v>842</v>
      </c>
      <c r="F210" t="s">
        <v>810</v>
      </c>
      <c r="G210">
        <v>-190122.16</v>
      </c>
      <c r="H210" s="2">
        <f t="shared" si="3"/>
        <v>190122.16</v>
      </c>
      <c r="I210" s="1">
        <v>45819</v>
      </c>
    </row>
    <row r="211" spans="1:9">
      <c r="A211">
        <v>23272</v>
      </c>
      <c r="B211" t="s">
        <v>807</v>
      </c>
      <c r="C211" t="s">
        <v>1071</v>
      </c>
      <c r="D211" t="s">
        <v>1072</v>
      </c>
      <c r="E211" t="s">
        <v>842</v>
      </c>
      <c r="F211" t="s">
        <v>810</v>
      </c>
      <c r="G211">
        <v>-112251.42</v>
      </c>
      <c r="H211" s="2">
        <f t="shared" si="3"/>
        <v>112251.42</v>
      </c>
      <c r="I211" s="1">
        <v>45819</v>
      </c>
    </row>
    <row r="212" spans="1:9">
      <c r="A212">
        <v>23273</v>
      </c>
      <c r="B212" t="s">
        <v>811</v>
      </c>
      <c r="C212" t="s">
        <v>1073</v>
      </c>
      <c r="D212" t="s">
        <v>162</v>
      </c>
      <c r="E212" t="s">
        <v>842</v>
      </c>
      <c r="F212" t="s">
        <v>810</v>
      </c>
      <c r="G212">
        <v>-10393.58</v>
      </c>
      <c r="H212" s="2">
        <f t="shared" si="3"/>
        <v>10393.58</v>
      </c>
      <c r="I212" s="1">
        <v>45819</v>
      </c>
    </row>
    <row r="213" spans="1:9">
      <c r="A213">
        <v>23277</v>
      </c>
      <c r="B213" t="s">
        <v>807</v>
      </c>
      <c r="C213" t="s">
        <v>1074</v>
      </c>
      <c r="D213" t="s">
        <v>1075</v>
      </c>
      <c r="E213" t="s">
        <v>842</v>
      </c>
      <c r="F213" t="s">
        <v>810</v>
      </c>
      <c r="G213">
        <v>-596859.58</v>
      </c>
      <c r="H213" s="2">
        <f t="shared" si="3"/>
        <v>596859.58</v>
      </c>
      <c r="I213" s="1">
        <v>45819</v>
      </c>
    </row>
    <row r="214" spans="1:9">
      <c r="A214">
        <v>23278</v>
      </c>
      <c r="B214" t="s">
        <v>811</v>
      </c>
      <c r="C214" t="s">
        <v>1076</v>
      </c>
      <c r="D214" t="s">
        <v>162</v>
      </c>
      <c r="E214" t="s">
        <v>842</v>
      </c>
      <c r="F214" t="s">
        <v>810</v>
      </c>
      <c r="G214">
        <v>-55265.42</v>
      </c>
      <c r="H214" s="2">
        <f t="shared" si="3"/>
        <v>55265.42</v>
      </c>
      <c r="I214" s="1">
        <v>45819</v>
      </c>
    </row>
    <row r="215" hidden="1" spans="1:9">
      <c r="A215">
        <v>23279</v>
      </c>
      <c r="B215" t="s">
        <v>816</v>
      </c>
      <c r="C215" t="s">
        <v>1077</v>
      </c>
      <c r="D215" t="s">
        <v>1078</v>
      </c>
      <c r="E215" t="s">
        <v>776</v>
      </c>
      <c r="F215" t="s">
        <v>170</v>
      </c>
      <c r="G215">
        <v>24107.47</v>
      </c>
      <c r="H215" s="2">
        <f t="shared" si="3"/>
        <v>24107.47</v>
      </c>
      <c r="I215" s="1">
        <v>45819</v>
      </c>
    </row>
    <row r="216" spans="1:9">
      <c r="A216">
        <v>23282</v>
      </c>
      <c r="B216" t="s">
        <v>807</v>
      </c>
      <c r="C216" t="s">
        <v>1079</v>
      </c>
      <c r="D216" t="s">
        <v>1080</v>
      </c>
      <c r="E216" t="s">
        <v>80</v>
      </c>
      <c r="F216" t="s">
        <v>810</v>
      </c>
      <c r="G216">
        <v>-61035</v>
      </c>
      <c r="H216" s="2">
        <f t="shared" si="3"/>
        <v>61035</v>
      </c>
      <c r="I216" s="1">
        <v>45819</v>
      </c>
    </row>
    <row r="217" spans="1:9">
      <c r="A217">
        <v>23283</v>
      </c>
      <c r="B217" t="s">
        <v>811</v>
      </c>
      <c r="C217" t="s">
        <v>1081</v>
      </c>
      <c r="D217" t="s">
        <v>162</v>
      </c>
      <c r="E217" t="s">
        <v>80</v>
      </c>
      <c r="F217" t="s">
        <v>810</v>
      </c>
      <c r="G217">
        <v>-5651</v>
      </c>
      <c r="H217" s="2">
        <f t="shared" si="3"/>
        <v>5651</v>
      </c>
      <c r="I217" s="1">
        <v>45819</v>
      </c>
    </row>
    <row r="218" spans="1:9">
      <c r="A218">
        <v>23285</v>
      </c>
      <c r="B218" t="s">
        <v>807</v>
      </c>
      <c r="C218" t="s">
        <v>1082</v>
      </c>
      <c r="D218" t="s">
        <v>1083</v>
      </c>
      <c r="E218" t="s">
        <v>71</v>
      </c>
      <c r="F218" t="s">
        <v>810</v>
      </c>
      <c r="G218">
        <v>-4158000</v>
      </c>
      <c r="H218" s="2">
        <f t="shared" si="3"/>
        <v>4158000</v>
      </c>
      <c r="I218" s="1">
        <v>45819</v>
      </c>
    </row>
    <row r="219" spans="1:9">
      <c r="A219">
        <v>23286</v>
      </c>
      <c r="B219" t="s">
        <v>811</v>
      </c>
      <c r="C219" t="s">
        <v>1084</v>
      </c>
      <c r="D219" t="s">
        <v>162</v>
      </c>
      <c r="E219" t="s">
        <v>71</v>
      </c>
      <c r="F219" t="s">
        <v>810</v>
      </c>
      <c r="G219">
        <v>-385000</v>
      </c>
      <c r="H219" s="2">
        <f t="shared" si="3"/>
        <v>385000</v>
      </c>
      <c r="I219" s="1">
        <v>45819</v>
      </c>
    </row>
    <row r="220" spans="1:9">
      <c r="A220">
        <v>23290</v>
      </c>
      <c r="B220" t="s">
        <v>807</v>
      </c>
      <c r="C220" t="s">
        <v>1085</v>
      </c>
      <c r="D220" t="s">
        <v>1086</v>
      </c>
      <c r="E220" t="s">
        <v>866</v>
      </c>
      <c r="F220" t="s">
        <v>169</v>
      </c>
      <c r="G220">
        <v>-3259510.6</v>
      </c>
      <c r="H220" s="2">
        <f t="shared" si="3"/>
        <v>3259510.6</v>
      </c>
      <c r="I220" s="1">
        <v>45819</v>
      </c>
    </row>
    <row r="221" spans="1:9">
      <c r="A221">
        <v>23291</v>
      </c>
      <c r="B221" t="s">
        <v>811</v>
      </c>
      <c r="C221" t="s">
        <v>1087</v>
      </c>
      <c r="D221" t="s">
        <v>162</v>
      </c>
      <c r="E221" t="s">
        <v>866</v>
      </c>
      <c r="F221" t="s">
        <v>169</v>
      </c>
      <c r="G221">
        <v>-47645.4</v>
      </c>
      <c r="H221" s="2">
        <f t="shared" si="3"/>
        <v>47645.4</v>
      </c>
      <c r="I221" s="1">
        <v>45819</v>
      </c>
    </row>
    <row r="222" spans="1:9">
      <c r="A222">
        <v>25357</v>
      </c>
      <c r="B222" t="s">
        <v>847</v>
      </c>
      <c r="C222" t="s">
        <v>1088</v>
      </c>
      <c r="D222" t="s">
        <v>1088</v>
      </c>
      <c r="E222" t="s">
        <v>41</v>
      </c>
      <c r="F222" t="s">
        <v>169</v>
      </c>
      <c r="G222">
        <v>-5805600</v>
      </c>
      <c r="H222" s="2">
        <f t="shared" si="3"/>
        <v>5805600</v>
      </c>
      <c r="I222" s="1">
        <v>45819</v>
      </c>
    </row>
    <row r="223" spans="1:9">
      <c r="A223">
        <v>25358</v>
      </c>
      <c r="B223" t="s">
        <v>847</v>
      </c>
      <c r="C223" t="s">
        <v>1089</v>
      </c>
      <c r="D223" t="s">
        <v>1089</v>
      </c>
      <c r="E223" t="s">
        <v>41</v>
      </c>
      <c r="F223" t="s">
        <v>169</v>
      </c>
      <c r="G223">
        <v>-14223720</v>
      </c>
      <c r="H223" s="2">
        <f t="shared" si="3"/>
        <v>14223720</v>
      </c>
      <c r="I223" s="1">
        <v>45819</v>
      </c>
    </row>
    <row r="224" spans="1:9">
      <c r="A224">
        <v>25377</v>
      </c>
      <c r="B224" t="s">
        <v>847</v>
      </c>
      <c r="C224" t="s">
        <v>1090</v>
      </c>
      <c r="D224" t="s">
        <v>1090</v>
      </c>
      <c r="E224" t="s">
        <v>850</v>
      </c>
      <c r="F224" t="s">
        <v>169</v>
      </c>
      <c r="G224">
        <v>-172044.66</v>
      </c>
      <c r="H224" s="2">
        <f t="shared" si="3"/>
        <v>172044.66</v>
      </c>
      <c r="I224" s="1">
        <v>45819</v>
      </c>
    </row>
    <row r="225" hidden="1" spans="1:9">
      <c r="A225">
        <v>30884</v>
      </c>
      <c r="B225" t="s">
        <v>782</v>
      </c>
      <c r="C225" t="s">
        <v>1091</v>
      </c>
      <c r="D225" t="s">
        <v>1091</v>
      </c>
      <c r="E225" t="s">
        <v>144</v>
      </c>
      <c r="F225" t="s">
        <v>169</v>
      </c>
      <c r="G225">
        <v>229317.66</v>
      </c>
      <c r="H225" s="2">
        <f t="shared" si="3"/>
        <v>229317.66</v>
      </c>
      <c r="I225" s="1">
        <v>45819</v>
      </c>
    </row>
    <row r="226" hidden="1" spans="1:9">
      <c r="A226">
        <v>32761</v>
      </c>
      <c r="B226" t="s">
        <v>769</v>
      </c>
      <c r="C226" t="s">
        <v>1092</v>
      </c>
      <c r="D226" t="s">
        <v>1093</v>
      </c>
      <c r="E226" t="s">
        <v>144</v>
      </c>
      <c r="F226" t="s">
        <v>169</v>
      </c>
      <c r="G226">
        <v>0.34</v>
      </c>
      <c r="H226" s="2">
        <f t="shared" si="3"/>
        <v>0.34</v>
      </c>
      <c r="I226" s="1">
        <v>45819</v>
      </c>
    </row>
    <row r="227" spans="1:9">
      <c r="A227">
        <v>34050</v>
      </c>
      <c r="B227" t="s">
        <v>807</v>
      </c>
      <c r="C227" t="s">
        <v>1094</v>
      </c>
      <c r="D227" t="s">
        <v>1095</v>
      </c>
      <c r="E227" t="s">
        <v>55</v>
      </c>
      <c r="F227" t="s">
        <v>169</v>
      </c>
      <c r="G227">
        <v>-857450</v>
      </c>
      <c r="H227" s="2">
        <f t="shared" si="3"/>
        <v>857450</v>
      </c>
      <c r="I227" s="1">
        <v>45819</v>
      </c>
    </row>
    <row r="228" spans="1:9">
      <c r="A228">
        <v>34051</v>
      </c>
      <c r="B228" t="s">
        <v>811</v>
      </c>
      <c r="C228" t="s">
        <v>1096</v>
      </c>
      <c r="D228" t="s">
        <v>162</v>
      </c>
      <c r="E228" t="s">
        <v>55</v>
      </c>
      <c r="F228" t="s">
        <v>169</v>
      </c>
      <c r="G228">
        <v>-29568</v>
      </c>
      <c r="H228" s="2">
        <f t="shared" si="3"/>
        <v>29568</v>
      </c>
      <c r="I228" s="1">
        <v>45819</v>
      </c>
    </row>
    <row r="229" hidden="1" spans="1:9">
      <c r="A229">
        <v>34449</v>
      </c>
      <c r="B229" t="s">
        <v>782</v>
      </c>
      <c r="C229" t="s">
        <v>1097</v>
      </c>
      <c r="D229" t="s">
        <v>1097</v>
      </c>
      <c r="E229" t="s">
        <v>1098</v>
      </c>
      <c r="F229" t="s">
        <v>169</v>
      </c>
      <c r="G229">
        <v>355726.34</v>
      </c>
      <c r="H229" s="2">
        <f t="shared" si="3"/>
        <v>355726.34</v>
      </c>
      <c r="I229" s="1">
        <v>45819</v>
      </c>
    </row>
    <row r="230" spans="1:9">
      <c r="A230">
        <v>34452</v>
      </c>
      <c r="B230" t="s">
        <v>769</v>
      </c>
      <c r="C230" t="s">
        <v>1099</v>
      </c>
      <c r="D230" t="s">
        <v>1100</v>
      </c>
      <c r="E230" t="s">
        <v>1098</v>
      </c>
      <c r="F230" t="s">
        <v>169</v>
      </c>
      <c r="G230">
        <v>-0.34</v>
      </c>
      <c r="H230" s="2">
        <f t="shared" si="3"/>
        <v>0.34</v>
      </c>
      <c r="I230" s="1">
        <v>45819</v>
      </c>
    </row>
    <row r="231" hidden="1" spans="1:9">
      <c r="A231">
        <v>34454</v>
      </c>
      <c r="B231" t="s">
        <v>782</v>
      </c>
      <c r="C231" t="s">
        <v>1101</v>
      </c>
      <c r="D231" t="s">
        <v>1101</v>
      </c>
      <c r="E231" t="s">
        <v>850</v>
      </c>
      <c r="F231" t="s">
        <v>169</v>
      </c>
      <c r="G231">
        <v>585097.1</v>
      </c>
      <c r="H231" s="2">
        <f t="shared" si="3"/>
        <v>585097.1</v>
      </c>
      <c r="I231" s="1">
        <v>45819</v>
      </c>
    </row>
    <row r="232" hidden="1" spans="1:9">
      <c r="A232">
        <v>34458</v>
      </c>
      <c r="B232" t="s">
        <v>782</v>
      </c>
      <c r="C232" t="s">
        <v>1102</v>
      </c>
      <c r="D232" t="s">
        <v>1102</v>
      </c>
      <c r="E232" t="s">
        <v>26</v>
      </c>
      <c r="F232" t="s">
        <v>169</v>
      </c>
      <c r="G232">
        <v>809024</v>
      </c>
      <c r="H232" s="2">
        <f t="shared" si="3"/>
        <v>809024</v>
      </c>
      <c r="I232" s="1">
        <v>45819</v>
      </c>
    </row>
    <row r="233" hidden="1" spans="1:9">
      <c r="A233">
        <v>34498</v>
      </c>
      <c r="B233" t="s">
        <v>782</v>
      </c>
      <c r="C233" t="s">
        <v>1103</v>
      </c>
      <c r="D233" t="s">
        <v>1103</v>
      </c>
      <c r="E233" t="s">
        <v>7</v>
      </c>
      <c r="F233" t="s">
        <v>169</v>
      </c>
      <c r="G233">
        <v>534565.72</v>
      </c>
      <c r="H233" s="2">
        <f t="shared" si="3"/>
        <v>534565.72</v>
      </c>
      <c r="I233" s="1">
        <v>45819</v>
      </c>
    </row>
    <row r="234" hidden="1" spans="1:9">
      <c r="A234">
        <v>34499</v>
      </c>
      <c r="B234" t="s">
        <v>769</v>
      </c>
      <c r="C234" t="s">
        <v>1104</v>
      </c>
      <c r="D234" t="s">
        <v>1105</v>
      </c>
      <c r="E234" t="s">
        <v>7</v>
      </c>
      <c r="F234" t="s">
        <v>169</v>
      </c>
      <c r="G234">
        <v>0.28</v>
      </c>
      <c r="H234" s="2">
        <f t="shared" si="3"/>
        <v>0.28</v>
      </c>
      <c r="I234" s="1">
        <v>45819</v>
      </c>
    </row>
    <row r="235" spans="1:9">
      <c r="A235">
        <v>34501</v>
      </c>
      <c r="B235" t="s">
        <v>769</v>
      </c>
      <c r="C235" t="s">
        <v>1106</v>
      </c>
      <c r="D235" t="s">
        <v>1107</v>
      </c>
      <c r="E235" t="s">
        <v>850</v>
      </c>
      <c r="F235" t="s">
        <v>169</v>
      </c>
      <c r="G235">
        <v>-0.1</v>
      </c>
      <c r="H235" s="2">
        <f t="shared" si="3"/>
        <v>0.1</v>
      </c>
      <c r="I235" s="1">
        <v>45819</v>
      </c>
    </row>
    <row r="236" hidden="1" spans="1:9">
      <c r="A236">
        <v>18041</v>
      </c>
      <c r="B236" t="s">
        <v>782</v>
      </c>
      <c r="C236" t="s">
        <v>1108</v>
      </c>
      <c r="D236" t="s">
        <v>1108</v>
      </c>
      <c r="E236" t="s">
        <v>857</v>
      </c>
      <c r="F236" t="s">
        <v>169</v>
      </c>
      <c r="G236">
        <v>2920677</v>
      </c>
      <c r="H236" s="2">
        <f t="shared" si="3"/>
        <v>2920677</v>
      </c>
      <c r="I236" s="1">
        <v>45820</v>
      </c>
    </row>
    <row r="237" spans="1:9">
      <c r="A237">
        <v>18049</v>
      </c>
      <c r="B237" t="s">
        <v>769</v>
      </c>
      <c r="C237" t="s">
        <v>1109</v>
      </c>
      <c r="D237" t="s">
        <v>1110</v>
      </c>
      <c r="E237" t="s">
        <v>41</v>
      </c>
      <c r="F237" t="s">
        <v>169</v>
      </c>
      <c r="G237">
        <v>-0.5</v>
      </c>
      <c r="H237" s="2">
        <f t="shared" si="3"/>
        <v>0.5</v>
      </c>
      <c r="I237" s="1">
        <v>45820</v>
      </c>
    </row>
    <row r="238" hidden="1" spans="1:9">
      <c r="A238">
        <v>18050</v>
      </c>
      <c r="B238" t="s">
        <v>782</v>
      </c>
      <c r="C238" t="s">
        <v>1111</v>
      </c>
      <c r="D238" t="s">
        <v>1111</v>
      </c>
      <c r="E238" t="s">
        <v>41</v>
      </c>
      <c r="F238" t="s">
        <v>169</v>
      </c>
      <c r="G238">
        <v>7780909.38</v>
      </c>
      <c r="H238" s="2">
        <f t="shared" si="3"/>
        <v>7780909.38</v>
      </c>
      <c r="I238" s="1">
        <v>45820</v>
      </c>
    </row>
    <row r="239" hidden="1" spans="1:9">
      <c r="A239">
        <v>18051</v>
      </c>
      <c r="B239" t="s">
        <v>769</v>
      </c>
      <c r="C239" t="s">
        <v>1112</v>
      </c>
      <c r="D239" t="s">
        <v>1113</v>
      </c>
      <c r="E239" t="s">
        <v>41</v>
      </c>
      <c r="F239" t="s">
        <v>169</v>
      </c>
      <c r="G239">
        <v>0.5</v>
      </c>
      <c r="H239" s="2">
        <f t="shared" si="3"/>
        <v>0.5</v>
      </c>
      <c r="I239" s="1">
        <v>45820</v>
      </c>
    </row>
    <row r="240" hidden="1" spans="1:9">
      <c r="A240">
        <v>18052</v>
      </c>
      <c r="B240" t="s">
        <v>782</v>
      </c>
      <c r="C240" t="s">
        <v>1114</v>
      </c>
      <c r="D240" t="s">
        <v>1114</v>
      </c>
      <c r="E240" t="s">
        <v>41</v>
      </c>
      <c r="F240" t="s">
        <v>169</v>
      </c>
      <c r="G240">
        <v>3279662.5</v>
      </c>
      <c r="H240" s="2">
        <f t="shared" si="3"/>
        <v>3279662.5</v>
      </c>
      <c r="I240" s="1">
        <v>45820</v>
      </c>
    </row>
    <row r="241" spans="1:9">
      <c r="A241">
        <v>18053</v>
      </c>
      <c r="B241" t="s">
        <v>769</v>
      </c>
      <c r="C241" t="s">
        <v>1115</v>
      </c>
      <c r="D241" t="s">
        <v>1116</v>
      </c>
      <c r="E241" t="s">
        <v>41</v>
      </c>
      <c r="F241" t="s">
        <v>169</v>
      </c>
      <c r="G241">
        <v>-0.18</v>
      </c>
      <c r="H241" s="2">
        <f t="shared" si="3"/>
        <v>0.18</v>
      </c>
      <c r="I241" s="1">
        <v>45820</v>
      </c>
    </row>
    <row r="242" hidden="1" spans="1:9">
      <c r="A242">
        <v>18054</v>
      </c>
      <c r="B242" t="s">
        <v>782</v>
      </c>
      <c r="C242" t="s">
        <v>1117</v>
      </c>
      <c r="D242" t="s">
        <v>1117</v>
      </c>
      <c r="E242" t="s">
        <v>41</v>
      </c>
      <c r="F242" t="s">
        <v>169</v>
      </c>
      <c r="G242">
        <v>4809209.18</v>
      </c>
      <c r="H242" s="2">
        <f t="shared" si="3"/>
        <v>4809209.18</v>
      </c>
      <c r="I242" s="1">
        <v>45820</v>
      </c>
    </row>
    <row r="243" spans="1:9">
      <c r="A243">
        <v>18057</v>
      </c>
      <c r="B243" t="s">
        <v>769</v>
      </c>
      <c r="C243" t="s">
        <v>1118</v>
      </c>
      <c r="D243" t="s">
        <v>1119</v>
      </c>
      <c r="E243" t="s">
        <v>41</v>
      </c>
      <c r="F243" t="s">
        <v>169</v>
      </c>
      <c r="G243">
        <v>-0.44</v>
      </c>
      <c r="H243" s="2">
        <f t="shared" si="3"/>
        <v>0.44</v>
      </c>
      <c r="I243" s="1">
        <v>45820</v>
      </c>
    </row>
    <row r="244" hidden="1" spans="1:9">
      <c r="A244">
        <v>18058</v>
      </c>
      <c r="B244" t="s">
        <v>782</v>
      </c>
      <c r="C244" t="s">
        <v>1120</v>
      </c>
      <c r="D244" t="s">
        <v>1120</v>
      </c>
      <c r="E244" t="s">
        <v>41</v>
      </c>
      <c r="F244" t="s">
        <v>169</v>
      </c>
      <c r="G244">
        <v>7438493.44</v>
      </c>
      <c r="H244" s="2">
        <f t="shared" si="3"/>
        <v>7438493.44</v>
      </c>
      <c r="I244" s="1">
        <v>45820</v>
      </c>
    </row>
    <row r="245" hidden="1" spans="1:9">
      <c r="A245">
        <v>18059</v>
      </c>
      <c r="B245" t="s">
        <v>782</v>
      </c>
      <c r="C245" t="s">
        <v>1121</v>
      </c>
      <c r="D245" t="s">
        <v>1121</v>
      </c>
      <c r="E245" t="s">
        <v>41</v>
      </c>
      <c r="F245" t="s">
        <v>169</v>
      </c>
      <c r="G245">
        <v>2281117</v>
      </c>
      <c r="H245" s="2">
        <f t="shared" si="3"/>
        <v>2281117</v>
      </c>
      <c r="I245" s="1">
        <v>45820</v>
      </c>
    </row>
    <row r="246" hidden="1" spans="1:9">
      <c r="A246">
        <v>21980</v>
      </c>
      <c r="B246" t="s">
        <v>769</v>
      </c>
      <c r="C246" t="s">
        <v>1122</v>
      </c>
      <c r="D246" t="s">
        <v>1123</v>
      </c>
      <c r="E246" t="s">
        <v>48</v>
      </c>
      <c r="F246" t="s">
        <v>169</v>
      </c>
      <c r="G246">
        <v>0.12</v>
      </c>
      <c r="H246" s="2">
        <f t="shared" si="3"/>
        <v>0.12</v>
      </c>
      <c r="I246" s="1">
        <v>45820</v>
      </c>
    </row>
    <row r="247" hidden="1" spans="1:9">
      <c r="A247">
        <v>21981</v>
      </c>
      <c r="B247" t="s">
        <v>782</v>
      </c>
      <c r="C247" t="s">
        <v>1124</v>
      </c>
      <c r="D247" t="s">
        <v>1124</v>
      </c>
      <c r="E247" t="s">
        <v>48</v>
      </c>
      <c r="F247" t="s">
        <v>169</v>
      </c>
      <c r="G247">
        <v>885903.88</v>
      </c>
      <c r="H247" s="2">
        <f t="shared" si="3"/>
        <v>885903.88</v>
      </c>
      <c r="I247" s="1">
        <v>45820</v>
      </c>
    </row>
    <row r="248" hidden="1" spans="1:9">
      <c r="A248">
        <v>21982</v>
      </c>
      <c r="B248" t="s">
        <v>769</v>
      </c>
      <c r="C248" t="s">
        <v>1125</v>
      </c>
      <c r="D248" t="s">
        <v>1126</v>
      </c>
      <c r="E248" t="s">
        <v>102</v>
      </c>
      <c r="F248" t="s">
        <v>169</v>
      </c>
      <c r="G248">
        <v>0.2</v>
      </c>
      <c r="H248" s="2">
        <f t="shared" si="3"/>
        <v>0.2</v>
      </c>
      <c r="I248" s="1">
        <v>45820</v>
      </c>
    </row>
    <row r="249" hidden="1" spans="1:9">
      <c r="A249">
        <v>21983</v>
      </c>
      <c r="B249" t="s">
        <v>782</v>
      </c>
      <c r="C249" t="s">
        <v>1127</v>
      </c>
      <c r="D249" t="s">
        <v>1127</v>
      </c>
      <c r="E249" t="s">
        <v>102</v>
      </c>
      <c r="F249" t="s">
        <v>169</v>
      </c>
      <c r="G249">
        <v>84499.8</v>
      </c>
      <c r="H249" s="2">
        <f t="shared" si="3"/>
        <v>84499.8</v>
      </c>
      <c r="I249" s="1">
        <v>45820</v>
      </c>
    </row>
    <row r="250" spans="1:9">
      <c r="A250">
        <v>23298</v>
      </c>
      <c r="B250" t="s">
        <v>807</v>
      </c>
      <c r="C250" t="s">
        <v>1128</v>
      </c>
      <c r="D250" t="s">
        <v>1129</v>
      </c>
      <c r="E250" t="s">
        <v>1130</v>
      </c>
      <c r="F250" t="s">
        <v>810</v>
      </c>
      <c r="G250">
        <v>-7656000</v>
      </c>
      <c r="H250" s="2">
        <f t="shared" si="3"/>
        <v>7656000</v>
      </c>
      <c r="I250" s="1">
        <v>45820</v>
      </c>
    </row>
    <row r="251" spans="1:9">
      <c r="A251">
        <v>23299</v>
      </c>
      <c r="B251" t="s">
        <v>811</v>
      </c>
      <c r="C251" t="s">
        <v>1131</v>
      </c>
      <c r="D251" t="s">
        <v>162</v>
      </c>
      <c r="E251" t="s">
        <v>1130</v>
      </c>
      <c r="F251" t="s">
        <v>810</v>
      </c>
      <c r="G251">
        <v>-132000</v>
      </c>
      <c r="H251" s="2">
        <f t="shared" si="3"/>
        <v>132000</v>
      </c>
      <c r="I251" s="1">
        <v>45820</v>
      </c>
    </row>
    <row r="252" spans="1:9">
      <c r="A252">
        <v>23415</v>
      </c>
      <c r="B252" t="s">
        <v>807</v>
      </c>
      <c r="C252" t="s">
        <v>1132</v>
      </c>
      <c r="D252" t="s">
        <v>1133</v>
      </c>
      <c r="E252" t="s">
        <v>73</v>
      </c>
      <c r="F252" t="s">
        <v>810</v>
      </c>
      <c r="G252">
        <v>-962945.2</v>
      </c>
      <c r="H252" s="2">
        <f t="shared" si="3"/>
        <v>962945.2</v>
      </c>
      <c r="I252" s="1">
        <v>45820</v>
      </c>
    </row>
    <row r="253" hidden="1" spans="1:9">
      <c r="A253">
        <v>23421</v>
      </c>
      <c r="B253" t="s">
        <v>816</v>
      </c>
      <c r="C253" t="s">
        <v>1134</v>
      </c>
      <c r="D253" t="s">
        <v>1135</v>
      </c>
      <c r="E253" t="s">
        <v>776</v>
      </c>
      <c r="F253" t="s">
        <v>170</v>
      </c>
      <c r="G253">
        <v>48361.14</v>
      </c>
      <c r="H253" s="2">
        <f t="shared" si="3"/>
        <v>48361.14</v>
      </c>
      <c r="I253" s="1">
        <v>45820</v>
      </c>
    </row>
    <row r="254" spans="1:9">
      <c r="A254">
        <v>23426</v>
      </c>
      <c r="B254" t="s">
        <v>807</v>
      </c>
      <c r="C254" t="s">
        <v>1136</v>
      </c>
      <c r="D254" t="s">
        <v>1137</v>
      </c>
      <c r="E254" t="s">
        <v>787</v>
      </c>
      <c r="F254" t="s">
        <v>810</v>
      </c>
      <c r="G254">
        <v>-3780022.4</v>
      </c>
      <c r="H254" s="2">
        <f t="shared" si="3"/>
        <v>3780022.4</v>
      </c>
      <c r="I254" s="1">
        <v>45820</v>
      </c>
    </row>
    <row r="255" spans="1:9">
      <c r="A255">
        <v>23434</v>
      </c>
      <c r="B255" t="s">
        <v>807</v>
      </c>
      <c r="C255" t="s">
        <v>1138</v>
      </c>
      <c r="D255" t="s">
        <v>1139</v>
      </c>
      <c r="E255" t="s">
        <v>112</v>
      </c>
      <c r="F255" t="s">
        <v>169</v>
      </c>
      <c r="G255">
        <v>-5054475.96</v>
      </c>
      <c r="H255" s="2">
        <f t="shared" si="3"/>
        <v>5054475.96</v>
      </c>
      <c r="I255" s="1">
        <v>45820</v>
      </c>
    </row>
    <row r="256" spans="1:9">
      <c r="A256">
        <v>23448</v>
      </c>
      <c r="B256" t="s">
        <v>807</v>
      </c>
      <c r="C256" t="s">
        <v>1140</v>
      </c>
      <c r="D256" t="s">
        <v>1141</v>
      </c>
      <c r="E256" t="s">
        <v>88</v>
      </c>
      <c r="F256" t="s">
        <v>169</v>
      </c>
      <c r="G256">
        <v>-183600</v>
      </c>
      <c r="H256" s="2">
        <f t="shared" si="3"/>
        <v>183600</v>
      </c>
      <c r="I256" s="1">
        <v>45820</v>
      </c>
    </row>
    <row r="257" spans="1:9">
      <c r="A257">
        <v>23449</v>
      </c>
      <c r="B257" t="s">
        <v>811</v>
      </c>
      <c r="C257" t="s">
        <v>1142</v>
      </c>
      <c r="D257" t="s">
        <v>162</v>
      </c>
      <c r="E257" t="s">
        <v>88</v>
      </c>
      <c r="F257" t="s">
        <v>169</v>
      </c>
      <c r="G257">
        <v>-17000</v>
      </c>
      <c r="H257" s="2">
        <f t="shared" si="3"/>
        <v>17000</v>
      </c>
      <c r="I257" s="1">
        <v>45820</v>
      </c>
    </row>
    <row r="258" spans="1:9">
      <c r="A258">
        <v>25359</v>
      </c>
      <c r="B258" t="s">
        <v>847</v>
      </c>
      <c r="C258" t="s">
        <v>1143</v>
      </c>
      <c r="D258" t="s">
        <v>1143</v>
      </c>
      <c r="E258" t="s">
        <v>857</v>
      </c>
      <c r="F258" t="s">
        <v>810</v>
      </c>
      <c r="G258">
        <v>-2920677</v>
      </c>
      <c r="H258" s="2">
        <f t="shared" si="3"/>
        <v>2920677</v>
      </c>
      <c r="I258" s="1">
        <v>45820</v>
      </c>
    </row>
    <row r="259" hidden="1" spans="1:9">
      <c r="A259">
        <v>30954</v>
      </c>
      <c r="B259" t="s">
        <v>782</v>
      </c>
      <c r="C259" t="s">
        <v>1144</v>
      </c>
      <c r="D259" t="s">
        <v>1144</v>
      </c>
      <c r="E259" t="s">
        <v>48</v>
      </c>
      <c r="F259" t="s">
        <v>169</v>
      </c>
      <c r="G259">
        <v>495420.64</v>
      </c>
      <c r="H259" s="2">
        <f t="shared" ref="H259:H322" si="4">ABS(G259)</f>
        <v>495420.64</v>
      </c>
      <c r="I259" s="1">
        <v>45820</v>
      </c>
    </row>
    <row r="260" hidden="1" spans="1:9">
      <c r="A260">
        <v>32915</v>
      </c>
      <c r="B260" t="s">
        <v>769</v>
      </c>
      <c r="C260" t="s">
        <v>1145</v>
      </c>
      <c r="D260" t="s">
        <v>1146</v>
      </c>
      <c r="E260" t="s">
        <v>48</v>
      </c>
      <c r="F260" t="s">
        <v>169</v>
      </c>
      <c r="G260">
        <v>0.36</v>
      </c>
      <c r="H260" s="2">
        <f t="shared" si="4"/>
        <v>0.36</v>
      </c>
      <c r="I260" s="1">
        <v>45820</v>
      </c>
    </row>
    <row r="261" spans="1:9">
      <c r="A261">
        <v>34056</v>
      </c>
      <c r="B261" t="s">
        <v>807</v>
      </c>
      <c r="C261" t="s">
        <v>1147</v>
      </c>
      <c r="D261" t="s">
        <v>1148</v>
      </c>
      <c r="E261" t="s">
        <v>120</v>
      </c>
      <c r="F261" t="s">
        <v>810</v>
      </c>
      <c r="G261">
        <v>-873493.2</v>
      </c>
      <c r="H261" s="2">
        <f t="shared" si="4"/>
        <v>873493.2</v>
      </c>
      <c r="I261" s="1">
        <v>45820</v>
      </c>
    </row>
    <row r="262" spans="1:9">
      <c r="A262">
        <v>34057</v>
      </c>
      <c r="B262" t="s">
        <v>811</v>
      </c>
      <c r="C262" t="s">
        <v>1149</v>
      </c>
      <c r="D262" t="s">
        <v>162</v>
      </c>
      <c r="E262" t="s">
        <v>120</v>
      </c>
      <c r="F262" t="s">
        <v>810</v>
      </c>
      <c r="G262">
        <v>-25096.4</v>
      </c>
      <c r="H262" s="2">
        <f t="shared" si="4"/>
        <v>25096.4</v>
      </c>
      <c r="I262" s="1">
        <v>45820</v>
      </c>
    </row>
    <row r="263" hidden="1" spans="1:9">
      <c r="A263">
        <v>34459</v>
      </c>
      <c r="B263" t="s">
        <v>782</v>
      </c>
      <c r="C263" t="s">
        <v>1150</v>
      </c>
      <c r="D263" t="s">
        <v>1150</v>
      </c>
      <c r="E263" t="s">
        <v>80</v>
      </c>
      <c r="F263" t="s">
        <v>169</v>
      </c>
      <c r="G263">
        <v>31020.73</v>
      </c>
      <c r="H263" s="2">
        <f t="shared" si="4"/>
        <v>31020.73</v>
      </c>
      <c r="I263" s="1">
        <v>45820</v>
      </c>
    </row>
    <row r="264" hidden="1" spans="1:9">
      <c r="A264">
        <v>34461</v>
      </c>
      <c r="B264" t="s">
        <v>782</v>
      </c>
      <c r="C264" t="s">
        <v>1151</v>
      </c>
      <c r="D264" t="s">
        <v>1151</v>
      </c>
      <c r="E264" t="s">
        <v>76</v>
      </c>
      <c r="F264" t="s">
        <v>169</v>
      </c>
      <c r="G264">
        <v>82600</v>
      </c>
      <c r="H264" s="2">
        <f t="shared" si="4"/>
        <v>82600</v>
      </c>
      <c r="I264" s="1">
        <v>45820</v>
      </c>
    </row>
    <row r="265" hidden="1" spans="1:9">
      <c r="A265">
        <v>34462</v>
      </c>
      <c r="B265" t="s">
        <v>782</v>
      </c>
      <c r="C265" t="s">
        <v>1152</v>
      </c>
      <c r="D265" t="s">
        <v>1152</v>
      </c>
      <c r="E265" t="s">
        <v>25</v>
      </c>
      <c r="F265" t="s">
        <v>169</v>
      </c>
      <c r="G265">
        <v>41300</v>
      </c>
      <c r="H265" s="2">
        <f t="shared" si="4"/>
        <v>41300</v>
      </c>
      <c r="I265" s="1">
        <v>45820</v>
      </c>
    </row>
    <row r="266" hidden="1" spans="1:9">
      <c r="A266">
        <v>34502</v>
      </c>
      <c r="B266" t="s">
        <v>769</v>
      </c>
      <c r="C266" t="s">
        <v>1153</v>
      </c>
      <c r="D266" t="s">
        <v>1154</v>
      </c>
      <c r="E266" t="s">
        <v>80</v>
      </c>
      <c r="F266" t="s">
        <v>169</v>
      </c>
      <c r="G266">
        <v>0.27</v>
      </c>
      <c r="H266" s="2">
        <f t="shared" si="4"/>
        <v>0.27</v>
      </c>
      <c r="I266" s="1">
        <v>45820</v>
      </c>
    </row>
    <row r="267" hidden="1" spans="1:9">
      <c r="A267">
        <v>52108</v>
      </c>
      <c r="B267" t="s">
        <v>769</v>
      </c>
      <c r="C267" t="s">
        <v>1155</v>
      </c>
      <c r="D267" t="s">
        <v>1155</v>
      </c>
      <c r="E267" t="s">
        <v>48</v>
      </c>
      <c r="F267" t="s">
        <v>169</v>
      </c>
      <c r="G267">
        <v>14810</v>
      </c>
      <c r="H267" s="2">
        <f t="shared" si="4"/>
        <v>14810</v>
      </c>
      <c r="I267" s="1">
        <v>45820</v>
      </c>
    </row>
    <row r="268" spans="1:9">
      <c r="A268">
        <v>55858</v>
      </c>
      <c r="B268" t="s">
        <v>807</v>
      </c>
      <c r="C268" t="s">
        <v>1156</v>
      </c>
      <c r="D268" t="s">
        <v>1157</v>
      </c>
      <c r="E268" t="s">
        <v>47</v>
      </c>
      <c r="F268" t="s">
        <v>810</v>
      </c>
      <c r="G268">
        <v>-557172</v>
      </c>
      <c r="H268" s="2">
        <f t="shared" si="4"/>
        <v>557172</v>
      </c>
      <c r="I268" s="1">
        <v>45820</v>
      </c>
    </row>
    <row r="269" spans="1:9">
      <c r="A269">
        <v>55859</v>
      </c>
      <c r="B269" t="s">
        <v>811</v>
      </c>
      <c r="C269" t="s">
        <v>1158</v>
      </c>
      <c r="D269" t="s">
        <v>162</v>
      </c>
      <c r="E269" t="s">
        <v>47</v>
      </c>
      <c r="F269" t="s">
        <v>810</v>
      </c>
      <c r="G269">
        <v>-51590</v>
      </c>
      <c r="H269" s="2">
        <f t="shared" si="4"/>
        <v>51590</v>
      </c>
      <c r="I269" s="1">
        <v>45820</v>
      </c>
    </row>
    <row r="270" hidden="1" spans="1:9">
      <c r="A270">
        <v>18068</v>
      </c>
      <c r="B270" t="s">
        <v>782</v>
      </c>
      <c r="C270" t="s">
        <v>1159</v>
      </c>
      <c r="D270" t="s">
        <v>1159</v>
      </c>
      <c r="E270" t="s">
        <v>1130</v>
      </c>
      <c r="F270" t="s">
        <v>169</v>
      </c>
      <c r="G270">
        <v>3894000</v>
      </c>
      <c r="H270" s="2">
        <f t="shared" si="4"/>
        <v>3894000</v>
      </c>
      <c r="I270" s="1">
        <v>45821</v>
      </c>
    </row>
    <row r="271" hidden="1" spans="1:9">
      <c r="A271">
        <v>18069</v>
      </c>
      <c r="B271" t="s">
        <v>782</v>
      </c>
      <c r="C271" t="s">
        <v>1160</v>
      </c>
      <c r="D271" t="s">
        <v>1160</v>
      </c>
      <c r="E271" t="s">
        <v>1130</v>
      </c>
      <c r="F271" t="s">
        <v>169</v>
      </c>
      <c r="G271">
        <v>3894000</v>
      </c>
      <c r="H271" s="2">
        <f t="shared" si="4"/>
        <v>3894000</v>
      </c>
      <c r="I271" s="1">
        <v>45821</v>
      </c>
    </row>
    <row r="272" hidden="1" spans="1:9">
      <c r="A272">
        <v>18071</v>
      </c>
      <c r="B272" t="s">
        <v>782</v>
      </c>
      <c r="C272" t="s">
        <v>1161</v>
      </c>
      <c r="D272" t="s">
        <v>1161</v>
      </c>
      <c r="E272" t="s">
        <v>1130</v>
      </c>
      <c r="F272" t="s">
        <v>169</v>
      </c>
      <c r="G272">
        <v>2478000</v>
      </c>
      <c r="H272" s="2">
        <f t="shared" si="4"/>
        <v>2478000</v>
      </c>
      <c r="I272" s="1">
        <v>45821</v>
      </c>
    </row>
    <row r="273" spans="1:9">
      <c r="A273">
        <v>21984</v>
      </c>
      <c r="B273" t="s">
        <v>769</v>
      </c>
      <c r="C273" t="s">
        <v>1162</v>
      </c>
      <c r="D273" t="s">
        <v>1163</v>
      </c>
      <c r="E273" t="s">
        <v>787</v>
      </c>
      <c r="F273" t="s">
        <v>169</v>
      </c>
      <c r="G273">
        <v>-0.37</v>
      </c>
      <c r="H273" s="2">
        <f t="shared" si="4"/>
        <v>0.37</v>
      </c>
      <c r="I273" s="1">
        <v>45821</v>
      </c>
    </row>
    <row r="274" hidden="1" spans="1:9">
      <c r="A274">
        <v>21985</v>
      </c>
      <c r="B274" t="s">
        <v>782</v>
      </c>
      <c r="C274" t="s">
        <v>1164</v>
      </c>
      <c r="D274" t="s">
        <v>1164</v>
      </c>
      <c r="E274" t="s">
        <v>787</v>
      </c>
      <c r="F274" t="s">
        <v>169</v>
      </c>
      <c r="G274">
        <v>1230914.37</v>
      </c>
      <c r="H274" s="2">
        <f t="shared" si="4"/>
        <v>1230914.37</v>
      </c>
      <c r="I274" s="1">
        <v>45821</v>
      </c>
    </row>
    <row r="275" hidden="1" spans="1:9">
      <c r="A275">
        <v>21986</v>
      </c>
      <c r="B275" t="s">
        <v>769</v>
      </c>
      <c r="C275" t="s">
        <v>1165</v>
      </c>
      <c r="D275" t="s">
        <v>1166</v>
      </c>
      <c r="E275" t="s">
        <v>81</v>
      </c>
      <c r="F275" t="s">
        <v>169</v>
      </c>
      <c r="G275">
        <v>0.19</v>
      </c>
      <c r="H275" s="2">
        <f t="shared" si="4"/>
        <v>0.19</v>
      </c>
      <c r="I275" s="1">
        <v>45821</v>
      </c>
    </row>
    <row r="276" hidden="1" spans="1:9">
      <c r="A276">
        <v>21987</v>
      </c>
      <c r="B276" t="s">
        <v>782</v>
      </c>
      <c r="C276" t="s">
        <v>1167</v>
      </c>
      <c r="D276" t="s">
        <v>1167</v>
      </c>
      <c r="E276" t="s">
        <v>81</v>
      </c>
      <c r="F276" t="s">
        <v>169</v>
      </c>
      <c r="G276">
        <v>176698.81</v>
      </c>
      <c r="H276" s="2">
        <f t="shared" si="4"/>
        <v>176698.81</v>
      </c>
      <c r="I276" s="1">
        <v>45821</v>
      </c>
    </row>
    <row r="277" spans="1:9">
      <c r="A277">
        <v>21991</v>
      </c>
      <c r="B277" t="s">
        <v>769</v>
      </c>
      <c r="C277" t="s">
        <v>1168</v>
      </c>
      <c r="D277" t="s">
        <v>1169</v>
      </c>
      <c r="E277" t="s">
        <v>48</v>
      </c>
      <c r="F277" t="s">
        <v>169</v>
      </c>
      <c r="G277">
        <v>-0.38</v>
      </c>
      <c r="H277" s="2">
        <f t="shared" si="4"/>
        <v>0.38</v>
      </c>
      <c r="I277" s="1">
        <v>45821</v>
      </c>
    </row>
    <row r="278" hidden="1" spans="1:9">
      <c r="A278">
        <v>21992</v>
      </c>
      <c r="B278" t="s">
        <v>782</v>
      </c>
      <c r="C278" t="s">
        <v>1170</v>
      </c>
      <c r="D278" t="s">
        <v>1170</v>
      </c>
      <c r="E278" t="s">
        <v>48</v>
      </c>
      <c r="F278" t="s">
        <v>169</v>
      </c>
      <c r="G278">
        <v>669698.38</v>
      </c>
      <c r="H278" s="2">
        <f t="shared" si="4"/>
        <v>669698.38</v>
      </c>
      <c r="I278" s="1">
        <v>45821</v>
      </c>
    </row>
    <row r="279" hidden="1" spans="1:9">
      <c r="A279">
        <v>21997</v>
      </c>
      <c r="B279" t="s">
        <v>769</v>
      </c>
      <c r="C279" t="s">
        <v>1171</v>
      </c>
      <c r="D279" t="s">
        <v>1172</v>
      </c>
      <c r="E279" t="s">
        <v>116</v>
      </c>
      <c r="F279" t="s">
        <v>169</v>
      </c>
      <c r="G279">
        <v>0.5</v>
      </c>
      <c r="H279" s="2">
        <f t="shared" si="4"/>
        <v>0.5</v>
      </c>
      <c r="I279" s="1">
        <v>45821</v>
      </c>
    </row>
    <row r="280" hidden="1" spans="1:9">
      <c r="A280">
        <v>21998</v>
      </c>
      <c r="B280" t="s">
        <v>782</v>
      </c>
      <c r="C280" t="s">
        <v>1173</v>
      </c>
      <c r="D280" t="s">
        <v>1173</v>
      </c>
      <c r="E280" t="s">
        <v>116</v>
      </c>
      <c r="F280" t="s">
        <v>169</v>
      </c>
      <c r="G280">
        <v>86169.5</v>
      </c>
      <c r="H280" s="2">
        <f t="shared" si="4"/>
        <v>86169.5</v>
      </c>
      <c r="I280" s="1">
        <v>45821</v>
      </c>
    </row>
    <row r="281" hidden="1" spans="1:9">
      <c r="A281">
        <v>22000</v>
      </c>
      <c r="B281" t="s">
        <v>769</v>
      </c>
      <c r="C281" t="s">
        <v>1174</v>
      </c>
      <c r="D281" t="s">
        <v>1175</v>
      </c>
      <c r="E281" t="s">
        <v>69</v>
      </c>
      <c r="F281" t="s">
        <v>169</v>
      </c>
      <c r="G281">
        <v>0.23</v>
      </c>
      <c r="H281" s="2">
        <f t="shared" si="4"/>
        <v>0.23</v>
      </c>
      <c r="I281" s="1">
        <v>45821</v>
      </c>
    </row>
    <row r="282" hidden="1" spans="1:9">
      <c r="A282">
        <v>22001</v>
      </c>
      <c r="B282" t="s">
        <v>782</v>
      </c>
      <c r="C282" t="s">
        <v>1176</v>
      </c>
      <c r="D282" t="s">
        <v>1176</v>
      </c>
      <c r="E282" t="s">
        <v>69</v>
      </c>
      <c r="F282" t="s">
        <v>169</v>
      </c>
      <c r="G282">
        <v>1027696.77</v>
      </c>
      <c r="H282" s="2">
        <f t="shared" si="4"/>
        <v>1027696.77</v>
      </c>
      <c r="I282" s="1">
        <v>45821</v>
      </c>
    </row>
    <row r="283" hidden="1" spans="1:9">
      <c r="A283">
        <v>22009</v>
      </c>
      <c r="B283" t="s">
        <v>782</v>
      </c>
      <c r="C283" t="s">
        <v>1177</v>
      </c>
      <c r="D283" t="s">
        <v>1177</v>
      </c>
      <c r="E283" t="s">
        <v>37</v>
      </c>
      <c r="F283" t="s">
        <v>169</v>
      </c>
      <c r="G283">
        <v>6626880</v>
      </c>
      <c r="H283" s="2">
        <f t="shared" si="4"/>
        <v>6626880</v>
      </c>
      <c r="I283" s="1">
        <v>45821</v>
      </c>
    </row>
    <row r="284" hidden="1" spans="1:9">
      <c r="A284">
        <v>22717</v>
      </c>
      <c r="B284" t="s">
        <v>782</v>
      </c>
      <c r="C284" t="s">
        <v>1178</v>
      </c>
      <c r="D284" t="s">
        <v>1178</v>
      </c>
      <c r="E284" t="s">
        <v>37</v>
      </c>
      <c r="F284" t="s">
        <v>169</v>
      </c>
      <c r="G284">
        <v>2725800</v>
      </c>
      <c r="H284" s="2">
        <f t="shared" si="4"/>
        <v>2725800</v>
      </c>
      <c r="I284" s="1">
        <v>45821</v>
      </c>
    </row>
    <row r="285" hidden="1" spans="1:9">
      <c r="A285">
        <v>22757</v>
      </c>
      <c r="B285" t="s">
        <v>769</v>
      </c>
      <c r="C285" t="s">
        <v>1179</v>
      </c>
      <c r="D285" t="s">
        <v>1180</v>
      </c>
      <c r="E285" t="s">
        <v>37</v>
      </c>
      <c r="F285" t="s">
        <v>169</v>
      </c>
      <c r="G285">
        <v>0.4</v>
      </c>
      <c r="H285" s="2">
        <f t="shared" si="4"/>
        <v>0.4</v>
      </c>
      <c r="I285" s="1">
        <v>45821</v>
      </c>
    </row>
    <row r="286" hidden="1" spans="1:9">
      <c r="A286">
        <v>22758</v>
      </c>
      <c r="B286" t="s">
        <v>782</v>
      </c>
      <c r="C286" t="s">
        <v>1181</v>
      </c>
      <c r="D286" t="s">
        <v>1181</v>
      </c>
      <c r="E286" t="s">
        <v>37</v>
      </c>
      <c r="F286" t="s">
        <v>169</v>
      </c>
      <c r="G286">
        <v>2330877.6</v>
      </c>
      <c r="H286" s="2">
        <f t="shared" si="4"/>
        <v>2330877.6</v>
      </c>
      <c r="I286" s="1">
        <v>45821</v>
      </c>
    </row>
    <row r="287" hidden="1" spans="1:9">
      <c r="A287">
        <v>22759</v>
      </c>
      <c r="B287" t="s">
        <v>782</v>
      </c>
      <c r="C287" t="s">
        <v>1182</v>
      </c>
      <c r="D287" t="s">
        <v>1182</v>
      </c>
      <c r="E287" t="s">
        <v>37</v>
      </c>
      <c r="F287" t="s">
        <v>169</v>
      </c>
      <c r="G287">
        <v>828360</v>
      </c>
      <c r="H287" s="2">
        <f t="shared" si="4"/>
        <v>828360</v>
      </c>
      <c r="I287" s="1">
        <v>45821</v>
      </c>
    </row>
    <row r="288" hidden="1" spans="1:9">
      <c r="A288">
        <v>22760</v>
      </c>
      <c r="B288" t="s">
        <v>782</v>
      </c>
      <c r="C288" t="s">
        <v>1183</v>
      </c>
      <c r="D288" t="s">
        <v>1183</v>
      </c>
      <c r="E288" t="s">
        <v>37</v>
      </c>
      <c r="F288" t="s">
        <v>169</v>
      </c>
      <c r="G288">
        <v>1534000</v>
      </c>
      <c r="H288" s="2">
        <f t="shared" si="4"/>
        <v>1534000</v>
      </c>
      <c r="I288" s="1">
        <v>45821</v>
      </c>
    </row>
    <row r="289" hidden="1" spans="1:9">
      <c r="A289">
        <v>22761</v>
      </c>
      <c r="B289" t="s">
        <v>782</v>
      </c>
      <c r="C289" t="s">
        <v>1184</v>
      </c>
      <c r="D289" t="s">
        <v>1184</v>
      </c>
      <c r="E289" t="s">
        <v>1185</v>
      </c>
      <c r="F289" t="s">
        <v>169</v>
      </c>
      <c r="G289">
        <v>579262</v>
      </c>
      <c r="H289" s="2">
        <f t="shared" si="4"/>
        <v>579262</v>
      </c>
      <c r="I289" s="1">
        <v>45821</v>
      </c>
    </row>
    <row r="290" hidden="1" spans="1:9">
      <c r="A290">
        <v>22762</v>
      </c>
      <c r="B290" t="s">
        <v>782</v>
      </c>
      <c r="C290" t="s">
        <v>1186</v>
      </c>
      <c r="D290" t="s">
        <v>1186</v>
      </c>
      <c r="E290" t="s">
        <v>1185</v>
      </c>
      <c r="F290" t="s">
        <v>169</v>
      </c>
      <c r="G290">
        <v>429520</v>
      </c>
      <c r="H290" s="2">
        <f t="shared" si="4"/>
        <v>429520</v>
      </c>
      <c r="I290" s="1">
        <v>45821</v>
      </c>
    </row>
    <row r="291" hidden="1" spans="1:9">
      <c r="A291">
        <v>22763</v>
      </c>
      <c r="B291" t="s">
        <v>782</v>
      </c>
      <c r="C291" t="s">
        <v>1187</v>
      </c>
      <c r="D291" t="s">
        <v>1187</v>
      </c>
      <c r="E291" t="s">
        <v>1185</v>
      </c>
      <c r="F291" t="s">
        <v>169</v>
      </c>
      <c r="G291">
        <v>183490</v>
      </c>
      <c r="H291" s="2">
        <f t="shared" si="4"/>
        <v>183490</v>
      </c>
      <c r="I291" s="1">
        <v>45821</v>
      </c>
    </row>
    <row r="292" spans="1:9">
      <c r="A292">
        <v>23453</v>
      </c>
      <c r="B292" t="s">
        <v>807</v>
      </c>
      <c r="C292" t="s">
        <v>1188</v>
      </c>
      <c r="D292" t="s">
        <v>1189</v>
      </c>
      <c r="E292" t="s">
        <v>1130</v>
      </c>
      <c r="F292" t="s">
        <v>810</v>
      </c>
      <c r="G292">
        <v>-7076000</v>
      </c>
      <c r="H292" s="2">
        <f t="shared" si="4"/>
        <v>7076000</v>
      </c>
      <c r="I292" s="1">
        <v>45821</v>
      </c>
    </row>
    <row r="293" spans="1:9">
      <c r="A293">
        <v>23454</v>
      </c>
      <c r="B293" t="s">
        <v>811</v>
      </c>
      <c r="C293" t="s">
        <v>1190</v>
      </c>
      <c r="D293" t="s">
        <v>162</v>
      </c>
      <c r="E293" t="s">
        <v>1130</v>
      </c>
      <c r="F293" t="s">
        <v>810</v>
      </c>
      <c r="G293">
        <v>-122000</v>
      </c>
      <c r="H293" s="2">
        <f t="shared" si="4"/>
        <v>122000</v>
      </c>
      <c r="I293" s="1">
        <v>45821</v>
      </c>
    </row>
    <row r="294" hidden="1" spans="1:9">
      <c r="A294">
        <v>23455</v>
      </c>
      <c r="B294" t="s">
        <v>816</v>
      </c>
      <c r="C294" t="s">
        <v>1191</v>
      </c>
      <c r="D294" t="s">
        <v>1192</v>
      </c>
      <c r="E294" t="s">
        <v>1193</v>
      </c>
      <c r="F294" t="s">
        <v>170</v>
      </c>
      <c r="G294">
        <v>2170360.8</v>
      </c>
      <c r="H294" s="2">
        <f t="shared" si="4"/>
        <v>2170360.8</v>
      </c>
      <c r="I294" s="1">
        <v>45821</v>
      </c>
    </row>
    <row r="295" spans="1:9">
      <c r="A295">
        <v>23456</v>
      </c>
      <c r="B295" t="s">
        <v>811</v>
      </c>
      <c r="C295" t="s">
        <v>1194</v>
      </c>
      <c r="D295" t="s">
        <v>162</v>
      </c>
      <c r="E295" t="s">
        <v>1193</v>
      </c>
      <c r="F295" t="s">
        <v>169</v>
      </c>
      <c r="G295">
        <v>-241151.2</v>
      </c>
      <c r="H295" s="2">
        <f t="shared" si="4"/>
        <v>241151.2</v>
      </c>
      <c r="I295" s="1">
        <v>45821</v>
      </c>
    </row>
    <row r="296" spans="1:9">
      <c r="A296">
        <v>23457</v>
      </c>
      <c r="B296" t="s">
        <v>807</v>
      </c>
      <c r="C296" t="s">
        <v>1195</v>
      </c>
      <c r="D296" t="s">
        <v>1196</v>
      </c>
      <c r="E296" t="s">
        <v>842</v>
      </c>
      <c r="F296" t="s">
        <v>810</v>
      </c>
      <c r="G296">
        <v>-141951.42</v>
      </c>
      <c r="H296" s="2">
        <f t="shared" si="4"/>
        <v>141951.42</v>
      </c>
      <c r="I296" s="1">
        <v>45821</v>
      </c>
    </row>
    <row r="297" spans="1:9">
      <c r="A297">
        <v>23458</v>
      </c>
      <c r="B297" t="s">
        <v>811</v>
      </c>
      <c r="C297" t="s">
        <v>1197</v>
      </c>
      <c r="D297" t="s">
        <v>162</v>
      </c>
      <c r="E297" t="s">
        <v>842</v>
      </c>
      <c r="F297" t="s">
        <v>810</v>
      </c>
      <c r="G297">
        <v>-13143.58</v>
      </c>
      <c r="H297" s="2">
        <f t="shared" si="4"/>
        <v>13143.58</v>
      </c>
      <c r="I297" s="1">
        <v>45821</v>
      </c>
    </row>
    <row r="298" spans="1:9">
      <c r="A298">
        <v>23459</v>
      </c>
      <c r="B298" t="s">
        <v>807</v>
      </c>
      <c r="C298" t="s">
        <v>1198</v>
      </c>
      <c r="D298" t="s">
        <v>1199</v>
      </c>
      <c r="E298" t="s">
        <v>842</v>
      </c>
      <c r="F298" t="s">
        <v>810</v>
      </c>
      <c r="G298">
        <v>-112251.42</v>
      </c>
      <c r="H298" s="2">
        <f t="shared" si="4"/>
        <v>112251.42</v>
      </c>
      <c r="I298" s="1">
        <v>45821</v>
      </c>
    </row>
    <row r="299" spans="1:9">
      <c r="A299">
        <v>23460</v>
      </c>
      <c r="B299" t="s">
        <v>811</v>
      </c>
      <c r="C299" t="s">
        <v>1200</v>
      </c>
      <c r="D299" t="s">
        <v>162</v>
      </c>
      <c r="E299" t="s">
        <v>842</v>
      </c>
      <c r="F299" t="s">
        <v>810</v>
      </c>
      <c r="G299">
        <v>-10393.58</v>
      </c>
      <c r="H299" s="2">
        <f t="shared" si="4"/>
        <v>10393.58</v>
      </c>
      <c r="I299" s="1">
        <v>45821</v>
      </c>
    </row>
    <row r="300" spans="1:9">
      <c r="A300">
        <v>23462</v>
      </c>
      <c r="B300" t="s">
        <v>807</v>
      </c>
      <c r="C300" t="s">
        <v>1201</v>
      </c>
      <c r="D300" t="s">
        <v>1202</v>
      </c>
      <c r="E300" t="s">
        <v>842</v>
      </c>
      <c r="F300" t="s">
        <v>810</v>
      </c>
      <c r="G300">
        <v>-143961.64</v>
      </c>
      <c r="H300" s="2">
        <f t="shared" si="4"/>
        <v>143961.64</v>
      </c>
      <c r="I300" s="1">
        <v>45821</v>
      </c>
    </row>
    <row r="301" spans="1:9">
      <c r="A301">
        <v>23463</v>
      </c>
      <c r="B301" t="s">
        <v>811</v>
      </c>
      <c r="C301" t="s">
        <v>1203</v>
      </c>
      <c r="D301" t="s">
        <v>162</v>
      </c>
      <c r="E301" t="s">
        <v>842</v>
      </c>
      <c r="F301" t="s">
        <v>810</v>
      </c>
      <c r="G301">
        <v>-13330.36</v>
      </c>
      <c r="H301" s="2">
        <f t="shared" si="4"/>
        <v>13330.36</v>
      </c>
      <c r="I301" s="1">
        <v>45821</v>
      </c>
    </row>
    <row r="302" spans="1:9">
      <c r="A302">
        <v>23465</v>
      </c>
      <c r="B302" t="s">
        <v>807</v>
      </c>
      <c r="C302" t="s">
        <v>1204</v>
      </c>
      <c r="D302" t="s">
        <v>1205</v>
      </c>
      <c r="E302" t="s">
        <v>842</v>
      </c>
      <c r="F302" t="s">
        <v>810</v>
      </c>
      <c r="G302">
        <v>-112251.42</v>
      </c>
      <c r="H302" s="2">
        <f t="shared" si="4"/>
        <v>112251.42</v>
      </c>
      <c r="I302" s="1">
        <v>45821</v>
      </c>
    </row>
    <row r="303" spans="1:9">
      <c r="A303">
        <v>23466</v>
      </c>
      <c r="B303" t="s">
        <v>811</v>
      </c>
      <c r="C303" t="s">
        <v>1206</v>
      </c>
      <c r="D303" t="s">
        <v>162</v>
      </c>
      <c r="E303" t="s">
        <v>842</v>
      </c>
      <c r="F303" t="s">
        <v>810</v>
      </c>
      <c r="G303">
        <v>-10393.58</v>
      </c>
      <c r="H303" s="2">
        <f t="shared" si="4"/>
        <v>10393.58</v>
      </c>
      <c r="I303" s="1">
        <v>45821</v>
      </c>
    </row>
    <row r="304" spans="1:9">
      <c r="A304">
        <v>23467</v>
      </c>
      <c r="B304" t="s">
        <v>807</v>
      </c>
      <c r="C304" t="s">
        <v>1207</v>
      </c>
      <c r="D304" t="s">
        <v>1208</v>
      </c>
      <c r="E304" t="s">
        <v>842</v>
      </c>
      <c r="F304" t="s">
        <v>810</v>
      </c>
      <c r="G304">
        <v>-112251.42</v>
      </c>
      <c r="H304" s="2">
        <f t="shared" si="4"/>
        <v>112251.42</v>
      </c>
      <c r="I304" s="1">
        <v>45821</v>
      </c>
    </row>
    <row r="305" spans="1:9">
      <c r="A305">
        <v>23468</v>
      </c>
      <c r="B305" t="s">
        <v>811</v>
      </c>
      <c r="C305" t="s">
        <v>1209</v>
      </c>
      <c r="D305" t="s">
        <v>162</v>
      </c>
      <c r="E305" t="s">
        <v>842</v>
      </c>
      <c r="F305" t="s">
        <v>810</v>
      </c>
      <c r="G305">
        <v>-10393.58</v>
      </c>
      <c r="H305" s="2">
        <f t="shared" si="4"/>
        <v>10393.58</v>
      </c>
      <c r="I305" s="1">
        <v>45821</v>
      </c>
    </row>
    <row r="306" spans="1:9">
      <c r="A306">
        <v>23471</v>
      </c>
      <c r="B306" t="s">
        <v>807</v>
      </c>
      <c r="C306" t="s">
        <v>1210</v>
      </c>
      <c r="D306" t="s">
        <v>1211</v>
      </c>
      <c r="E306" t="s">
        <v>842</v>
      </c>
      <c r="F306" t="s">
        <v>810</v>
      </c>
      <c r="G306">
        <v>-114261.64</v>
      </c>
      <c r="H306" s="2">
        <f t="shared" si="4"/>
        <v>114261.64</v>
      </c>
      <c r="I306" s="1">
        <v>45821</v>
      </c>
    </row>
    <row r="307" spans="1:9">
      <c r="A307">
        <v>23472</v>
      </c>
      <c r="B307" t="s">
        <v>811</v>
      </c>
      <c r="C307" t="s">
        <v>1212</v>
      </c>
      <c r="D307" t="s">
        <v>162</v>
      </c>
      <c r="E307" t="s">
        <v>842</v>
      </c>
      <c r="F307" t="s">
        <v>810</v>
      </c>
      <c r="G307">
        <v>-10580.36</v>
      </c>
      <c r="H307" s="2">
        <f t="shared" si="4"/>
        <v>10580.36</v>
      </c>
      <c r="I307" s="1">
        <v>45821</v>
      </c>
    </row>
    <row r="308" spans="1:9">
      <c r="A308">
        <v>23474</v>
      </c>
      <c r="B308" t="s">
        <v>807</v>
      </c>
      <c r="C308" t="s">
        <v>1213</v>
      </c>
      <c r="D308" t="s">
        <v>1214</v>
      </c>
      <c r="E308" t="s">
        <v>842</v>
      </c>
      <c r="F308" t="s">
        <v>810</v>
      </c>
      <c r="G308">
        <v>-112251.42</v>
      </c>
      <c r="H308" s="2">
        <f t="shared" si="4"/>
        <v>112251.42</v>
      </c>
      <c r="I308" s="1">
        <v>45821</v>
      </c>
    </row>
    <row r="309" spans="1:9">
      <c r="A309">
        <v>23475</v>
      </c>
      <c r="B309" t="s">
        <v>811</v>
      </c>
      <c r="C309" t="s">
        <v>1215</v>
      </c>
      <c r="D309" t="s">
        <v>162</v>
      </c>
      <c r="E309" t="s">
        <v>842</v>
      </c>
      <c r="F309" t="s">
        <v>810</v>
      </c>
      <c r="G309">
        <v>-10393.58</v>
      </c>
      <c r="H309" s="2">
        <f t="shared" si="4"/>
        <v>10393.58</v>
      </c>
      <c r="I309" s="1">
        <v>45821</v>
      </c>
    </row>
    <row r="310" spans="1:9">
      <c r="A310">
        <v>23478</v>
      </c>
      <c r="B310" t="s">
        <v>807</v>
      </c>
      <c r="C310" t="s">
        <v>1216</v>
      </c>
      <c r="D310" t="s">
        <v>1217</v>
      </c>
      <c r="E310" t="s">
        <v>130</v>
      </c>
      <c r="F310" t="s">
        <v>810</v>
      </c>
      <c r="G310">
        <v>-2635023</v>
      </c>
      <c r="H310" s="2">
        <f t="shared" si="4"/>
        <v>2635023</v>
      </c>
      <c r="I310" s="1">
        <v>45821</v>
      </c>
    </row>
    <row r="311" spans="1:9">
      <c r="A311">
        <v>23479</v>
      </c>
      <c r="B311" t="s">
        <v>807</v>
      </c>
      <c r="C311" t="s">
        <v>1218</v>
      </c>
      <c r="D311" t="s">
        <v>1219</v>
      </c>
      <c r="E311" t="s">
        <v>47</v>
      </c>
      <c r="F311" t="s">
        <v>810</v>
      </c>
      <c r="G311">
        <v>-558360</v>
      </c>
      <c r="H311" s="2">
        <f t="shared" si="4"/>
        <v>558360</v>
      </c>
      <c r="I311" s="1">
        <v>45821</v>
      </c>
    </row>
    <row r="312" spans="1:9">
      <c r="A312">
        <v>23480</v>
      </c>
      <c r="B312" t="s">
        <v>811</v>
      </c>
      <c r="C312" t="s">
        <v>1220</v>
      </c>
      <c r="D312" t="s">
        <v>162</v>
      </c>
      <c r="E312" t="s">
        <v>47</v>
      </c>
      <c r="F312" t="s">
        <v>810</v>
      </c>
      <c r="G312">
        <v>-51700</v>
      </c>
      <c r="H312" s="2">
        <f t="shared" si="4"/>
        <v>51700</v>
      </c>
      <c r="I312" s="1">
        <v>45821</v>
      </c>
    </row>
    <row r="313" hidden="1" spans="1:9">
      <c r="A313">
        <v>23482</v>
      </c>
      <c r="B313" t="s">
        <v>816</v>
      </c>
      <c r="C313" t="s">
        <v>1221</v>
      </c>
      <c r="D313" t="s">
        <v>1222</v>
      </c>
      <c r="E313" t="s">
        <v>776</v>
      </c>
      <c r="F313" t="s">
        <v>170</v>
      </c>
      <c r="G313">
        <v>106185.05</v>
      </c>
      <c r="H313" s="2">
        <f t="shared" si="4"/>
        <v>106185.05</v>
      </c>
      <c r="I313" s="1">
        <v>45821</v>
      </c>
    </row>
    <row r="314" spans="1:9">
      <c r="A314">
        <v>23485</v>
      </c>
      <c r="B314" t="s">
        <v>807</v>
      </c>
      <c r="C314" t="s">
        <v>1223</v>
      </c>
      <c r="D314" t="s">
        <v>1224</v>
      </c>
      <c r="E314" t="s">
        <v>80</v>
      </c>
      <c r="F314" t="s">
        <v>810</v>
      </c>
      <c r="G314">
        <v>-548640</v>
      </c>
      <c r="H314" s="2">
        <f t="shared" si="4"/>
        <v>548640</v>
      </c>
      <c r="I314" s="1">
        <v>45821</v>
      </c>
    </row>
    <row r="315" spans="1:9">
      <c r="A315">
        <v>23486</v>
      </c>
      <c r="B315" t="s">
        <v>811</v>
      </c>
      <c r="C315" t="s">
        <v>1225</v>
      </c>
      <c r="D315" t="s">
        <v>162</v>
      </c>
      <c r="E315" t="s">
        <v>80</v>
      </c>
      <c r="F315" t="s">
        <v>810</v>
      </c>
      <c r="G315">
        <v>-50800</v>
      </c>
      <c r="H315" s="2">
        <f t="shared" si="4"/>
        <v>50800</v>
      </c>
      <c r="I315" s="1">
        <v>45821</v>
      </c>
    </row>
    <row r="316" spans="1:9">
      <c r="A316">
        <v>23502</v>
      </c>
      <c r="B316" t="s">
        <v>807</v>
      </c>
      <c r="C316" t="s">
        <v>1226</v>
      </c>
      <c r="D316" t="s">
        <v>1227</v>
      </c>
      <c r="E316" t="s">
        <v>885</v>
      </c>
      <c r="F316" t="s">
        <v>169</v>
      </c>
      <c r="G316">
        <v>-30976.31</v>
      </c>
      <c r="H316" s="2">
        <f t="shared" si="4"/>
        <v>30976.31</v>
      </c>
      <c r="I316" s="1">
        <v>45821</v>
      </c>
    </row>
    <row r="317" spans="1:9">
      <c r="A317">
        <v>23504</v>
      </c>
      <c r="B317" t="s">
        <v>807</v>
      </c>
      <c r="C317" t="s">
        <v>1228</v>
      </c>
      <c r="D317" t="s">
        <v>1229</v>
      </c>
      <c r="E317" t="s">
        <v>71</v>
      </c>
      <c r="F317" t="s">
        <v>810</v>
      </c>
      <c r="G317">
        <v>-220400</v>
      </c>
      <c r="H317" s="2">
        <f t="shared" si="4"/>
        <v>220400</v>
      </c>
      <c r="I317" s="1">
        <v>45821</v>
      </c>
    </row>
    <row r="318" spans="1:9">
      <c r="A318">
        <v>23505</v>
      </c>
      <c r="B318" t="s">
        <v>811</v>
      </c>
      <c r="C318" t="s">
        <v>1230</v>
      </c>
      <c r="D318" t="s">
        <v>162</v>
      </c>
      <c r="E318" t="s">
        <v>71</v>
      </c>
      <c r="F318" t="s">
        <v>810</v>
      </c>
      <c r="G318">
        <v>-3800</v>
      </c>
      <c r="H318" s="2">
        <f t="shared" si="4"/>
        <v>3800</v>
      </c>
      <c r="I318" s="1">
        <v>45821</v>
      </c>
    </row>
    <row r="319" hidden="1" spans="1:9">
      <c r="A319">
        <v>30968</v>
      </c>
      <c r="B319" t="s">
        <v>782</v>
      </c>
      <c r="C319" t="s">
        <v>1231</v>
      </c>
      <c r="D319" t="s">
        <v>1231</v>
      </c>
      <c r="E319" t="s">
        <v>1098</v>
      </c>
      <c r="F319" t="s">
        <v>169</v>
      </c>
      <c r="G319">
        <v>160776.18</v>
      </c>
      <c r="H319" s="2">
        <f t="shared" si="4"/>
        <v>160776.18</v>
      </c>
      <c r="I319" s="1">
        <v>45821</v>
      </c>
    </row>
    <row r="320" hidden="1" spans="1:9">
      <c r="A320">
        <v>31071</v>
      </c>
      <c r="B320" t="s">
        <v>782</v>
      </c>
      <c r="C320" t="s">
        <v>1232</v>
      </c>
      <c r="D320" t="s">
        <v>1232</v>
      </c>
      <c r="E320" t="s">
        <v>89</v>
      </c>
      <c r="F320" t="s">
        <v>169</v>
      </c>
      <c r="G320">
        <v>2579480</v>
      </c>
      <c r="H320" s="2">
        <f t="shared" si="4"/>
        <v>2579480</v>
      </c>
      <c r="I320" s="1">
        <v>45821</v>
      </c>
    </row>
    <row r="321" spans="1:9">
      <c r="A321">
        <v>31091</v>
      </c>
      <c r="B321" t="s">
        <v>769</v>
      </c>
      <c r="C321" t="s">
        <v>1233</v>
      </c>
      <c r="D321" t="s">
        <v>1234</v>
      </c>
      <c r="E321" t="s">
        <v>1098</v>
      </c>
      <c r="F321" t="s">
        <v>169</v>
      </c>
      <c r="G321">
        <v>-0.18</v>
      </c>
      <c r="H321" s="2">
        <f t="shared" si="4"/>
        <v>0.18</v>
      </c>
      <c r="I321" s="1">
        <v>45821</v>
      </c>
    </row>
    <row r="322" hidden="1" spans="1:9">
      <c r="A322">
        <v>34059</v>
      </c>
      <c r="B322" t="s">
        <v>816</v>
      </c>
      <c r="C322" t="s">
        <v>1235</v>
      </c>
      <c r="D322" t="s">
        <v>1236</v>
      </c>
      <c r="E322" t="s">
        <v>133</v>
      </c>
      <c r="F322" t="s">
        <v>170</v>
      </c>
      <c r="G322">
        <v>464270.24</v>
      </c>
      <c r="H322" s="2">
        <f t="shared" si="4"/>
        <v>464270.24</v>
      </c>
      <c r="I322" s="1">
        <v>45821</v>
      </c>
    </row>
    <row r="323" spans="1:9">
      <c r="A323">
        <v>38600</v>
      </c>
      <c r="B323" t="s">
        <v>807</v>
      </c>
      <c r="C323" t="s">
        <v>1237</v>
      </c>
      <c r="D323" t="s">
        <v>1238</v>
      </c>
      <c r="E323" t="s">
        <v>1239</v>
      </c>
      <c r="F323" t="s">
        <v>169</v>
      </c>
      <c r="G323">
        <v>-1928349</v>
      </c>
      <c r="H323" s="2">
        <f t="shared" ref="H323:H386" si="5">ABS(G323)</f>
        <v>1928349</v>
      </c>
      <c r="I323" s="1">
        <v>45821</v>
      </c>
    </row>
    <row r="324" spans="1:9">
      <c r="A324">
        <v>38601</v>
      </c>
      <c r="B324" t="s">
        <v>811</v>
      </c>
      <c r="C324" t="s">
        <v>1240</v>
      </c>
      <c r="D324" t="s">
        <v>162</v>
      </c>
      <c r="E324" t="s">
        <v>1239</v>
      </c>
      <c r="F324" t="s">
        <v>169</v>
      </c>
      <c r="G324">
        <v>-33248</v>
      </c>
      <c r="H324" s="2">
        <f t="shared" si="5"/>
        <v>33248</v>
      </c>
      <c r="I324" s="1">
        <v>45821</v>
      </c>
    </row>
    <row r="325" spans="1:9">
      <c r="A325">
        <v>40393</v>
      </c>
      <c r="B325" t="s">
        <v>807</v>
      </c>
      <c r="C325" t="s">
        <v>1241</v>
      </c>
      <c r="D325" t="s">
        <v>1242</v>
      </c>
      <c r="E325" t="s">
        <v>7</v>
      </c>
      <c r="F325" t="s">
        <v>169</v>
      </c>
      <c r="G325">
        <v>-534565</v>
      </c>
      <c r="H325" s="2">
        <f t="shared" si="5"/>
        <v>534565</v>
      </c>
      <c r="I325" s="1">
        <v>45821</v>
      </c>
    </row>
    <row r="326" spans="1:9">
      <c r="A326">
        <v>40394</v>
      </c>
      <c r="B326" t="s">
        <v>807</v>
      </c>
      <c r="C326" t="s">
        <v>1243</v>
      </c>
      <c r="D326" t="s">
        <v>1242</v>
      </c>
      <c r="E326" t="s">
        <v>7</v>
      </c>
      <c r="F326" t="s">
        <v>169</v>
      </c>
      <c r="G326">
        <v>-1</v>
      </c>
      <c r="H326" s="2">
        <f t="shared" si="5"/>
        <v>1</v>
      </c>
      <c r="I326" s="1">
        <v>45821</v>
      </c>
    </row>
    <row r="327" spans="1:9">
      <c r="A327">
        <v>40602</v>
      </c>
      <c r="B327" t="s">
        <v>807</v>
      </c>
      <c r="C327" t="s">
        <v>1244</v>
      </c>
      <c r="D327" t="s">
        <v>1245</v>
      </c>
      <c r="E327" t="s">
        <v>842</v>
      </c>
      <c r="F327" t="s">
        <v>169</v>
      </c>
      <c r="G327">
        <v>-224503</v>
      </c>
      <c r="H327" s="2">
        <f t="shared" si="5"/>
        <v>224503</v>
      </c>
      <c r="I327" s="1">
        <v>45821</v>
      </c>
    </row>
    <row r="328" spans="1:9">
      <c r="A328">
        <v>40603</v>
      </c>
      <c r="B328" t="s">
        <v>811</v>
      </c>
      <c r="C328" t="s">
        <v>1246</v>
      </c>
      <c r="D328" t="s">
        <v>162</v>
      </c>
      <c r="E328" t="s">
        <v>842</v>
      </c>
      <c r="F328" t="s">
        <v>169</v>
      </c>
      <c r="G328">
        <v>-20787</v>
      </c>
      <c r="H328" s="2">
        <f t="shared" si="5"/>
        <v>20787</v>
      </c>
      <c r="I328" s="1">
        <v>45821</v>
      </c>
    </row>
    <row r="329" spans="1:9">
      <c r="A329">
        <v>40604</v>
      </c>
      <c r="B329" t="s">
        <v>807</v>
      </c>
      <c r="C329" t="s">
        <v>1247</v>
      </c>
      <c r="D329" t="s">
        <v>1245</v>
      </c>
      <c r="E329" t="s">
        <v>842</v>
      </c>
      <c r="F329" t="s">
        <v>169</v>
      </c>
      <c r="G329">
        <v>-20195.84</v>
      </c>
      <c r="H329" s="2">
        <f t="shared" si="5"/>
        <v>20195.84</v>
      </c>
      <c r="I329" s="1">
        <v>45821</v>
      </c>
    </row>
    <row r="330" spans="1:9">
      <c r="A330">
        <v>40605</v>
      </c>
      <c r="B330" t="s">
        <v>811</v>
      </c>
      <c r="C330" t="s">
        <v>1248</v>
      </c>
      <c r="D330" t="s">
        <v>162</v>
      </c>
      <c r="E330" t="s">
        <v>842</v>
      </c>
      <c r="F330" t="s">
        <v>169</v>
      </c>
      <c r="G330">
        <v>-1870.16</v>
      </c>
      <c r="H330" s="2">
        <f t="shared" si="5"/>
        <v>1870.16</v>
      </c>
      <c r="I330" s="1">
        <v>45821</v>
      </c>
    </row>
    <row r="331" hidden="1" spans="1:9">
      <c r="A331">
        <v>22121</v>
      </c>
      <c r="B331" t="s">
        <v>782</v>
      </c>
      <c r="C331" t="s">
        <v>1249</v>
      </c>
      <c r="D331" t="s">
        <v>1249</v>
      </c>
      <c r="E331" t="s">
        <v>23</v>
      </c>
      <c r="F331" t="s">
        <v>169</v>
      </c>
      <c r="G331">
        <v>1401840</v>
      </c>
      <c r="H331" s="2">
        <f t="shared" si="5"/>
        <v>1401840</v>
      </c>
      <c r="I331" s="1">
        <v>45824</v>
      </c>
    </row>
    <row r="332" hidden="1" spans="1:9">
      <c r="A332">
        <v>22127</v>
      </c>
      <c r="B332" t="s">
        <v>782</v>
      </c>
      <c r="C332" t="s">
        <v>1250</v>
      </c>
      <c r="D332" t="s">
        <v>1250</v>
      </c>
      <c r="E332" t="s">
        <v>48</v>
      </c>
      <c r="F332" t="s">
        <v>169</v>
      </c>
      <c r="G332">
        <v>94695</v>
      </c>
      <c r="H332" s="2">
        <f t="shared" si="5"/>
        <v>94695</v>
      </c>
      <c r="I332" s="1">
        <v>45824</v>
      </c>
    </row>
    <row r="333" spans="1:9">
      <c r="A333">
        <v>22132</v>
      </c>
      <c r="B333" t="s">
        <v>769</v>
      </c>
      <c r="C333" t="s">
        <v>1251</v>
      </c>
      <c r="D333" t="s">
        <v>1252</v>
      </c>
      <c r="E333" t="s">
        <v>89</v>
      </c>
      <c r="F333" t="s">
        <v>169</v>
      </c>
      <c r="G333">
        <v>-0.1</v>
      </c>
      <c r="H333" s="2">
        <f t="shared" si="5"/>
        <v>0.1</v>
      </c>
      <c r="I333" s="1">
        <v>45824</v>
      </c>
    </row>
    <row r="334" hidden="1" spans="1:9">
      <c r="A334">
        <v>22133</v>
      </c>
      <c r="B334" t="s">
        <v>782</v>
      </c>
      <c r="C334" t="s">
        <v>1253</v>
      </c>
      <c r="D334" t="s">
        <v>1253</v>
      </c>
      <c r="E334" t="s">
        <v>89</v>
      </c>
      <c r="F334" t="s">
        <v>169</v>
      </c>
      <c r="G334">
        <v>475357.1</v>
      </c>
      <c r="H334" s="2">
        <f t="shared" si="5"/>
        <v>475357.1</v>
      </c>
      <c r="I334" s="1">
        <v>45824</v>
      </c>
    </row>
    <row r="335" hidden="1" spans="1:9">
      <c r="A335">
        <v>22136</v>
      </c>
      <c r="B335" t="s">
        <v>769</v>
      </c>
      <c r="C335" t="s">
        <v>1254</v>
      </c>
      <c r="D335" t="s">
        <v>1255</v>
      </c>
      <c r="E335" t="s">
        <v>54</v>
      </c>
      <c r="F335" t="s">
        <v>169</v>
      </c>
      <c r="G335">
        <v>0.4</v>
      </c>
      <c r="H335" s="2">
        <f t="shared" si="5"/>
        <v>0.4</v>
      </c>
      <c r="I335" s="1">
        <v>45824</v>
      </c>
    </row>
    <row r="336" hidden="1" spans="1:9">
      <c r="A336">
        <v>22137</v>
      </c>
      <c r="B336" t="s">
        <v>782</v>
      </c>
      <c r="C336" t="s">
        <v>1256</v>
      </c>
      <c r="D336" t="s">
        <v>1256</v>
      </c>
      <c r="E336" t="s">
        <v>54</v>
      </c>
      <c r="F336" t="s">
        <v>169</v>
      </c>
      <c r="G336">
        <v>346176.6</v>
      </c>
      <c r="H336" s="2">
        <f t="shared" si="5"/>
        <v>346176.6</v>
      </c>
      <c r="I336" s="1">
        <v>45824</v>
      </c>
    </row>
    <row r="337" spans="1:9">
      <c r="A337">
        <v>24546</v>
      </c>
      <c r="B337" t="s">
        <v>807</v>
      </c>
      <c r="C337" t="s">
        <v>1257</v>
      </c>
      <c r="D337" t="s">
        <v>1258</v>
      </c>
      <c r="E337" t="s">
        <v>47</v>
      </c>
      <c r="F337" t="s">
        <v>810</v>
      </c>
      <c r="G337">
        <v>-4198947.75</v>
      </c>
      <c r="H337" s="2">
        <f t="shared" si="5"/>
        <v>4198947.75</v>
      </c>
      <c r="I337" s="1">
        <v>45824</v>
      </c>
    </row>
    <row r="338" hidden="1" spans="1:9">
      <c r="A338">
        <v>24551</v>
      </c>
      <c r="B338" t="s">
        <v>816</v>
      </c>
      <c r="C338" t="s">
        <v>1259</v>
      </c>
      <c r="D338" t="s">
        <v>1260</v>
      </c>
      <c r="E338" t="s">
        <v>776</v>
      </c>
      <c r="F338" t="s">
        <v>170</v>
      </c>
      <c r="G338">
        <v>128832.45</v>
      </c>
      <c r="H338" s="2">
        <f t="shared" si="5"/>
        <v>128832.45</v>
      </c>
      <c r="I338" s="1">
        <v>45824</v>
      </c>
    </row>
    <row r="339" spans="1:9">
      <c r="A339">
        <v>24553</v>
      </c>
      <c r="B339" t="s">
        <v>807</v>
      </c>
      <c r="C339" t="s">
        <v>1261</v>
      </c>
      <c r="D339" t="s">
        <v>1262</v>
      </c>
      <c r="E339" t="s">
        <v>103</v>
      </c>
      <c r="F339" t="s">
        <v>169</v>
      </c>
      <c r="G339">
        <v>-499727.01</v>
      </c>
      <c r="H339" s="2">
        <f t="shared" si="5"/>
        <v>499727.01</v>
      </c>
      <c r="I339" s="1">
        <v>45824</v>
      </c>
    </row>
    <row r="340" spans="1:9">
      <c r="A340">
        <v>24554</v>
      </c>
      <c r="B340" t="s">
        <v>811</v>
      </c>
      <c r="C340" t="s">
        <v>1263</v>
      </c>
      <c r="D340" t="s">
        <v>162</v>
      </c>
      <c r="E340" t="s">
        <v>103</v>
      </c>
      <c r="F340" t="s">
        <v>169</v>
      </c>
      <c r="G340">
        <v>-8615.99</v>
      </c>
      <c r="H340" s="2">
        <f t="shared" si="5"/>
        <v>8615.99</v>
      </c>
      <c r="I340" s="1">
        <v>45824</v>
      </c>
    </row>
    <row r="341" hidden="1" spans="1:9">
      <c r="A341">
        <v>24555</v>
      </c>
      <c r="B341" t="s">
        <v>816</v>
      </c>
      <c r="C341" t="s">
        <v>1264</v>
      </c>
      <c r="D341" t="s">
        <v>1265</v>
      </c>
      <c r="E341" t="s">
        <v>22</v>
      </c>
      <c r="F341" t="s">
        <v>170</v>
      </c>
      <c r="G341">
        <v>211643</v>
      </c>
      <c r="H341" s="2">
        <f t="shared" si="5"/>
        <v>211643</v>
      </c>
      <c r="I341" s="1">
        <v>45824</v>
      </c>
    </row>
    <row r="342" spans="1:9">
      <c r="A342">
        <v>24561</v>
      </c>
      <c r="B342" t="s">
        <v>807</v>
      </c>
      <c r="C342" t="s">
        <v>1266</v>
      </c>
      <c r="D342" t="s">
        <v>1267</v>
      </c>
      <c r="E342" t="s">
        <v>86</v>
      </c>
      <c r="F342" t="s">
        <v>169</v>
      </c>
      <c r="G342">
        <v>-67919.04</v>
      </c>
      <c r="H342" s="2">
        <f t="shared" si="5"/>
        <v>67919.04</v>
      </c>
      <c r="I342" s="1">
        <v>45824</v>
      </c>
    </row>
    <row r="343" spans="1:9">
      <c r="A343">
        <v>24562</v>
      </c>
      <c r="B343" t="s">
        <v>811</v>
      </c>
      <c r="C343" t="s">
        <v>1268</v>
      </c>
      <c r="D343" t="s">
        <v>162</v>
      </c>
      <c r="E343" t="s">
        <v>86</v>
      </c>
      <c r="F343" t="s">
        <v>169</v>
      </c>
      <c r="G343">
        <v>-7546.56</v>
      </c>
      <c r="H343" s="2">
        <f t="shared" si="5"/>
        <v>7546.56</v>
      </c>
      <c r="I343" s="1">
        <v>45824</v>
      </c>
    </row>
    <row r="344" hidden="1" spans="1:9">
      <c r="A344">
        <v>31075</v>
      </c>
      <c r="B344" t="s">
        <v>782</v>
      </c>
      <c r="C344" t="s">
        <v>1269</v>
      </c>
      <c r="D344" t="s">
        <v>1269</v>
      </c>
      <c r="E344" t="s">
        <v>69</v>
      </c>
      <c r="F344" t="s">
        <v>169</v>
      </c>
      <c r="G344">
        <v>5338388.88</v>
      </c>
      <c r="H344" s="2">
        <f t="shared" si="5"/>
        <v>5338388.88</v>
      </c>
      <c r="I344" s="1">
        <v>45824</v>
      </c>
    </row>
    <row r="345" hidden="1" spans="1:9">
      <c r="A345">
        <v>33134</v>
      </c>
      <c r="B345" t="s">
        <v>769</v>
      </c>
      <c r="C345" t="s">
        <v>1270</v>
      </c>
      <c r="D345" t="s">
        <v>1271</v>
      </c>
      <c r="E345" t="s">
        <v>69</v>
      </c>
      <c r="F345" t="s">
        <v>169</v>
      </c>
      <c r="G345">
        <v>0.06</v>
      </c>
      <c r="H345" s="2">
        <f t="shared" si="5"/>
        <v>0.06</v>
      </c>
      <c r="I345" s="1">
        <v>45824</v>
      </c>
    </row>
    <row r="346" hidden="1" spans="1:9">
      <c r="A346">
        <v>34500</v>
      </c>
      <c r="B346" t="s">
        <v>782</v>
      </c>
      <c r="C346" t="s">
        <v>1272</v>
      </c>
      <c r="D346" t="s">
        <v>1272</v>
      </c>
      <c r="E346" t="s">
        <v>92</v>
      </c>
      <c r="F346" t="s">
        <v>169</v>
      </c>
      <c r="G346">
        <v>159300</v>
      </c>
      <c r="H346" s="2">
        <f t="shared" si="5"/>
        <v>159300</v>
      </c>
      <c r="I346" s="1">
        <v>45824</v>
      </c>
    </row>
    <row r="347" spans="1:9">
      <c r="A347">
        <v>18107</v>
      </c>
      <c r="B347" t="s">
        <v>769</v>
      </c>
      <c r="C347" t="s">
        <v>1273</v>
      </c>
      <c r="D347" t="s">
        <v>1274</v>
      </c>
      <c r="E347" t="s">
        <v>1193</v>
      </c>
      <c r="F347" t="s">
        <v>169</v>
      </c>
      <c r="G347">
        <v>-0.4</v>
      </c>
      <c r="H347" s="2">
        <f t="shared" si="5"/>
        <v>0.4</v>
      </c>
      <c r="I347" s="1">
        <v>45825</v>
      </c>
    </row>
    <row r="348" hidden="1" spans="1:9">
      <c r="A348">
        <v>18108</v>
      </c>
      <c r="B348" t="s">
        <v>782</v>
      </c>
      <c r="C348" t="s">
        <v>1275</v>
      </c>
      <c r="D348" t="s">
        <v>1275</v>
      </c>
      <c r="E348" t="s">
        <v>1193</v>
      </c>
      <c r="F348" t="s">
        <v>169</v>
      </c>
      <c r="G348">
        <v>3794089.4</v>
      </c>
      <c r="H348" s="2">
        <f t="shared" si="5"/>
        <v>3794089.4</v>
      </c>
      <c r="I348" s="1">
        <v>45825</v>
      </c>
    </row>
    <row r="349" spans="1:9">
      <c r="A349">
        <v>22160</v>
      </c>
      <c r="B349" t="s">
        <v>769</v>
      </c>
      <c r="C349" t="s">
        <v>1276</v>
      </c>
      <c r="D349" t="s">
        <v>1277</v>
      </c>
      <c r="E349" t="s">
        <v>1098</v>
      </c>
      <c r="F349" t="s">
        <v>169</v>
      </c>
      <c r="G349">
        <v>-0.01</v>
      </c>
      <c r="H349" s="2">
        <f t="shared" si="5"/>
        <v>0.01</v>
      </c>
      <c r="I349" s="1">
        <v>45825</v>
      </c>
    </row>
    <row r="350" hidden="1" spans="1:9">
      <c r="A350">
        <v>22161</v>
      </c>
      <c r="B350" t="s">
        <v>782</v>
      </c>
      <c r="C350" t="s">
        <v>1278</v>
      </c>
      <c r="D350" t="s">
        <v>1278</v>
      </c>
      <c r="E350" t="s">
        <v>1098</v>
      </c>
      <c r="F350" t="s">
        <v>169</v>
      </c>
      <c r="G350">
        <v>28833.01</v>
      </c>
      <c r="H350" s="2">
        <f t="shared" si="5"/>
        <v>28833.01</v>
      </c>
      <c r="I350" s="1">
        <v>45825</v>
      </c>
    </row>
    <row r="351" hidden="1" spans="1:9">
      <c r="A351">
        <v>22179</v>
      </c>
      <c r="B351" t="s">
        <v>769</v>
      </c>
      <c r="C351" t="s">
        <v>1279</v>
      </c>
      <c r="D351" t="s">
        <v>1280</v>
      </c>
      <c r="E351" t="s">
        <v>93</v>
      </c>
      <c r="F351" t="s">
        <v>169</v>
      </c>
      <c r="G351">
        <v>0.48</v>
      </c>
      <c r="H351" s="2">
        <f t="shared" si="5"/>
        <v>0.48</v>
      </c>
      <c r="I351" s="1">
        <v>45825</v>
      </c>
    </row>
    <row r="352" hidden="1" spans="1:9">
      <c r="A352">
        <v>22180</v>
      </c>
      <c r="B352" t="s">
        <v>782</v>
      </c>
      <c r="C352" t="s">
        <v>1281</v>
      </c>
      <c r="D352" t="s">
        <v>1281</v>
      </c>
      <c r="E352" t="s">
        <v>93</v>
      </c>
      <c r="F352" t="s">
        <v>169</v>
      </c>
      <c r="G352">
        <v>21257.52</v>
      </c>
      <c r="H352" s="2">
        <f t="shared" si="5"/>
        <v>21257.52</v>
      </c>
      <c r="I352" s="1">
        <v>45825</v>
      </c>
    </row>
    <row r="353" hidden="1" spans="1:9">
      <c r="A353">
        <v>22187</v>
      </c>
      <c r="B353" t="s">
        <v>769</v>
      </c>
      <c r="C353" t="s">
        <v>1282</v>
      </c>
      <c r="D353" t="s">
        <v>1283</v>
      </c>
      <c r="E353" t="s">
        <v>54</v>
      </c>
      <c r="F353" t="s">
        <v>169</v>
      </c>
      <c r="G353">
        <v>0.25</v>
      </c>
      <c r="H353" s="2">
        <f t="shared" si="5"/>
        <v>0.25</v>
      </c>
      <c r="I353" s="1">
        <v>45825</v>
      </c>
    </row>
    <row r="354" hidden="1" spans="1:9">
      <c r="A354">
        <v>22188</v>
      </c>
      <c r="B354" t="s">
        <v>782</v>
      </c>
      <c r="C354" t="s">
        <v>1284</v>
      </c>
      <c r="D354" t="s">
        <v>1284</v>
      </c>
      <c r="E354" t="s">
        <v>54</v>
      </c>
      <c r="F354" t="s">
        <v>169</v>
      </c>
      <c r="G354">
        <v>27567.75</v>
      </c>
      <c r="H354" s="2">
        <f t="shared" si="5"/>
        <v>27567.75</v>
      </c>
      <c r="I354" s="1">
        <v>45825</v>
      </c>
    </row>
    <row r="355" hidden="1" spans="1:9">
      <c r="A355">
        <v>22203</v>
      </c>
      <c r="B355" t="s">
        <v>782</v>
      </c>
      <c r="C355" t="s">
        <v>1285</v>
      </c>
      <c r="D355" t="s">
        <v>1285</v>
      </c>
      <c r="E355" t="s">
        <v>69</v>
      </c>
      <c r="F355" t="s">
        <v>169</v>
      </c>
      <c r="G355">
        <v>481558</v>
      </c>
      <c r="H355" s="2">
        <f t="shared" si="5"/>
        <v>481558</v>
      </c>
      <c r="I355" s="1">
        <v>45825</v>
      </c>
    </row>
    <row r="356" spans="1:9">
      <c r="A356">
        <v>22366</v>
      </c>
      <c r="B356" t="s">
        <v>769</v>
      </c>
      <c r="C356" t="s">
        <v>1286</v>
      </c>
      <c r="D356" t="s">
        <v>1287</v>
      </c>
      <c r="E356" t="s">
        <v>117</v>
      </c>
      <c r="F356" t="s">
        <v>169</v>
      </c>
      <c r="G356">
        <v>-0.36</v>
      </c>
      <c r="H356" s="2">
        <f t="shared" si="5"/>
        <v>0.36</v>
      </c>
      <c r="I356" s="1">
        <v>45825</v>
      </c>
    </row>
    <row r="357" hidden="1" spans="1:9">
      <c r="A357">
        <v>22367</v>
      </c>
      <c r="B357" t="s">
        <v>782</v>
      </c>
      <c r="C357" t="s">
        <v>1288</v>
      </c>
      <c r="D357" t="s">
        <v>1288</v>
      </c>
      <c r="E357" t="s">
        <v>117</v>
      </c>
      <c r="F357" t="s">
        <v>169</v>
      </c>
      <c r="G357">
        <v>25523.36</v>
      </c>
      <c r="H357" s="2">
        <f t="shared" si="5"/>
        <v>25523.36</v>
      </c>
      <c r="I357" s="1">
        <v>45825</v>
      </c>
    </row>
    <row r="358" hidden="1" spans="1:9">
      <c r="A358">
        <v>31095</v>
      </c>
      <c r="B358" t="s">
        <v>782</v>
      </c>
      <c r="C358" t="s">
        <v>1289</v>
      </c>
      <c r="D358" t="s">
        <v>1289</v>
      </c>
      <c r="E358" t="s">
        <v>48</v>
      </c>
      <c r="F358" t="s">
        <v>169</v>
      </c>
      <c r="G358">
        <v>413649</v>
      </c>
      <c r="H358" s="2">
        <f t="shared" si="5"/>
        <v>413649</v>
      </c>
      <c r="I358" s="1">
        <v>45825</v>
      </c>
    </row>
    <row r="359" hidden="1" spans="1:9">
      <c r="A359">
        <v>31103</v>
      </c>
      <c r="B359" t="s">
        <v>782</v>
      </c>
      <c r="C359" t="s">
        <v>1290</v>
      </c>
      <c r="D359" t="s">
        <v>1290</v>
      </c>
      <c r="E359" t="s">
        <v>113</v>
      </c>
      <c r="F359" t="s">
        <v>169</v>
      </c>
      <c r="G359">
        <v>6739082.83</v>
      </c>
      <c r="H359" s="2">
        <f t="shared" si="5"/>
        <v>6739082.83</v>
      </c>
      <c r="I359" s="1">
        <v>45825</v>
      </c>
    </row>
    <row r="360" hidden="1" spans="1:9">
      <c r="A360">
        <v>31105</v>
      </c>
      <c r="B360" t="s">
        <v>769</v>
      </c>
      <c r="C360" t="s">
        <v>1291</v>
      </c>
      <c r="D360" t="s">
        <v>1292</v>
      </c>
      <c r="E360" t="s">
        <v>113</v>
      </c>
      <c r="F360" t="s">
        <v>169</v>
      </c>
      <c r="G360">
        <v>0.17</v>
      </c>
      <c r="H360" s="2">
        <f t="shared" si="5"/>
        <v>0.17</v>
      </c>
      <c r="I360" s="1">
        <v>45825</v>
      </c>
    </row>
    <row r="361" hidden="1" spans="1:9">
      <c r="A361">
        <v>31107</v>
      </c>
      <c r="B361" t="s">
        <v>782</v>
      </c>
      <c r="C361" t="s">
        <v>1293</v>
      </c>
      <c r="D361" t="s">
        <v>1293</v>
      </c>
      <c r="E361" t="s">
        <v>99</v>
      </c>
      <c r="F361" t="s">
        <v>169</v>
      </c>
      <c r="G361">
        <v>2001355.93</v>
      </c>
      <c r="H361" s="2">
        <f t="shared" si="5"/>
        <v>2001355.93</v>
      </c>
      <c r="I361" s="1">
        <v>45825</v>
      </c>
    </row>
    <row r="362" hidden="1" spans="1:9">
      <c r="A362">
        <v>31115</v>
      </c>
      <c r="B362" t="s">
        <v>782</v>
      </c>
      <c r="C362" t="s">
        <v>1294</v>
      </c>
      <c r="D362" t="s">
        <v>1294</v>
      </c>
      <c r="E362" t="s">
        <v>99</v>
      </c>
      <c r="F362" t="s">
        <v>169</v>
      </c>
      <c r="G362">
        <v>632126</v>
      </c>
      <c r="H362" s="2">
        <f t="shared" si="5"/>
        <v>632126</v>
      </c>
      <c r="I362" s="1">
        <v>45825</v>
      </c>
    </row>
    <row r="363" hidden="1" spans="1:9">
      <c r="A363">
        <v>33136</v>
      </c>
      <c r="B363" t="s">
        <v>769</v>
      </c>
      <c r="C363" t="s">
        <v>1295</v>
      </c>
      <c r="D363" t="s">
        <v>1296</v>
      </c>
      <c r="E363" t="s">
        <v>99</v>
      </c>
      <c r="F363" t="s">
        <v>169</v>
      </c>
      <c r="G363">
        <v>0.47</v>
      </c>
      <c r="H363" s="2">
        <f t="shared" si="5"/>
        <v>0.47</v>
      </c>
      <c r="I363" s="1">
        <v>45825</v>
      </c>
    </row>
    <row r="364" hidden="1" spans="1:9">
      <c r="A364">
        <v>34472</v>
      </c>
      <c r="B364" t="s">
        <v>782</v>
      </c>
      <c r="C364" t="s">
        <v>1297</v>
      </c>
      <c r="D364" t="s">
        <v>1297</v>
      </c>
      <c r="E364" t="s">
        <v>910</v>
      </c>
      <c r="F364" t="s">
        <v>169</v>
      </c>
      <c r="G364">
        <v>1905541.88</v>
      </c>
      <c r="H364" s="2">
        <f t="shared" si="5"/>
        <v>1905541.88</v>
      </c>
      <c r="I364" s="1">
        <v>45825</v>
      </c>
    </row>
    <row r="365" hidden="1" spans="1:9">
      <c r="A365">
        <v>34476</v>
      </c>
      <c r="B365" t="s">
        <v>769</v>
      </c>
      <c r="C365" t="s">
        <v>1298</v>
      </c>
      <c r="D365" t="s">
        <v>1299</v>
      </c>
      <c r="E365" t="s">
        <v>910</v>
      </c>
      <c r="F365" t="s">
        <v>169</v>
      </c>
      <c r="G365">
        <v>0.12</v>
      </c>
      <c r="H365" s="2">
        <f t="shared" si="5"/>
        <v>0.12</v>
      </c>
      <c r="I365" s="1">
        <v>45825</v>
      </c>
    </row>
    <row r="366" hidden="1" spans="1:9">
      <c r="A366">
        <v>18072</v>
      </c>
      <c r="B366" t="s">
        <v>782</v>
      </c>
      <c r="C366" t="s">
        <v>1300</v>
      </c>
      <c r="D366" t="s">
        <v>1300</v>
      </c>
      <c r="E366" t="s">
        <v>1130</v>
      </c>
      <c r="F366" t="s">
        <v>169</v>
      </c>
      <c r="G366">
        <v>3894000</v>
      </c>
      <c r="H366" s="2">
        <f t="shared" si="5"/>
        <v>3894000</v>
      </c>
      <c r="I366" s="1">
        <v>45826</v>
      </c>
    </row>
    <row r="367" spans="1:9">
      <c r="A367">
        <v>22213</v>
      </c>
      <c r="B367" t="s">
        <v>769</v>
      </c>
      <c r="C367" t="s">
        <v>1301</v>
      </c>
      <c r="D367" t="s">
        <v>1302</v>
      </c>
      <c r="E367" t="s">
        <v>80</v>
      </c>
      <c r="F367" t="s">
        <v>169</v>
      </c>
      <c r="G367">
        <v>-0.3</v>
      </c>
      <c r="H367" s="2">
        <f t="shared" si="5"/>
        <v>0.3</v>
      </c>
      <c r="I367" s="1">
        <v>45826</v>
      </c>
    </row>
    <row r="368" hidden="1" spans="1:9">
      <c r="A368">
        <v>22214</v>
      </c>
      <c r="B368" t="s">
        <v>782</v>
      </c>
      <c r="C368" t="s">
        <v>1303</v>
      </c>
      <c r="D368" t="s">
        <v>1303</v>
      </c>
      <c r="E368" t="s">
        <v>80</v>
      </c>
      <c r="F368" t="s">
        <v>169</v>
      </c>
      <c r="G368">
        <v>231298.3</v>
      </c>
      <c r="H368" s="2">
        <f t="shared" si="5"/>
        <v>231298.3</v>
      </c>
      <c r="I368" s="1">
        <v>45826</v>
      </c>
    </row>
    <row r="369" hidden="1" spans="1:9">
      <c r="A369">
        <v>22217</v>
      </c>
      <c r="B369" t="s">
        <v>769</v>
      </c>
      <c r="C369" t="s">
        <v>1304</v>
      </c>
      <c r="D369" t="s">
        <v>1305</v>
      </c>
      <c r="E369" t="s">
        <v>80</v>
      </c>
      <c r="F369" t="s">
        <v>169</v>
      </c>
      <c r="G369">
        <v>0.18</v>
      </c>
      <c r="H369" s="2">
        <f t="shared" si="5"/>
        <v>0.18</v>
      </c>
      <c r="I369" s="1">
        <v>45826</v>
      </c>
    </row>
    <row r="370" hidden="1" spans="1:9">
      <c r="A370">
        <v>22218</v>
      </c>
      <c r="B370" t="s">
        <v>782</v>
      </c>
      <c r="C370" t="s">
        <v>1306</v>
      </c>
      <c r="D370" t="s">
        <v>1306</v>
      </c>
      <c r="E370" t="s">
        <v>80</v>
      </c>
      <c r="F370" t="s">
        <v>169</v>
      </c>
      <c r="G370">
        <v>602063.82</v>
      </c>
      <c r="H370" s="2">
        <f t="shared" si="5"/>
        <v>602063.82</v>
      </c>
      <c r="I370" s="1">
        <v>45826</v>
      </c>
    </row>
    <row r="371" hidden="1" spans="1:9">
      <c r="A371">
        <v>22221</v>
      </c>
      <c r="B371" t="s">
        <v>782</v>
      </c>
      <c r="C371" t="s">
        <v>1307</v>
      </c>
      <c r="D371" t="s">
        <v>1307</v>
      </c>
      <c r="E371" t="s">
        <v>54</v>
      </c>
      <c r="F371" t="s">
        <v>169</v>
      </c>
      <c r="G371">
        <v>123900</v>
      </c>
      <c r="H371" s="2">
        <f t="shared" si="5"/>
        <v>123900</v>
      </c>
      <c r="I371" s="1">
        <v>45826</v>
      </c>
    </row>
    <row r="372" spans="1:9">
      <c r="A372">
        <v>24565</v>
      </c>
      <c r="B372" t="s">
        <v>807</v>
      </c>
      <c r="C372" t="s">
        <v>1308</v>
      </c>
      <c r="D372" t="s">
        <v>1309</v>
      </c>
      <c r="E372" t="s">
        <v>68</v>
      </c>
      <c r="F372" t="s">
        <v>810</v>
      </c>
      <c r="G372">
        <v>-2000000</v>
      </c>
      <c r="H372" s="2">
        <f t="shared" si="5"/>
        <v>2000000</v>
      </c>
      <c r="I372" s="1">
        <v>45826</v>
      </c>
    </row>
    <row r="373" hidden="1" spans="1:9">
      <c r="A373">
        <v>24750</v>
      </c>
      <c r="B373" t="s">
        <v>816</v>
      </c>
      <c r="C373" t="s">
        <v>1310</v>
      </c>
      <c r="D373" t="s">
        <v>1311</v>
      </c>
      <c r="E373" t="s">
        <v>776</v>
      </c>
      <c r="F373" t="s">
        <v>170</v>
      </c>
      <c r="G373">
        <v>8065.06</v>
      </c>
      <c r="H373" s="2">
        <f t="shared" si="5"/>
        <v>8065.06</v>
      </c>
      <c r="I373" s="1">
        <v>45826</v>
      </c>
    </row>
    <row r="374" spans="1:9">
      <c r="A374">
        <v>34062</v>
      </c>
      <c r="B374" t="s">
        <v>807</v>
      </c>
      <c r="C374" t="s">
        <v>1312</v>
      </c>
      <c r="D374" t="s">
        <v>1313</v>
      </c>
      <c r="E374" t="s">
        <v>47</v>
      </c>
      <c r="F374" t="s">
        <v>810</v>
      </c>
      <c r="G374">
        <v>-1067572.3</v>
      </c>
      <c r="H374" s="2">
        <f t="shared" si="5"/>
        <v>1067572.3</v>
      </c>
      <c r="I374" s="1">
        <v>45826</v>
      </c>
    </row>
    <row r="375" spans="1:9">
      <c r="A375">
        <v>34063</v>
      </c>
      <c r="B375" t="s">
        <v>811</v>
      </c>
      <c r="C375" t="s">
        <v>1314</v>
      </c>
      <c r="D375" t="s">
        <v>162</v>
      </c>
      <c r="E375" t="s">
        <v>47</v>
      </c>
      <c r="F375" t="s">
        <v>810</v>
      </c>
      <c r="G375">
        <v>-29214.7</v>
      </c>
      <c r="H375" s="2">
        <f t="shared" si="5"/>
        <v>29214.7</v>
      </c>
      <c r="I375" s="1">
        <v>45826</v>
      </c>
    </row>
    <row r="376" hidden="1" spans="1:9">
      <c r="A376">
        <v>34485</v>
      </c>
      <c r="B376" t="s">
        <v>782</v>
      </c>
      <c r="C376" t="s">
        <v>1315</v>
      </c>
      <c r="D376" t="s">
        <v>1315</v>
      </c>
      <c r="E376" t="s">
        <v>910</v>
      </c>
      <c r="F376" t="s">
        <v>169</v>
      </c>
      <c r="G376">
        <v>961057.02</v>
      </c>
      <c r="H376" s="2">
        <f t="shared" si="5"/>
        <v>961057.02</v>
      </c>
      <c r="I376" s="1">
        <v>45826</v>
      </c>
    </row>
    <row r="377" spans="1:9">
      <c r="A377">
        <v>34489</v>
      </c>
      <c r="B377" t="s">
        <v>769</v>
      </c>
      <c r="C377" t="s">
        <v>1316</v>
      </c>
      <c r="D377" t="s">
        <v>1317</v>
      </c>
      <c r="E377" t="s">
        <v>910</v>
      </c>
      <c r="F377" t="s">
        <v>169</v>
      </c>
      <c r="G377">
        <v>-0.02</v>
      </c>
      <c r="H377" s="2">
        <f t="shared" si="5"/>
        <v>0.02</v>
      </c>
      <c r="I377" s="1">
        <v>45826</v>
      </c>
    </row>
    <row r="378" hidden="1" spans="1:9">
      <c r="A378">
        <v>18088</v>
      </c>
      <c r="B378" t="s">
        <v>782</v>
      </c>
      <c r="C378" t="s">
        <v>1318</v>
      </c>
      <c r="D378" t="s">
        <v>1318</v>
      </c>
      <c r="E378" t="s">
        <v>65</v>
      </c>
      <c r="F378" t="s">
        <v>169</v>
      </c>
      <c r="G378">
        <v>3175557</v>
      </c>
      <c r="H378" s="2">
        <f t="shared" si="5"/>
        <v>3175557</v>
      </c>
      <c r="I378" s="1">
        <v>45827</v>
      </c>
    </row>
    <row r="379" hidden="1" spans="1:9">
      <c r="A379">
        <v>18092</v>
      </c>
      <c r="B379" t="s">
        <v>769</v>
      </c>
      <c r="C379" t="s">
        <v>1319</v>
      </c>
      <c r="D379" t="s">
        <v>1320</v>
      </c>
      <c r="E379" t="s">
        <v>29</v>
      </c>
      <c r="F379" t="s">
        <v>169</v>
      </c>
      <c r="G379">
        <v>0.44</v>
      </c>
      <c r="H379" s="2">
        <f t="shared" si="5"/>
        <v>0.44</v>
      </c>
      <c r="I379" s="1">
        <v>45827</v>
      </c>
    </row>
    <row r="380" hidden="1" spans="1:9">
      <c r="A380">
        <v>18093</v>
      </c>
      <c r="B380" t="s">
        <v>782</v>
      </c>
      <c r="C380" t="s">
        <v>1321</v>
      </c>
      <c r="D380" t="s">
        <v>1321</v>
      </c>
      <c r="E380" t="s">
        <v>29</v>
      </c>
      <c r="F380" t="s">
        <v>169</v>
      </c>
      <c r="G380">
        <v>1755181.56</v>
      </c>
      <c r="H380" s="2">
        <f t="shared" si="5"/>
        <v>1755181.56</v>
      </c>
      <c r="I380" s="1">
        <v>45827</v>
      </c>
    </row>
    <row r="381" hidden="1" spans="1:9">
      <c r="A381">
        <v>18186</v>
      </c>
      <c r="B381" t="s">
        <v>782</v>
      </c>
      <c r="C381" t="s">
        <v>1322</v>
      </c>
      <c r="D381" t="s">
        <v>1322</v>
      </c>
      <c r="E381" t="s">
        <v>58</v>
      </c>
      <c r="F381" t="s">
        <v>169</v>
      </c>
      <c r="G381">
        <v>767118</v>
      </c>
      <c r="H381" s="2">
        <f t="shared" si="5"/>
        <v>767118</v>
      </c>
      <c r="I381" s="1">
        <v>45827</v>
      </c>
    </row>
    <row r="382" hidden="1" spans="1:9">
      <c r="A382">
        <v>22253</v>
      </c>
      <c r="B382" t="s">
        <v>769</v>
      </c>
      <c r="C382" t="s">
        <v>1323</v>
      </c>
      <c r="D382" t="s">
        <v>1324</v>
      </c>
      <c r="E382" t="s">
        <v>69</v>
      </c>
      <c r="F382" t="s">
        <v>169</v>
      </c>
      <c r="G382">
        <v>0.5</v>
      </c>
      <c r="H382" s="2">
        <f t="shared" si="5"/>
        <v>0.5</v>
      </c>
      <c r="I382" s="1">
        <v>45827</v>
      </c>
    </row>
    <row r="383" hidden="1" spans="1:9">
      <c r="A383">
        <v>22254</v>
      </c>
      <c r="B383" t="s">
        <v>782</v>
      </c>
      <c r="C383" t="s">
        <v>1325</v>
      </c>
      <c r="D383" t="s">
        <v>1325</v>
      </c>
      <c r="E383" t="s">
        <v>69</v>
      </c>
      <c r="F383" t="s">
        <v>169</v>
      </c>
      <c r="G383">
        <v>483770.5</v>
      </c>
      <c r="H383" s="2">
        <f t="shared" si="5"/>
        <v>483770.5</v>
      </c>
      <c r="I383" s="1">
        <v>45827</v>
      </c>
    </row>
    <row r="384" spans="1:9">
      <c r="A384">
        <v>22269</v>
      </c>
      <c r="B384" t="s">
        <v>769</v>
      </c>
      <c r="C384" t="s">
        <v>1326</v>
      </c>
      <c r="D384" t="s">
        <v>1327</v>
      </c>
      <c r="E384" t="s">
        <v>33</v>
      </c>
      <c r="F384" t="s">
        <v>169</v>
      </c>
      <c r="G384">
        <v>-0.04</v>
      </c>
      <c r="H384" s="2">
        <f t="shared" si="5"/>
        <v>0.04</v>
      </c>
      <c r="I384" s="1">
        <v>45827</v>
      </c>
    </row>
    <row r="385" hidden="1" spans="1:9">
      <c r="A385">
        <v>22270</v>
      </c>
      <c r="B385" t="s">
        <v>782</v>
      </c>
      <c r="C385" t="s">
        <v>1328</v>
      </c>
      <c r="D385" t="s">
        <v>1328</v>
      </c>
      <c r="E385" t="s">
        <v>33</v>
      </c>
      <c r="F385" t="s">
        <v>169</v>
      </c>
      <c r="G385">
        <v>3593538.96</v>
      </c>
      <c r="H385" s="2">
        <f t="shared" si="5"/>
        <v>3593538.96</v>
      </c>
      <c r="I385" s="1">
        <v>45827</v>
      </c>
    </row>
    <row r="386" hidden="1" spans="1:9">
      <c r="A386">
        <v>22374</v>
      </c>
      <c r="B386" t="s">
        <v>769</v>
      </c>
      <c r="C386" t="s">
        <v>1329</v>
      </c>
      <c r="D386" t="s">
        <v>1330</v>
      </c>
      <c r="E386" t="s">
        <v>36</v>
      </c>
      <c r="F386" t="s">
        <v>169</v>
      </c>
      <c r="G386">
        <v>0.4</v>
      </c>
      <c r="H386" s="2">
        <f t="shared" si="5"/>
        <v>0.4</v>
      </c>
      <c r="I386" s="1">
        <v>45827</v>
      </c>
    </row>
    <row r="387" hidden="1" spans="1:9">
      <c r="A387">
        <v>22375</v>
      </c>
      <c r="B387" t="s">
        <v>782</v>
      </c>
      <c r="C387" t="s">
        <v>1331</v>
      </c>
      <c r="D387" t="s">
        <v>1331</v>
      </c>
      <c r="E387" t="s">
        <v>36</v>
      </c>
      <c r="F387" t="s">
        <v>169</v>
      </c>
      <c r="G387">
        <v>49583.6</v>
      </c>
      <c r="H387" s="2">
        <f t="shared" ref="H387:H450" si="6">ABS(G387)</f>
        <v>49583.6</v>
      </c>
      <c r="I387" s="1">
        <v>45827</v>
      </c>
    </row>
    <row r="388" spans="1:9">
      <c r="A388">
        <v>25360</v>
      </c>
      <c r="B388" t="s">
        <v>847</v>
      </c>
      <c r="C388" t="s">
        <v>1332</v>
      </c>
      <c r="D388" t="s">
        <v>1332</v>
      </c>
      <c r="E388" t="s">
        <v>58</v>
      </c>
      <c r="F388" t="s">
        <v>169</v>
      </c>
      <c r="G388">
        <v>-767118</v>
      </c>
      <c r="H388" s="2">
        <f t="shared" si="6"/>
        <v>767118</v>
      </c>
      <c r="I388" s="1">
        <v>45827</v>
      </c>
    </row>
    <row r="389" spans="1:9">
      <c r="A389">
        <v>25378</v>
      </c>
      <c r="B389" t="s">
        <v>847</v>
      </c>
      <c r="C389" t="s">
        <v>1333</v>
      </c>
      <c r="D389" t="s">
        <v>1333</v>
      </c>
      <c r="E389" t="s">
        <v>122</v>
      </c>
      <c r="F389" t="s">
        <v>169</v>
      </c>
      <c r="G389">
        <v>-1755181.56</v>
      </c>
      <c r="H389" s="2">
        <f t="shared" si="6"/>
        <v>1755181.56</v>
      </c>
      <c r="I389" s="1">
        <v>45827</v>
      </c>
    </row>
    <row r="390" spans="1:9">
      <c r="A390">
        <v>25379</v>
      </c>
      <c r="B390" t="s">
        <v>847</v>
      </c>
      <c r="C390" t="s">
        <v>1334</v>
      </c>
      <c r="D390" t="s">
        <v>1334</v>
      </c>
      <c r="E390" t="s">
        <v>48</v>
      </c>
      <c r="F390" t="s">
        <v>810</v>
      </c>
      <c r="G390">
        <v>-1180000</v>
      </c>
      <c r="H390" s="2">
        <f t="shared" si="6"/>
        <v>1180000</v>
      </c>
      <c r="I390" s="1">
        <v>45827</v>
      </c>
    </row>
    <row r="391" spans="1:9">
      <c r="A391">
        <v>25381</v>
      </c>
      <c r="B391" t="s">
        <v>847</v>
      </c>
      <c r="C391" t="s">
        <v>1335</v>
      </c>
      <c r="D391" t="s">
        <v>1335</v>
      </c>
      <c r="E391" t="s">
        <v>48</v>
      </c>
      <c r="F391" t="s">
        <v>810</v>
      </c>
      <c r="G391">
        <v>-590000</v>
      </c>
      <c r="H391" s="2">
        <f t="shared" si="6"/>
        <v>590000</v>
      </c>
      <c r="I391" s="1">
        <v>45827</v>
      </c>
    </row>
    <row r="392" hidden="1" spans="1:9">
      <c r="A392">
        <v>31128</v>
      </c>
      <c r="B392" t="s">
        <v>782</v>
      </c>
      <c r="C392" t="s">
        <v>1336</v>
      </c>
      <c r="D392" t="s">
        <v>1336</v>
      </c>
      <c r="E392" t="s">
        <v>71</v>
      </c>
      <c r="F392" t="s">
        <v>169</v>
      </c>
      <c r="G392">
        <v>725071.89</v>
      </c>
      <c r="H392" s="2">
        <f t="shared" si="6"/>
        <v>725071.89</v>
      </c>
      <c r="I392" s="1">
        <v>45827</v>
      </c>
    </row>
    <row r="393" hidden="1" spans="1:9">
      <c r="A393">
        <v>31134</v>
      </c>
      <c r="B393" t="s">
        <v>769</v>
      </c>
      <c r="C393" t="s">
        <v>1337</v>
      </c>
      <c r="D393" t="s">
        <v>1338</v>
      </c>
      <c r="E393" t="s">
        <v>71</v>
      </c>
      <c r="F393" t="s">
        <v>169</v>
      </c>
      <c r="G393">
        <v>0.11</v>
      </c>
      <c r="H393" s="2">
        <f t="shared" si="6"/>
        <v>0.11</v>
      </c>
      <c r="I393" s="1">
        <v>45827</v>
      </c>
    </row>
    <row r="394" hidden="1" spans="1:9">
      <c r="A394">
        <v>31146</v>
      </c>
      <c r="B394" t="s">
        <v>782</v>
      </c>
      <c r="C394" t="s">
        <v>1339</v>
      </c>
      <c r="D394" t="s">
        <v>1339</v>
      </c>
      <c r="E394" t="s">
        <v>48</v>
      </c>
      <c r="F394" t="s">
        <v>169</v>
      </c>
      <c r="G394">
        <v>1770000</v>
      </c>
      <c r="H394" s="2">
        <f t="shared" si="6"/>
        <v>1770000</v>
      </c>
      <c r="I394" s="1">
        <v>45827</v>
      </c>
    </row>
    <row r="395" hidden="1" spans="1:9">
      <c r="A395">
        <v>31158</v>
      </c>
      <c r="B395" t="s">
        <v>782</v>
      </c>
      <c r="C395" t="s">
        <v>1340</v>
      </c>
      <c r="D395" t="s">
        <v>1340</v>
      </c>
      <c r="E395" t="s">
        <v>80</v>
      </c>
      <c r="F395" t="s">
        <v>169</v>
      </c>
      <c r="G395">
        <v>465793.2</v>
      </c>
      <c r="H395" s="2">
        <f t="shared" si="6"/>
        <v>465793.2</v>
      </c>
      <c r="I395" s="1">
        <v>45827</v>
      </c>
    </row>
    <row r="396" spans="1:9">
      <c r="A396">
        <v>31160</v>
      </c>
      <c r="B396" t="s">
        <v>769</v>
      </c>
      <c r="C396" t="s">
        <v>1341</v>
      </c>
      <c r="D396" t="s">
        <v>1342</v>
      </c>
      <c r="E396" t="s">
        <v>80</v>
      </c>
      <c r="F396" t="s">
        <v>169</v>
      </c>
      <c r="G396">
        <v>-0.2</v>
      </c>
      <c r="H396" s="2">
        <f t="shared" si="6"/>
        <v>0.2</v>
      </c>
      <c r="I396" s="1">
        <v>45827</v>
      </c>
    </row>
    <row r="397" hidden="1" spans="1:9">
      <c r="A397">
        <v>31165</v>
      </c>
      <c r="B397" t="s">
        <v>782</v>
      </c>
      <c r="C397" t="s">
        <v>1343</v>
      </c>
      <c r="D397" t="s">
        <v>1343</v>
      </c>
      <c r="E397" t="s">
        <v>80</v>
      </c>
      <c r="F397" t="s">
        <v>169</v>
      </c>
      <c r="G397">
        <v>526143.36</v>
      </c>
      <c r="H397" s="2">
        <f t="shared" si="6"/>
        <v>526143.36</v>
      </c>
      <c r="I397" s="1">
        <v>45827</v>
      </c>
    </row>
    <row r="398" spans="1:9">
      <c r="A398">
        <v>31169</v>
      </c>
      <c r="B398" t="s">
        <v>769</v>
      </c>
      <c r="C398" t="s">
        <v>1344</v>
      </c>
      <c r="D398" t="s">
        <v>1345</v>
      </c>
      <c r="E398" t="s">
        <v>80</v>
      </c>
      <c r="F398" t="s">
        <v>169</v>
      </c>
      <c r="G398">
        <v>-0.36</v>
      </c>
      <c r="H398" s="2">
        <f t="shared" si="6"/>
        <v>0.36</v>
      </c>
      <c r="I398" s="1">
        <v>45827</v>
      </c>
    </row>
    <row r="399" hidden="1" spans="1:9">
      <c r="A399">
        <v>31176</v>
      </c>
      <c r="B399" t="s">
        <v>782</v>
      </c>
      <c r="C399" t="s">
        <v>1346</v>
      </c>
      <c r="D399" t="s">
        <v>1346</v>
      </c>
      <c r="E399" t="s">
        <v>93</v>
      </c>
      <c r="F399" t="s">
        <v>169</v>
      </c>
      <c r="G399">
        <v>317746.57</v>
      </c>
      <c r="H399" s="2">
        <f t="shared" si="6"/>
        <v>317746.57</v>
      </c>
      <c r="I399" s="1">
        <v>45827</v>
      </c>
    </row>
    <row r="400" hidden="1" spans="1:9">
      <c r="A400">
        <v>31178</v>
      </c>
      <c r="B400" t="s">
        <v>769</v>
      </c>
      <c r="C400" t="s">
        <v>1347</v>
      </c>
      <c r="D400" t="s">
        <v>1348</v>
      </c>
      <c r="E400" t="s">
        <v>93</v>
      </c>
      <c r="F400" t="s">
        <v>169</v>
      </c>
      <c r="G400">
        <v>0.43</v>
      </c>
      <c r="H400" s="2">
        <f t="shared" si="6"/>
        <v>0.43</v>
      </c>
      <c r="I400" s="1">
        <v>45827</v>
      </c>
    </row>
    <row r="401" spans="1:9">
      <c r="A401">
        <v>34065</v>
      </c>
      <c r="B401" t="s">
        <v>807</v>
      </c>
      <c r="C401" t="s">
        <v>1349</v>
      </c>
      <c r="D401" t="s">
        <v>1350</v>
      </c>
      <c r="E401" t="s">
        <v>18</v>
      </c>
      <c r="F401" t="s">
        <v>169</v>
      </c>
      <c r="G401">
        <v>-506988.44</v>
      </c>
      <c r="H401" s="2">
        <f t="shared" si="6"/>
        <v>506988.44</v>
      </c>
      <c r="I401" s="1">
        <v>45827</v>
      </c>
    </row>
    <row r="402" spans="1:9">
      <c r="A402">
        <v>34066</v>
      </c>
      <c r="B402" t="s">
        <v>811</v>
      </c>
      <c r="C402" t="s">
        <v>1351</v>
      </c>
      <c r="D402" t="s">
        <v>162</v>
      </c>
      <c r="E402" t="s">
        <v>18</v>
      </c>
      <c r="F402" t="s">
        <v>169</v>
      </c>
      <c r="G402">
        <v>-8741.56</v>
      </c>
      <c r="H402" s="2">
        <f t="shared" si="6"/>
        <v>8741.56</v>
      </c>
      <c r="I402" s="1">
        <v>45827</v>
      </c>
    </row>
    <row r="403" hidden="1" spans="1:9">
      <c r="A403">
        <v>34071</v>
      </c>
      <c r="B403" t="s">
        <v>816</v>
      </c>
      <c r="C403" t="s">
        <v>1352</v>
      </c>
      <c r="D403" t="s">
        <v>1353</v>
      </c>
      <c r="E403" t="s">
        <v>1354</v>
      </c>
      <c r="F403" t="s">
        <v>170</v>
      </c>
      <c r="G403">
        <v>10605327.47</v>
      </c>
      <c r="H403" s="2">
        <f t="shared" si="6"/>
        <v>10605327.47</v>
      </c>
      <c r="I403" s="1">
        <v>45827</v>
      </c>
    </row>
    <row r="404" spans="1:9">
      <c r="A404">
        <v>34072</v>
      </c>
      <c r="B404" t="s">
        <v>811</v>
      </c>
      <c r="C404" t="s">
        <v>1355</v>
      </c>
      <c r="D404" t="s">
        <v>162</v>
      </c>
      <c r="E404" t="s">
        <v>1354</v>
      </c>
      <c r="F404" t="s">
        <v>169</v>
      </c>
      <c r="G404">
        <v>-216435.25</v>
      </c>
      <c r="H404" s="2">
        <f t="shared" si="6"/>
        <v>216435.25</v>
      </c>
      <c r="I404" s="1">
        <v>45827</v>
      </c>
    </row>
    <row r="405" spans="1:9">
      <c r="A405">
        <v>34079</v>
      </c>
      <c r="B405" t="s">
        <v>807</v>
      </c>
      <c r="C405" t="s">
        <v>1356</v>
      </c>
      <c r="D405" t="s">
        <v>1357</v>
      </c>
      <c r="E405" t="s">
        <v>18</v>
      </c>
      <c r="F405" t="s">
        <v>169</v>
      </c>
      <c r="G405">
        <v>-1433067.28</v>
      </c>
      <c r="H405" s="2">
        <f t="shared" si="6"/>
        <v>1433067.28</v>
      </c>
      <c r="I405" s="1">
        <v>45827</v>
      </c>
    </row>
    <row r="406" spans="1:9">
      <c r="A406">
        <v>34083</v>
      </c>
      <c r="B406" t="s">
        <v>807</v>
      </c>
      <c r="C406" t="s">
        <v>1358</v>
      </c>
      <c r="D406" t="s">
        <v>1359</v>
      </c>
      <c r="E406" t="s">
        <v>17</v>
      </c>
      <c r="F406" t="s">
        <v>169</v>
      </c>
      <c r="G406">
        <v>-92382.4</v>
      </c>
      <c r="H406" s="2">
        <f t="shared" si="6"/>
        <v>92382.4</v>
      </c>
      <c r="I406" s="1">
        <v>45827</v>
      </c>
    </row>
    <row r="407" spans="1:9">
      <c r="A407">
        <v>34084</v>
      </c>
      <c r="B407" t="s">
        <v>811</v>
      </c>
      <c r="C407" t="s">
        <v>1360</v>
      </c>
      <c r="D407" t="s">
        <v>162</v>
      </c>
      <c r="E407" t="s">
        <v>17</v>
      </c>
      <c r="F407" t="s">
        <v>169</v>
      </c>
      <c r="G407">
        <v>-1592.6</v>
      </c>
      <c r="H407" s="2">
        <f t="shared" si="6"/>
        <v>1592.6</v>
      </c>
      <c r="I407" s="1">
        <v>45827</v>
      </c>
    </row>
    <row r="408" hidden="1" spans="1:9">
      <c r="A408">
        <v>34088</v>
      </c>
      <c r="B408" t="s">
        <v>816</v>
      </c>
      <c r="C408" t="s">
        <v>1361</v>
      </c>
      <c r="D408" t="s">
        <v>1362</v>
      </c>
      <c r="E408" t="s">
        <v>776</v>
      </c>
      <c r="F408" t="s">
        <v>170</v>
      </c>
      <c r="G408">
        <v>40258.07</v>
      </c>
      <c r="H408" s="2">
        <f t="shared" si="6"/>
        <v>40258.07</v>
      </c>
      <c r="I408" s="1">
        <v>45827</v>
      </c>
    </row>
    <row r="409" hidden="1" spans="1:9">
      <c r="A409">
        <v>34463</v>
      </c>
      <c r="B409" t="s">
        <v>782</v>
      </c>
      <c r="C409" t="s">
        <v>1363</v>
      </c>
      <c r="D409" t="s">
        <v>1363</v>
      </c>
      <c r="E409" t="s">
        <v>39</v>
      </c>
      <c r="F409" t="s">
        <v>169</v>
      </c>
      <c r="G409">
        <v>3576753.46</v>
      </c>
      <c r="H409" s="2">
        <f t="shared" si="6"/>
        <v>3576753.46</v>
      </c>
      <c r="I409" s="1">
        <v>45827</v>
      </c>
    </row>
    <row r="410" spans="1:9">
      <c r="A410">
        <v>34465</v>
      </c>
      <c r="B410" t="s">
        <v>769</v>
      </c>
      <c r="C410" t="s">
        <v>1364</v>
      </c>
      <c r="D410" t="s">
        <v>1365</v>
      </c>
      <c r="E410" t="s">
        <v>39</v>
      </c>
      <c r="F410" t="s">
        <v>169</v>
      </c>
      <c r="G410">
        <v>-0.46</v>
      </c>
      <c r="H410" s="2">
        <f t="shared" si="6"/>
        <v>0.46</v>
      </c>
      <c r="I410" s="1">
        <v>45827</v>
      </c>
    </row>
    <row r="411" hidden="1" spans="1:9">
      <c r="A411">
        <v>38882</v>
      </c>
      <c r="B411" t="s">
        <v>816</v>
      </c>
      <c r="C411" t="s">
        <v>1366</v>
      </c>
      <c r="D411" t="s">
        <v>1367</v>
      </c>
      <c r="E411" t="s">
        <v>1368</v>
      </c>
      <c r="F411" t="s">
        <v>170</v>
      </c>
      <c r="G411">
        <v>14127804</v>
      </c>
      <c r="H411" s="2">
        <f t="shared" si="6"/>
        <v>14127804</v>
      </c>
      <c r="I411" s="1">
        <v>45827</v>
      </c>
    </row>
    <row r="412" spans="1:9">
      <c r="A412">
        <v>38883</v>
      </c>
      <c r="B412" t="s">
        <v>811</v>
      </c>
      <c r="C412" t="s">
        <v>1369</v>
      </c>
      <c r="D412" t="s">
        <v>162</v>
      </c>
      <c r="E412" t="s">
        <v>1368</v>
      </c>
      <c r="F412" t="s">
        <v>169</v>
      </c>
      <c r="G412">
        <v>-288323</v>
      </c>
      <c r="H412" s="2">
        <f t="shared" si="6"/>
        <v>288323</v>
      </c>
      <c r="I412" s="1">
        <v>45827</v>
      </c>
    </row>
    <row r="413" spans="1:9">
      <c r="A413">
        <v>49793</v>
      </c>
      <c r="B413" t="s">
        <v>807</v>
      </c>
      <c r="C413" t="s">
        <v>1370</v>
      </c>
      <c r="D413" t="s">
        <v>1371</v>
      </c>
      <c r="E413" t="s">
        <v>775</v>
      </c>
      <c r="F413" t="s">
        <v>169</v>
      </c>
      <c r="G413">
        <v>-5462035.2</v>
      </c>
      <c r="H413" s="2">
        <f t="shared" si="6"/>
        <v>5462035.2</v>
      </c>
      <c r="I413" s="1">
        <v>45827</v>
      </c>
    </row>
    <row r="414" spans="1:9">
      <c r="A414">
        <v>49794</v>
      </c>
      <c r="B414" t="s">
        <v>811</v>
      </c>
      <c r="C414" t="s">
        <v>1372</v>
      </c>
      <c r="D414" t="s">
        <v>162</v>
      </c>
      <c r="E414" t="s">
        <v>775</v>
      </c>
      <c r="F414" t="s">
        <v>169</v>
      </c>
      <c r="G414">
        <v>-505743.8</v>
      </c>
      <c r="H414" s="2">
        <f t="shared" si="6"/>
        <v>505743.8</v>
      </c>
      <c r="I414" s="1">
        <v>45827</v>
      </c>
    </row>
    <row r="415" hidden="1" spans="1:9">
      <c r="A415">
        <v>18074</v>
      </c>
      <c r="B415" t="s">
        <v>782</v>
      </c>
      <c r="C415" t="s">
        <v>1373</v>
      </c>
      <c r="D415" t="s">
        <v>1373</v>
      </c>
      <c r="E415" t="s">
        <v>14</v>
      </c>
      <c r="F415" t="s">
        <v>169</v>
      </c>
      <c r="G415">
        <v>3186944</v>
      </c>
      <c r="H415" s="2">
        <f t="shared" si="6"/>
        <v>3186944</v>
      </c>
      <c r="I415" s="1">
        <v>45828</v>
      </c>
    </row>
    <row r="416" hidden="1" spans="1:9">
      <c r="A416">
        <v>18076</v>
      </c>
      <c r="B416" t="s">
        <v>782</v>
      </c>
      <c r="C416" t="s">
        <v>1374</v>
      </c>
      <c r="D416" t="s">
        <v>1374</v>
      </c>
      <c r="E416" t="s">
        <v>14</v>
      </c>
      <c r="F416" t="s">
        <v>169</v>
      </c>
      <c r="G416">
        <v>2596000</v>
      </c>
      <c r="H416" s="2">
        <f t="shared" si="6"/>
        <v>2596000</v>
      </c>
      <c r="I416" s="1">
        <v>45828</v>
      </c>
    </row>
    <row r="417" hidden="1" spans="1:9">
      <c r="A417">
        <v>18078</v>
      </c>
      <c r="B417" t="s">
        <v>782</v>
      </c>
      <c r="C417" t="s">
        <v>1375</v>
      </c>
      <c r="D417" t="s">
        <v>1375</v>
      </c>
      <c r="E417" t="s">
        <v>14</v>
      </c>
      <c r="F417" t="s">
        <v>169</v>
      </c>
      <c r="G417">
        <v>851960</v>
      </c>
      <c r="H417" s="2">
        <f t="shared" si="6"/>
        <v>851960</v>
      </c>
      <c r="I417" s="1">
        <v>45828</v>
      </c>
    </row>
    <row r="418" hidden="1" spans="1:9">
      <c r="A418">
        <v>18082</v>
      </c>
      <c r="B418" t="s">
        <v>782</v>
      </c>
      <c r="C418" t="s">
        <v>1376</v>
      </c>
      <c r="D418" t="s">
        <v>1376</v>
      </c>
      <c r="E418" t="s">
        <v>53</v>
      </c>
      <c r="F418" t="s">
        <v>169</v>
      </c>
      <c r="G418">
        <v>3460114</v>
      </c>
      <c r="H418" s="2">
        <f t="shared" si="6"/>
        <v>3460114</v>
      </c>
      <c r="I418" s="1">
        <v>45828</v>
      </c>
    </row>
    <row r="419" hidden="1" spans="1:9">
      <c r="A419">
        <v>18096</v>
      </c>
      <c r="B419" t="s">
        <v>782</v>
      </c>
      <c r="C419" t="s">
        <v>1377</v>
      </c>
      <c r="D419" t="s">
        <v>1377</v>
      </c>
      <c r="E419" t="s">
        <v>14</v>
      </c>
      <c r="F419" t="s">
        <v>169</v>
      </c>
      <c r="G419">
        <v>354000</v>
      </c>
      <c r="H419" s="2">
        <f t="shared" si="6"/>
        <v>354000</v>
      </c>
      <c r="I419" s="1">
        <v>45828</v>
      </c>
    </row>
    <row r="420" hidden="1" spans="1:9">
      <c r="A420">
        <v>22287</v>
      </c>
      <c r="B420" t="s">
        <v>769</v>
      </c>
      <c r="C420" t="s">
        <v>1378</v>
      </c>
      <c r="D420" t="s">
        <v>1379</v>
      </c>
      <c r="E420" t="s">
        <v>48</v>
      </c>
      <c r="F420" t="s">
        <v>169</v>
      </c>
      <c r="G420">
        <v>0.06</v>
      </c>
      <c r="H420" s="2">
        <f t="shared" si="6"/>
        <v>0.06</v>
      </c>
      <c r="I420" s="1">
        <v>45828</v>
      </c>
    </row>
    <row r="421" hidden="1" spans="1:9">
      <c r="A421">
        <v>22288</v>
      </c>
      <c r="B421" t="s">
        <v>782</v>
      </c>
      <c r="C421" t="s">
        <v>1380</v>
      </c>
      <c r="D421" t="s">
        <v>1380</v>
      </c>
      <c r="E421" t="s">
        <v>48</v>
      </c>
      <c r="F421" t="s">
        <v>169</v>
      </c>
      <c r="G421">
        <v>283356.94</v>
      </c>
      <c r="H421" s="2">
        <f t="shared" si="6"/>
        <v>283356.94</v>
      </c>
      <c r="I421" s="1">
        <v>45828</v>
      </c>
    </row>
    <row r="422" hidden="1" spans="1:9">
      <c r="A422">
        <v>22301</v>
      </c>
      <c r="B422" t="s">
        <v>769</v>
      </c>
      <c r="C422" t="s">
        <v>1381</v>
      </c>
      <c r="D422" t="s">
        <v>1382</v>
      </c>
      <c r="E422" t="s">
        <v>44</v>
      </c>
      <c r="F422" t="s">
        <v>169</v>
      </c>
      <c r="G422">
        <v>0.3</v>
      </c>
      <c r="H422" s="2">
        <f t="shared" si="6"/>
        <v>0.3</v>
      </c>
      <c r="I422" s="1">
        <v>45828</v>
      </c>
    </row>
    <row r="423" hidden="1" spans="1:9">
      <c r="A423">
        <v>22302</v>
      </c>
      <c r="B423" t="s">
        <v>782</v>
      </c>
      <c r="C423" t="s">
        <v>1383</v>
      </c>
      <c r="D423" t="s">
        <v>1383</v>
      </c>
      <c r="E423" t="s">
        <v>44</v>
      </c>
      <c r="F423" t="s">
        <v>169</v>
      </c>
      <c r="G423">
        <v>5852749.7</v>
      </c>
      <c r="H423" s="2">
        <f t="shared" si="6"/>
        <v>5852749.7</v>
      </c>
      <c r="I423" s="1">
        <v>45828</v>
      </c>
    </row>
    <row r="424" hidden="1" spans="1:9">
      <c r="A424">
        <v>22314</v>
      </c>
      <c r="B424" t="s">
        <v>769</v>
      </c>
      <c r="C424" t="s">
        <v>1384</v>
      </c>
      <c r="D424" t="s">
        <v>1385</v>
      </c>
      <c r="E424" t="s">
        <v>842</v>
      </c>
      <c r="F424" t="s">
        <v>169</v>
      </c>
      <c r="G424">
        <v>0.41</v>
      </c>
      <c r="H424" s="2">
        <f t="shared" si="6"/>
        <v>0.41</v>
      </c>
      <c r="I424" s="1">
        <v>45828</v>
      </c>
    </row>
    <row r="425" hidden="1" spans="1:9">
      <c r="A425">
        <v>22315</v>
      </c>
      <c r="B425" t="s">
        <v>782</v>
      </c>
      <c r="C425" t="s">
        <v>1386</v>
      </c>
      <c r="D425" t="s">
        <v>1386</v>
      </c>
      <c r="E425" t="s">
        <v>842</v>
      </c>
      <c r="F425" t="s">
        <v>169</v>
      </c>
      <c r="G425">
        <v>748238.59</v>
      </c>
      <c r="H425" s="2">
        <f t="shared" si="6"/>
        <v>748238.59</v>
      </c>
      <c r="I425" s="1">
        <v>45828</v>
      </c>
    </row>
    <row r="426" hidden="1" spans="1:9">
      <c r="A426">
        <v>31181</v>
      </c>
      <c r="B426" t="s">
        <v>782</v>
      </c>
      <c r="C426" t="s">
        <v>1387</v>
      </c>
      <c r="D426" t="s">
        <v>1387</v>
      </c>
      <c r="E426" t="s">
        <v>1098</v>
      </c>
      <c r="F426" t="s">
        <v>169</v>
      </c>
      <c r="G426">
        <v>75716.77</v>
      </c>
      <c r="H426" s="2">
        <f t="shared" si="6"/>
        <v>75716.77</v>
      </c>
      <c r="I426" s="1">
        <v>45828</v>
      </c>
    </row>
    <row r="427" hidden="1" spans="1:9">
      <c r="A427">
        <v>31188</v>
      </c>
      <c r="B427" t="s">
        <v>782</v>
      </c>
      <c r="C427" t="s">
        <v>1388</v>
      </c>
      <c r="D427" t="s">
        <v>1388</v>
      </c>
      <c r="E427" t="s">
        <v>842</v>
      </c>
      <c r="F427" t="s">
        <v>169</v>
      </c>
      <c r="G427">
        <v>282112.51</v>
      </c>
      <c r="H427" s="2">
        <f t="shared" si="6"/>
        <v>282112.51</v>
      </c>
      <c r="I427" s="1">
        <v>45828</v>
      </c>
    </row>
    <row r="428" hidden="1" spans="1:9">
      <c r="A428">
        <v>31203</v>
      </c>
      <c r="B428" t="s">
        <v>782</v>
      </c>
      <c r="C428" t="s">
        <v>1389</v>
      </c>
      <c r="D428" t="s">
        <v>1389</v>
      </c>
      <c r="E428" t="s">
        <v>48</v>
      </c>
      <c r="F428" t="s">
        <v>169</v>
      </c>
      <c r="G428">
        <v>2596978.22</v>
      </c>
      <c r="H428" s="2">
        <f t="shared" si="6"/>
        <v>2596978.22</v>
      </c>
      <c r="I428" s="1">
        <v>45828</v>
      </c>
    </row>
    <row r="429" hidden="1" spans="1:9">
      <c r="A429">
        <v>33137</v>
      </c>
      <c r="B429" t="s">
        <v>769</v>
      </c>
      <c r="C429" t="s">
        <v>1390</v>
      </c>
      <c r="D429" t="s">
        <v>1391</v>
      </c>
      <c r="E429" t="s">
        <v>1098</v>
      </c>
      <c r="F429" t="s">
        <v>169</v>
      </c>
      <c r="G429">
        <v>0.23</v>
      </c>
      <c r="H429" s="2">
        <f t="shared" si="6"/>
        <v>0.23</v>
      </c>
      <c r="I429" s="1">
        <v>45828</v>
      </c>
    </row>
    <row r="430" hidden="1" spans="1:9">
      <c r="A430">
        <v>33138</v>
      </c>
      <c r="B430" t="s">
        <v>769</v>
      </c>
      <c r="C430" t="s">
        <v>1392</v>
      </c>
      <c r="D430" t="s">
        <v>1393</v>
      </c>
      <c r="E430" t="s">
        <v>842</v>
      </c>
      <c r="F430" t="s">
        <v>169</v>
      </c>
      <c r="G430">
        <v>0.49</v>
      </c>
      <c r="H430" s="2">
        <f t="shared" si="6"/>
        <v>0.49</v>
      </c>
      <c r="I430" s="1">
        <v>45828</v>
      </c>
    </row>
    <row r="431" spans="1:9">
      <c r="A431">
        <v>33139</v>
      </c>
      <c r="B431" t="s">
        <v>769</v>
      </c>
      <c r="C431" t="s">
        <v>1394</v>
      </c>
      <c r="D431" t="s">
        <v>1395</v>
      </c>
      <c r="E431" t="s">
        <v>48</v>
      </c>
      <c r="F431" t="s">
        <v>169</v>
      </c>
      <c r="G431">
        <v>-0.22</v>
      </c>
      <c r="H431" s="2">
        <f t="shared" si="6"/>
        <v>0.22</v>
      </c>
      <c r="I431" s="1">
        <v>45828</v>
      </c>
    </row>
    <row r="432" spans="1:9">
      <c r="A432">
        <v>34096</v>
      </c>
      <c r="B432" t="s">
        <v>807</v>
      </c>
      <c r="C432" t="s">
        <v>1396</v>
      </c>
      <c r="D432" t="s">
        <v>1397</v>
      </c>
      <c r="E432" t="s">
        <v>41</v>
      </c>
      <c r="F432" t="s">
        <v>810</v>
      </c>
      <c r="G432">
        <v>-289466</v>
      </c>
      <c r="H432" s="2">
        <f t="shared" si="6"/>
        <v>289466</v>
      </c>
      <c r="I432" s="1">
        <v>45828</v>
      </c>
    </row>
    <row r="433" hidden="1" spans="1:9">
      <c r="A433">
        <v>34149</v>
      </c>
      <c r="B433" t="s">
        <v>816</v>
      </c>
      <c r="C433" t="s">
        <v>1398</v>
      </c>
      <c r="D433" t="s">
        <v>1399</v>
      </c>
      <c r="E433" t="s">
        <v>776</v>
      </c>
      <c r="F433" t="s">
        <v>170</v>
      </c>
      <c r="G433">
        <v>24209.81</v>
      </c>
      <c r="H433" s="2">
        <f t="shared" si="6"/>
        <v>24209.81</v>
      </c>
      <c r="I433" s="1">
        <v>45828</v>
      </c>
    </row>
    <row r="434" spans="1:9">
      <c r="A434">
        <v>38884</v>
      </c>
      <c r="B434" t="s">
        <v>807</v>
      </c>
      <c r="C434" t="s">
        <v>1400</v>
      </c>
      <c r="D434" t="s">
        <v>1401</v>
      </c>
      <c r="E434" t="s">
        <v>47</v>
      </c>
      <c r="F434" t="s">
        <v>169</v>
      </c>
      <c r="G434">
        <v>-119988</v>
      </c>
      <c r="H434" s="2">
        <f t="shared" si="6"/>
        <v>119988</v>
      </c>
      <c r="I434" s="1">
        <v>45828</v>
      </c>
    </row>
    <row r="435" spans="1:9">
      <c r="A435">
        <v>38885</v>
      </c>
      <c r="B435" t="s">
        <v>811</v>
      </c>
      <c r="C435" t="s">
        <v>1402</v>
      </c>
      <c r="D435" t="s">
        <v>162</v>
      </c>
      <c r="E435" t="s">
        <v>47</v>
      </c>
      <c r="F435" t="s">
        <v>169</v>
      </c>
      <c r="G435">
        <v>-11110</v>
      </c>
      <c r="H435" s="2">
        <f t="shared" si="6"/>
        <v>11110</v>
      </c>
      <c r="I435" s="1">
        <v>45828</v>
      </c>
    </row>
    <row r="436" spans="1:9">
      <c r="A436">
        <v>49812</v>
      </c>
      <c r="B436" t="s">
        <v>769</v>
      </c>
      <c r="C436" t="s">
        <v>1403</v>
      </c>
      <c r="D436" t="s">
        <v>1404</v>
      </c>
      <c r="E436" t="s">
        <v>95</v>
      </c>
      <c r="F436" t="s">
        <v>169</v>
      </c>
      <c r="G436">
        <v>-419044</v>
      </c>
      <c r="H436" s="2">
        <f t="shared" si="6"/>
        <v>419044</v>
      </c>
      <c r="I436" s="1">
        <v>45828</v>
      </c>
    </row>
    <row r="437" spans="1:9">
      <c r="A437">
        <v>54642</v>
      </c>
      <c r="B437" t="s">
        <v>807</v>
      </c>
      <c r="C437" t="s">
        <v>1405</v>
      </c>
      <c r="D437" t="s">
        <v>1406</v>
      </c>
      <c r="E437" t="s">
        <v>48</v>
      </c>
      <c r="F437" t="s">
        <v>169</v>
      </c>
      <c r="G437">
        <v>-1245713.51</v>
      </c>
      <c r="H437" s="2">
        <f t="shared" si="6"/>
        <v>1245713.51</v>
      </c>
      <c r="I437" s="1">
        <v>45828</v>
      </c>
    </row>
    <row r="438" spans="1:9">
      <c r="A438">
        <v>54643</v>
      </c>
      <c r="B438" t="s">
        <v>811</v>
      </c>
      <c r="C438" t="s">
        <v>1407</v>
      </c>
      <c r="D438" t="s">
        <v>162</v>
      </c>
      <c r="E438" t="s">
        <v>48</v>
      </c>
      <c r="F438" t="s">
        <v>169</v>
      </c>
      <c r="G438">
        <v>-28827.49</v>
      </c>
      <c r="H438" s="2">
        <f t="shared" si="6"/>
        <v>28827.49</v>
      </c>
      <c r="I438" s="1">
        <v>45828</v>
      </c>
    </row>
    <row r="439" hidden="1" spans="1:9">
      <c r="A439">
        <v>22319</v>
      </c>
      <c r="B439" t="s">
        <v>769</v>
      </c>
      <c r="C439" t="s">
        <v>1408</v>
      </c>
      <c r="D439" t="s">
        <v>1409</v>
      </c>
      <c r="E439" t="s">
        <v>28</v>
      </c>
      <c r="F439" t="s">
        <v>169</v>
      </c>
      <c r="G439">
        <v>0.32</v>
      </c>
      <c r="H439" s="2">
        <f t="shared" si="6"/>
        <v>0.32</v>
      </c>
      <c r="I439" s="1">
        <v>45829</v>
      </c>
    </row>
    <row r="440" hidden="1" spans="1:9">
      <c r="A440">
        <v>22320</v>
      </c>
      <c r="B440" t="s">
        <v>782</v>
      </c>
      <c r="C440" t="s">
        <v>1410</v>
      </c>
      <c r="D440" t="s">
        <v>1410</v>
      </c>
      <c r="E440" t="s">
        <v>28</v>
      </c>
      <c r="F440" t="s">
        <v>169</v>
      </c>
      <c r="G440">
        <v>3445099.68</v>
      </c>
      <c r="H440" s="2">
        <f t="shared" si="6"/>
        <v>3445099.68</v>
      </c>
      <c r="I440" s="1">
        <v>45829</v>
      </c>
    </row>
    <row r="441" hidden="1" spans="1:9">
      <c r="A441">
        <v>31212</v>
      </c>
      <c r="B441" t="s">
        <v>782</v>
      </c>
      <c r="C441" t="s">
        <v>1411</v>
      </c>
      <c r="D441" t="s">
        <v>1411</v>
      </c>
      <c r="E441" t="s">
        <v>842</v>
      </c>
      <c r="F441" t="s">
        <v>169</v>
      </c>
      <c r="G441">
        <v>146994.96</v>
      </c>
      <c r="H441" s="2">
        <f t="shared" si="6"/>
        <v>146994.96</v>
      </c>
      <c r="I441" s="1">
        <v>45829</v>
      </c>
    </row>
    <row r="442" hidden="1" spans="1:9">
      <c r="A442">
        <v>31221</v>
      </c>
      <c r="B442" t="s">
        <v>782</v>
      </c>
      <c r="C442" t="s">
        <v>1412</v>
      </c>
      <c r="D442" t="s">
        <v>1412</v>
      </c>
      <c r="E442" t="s">
        <v>910</v>
      </c>
      <c r="F442" t="s">
        <v>169</v>
      </c>
      <c r="G442">
        <v>28320</v>
      </c>
      <c r="H442" s="2">
        <f t="shared" si="6"/>
        <v>28320</v>
      </c>
      <c r="I442" s="1">
        <v>45829</v>
      </c>
    </row>
    <row r="443" hidden="1" spans="1:9">
      <c r="A443">
        <v>33140</v>
      </c>
      <c r="B443" t="s">
        <v>769</v>
      </c>
      <c r="C443" t="s">
        <v>1413</v>
      </c>
      <c r="D443" t="s">
        <v>1414</v>
      </c>
      <c r="E443" t="s">
        <v>842</v>
      </c>
      <c r="F443" t="s">
        <v>169</v>
      </c>
      <c r="G443">
        <v>0.04</v>
      </c>
      <c r="H443" s="2">
        <f t="shared" si="6"/>
        <v>0.04</v>
      </c>
      <c r="I443" s="1">
        <v>45829</v>
      </c>
    </row>
    <row r="444" hidden="1" spans="1:9">
      <c r="A444">
        <v>34099</v>
      </c>
      <c r="B444" t="s">
        <v>816</v>
      </c>
      <c r="C444" t="s">
        <v>1415</v>
      </c>
      <c r="D444" t="s">
        <v>1416</v>
      </c>
      <c r="E444" t="s">
        <v>776</v>
      </c>
      <c r="F444" t="s">
        <v>170</v>
      </c>
      <c r="G444">
        <v>64418.17</v>
      </c>
      <c r="H444" s="2">
        <f t="shared" si="6"/>
        <v>64418.17</v>
      </c>
      <c r="I444" s="1">
        <v>45829</v>
      </c>
    </row>
    <row r="445" spans="1:9">
      <c r="A445">
        <v>49806</v>
      </c>
      <c r="B445" t="s">
        <v>807</v>
      </c>
      <c r="C445" t="s">
        <v>1417</v>
      </c>
      <c r="D445" t="s">
        <v>1418</v>
      </c>
      <c r="E445" t="s">
        <v>910</v>
      </c>
      <c r="F445" t="s">
        <v>169</v>
      </c>
      <c r="G445">
        <v>-132610</v>
      </c>
      <c r="H445" s="2">
        <f t="shared" si="6"/>
        <v>132610</v>
      </c>
      <c r="I445" s="1">
        <v>45829</v>
      </c>
    </row>
    <row r="446" spans="1:9">
      <c r="A446">
        <v>49807</v>
      </c>
      <c r="B446" t="s">
        <v>811</v>
      </c>
      <c r="C446" t="s">
        <v>1419</v>
      </c>
      <c r="D446" t="s">
        <v>162</v>
      </c>
      <c r="E446" t="s">
        <v>910</v>
      </c>
      <c r="F446" t="s">
        <v>169</v>
      </c>
      <c r="G446">
        <v>-12279</v>
      </c>
      <c r="H446" s="2">
        <f t="shared" si="6"/>
        <v>12279</v>
      </c>
      <c r="I446" s="1">
        <v>45829</v>
      </c>
    </row>
    <row r="447" spans="1:9">
      <c r="A447">
        <v>22324</v>
      </c>
      <c r="B447" t="s">
        <v>769</v>
      </c>
      <c r="C447" t="s">
        <v>1420</v>
      </c>
      <c r="D447" t="s">
        <v>1421</v>
      </c>
      <c r="E447" t="s">
        <v>910</v>
      </c>
      <c r="F447" t="s">
        <v>169</v>
      </c>
      <c r="G447">
        <v>-0.2</v>
      </c>
      <c r="H447" s="2">
        <f t="shared" si="6"/>
        <v>0.2</v>
      </c>
      <c r="I447" s="1">
        <v>45831</v>
      </c>
    </row>
    <row r="448" hidden="1" spans="1:9">
      <c r="A448">
        <v>22325</v>
      </c>
      <c r="B448" t="s">
        <v>782</v>
      </c>
      <c r="C448" t="s">
        <v>1422</v>
      </c>
      <c r="D448" t="s">
        <v>1422</v>
      </c>
      <c r="E448" t="s">
        <v>910</v>
      </c>
      <c r="F448" t="s">
        <v>169</v>
      </c>
      <c r="G448">
        <v>94624.2</v>
      </c>
      <c r="H448" s="2">
        <f t="shared" si="6"/>
        <v>94624.2</v>
      </c>
      <c r="I448" s="1">
        <v>45831</v>
      </c>
    </row>
    <row r="449" hidden="1" spans="1:9">
      <c r="A449">
        <v>22327</v>
      </c>
      <c r="B449" t="s">
        <v>782</v>
      </c>
      <c r="C449" t="s">
        <v>1423</v>
      </c>
      <c r="D449" t="s">
        <v>1423</v>
      </c>
      <c r="E449" t="s">
        <v>10</v>
      </c>
      <c r="F449" t="s">
        <v>169</v>
      </c>
      <c r="G449">
        <v>1641675</v>
      </c>
      <c r="H449" s="2">
        <f t="shared" si="6"/>
        <v>1641675</v>
      </c>
      <c r="I449" s="1">
        <v>45831</v>
      </c>
    </row>
    <row r="450" hidden="1" spans="1:9">
      <c r="A450">
        <v>22332</v>
      </c>
      <c r="B450" t="s">
        <v>769</v>
      </c>
      <c r="C450" t="s">
        <v>1424</v>
      </c>
      <c r="D450" t="s">
        <v>1425</v>
      </c>
      <c r="E450" t="s">
        <v>108</v>
      </c>
      <c r="F450" t="s">
        <v>169</v>
      </c>
      <c r="G450">
        <v>0.2</v>
      </c>
      <c r="H450" s="2">
        <f t="shared" si="6"/>
        <v>0.2</v>
      </c>
      <c r="I450" s="1">
        <v>45831</v>
      </c>
    </row>
    <row r="451" hidden="1" spans="1:9">
      <c r="A451">
        <v>22333</v>
      </c>
      <c r="B451" t="s">
        <v>782</v>
      </c>
      <c r="C451" t="s">
        <v>1426</v>
      </c>
      <c r="D451" t="s">
        <v>1426</v>
      </c>
      <c r="E451" t="s">
        <v>108</v>
      </c>
      <c r="F451" t="s">
        <v>169</v>
      </c>
      <c r="G451">
        <v>70221.8</v>
      </c>
      <c r="H451" s="2">
        <f t="shared" ref="H451:H514" si="7">ABS(G451)</f>
        <v>70221.8</v>
      </c>
      <c r="I451" s="1">
        <v>45831</v>
      </c>
    </row>
    <row r="452" spans="1:9">
      <c r="A452">
        <v>22377</v>
      </c>
      <c r="B452" t="s">
        <v>769</v>
      </c>
      <c r="C452" t="s">
        <v>1427</v>
      </c>
      <c r="D452" t="s">
        <v>1428</v>
      </c>
      <c r="E452" t="s">
        <v>910</v>
      </c>
      <c r="F452" t="s">
        <v>169</v>
      </c>
      <c r="G452">
        <v>-0.14</v>
      </c>
      <c r="H452" s="2">
        <f t="shared" si="7"/>
        <v>0.14</v>
      </c>
      <c r="I452" s="1">
        <v>45831</v>
      </c>
    </row>
    <row r="453" hidden="1" spans="1:9">
      <c r="A453">
        <v>22378</v>
      </c>
      <c r="B453" t="s">
        <v>782</v>
      </c>
      <c r="C453" t="s">
        <v>1429</v>
      </c>
      <c r="D453" t="s">
        <v>1429</v>
      </c>
      <c r="E453" t="s">
        <v>910</v>
      </c>
      <c r="F453" t="s">
        <v>169</v>
      </c>
      <c r="G453">
        <v>308515.14</v>
      </c>
      <c r="H453" s="2">
        <f t="shared" si="7"/>
        <v>308515.14</v>
      </c>
      <c r="I453" s="1">
        <v>45831</v>
      </c>
    </row>
    <row r="454" hidden="1" spans="1:9">
      <c r="A454">
        <v>31224</v>
      </c>
      <c r="B454" t="s">
        <v>782</v>
      </c>
      <c r="C454" t="s">
        <v>1430</v>
      </c>
      <c r="D454" t="s">
        <v>1430</v>
      </c>
      <c r="E454" t="s">
        <v>69</v>
      </c>
      <c r="F454" t="s">
        <v>169</v>
      </c>
      <c r="G454">
        <v>198122</v>
      </c>
      <c r="H454" s="2">
        <f t="shared" si="7"/>
        <v>198122</v>
      </c>
      <c r="I454" s="1">
        <v>45831</v>
      </c>
    </row>
    <row r="455" hidden="1" spans="1:9">
      <c r="A455">
        <v>31228</v>
      </c>
      <c r="B455" t="s">
        <v>782</v>
      </c>
      <c r="C455" t="s">
        <v>1431</v>
      </c>
      <c r="D455" t="s">
        <v>1431</v>
      </c>
      <c r="E455" t="s">
        <v>842</v>
      </c>
      <c r="F455" t="s">
        <v>169</v>
      </c>
      <c r="G455">
        <v>52523.57</v>
      </c>
      <c r="H455" s="2">
        <f t="shared" si="7"/>
        <v>52523.57</v>
      </c>
      <c r="I455" s="1">
        <v>45831</v>
      </c>
    </row>
    <row r="456" hidden="1" spans="1:9">
      <c r="A456">
        <v>31233</v>
      </c>
      <c r="B456" t="s">
        <v>782</v>
      </c>
      <c r="C456" t="s">
        <v>1432</v>
      </c>
      <c r="D456" t="s">
        <v>1432</v>
      </c>
      <c r="E456" t="s">
        <v>910</v>
      </c>
      <c r="F456" t="s">
        <v>169</v>
      </c>
      <c r="G456">
        <v>94624.2</v>
      </c>
      <c r="H456" s="2">
        <f t="shared" si="7"/>
        <v>94624.2</v>
      </c>
      <c r="I456" s="1">
        <v>45831</v>
      </c>
    </row>
    <row r="457" hidden="1" spans="1:9">
      <c r="A457">
        <v>31235</v>
      </c>
      <c r="B457" t="s">
        <v>782</v>
      </c>
      <c r="C457" t="s">
        <v>1433</v>
      </c>
      <c r="D457" t="s">
        <v>1433</v>
      </c>
      <c r="E457" t="s">
        <v>910</v>
      </c>
      <c r="F457" t="s">
        <v>169</v>
      </c>
      <c r="G457">
        <v>46728</v>
      </c>
      <c r="H457" s="2">
        <f t="shared" si="7"/>
        <v>46728</v>
      </c>
      <c r="I457" s="1">
        <v>45831</v>
      </c>
    </row>
    <row r="458" hidden="1" spans="1:9">
      <c r="A458">
        <v>33141</v>
      </c>
      <c r="B458" t="s">
        <v>769</v>
      </c>
      <c r="C458" t="s">
        <v>1434</v>
      </c>
      <c r="D458" t="s">
        <v>1435</v>
      </c>
      <c r="E458" t="s">
        <v>842</v>
      </c>
      <c r="F458" t="s">
        <v>169</v>
      </c>
      <c r="G458">
        <v>0.43</v>
      </c>
      <c r="H458" s="2">
        <f t="shared" si="7"/>
        <v>0.43</v>
      </c>
      <c r="I458" s="1">
        <v>45831</v>
      </c>
    </row>
    <row r="459" spans="1:9">
      <c r="A459">
        <v>33143</v>
      </c>
      <c r="B459" t="s">
        <v>769</v>
      </c>
      <c r="C459" t="s">
        <v>1436</v>
      </c>
      <c r="D459" t="s">
        <v>1437</v>
      </c>
      <c r="E459" t="s">
        <v>910</v>
      </c>
      <c r="F459" t="s">
        <v>169</v>
      </c>
      <c r="G459">
        <v>-0.2</v>
      </c>
      <c r="H459" s="2">
        <f t="shared" si="7"/>
        <v>0.2</v>
      </c>
      <c r="I459" s="1">
        <v>45831</v>
      </c>
    </row>
    <row r="460" spans="1:9">
      <c r="A460">
        <v>34147</v>
      </c>
      <c r="B460" t="s">
        <v>807</v>
      </c>
      <c r="C460" t="s">
        <v>1438</v>
      </c>
      <c r="D460" t="s">
        <v>1439</v>
      </c>
      <c r="E460" t="s">
        <v>80</v>
      </c>
      <c r="F460" t="s">
        <v>810</v>
      </c>
      <c r="G460">
        <v>-331539</v>
      </c>
      <c r="H460" s="2">
        <f t="shared" si="7"/>
        <v>331539</v>
      </c>
      <c r="I460" s="1">
        <v>45831</v>
      </c>
    </row>
    <row r="461" spans="1:9">
      <c r="A461">
        <v>34148</v>
      </c>
      <c r="B461" t="s">
        <v>811</v>
      </c>
      <c r="C461" t="s">
        <v>1440</v>
      </c>
      <c r="D461" t="s">
        <v>162</v>
      </c>
      <c r="E461" t="s">
        <v>80</v>
      </c>
      <c r="F461" t="s">
        <v>810</v>
      </c>
      <c r="G461">
        <v>-30698</v>
      </c>
      <c r="H461" s="2">
        <f t="shared" si="7"/>
        <v>30698</v>
      </c>
      <c r="I461" s="1">
        <v>45831</v>
      </c>
    </row>
    <row r="462" hidden="1" spans="1:9">
      <c r="A462">
        <v>34154</v>
      </c>
      <c r="B462" t="s">
        <v>816</v>
      </c>
      <c r="C462" t="s">
        <v>1441</v>
      </c>
      <c r="D462" t="s">
        <v>1442</v>
      </c>
      <c r="E462" t="s">
        <v>776</v>
      </c>
      <c r="F462" t="s">
        <v>170</v>
      </c>
      <c r="G462">
        <v>56533.42</v>
      </c>
      <c r="H462" s="2">
        <f t="shared" si="7"/>
        <v>56533.42</v>
      </c>
      <c r="I462" s="1">
        <v>45831</v>
      </c>
    </row>
    <row r="463" spans="1:9">
      <c r="A463">
        <v>38591</v>
      </c>
      <c r="B463" t="s">
        <v>807</v>
      </c>
      <c r="C463" t="s">
        <v>1443</v>
      </c>
      <c r="D463" t="s">
        <v>1444</v>
      </c>
      <c r="E463" t="s">
        <v>1445</v>
      </c>
      <c r="F463" t="s">
        <v>169</v>
      </c>
      <c r="G463">
        <v>-425793.24</v>
      </c>
      <c r="H463" s="2">
        <f t="shared" si="7"/>
        <v>425793.24</v>
      </c>
      <c r="I463" s="1">
        <v>45831</v>
      </c>
    </row>
    <row r="464" spans="1:9">
      <c r="A464">
        <v>38592</v>
      </c>
      <c r="B464" t="s">
        <v>811</v>
      </c>
      <c r="C464" t="s">
        <v>1446</v>
      </c>
      <c r="D464" t="s">
        <v>162</v>
      </c>
      <c r="E464" t="s">
        <v>1445</v>
      </c>
      <c r="F464" t="s">
        <v>169</v>
      </c>
      <c r="G464">
        <v>-39425.76</v>
      </c>
      <c r="H464" s="2">
        <f t="shared" si="7"/>
        <v>39425.76</v>
      </c>
      <c r="I464" s="1">
        <v>45831</v>
      </c>
    </row>
    <row r="465" spans="1:9">
      <c r="A465">
        <v>38888</v>
      </c>
      <c r="B465" t="s">
        <v>807</v>
      </c>
      <c r="C465" t="s">
        <v>1447</v>
      </c>
      <c r="D465" t="s">
        <v>1448</v>
      </c>
      <c r="E465" t="s">
        <v>68</v>
      </c>
      <c r="F465" t="s">
        <v>810</v>
      </c>
      <c r="G465">
        <v>-1046000</v>
      </c>
      <c r="H465" s="2">
        <f t="shared" si="7"/>
        <v>1046000</v>
      </c>
      <c r="I465" s="1">
        <v>45831</v>
      </c>
    </row>
    <row r="466" spans="1:9">
      <c r="A466">
        <v>49809</v>
      </c>
      <c r="B466" t="s">
        <v>807</v>
      </c>
      <c r="C466" t="s">
        <v>1449</v>
      </c>
      <c r="D466" t="s">
        <v>1450</v>
      </c>
      <c r="E466" t="s">
        <v>117</v>
      </c>
      <c r="F466" t="s">
        <v>169</v>
      </c>
      <c r="G466">
        <v>-25090.4</v>
      </c>
      <c r="H466" s="2">
        <f t="shared" si="7"/>
        <v>25090.4</v>
      </c>
      <c r="I466" s="1">
        <v>45831</v>
      </c>
    </row>
    <row r="467" spans="1:9">
      <c r="A467">
        <v>49810</v>
      </c>
      <c r="B467" t="s">
        <v>811</v>
      </c>
      <c r="C467" t="s">
        <v>1451</v>
      </c>
      <c r="D467" t="s">
        <v>162</v>
      </c>
      <c r="E467" t="s">
        <v>117</v>
      </c>
      <c r="F467" t="s">
        <v>169</v>
      </c>
      <c r="G467">
        <v>-432.6</v>
      </c>
      <c r="H467" s="2">
        <f t="shared" si="7"/>
        <v>432.6</v>
      </c>
      <c r="I467" s="1">
        <v>45831</v>
      </c>
    </row>
    <row r="468" hidden="1" spans="1:9">
      <c r="A468">
        <v>17135</v>
      </c>
      <c r="B468" t="s">
        <v>769</v>
      </c>
      <c r="C468" t="s">
        <v>1452</v>
      </c>
      <c r="D468" t="s">
        <v>1453</v>
      </c>
      <c r="E468" t="s">
        <v>39</v>
      </c>
      <c r="F468" t="s">
        <v>169</v>
      </c>
      <c r="G468">
        <v>0.1</v>
      </c>
      <c r="H468" s="2">
        <f t="shared" si="7"/>
        <v>0.1</v>
      </c>
      <c r="I468" s="1">
        <v>45832</v>
      </c>
    </row>
    <row r="469" hidden="1" spans="1:9">
      <c r="A469">
        <v>17136</v>
      </c>
      <c r="B469" t="s">
        <v>782</v>
      </c>
      <c r="C469" t="s">
        <v>1454</v>
      </c>
      <c r="D469" t="s">
        <v>1454</v>
      </c>
      <c r="E469" t="s">
        <v>39</v>
      </c>
      <c r="F469" t="s">
        <v>169</v>
      </c>
      <c r="G469">
        <v>1254817.9</v>
      </c>
      <c r="H469" s="2">
        <f t="shared" si="7"/>
        <v>1254817.9</v>
      </c>
      <c r="I469" s="1">
        <v>45832</v>
      </c>
    </row>
    <row r="470" hidden="1" spans="1:9">
      <c r="A470">
        <v>17166</v>
      </c>
      <c r="B470" t="s">
        <v>769</v>
      </c>
      <c r="C470" t="s">
        <v>1455</v>
      </c>
      <c r="D470" t="s">
        <v>1456</v>
      </c>
      <c r="E470" t="s">
        <v>47</v>
      </c>
      <c r="F470" t="s">
        <v>169</v>
      </c>
      <c r="G470">
        <v>0.44</v>
      </c>
      <c r="H470" s="2">
        <f t="shared" si="7"/>
        <v>0.44</v>
      </c>
      <c r="I470" s="1">
        <v>45832</v>
      </c>
    </row>
    <row r="471" hidden="1" spans="1:9">
      <c r="A471">
        <v>17167</v>
      </c>
      <c r="B471" t="s">
        <v>782</v>
      </c>
      <c r="C471" t="s">
        <v>1457</v>
      </c>
      <c r="D471" t="s">
        <v>1457</v>
      </c>
      <c r="E471" t="s">
        <v>47</v>
      </c>
      <c r="F471" t="s">
        <v>169</v>
      </c>
      <c r="G471">
        <v>641556.56</v>
      </c>
      <c r="H471" s="2">
        <f t="shared" si="7"/>
        <v>641556.56</v>
      </c>
      <c r="I471" s="1">
        <v>45832</v>
      </c>
    </row>
    <row r="472" spans="1:9">
      <c r="A472">
        <v>17171</v>
      </c>
      <c r="B472" t="s">
        <v>847</v>
      </c>
      <c r="C472" t="s">
        <v>1458</v>
      </c>
      <c r="D472" t="s">
        <v>1458</v>
      </c>
      <c r="E472" t="s">
        <v>30</v>
      </c>
      <c r="F472" t="s">
        <v>810</v>
      </c>
      <c r="G472">
        <v>-13588.88</v>
      </c>
      <c r="H472" s="2">
        <f t="shared" si="7"/>
        <v>13588.88</v>
      </c>
      <c r="I472" s="1">
        <v>45832</v>
      </c>
    </row>
    <row r="473" hidden="1" spans="1:9">
      <c r="A473">
        <v>17186</v>
      </c>
      <c r="B473" t="s">
        <v>782</v>
      </c>
      <c r="C473" t="s">
        <v>1459</v>
      </c>
      <c r="D473" t="s">
        <v>1459</v>
      </c>
      <c r="E473" t="s">
        <v>91</v>
      </c>
      <c r="F473" t="s">
        <v>169</v>
      </c>
      <c r="G473">
        <v>601800</v>
      </c>
      <c r="H473" s="2">
        <f t="shared" si="7"/>
        <v>601800</v>
      </c>
      <c r="I473" s="1">
        <v>45832</v>
      </c>
    </row>
    <row r="474" hidden="1" spans="1:9">
      <c r="A474">
        <v>17196</v>
      </c>
      <c r="B474" t="s">
        <v>782</v>
      </c>
      <c r="C474" t="s">
        <v>1460</v>
      </c>
      <c r="D474" t="s">
        <v>1460</v>
      </c>
      <c r="E474" t="s">
        <v>16</v>
      </c>
      <c r="F474" t="s">
        <v>169</v>
      </c>
      <c r="G474">
        <v>76700</v>
      </c>
      <c r="H474" s="2">
        <f t="shared" si="7"/>
        <v>76700</v>
      </c>
      <c r="I474" s="1">
        <v>45832</v>
      </c>
    </row>
    <row r="475" hidden="1" spans="1:9">
      <c r="A475">
        <v>17216</v>
      </c>
      <c r="B475" t="s">
        <v>769</v>
      </c>
      <c r="C475" t="s">
        <v>1461</v>
      </c>
      <c r="D475" t="s">
        <v>1462</v>
      </c>
      <c r="E475" t="s">
        <v>143</v>
      </c>
      <c r="F475" t="s">
        <v>169</v>
      </c>
      <c r="G475">
        <v>0.46</v>
      </c>
      <c r="H475" s="2">
        <f t="shared" si="7"/>
        <v>0.46</v>
      </c>
      <c r="I475" s="1">
        <v>45832</v>
      </c>
    </row>
    <row r="476" hidden="1" spans="1:9">
      <c r="A476">
        <v>17217</v>
      </c>
      <c r="B476" t="s">
        <v>782</v>
      </c>
      <c r="C476" t="s">
        <v>1463</v>
      </c>
      <c r="D476" t="s">
        <v>1463</v>
      </c>
      <c r="E476" t="s">
        <v>143</v>
      </c>
      <c r="F476" t="s">
        <v>169</v>
      </c>
      <c r="G476">
        <v>610063.54</v>
      </c>
      <c r="H476" s="2">
        <f t="shared" si="7"/>
        <v>610063.54</v>
      </c>
      <c r="I476" s="1">
        <v>45832</v>
      </c>
    </row>
    <row r="477" hidden="1" spans="1:9">
      <c r="A477">
        <v>17235</v>
      </c>
      <c r="B477" t="s">
        <v>782</v>
      </c>
      <c r="C477" t="s">
        <v>1464</v>
      </c>
      <c r="D477" t="s">
        <v>1464</v>
      </c>
      <c r="E477" t="s">
        <v>15</v>
      </c>
      <c r="F477" t="s">
        <v>169</v>
      </c>
      <c r="G477">
        <v>24780</v>
      </c>
      <c r="H477" s="2">
        <f t="shared" si="7"/>
        <v>24780</v>
      </c>
      <c r="I477" s="1">
        <v>45832</v>
      </c>
    </row>
    <row r="478" spans="1:9">
      <c r="A478">
        <v>18104</v>
      </c>
      <c r="B478" t="s">
        <v>769</v>
      </c>
      <c r="C478" t="s">
        <v>1465</v>
      </c>
      <c r="D478" t="s">
        <v>1466</v>
      </c>
      <c r="E478" t="s">
        <v>138</v>
      </c>
      <c r="F478" t="s">
        <v>169</v>
      </c>
      <c r="G478">
        <v>-0.2</v>
      </c>
      <c r="H478" s="2">
        <f t="shared" si="7"/>
        <v>0.2</v>
      </c>
      <c r="I478" s="1">
        <v>45832</v>
      </c>
    </row>
    <row r="479" hidden="1" spans="1:9">
      <c r="A479">
        <v>18105</v>
      </c>
      <c r="B479" t="s">
        <v>782</v>
      </c>
      <c r="C479" t="s">
        <v>1467</v>
      </c>
      <c r="D479" t="s">
        <v>1467</v>
      </c>
      <c r="E479" t="s">
        <v>138</v>
      </c>
      <c r="F479" t="s">
        <v>169</v>
      </c>
      <c r="G479">
        <v>15713720.16</v>
      </c>
      <c r="H479" s="2">
        <f t="shared" si="7"/>
        <v>15713720.16</v>
      </c>
      <c r="I479" s="1">
        <v>45832</v>
      </c>
    </row>
    <row r="480" hidden="1" spans="1:9">
      <c r="A480">
        <v>34100</v>
      </c>
      <c r="B480" t="s">
        <v>816</v>
      </c>
      <c r="C480" t="s">
        <v>1468</v>
      </c>
      <c r="D480" t="s">
        <v>1469</v>
      </c>
      <c r="E480" t="s">
        <v>104</v>
      </c>
      <c r="F480" t="s">
        <v>170</v>
      </c>
      <c r="G480">
        <v>287311.83</v>
      </c>
      <c r="H480" s="2">
        <f t="shared" si="7"/>
        <v>287311.83</v>
      </c>
      <c r="I480" s="1">
        <v>45832</v>
      </c>
    </row>
    <row r="481" spans="1:9">
      <c r="A481">
        <v>34102</v>
      </c>
      <c r="B481" t="s">
        <v>807</v>
      </c>
      <c r="C481" t="s">
        <v>1470</v>
      </c>
      <c r="D481" t="s">
        <v>1471</v>
      </c>
      <c r="E481" t="s">
        <v>73</v>
      </c>
      <c r="F481" t="s">
        <v>169</v>
      </c>
      <c r="G481">
        <v>-37422</v>
      </c>
      <c r="H481" s="2">
        <f t="shared" si="7"/>
        <v>37422</v>
      </c>
      <c r="I481" s="1">
        <v>45832</v>
      </c>
    </row>
    <row r="482" spans="1:9">
      <c r="A482">
        <v>34103</v>
      </c>
      <c r="B482" t="s">
        <v>811</v>
      </c>
      <c r="C482" t="s">
        <v>1472</v>
      </c>
      <c r="D482" t="s">
        <v>162</v>
      </c>
      <c r="E482" t="s">
        <v>73</v>
      </c>
      <c r="F482" t="s">
        <v>169</v>
      </c>
      <c r="G482">
        <v>-3465</v>
      </c>
      <c r="H482" s="2">
        <f t="shared" si="7"/>
        <v>3465</v>
      </c>
      <c r="I482" s="1">
        <v>45832</v>
      </c>
    </row>
    <row r="483" spans="1:9">
      <c r="A483">
        <v>34105</v>
      </c>
      <c r="B483" t="s">
        <v>807</v>
      </c>
      <c r="C483" t="s">
        <v>1473</v>
      </c>
      <c r="D483" t="s">
        <v>1474</v>
      </c>
      <c r="E483" t="s">
        <v>48</v>
      </c>
      <c r="F483" t="s">
        <v>169</v>
      </c>
      <c r="G483">
        <v>-198520.38</v>
      </c>
      <c r="H483" s="2">
        <f t="shared" si="7"/>
        <v>198520.38</v>
      </c>
      <c r="I483" s="1">
        <v>45832</v>
      </c>
    </row>
    <row r="484" spans="1:9">
      <c r="A484">
        <v>34106</v>
      </c>
      <c r="B484" t="s">
        <v>811</v>
      </c>
      <c r="C484" t="s">
        <v>1475</v>
      </c>
      <c r="D484" t="s">
        <v>162</v>
      </c>
      <c r="E484" t="s">
        <v>48</v>
      </c>
      <c r="F484" t="s">
        <v>169</v>
      </c>
      <c r="G484">
        <v>-3248.62</v>
      </c>
      <c r="H484" s="2">
        <f t="shared" si="7"/>
        <v>3248.62</v>
      </c>
      <c r="I484" s="1">
        <v>45832</v>
      </c>
    </row>
    <row r="485" spans="1:9">
      <c r="A485">
        <v>34128</v>
      </c>
      <c r="B485" t="s">
        <v>807</v>
      </c>
      <c r="C485" t="s">
        <v>1476</v>
      </c>
      <c r="D485" t="s">
        <v>1477</v>
      </c>
      <c r="E485" t="s">
        <v>110</v>
      </c>
      <c r="F485" t="s">
        <v>169</v>
      </c>
      <c r="G485">
        <v>-350780.07</v>
      </c>
      <c r="H485" s="2">
        <f t="shared" si="7"/>
        <v>350780.07</v>
      </c>
      <c r="I485" s="1">
        <v>45832</v>
      </c>
    </row>
    <row r="486" spans="1:9">
      <c r="A486">
        <v>34129</v>
      </c>
      <c r="B486" t="s">
        <v>811</v>
      </c>
      <c r="C486" t="s">
        <v>1478</v>
      </c>
      <c r="D486" t="s">
        <v>162</v>
      </c>
      <c r="E486" t="s">
        <v>110</v>
      </c>
      <c r="F486" t="s">
        <v>169</v>
      </c>
      <c r="G486">
        <v>-6047.93</v>
      </c>
      <c r="H486" s="2">
        <f t="shared" si="7"/>
        <v>6047.93</v>
      </c>
      <c r="I486" s="1">
        <v>45832</v>
      </c>
    </row>
    <row r="487" spans="1:9">
      <c r="A487">
        <v>34141</v>
      </c>
      <c r="B487" t="s">
        <v>807</v>
      </c>
      <c r="C487" t="s">
        <v>1479</v>
      </c>
      <c r="D487" t="s">
        <v>1480</v>
      </c>
      <c r="E487" t="s">
        <v>76</v>
      </c>
      <c r="F487" t="s">
        <v>810</v>
      </c>
      <c r="G487">
        <v>-1398304</v>
      </c>
      <c r="H487" s="2">
        <f t="shared" si="7"/>
        <v>1398304</v>
      </c>
      <c r="I487" s="1">
        <v>45832</v>
      </c>
    </row>
    <row r="488" spans="1:9">
      <c r="A488">
        <v>34142</v>
      </c>
      <c r="B488" t="s">
        <v>811</v>
      </c>
      <c r="C488" t="s">
        <v>1481</v>
      </c>
      <c r="D488" t="s">
        <v>162</v>
      </c>
      <c r="E488" t="s">
        <v>76</v>
      </c>
      <c r="F488" t="s">
        <v>810</v>
      </c>
      <c r="G488">
        <v>-24109</v>
      </c>
      <c r="H488" s="2">
        <f t="shared" si="7"/>
        <v>24109</v>
      </c>
      <c r="I488" s="1">
        <v>45832</v>
      </c>
    </row>
    <row r="489" hidden="1" spans="1:9">
      <c r="A489">
        <v>34157</v>
      </c>
      <c r="B489" t="s">
        <v>816</v>
      </c>
      <c r="C489" t="s">
        <v>1482</v>
      </c>
      <c r="D489" t="s">
        <v>1483</v>
      </c>
      <c r="E489" t="s">
        <v>1484</v>
      </c>
      <c r="F489" t="s">
        <v>170</v>
      </c>
      <c r="G489">
        <v>945135</v>
      </c>
      <c r="H489" s="2">
        <f t="shared" si="7"/>
        <v>945135</v>
      </c>
      <c r="I489" s="1">
        <v>45832</v>
      </c>
    </row>
    <row r="490" hidden="1" spans="1:9">
      <c r="A490">
        <v>34195</v>
      </c>
      <c r="B490" t="s">
        <v>816</v>
      </c>
      <c r="C490" t="s">
        <v>1485</v>
      </c>
      <c r="D490" t="s">
        <v>1486</v>
      </c>
      <c r="E490" t="s">
        <v>1487</v>
      </c>
      <c r="F490" t="s">
        <v>170</v>
      </c>
      <c r="G490">
        <v>2928752.5</v>
      </c>
      <c r="H490" s="2">
        <f t="shared" si="7"/>
        <v>2928752.5</v>
      </c>
      <c r="I490" s="1">
        <v>45832</v>
      </c>
    </row>
    <row r="491" hidden="1" spans="1:9">
      <c r="A491">
        <v>34480</v>
      </c>
      <c r="B491" t="s">
        <v>782</v>
      </c>
      <c r="C491" t="s">
        <v>1488</v>
      </c>
      <c r="D491" t="s">
        <v>1488</v>
      </c>
      <c r="E491" t="s">
        <v>143</v>
      </c>
      <c r="F491" t="s">
        <v>169</v>
      </c>
      <c r="G491">
        <v>20484.8</v>
      </c>
      <c r="H491" s="2">
        <f t="shared" si="7"/>
        <v>20484.8</v>
      </c>
      <c r="I491" s="1">
        <v>45832</v>
      </c>
    </row>
    <row r="492" hidden="1" spans="1:9">
      <c r="A492">
        <v>34483</v>
      </c>
      <c r="B492" t="s">
        <v>769</v>
      </c>
      <c r="C492" t="s">
        <v>1489</v>
      </c>
      <c r="D492" t="s">
        <v>1490</v>
      </c>
      <c r="E492" t="s">
        <v>143</v>
      </c>
      <c r="F492" t="s">
        <v>169</v>
      </c>
      <c r="G492">
        <v>0.2</v>
      </c>
      <c r="H492" s="2">
        <f t="shared" si="7"/>
        <v>0.2</v>
      </c>
      <c r="I492" s="1">
        <v>45832</v>
      </c>
    </row>
    <row r="493" hidden="1" spans="1:9">
      <c r="A493">
        <v>34491</v>
      </c>
      <c r="B493" t="s">
        <v>782</v>
      </c>
      <c r="C493" t="s">
        <v>1491</v>
      </c>
      <c r="D493" t="s">
        <v>1491</v>
      </c>
      <c r="E493" t="s">
        <v>100</v>
      </c>
      <c r="F493" t="s">
        <v>169</v>
      </c>
      <c r="G493">
        <v>631005</v>
      </c>
      <c r="H493" s="2">
        <f t="shared" si="7"/>
        <v>631005</v>
      </c>
      <c r="I493" s="1">
        <v>45832</v>
      </c>
    </row>
    <row r="494" hidden="1" spans="1:9">
      <c r="A494">
        <v>17365</v>
      </c>
      <c r="B494" t="s">
        <v>769</v>
      </c>
      <c r="C494" t="s">
        <v>1492</v>
      </c>
      <c r="D494" t="s">
        <v>1493</v>
      </c>
      <c r="E494" t="s">
        <v>910</v>
      </c>
      <c r="F494" t="s">
        <v>169</v>
      </c>
      <c r="G494">
        <v>0.08</v>
      </c>
      <c r="H494" s="2">
        <f t="shared" si="7"/>
        <v>0.08</v>
      </c>
      <c r="I494" s="1">
        <v>45833</v>
      </c>
    </row>
    <row r="495" hidden="1" spans="1:9">
      <c r="A495">
        <v>17366</v>
      </c>
      <c r="B495" t="s">
        <v>782</v>
      </c>
      <c r="C495" t="s">
        <v>1494</v>
      </c>
      <c r="D495" t="s">
        <v>1494</v>
      </c>
      <c r="E495" t="s">
        <v>910</v>
      </c>
      <c r="F495" t="s">
        <v>169</v>
      </c>
      <c r="G495">
        <v>367385.92</v>
      </c>
      <c r="H495" s="2">
        <f t="shared" si="7"/>
        <v>367385.92</v>
      </c>
      <c r="I495" s="1">
        <v>45833</v>
      </c>
    </row>
    <row r="496" hidden="1" spans="1:9">
      <c r="A496">
        <v>17409</v>
      </c>
      <c r="B496" t="s">
        <v>769</v>
      </c>
      <c r="C496" t="s">
        <v>1495</v>
      </c>
      <c r="D496" t="s">
        <v>1496</v>
      </c>
      <c r="E496" t="s">
        <v>1497</v>
      </c>
      <c r="F496" t="s">
        <v>169</v>
      </c>
      <c r="G496">
        <v>0.4</v>
      </c>
      <c r="H496" s="2">
        <f t="shared" si="7"/>
        <v>0.4</v>
      </c>
      <c r="I496" s="1">
        <v>45833</v>
      </c>
    </row>
    <row r="497" hidden="1" spans="1:9">
      <c r="A497">
        <v>17410</v>
      </c>
      <c r="B497" t="s">
        <v>782</v>
      </c>
      <c r="C497" t="s">
        <v>1498</v>
      </c>
      <c r="D497" t="s">
        <v>1498</v>
      </c>
      <c r="E497" t="s">
        <v>1497</v>
      </c>
      <c r="F497" t="s">
        <v>169</v>
      </c>
      <c r="G497">
        <v>276733.6</v>
      </c>
      <c r="H497" s="2">
        <f t="shared" si="7"/>
        <v>276733.6</v>
      </c>
      <c r="I497" s="1">
        <v>45833</v>
      </c>
    </row>
    <row r="498" hidden="1" spans="1:9">
      <c r="A498">
        <v>17436</v>
      </c>
      <c r="B498" t="s">
        <v>769</v>
      </c>
      <c r="C498" t="s">
        <v>1499</v>
      </c>
      <c r="D498" t="s">
        <v>1500</v>
      </c>
      <c r="E498" t="s">
        <v>1501</v>
      </c>
      <c r="F498" t="s">
        <v>169</v>
      </c>
      <c r="G498">
        <v>0.32</v>
      </c>
      <c r="H498" s="2">
        <f t="shared" si="7"/>
        <v>0.32</v>
      </c>
      <c r="I498" s="1">
        <v>45833</v>
      </c>
    </row>
    <row r="499" hidden="1" spans="1:9">
      <c r="A499">
        <v>17437</v>
      </c>
      <c r="B499" t="s">
        <v>782</v>
      </c>
      <c r="C499" t="s">
        <v>1502</v>
      </c>
      <c r="D499" t="s">
        <v>1502</v>
      </c>
      <c r="E499" t="s">
        <v>1501</v>
      </c>
      <c r="F499" t="s">
        <v>169</v>
      </c>
      <c r="G499">
        <v>65048.68</v>
      </c>
      <c r="H499" s="2">
        <f t="shared" si="7"/>
        <v>65048.68</v>
      </c>
      <c r="I499" s="1">
        <v>45833</v>
      </c>
    </row>
    <row r="500" spans="1:9">
      <c r="A500">
        <v>17447</v>
      </c>
      <c r="B500" t="s">
        <v>769</v>
      </c>
      <c r="C500" t="s">
        <v>1503</v>
      </c>
      <c r="D500" t="s">
        <v>1504</v>
      </c>
      <c r="E500" t="s">
        <v>128</v>
      </c>
      <c r="F500" t="s">
        <v>169</v>
      </c>
      <c r="G500">
        <v>-0.46</v>
      </c>
      <c r="H500" s="2">
        <f t="shared" si="7"/>
        <v>0.46</v>
      </c>
      <c r="I500" s="1">
        <v>45833</v>
      </c>
    </row>
    <row r="501" hidden="1" spans="1:9">
      <c r="A501">
        <v>17448</v>
      </c>
      <c r="B501" t="s">
        <v>782</v>
      </c>
      <c r="C501" t="s">
        <v>1505</v>
      </c>
      <c r="D501" t="s">
        <v>1505</v>
      </c>
      <c r="E501" t="s">
        <v>128</v>
      </c>
      <c r="F501" t="s">
        <v>169</v>
      </c>
      <c r="G501">
        <v>339954.46</v>
      </c>
      <c r="H501" s="2">
        <f t="shared" si="7"/>
        <v>339954.46</v>
      </c>
      <c r="I501" s="1">
        <v>45833</v>
      </c>
    </row>
    <row r="502" spans="1:9">
      <c r="A502">
        <v>34107</v>
      </c>
      <c r="B502" t="s">
        <v>807</v>
      </c>
      <c r="C502" t="s">
        <v>1506</v>
      </c>
      <c r="D502" t="s">
        <v>1507</v>
      </c>
      <c r="E502" t="s">
        <v>842</v>
      </c>
      <c r="F502" t="s">
        <v>810</v>
      </c>
      <c r="G502">
        <v>-75295.24</v>
      </c>
      <c r="H502" s="2">
        <f t="shared" si="7"/>
        <v>75295.24</v>
      </c>
      <c r="I502" s="1">
        <v>45833</v>
      </c>
    </row>
    <row r="503" spans="1:9">
      <c r="A503">
        <v>34108</v>
      </c>
      <c r="B503" t="s">
        <v>811</v>
      </c>
      <c r="C503" t="s">
        <v>1508</v>
      </c>
      <c r="D503" t="s">
        <v>162</v>
      </c>
      <c r="E503" t="s">
        <v>842</v>
      </c>
      <c r="F503" t="s">
        <v>810</v>
      </c>
      <c r="G503">
        <v>-6971.76</v>
      </c>
      <c r="H503" s="2">
        <f t="shared" si="7"/>
        <v>6971.76</v>
      </c>
      <c r="I503" s="1">
        <v>45833</v>
      </c>
    </row>
    <row r="504" hidden="1" spans="1:9">
      <c r="A504">
        <v>34160</v>
      </c>
      <c r="B504" t="s">
        <v>816</v>
      </c>
      <c r="C504" t="s">
        <v>1509</v>
      </c>
      <c r="D504" t="s">
        <v>1510</v>
      </c>
      <c r="E504" t="s">
        <v>22</v>
      </c>
      <c r="F504" t="s">
        <v>170</v>
      </c>
      <c r="G504">
        <v>423286</v>
      </c>
      <c r="H504" s="2">
        <f t="shared" si="7"/>
        <v>423286</v>
      </c>
      <c r="I504" s="1">
        <v>45833</v>
      </c>
    </row>
    <row r="505" hidden="1" spans="1:9">
      <c r="A505">
        <v>34196</v>
      </c>
      <c r="B505" t="s">
        <v>816</v>
      </c>
      <c r="C505" t="s">
        <v>1511</v>
      </c>
      <c r="D505" t="s">
        <v>1512</v>
      </c>
      <c r="E505" t="s">
        <v>1513</v>
      </c>
      <c r="F505" t="s">
        <v>170</v>
      </c>
      <c r="G505">
        <v>340409</v>
      </c>
      <c r="H505" s="2">
        <f t="shared" si="7"/>
        <v>340409</v>
      </c>
      <c r="I505" s="1">
        <v>45833</v>
      </c>
    </row>
    <row r="506" spans="1:9">
      <c r="A506">
        <v>34204</v>
      </c>
      <c r="B506" t="s">
        <v>807</v>
      </c>
      <c r="C506" t="s">
        <v>1514</v>
      </c>
      <c r="D506" t="s">
        <v>1515</v>
      </c>
      <c r="E506" t="s">
        <v>121</v>
      </c>
      <c r="F506" t="s">
        <v>810</v>
      </c>
      <c r="G506">
        <v>-712800</v>
      </c>
      <c r="H506" s="2">
        <f t="shared" si="7"/>
        <v>712800</v>
      </c>
      <c r="I506" s="1">
        <v>45833</v>
      </c>
    </row>
    <row r="507" spans="1:9">
      <c r="A507">
        <v>34205</v>
      </c>
      <c r="B507" t="s">
        <v>811</v>
      </c>
      <c r="C507" t="s">
        <v>1516</v>
      </c>
      <c r="D507" t="s">
        <v>162</v>
      </c>
      <c r="E507" t="s">
        <v>121</v>
      </c>
      <c r="F507" t="s">
        <v>810</v>
      </c>
      <c r="G507">
        <v>-66000</v>
      </c>
      <c r="H507" s="2">
        <f t="shared" si="7"/>
        <v>66000</v>
      </c>
      <c r="I507" s="1">
        <v>45833</v>
      </c>
    </row>
    <row r="508" hidden="1" spans="1:9">
      <c r="A508">
        <v>34207</v>
      </c>
      <c r="B508" t="s">
        <v>816</v>
      </c>
      <c r="C508" t="s">
        <v>1517</v>
      </c>
      <c r="D508" t="s">
        <v>1518</v>
      </c>
      <c r="E508" t="s">
        <v>776</v>
      </c>
      <c r="F508" t="s">
        <v>170</v>
      </c>
      <c r="G508">
        <v>48229.56</v>
      </c>
      <c r="H508" s="2">
        <f t="shared" si="7"/>
        <v>48229.56</v>
      </c>
      <c r="I508" s="1">
        <v>45833</v>
      </c>
    </row>
    <row r="509" spans="1:9">
      <c r="A509">
        <v>49797</v>
      </c>
      <c r="B509" t="s">
        <v>807</v>
      </c>
      <c r="C509" t="s">
        <v>1519</v>
      </c>
      <c r="D509" t="s">
        <v>1520</v>
      </c>
      <c r="E509" t="s">
        <v>842</v>
      </c>
      <c r="F509" t="s">
        <v>169</v>
      </c>
      <c r="G509">
        <v>-140979.66</v>
      </c>
      <c r="H509" s="2">
        <f t="shared" si="7"/>
        <v>140979.66</v>
      </c>
      <c r="I509" s="1">
        <v>45833</v>
      </c>
    </row>
    <row r="510" spans="1:9">
      <c r="A510">
        <v>49798</v>
      </c>
      <c r="B510" t="s">
        <v>811</v>
      </c>
      <c r="C510" t="s">
        <v>1521</v>
      </c>
      <c r="D510" t="s">
        <v>162</v>
      </c>
      <c r="E510" t="s">
        <v>842</v>
      </c>
      <c r="F510" t="s">
        <v>169</v>
      </c>
      <c r="G510">
        <v>-13053.34</v>
      </c>
      <c r="H510" s="2">
        <f t="shared" si="7"/>
        <v>13053.34</v>
      </c>
      <c r="I510" s="1">
        <v>45833</v>
      </c>
    </row>
    <row r="511" hidden="1" spans="1:9">
      <c r="A511">
        <v>17616</v>
      </c>
      <c r="B511" t="s">
        <v>769</v>
      </c>
      <c r="C511" t="s">
        <v>1522</v>
      </c>
      <c r="D511" t="s">
        <v>1523</v>
      </c>
      <c r="E511" t="s">
        <v>142</v>
      </c>
      <c r="F511" t="s">
        <v>169</v>
      </c>
      <c r="G511">
        <v>0.21</v>
      </c>
      <c r="H511" s="2">
        <f t="shared" si="7"/>
        <v>0.21</v>
      </c>
      <c r="I511" s="1">
        <v>45834</v>
      </c>
    </row>
    <row r="512" hidden="1" spans="1:9">
      <c r="A512">
        <v>17617</v>
      </c>
      <c r="B512" t="s">
        <v>782</v>
      </c>
      <c r="C512" t="s">
        <v>1524</v>
      </c>
      <c r="D512" t="s">
        <v>1524</v>
      </c>
      <c r="E512" t="s">
        <v>142</v>
      </c>
      <c r="F512" t="s">
        <v>169</v>
      </c>
      <c r="G512">
        <v>1950704.79</v>
      </c>
      <c r="H512" s="2">
        <f t="shared" si="7"/>
        <v>1950704.79</v>
      </c>
      <c r="I512" s="1">
        <v>45834</v>
      </c>
    </row>
    <row r="513" hidden="1" spans="1:9">
      <c r="A513">
        <v>17621</v>
      </c>
      <c r="B513" t="s">
        <v>769</v>
      </c>
      <c r="C513" t="s">
        <v>1525</v>
      </c>
      <c r="D513" t="s">
        <v>1526</v>
      </c>
      <c r="E513" t="s">
        <v>140</v>
      </c>
      <c r="F513" t="s">
        <v>169</v>
      </c>
      <c r="G513">
        <v>0.14</v>
      </c>
      <c r="H513" s="2">
        <f t="shared" si="7"/>
        <v>0.14</v>
      </c>
      <c r="I513" s="1">
        <v>45834</v>
      </c>
    </row>
    <row r="514" hidden="1" spans="1:9">
      <c r="A514">
        <v>17622</v>
      </c>
      <c r="B514" t="s">
        <v>782</v>
      </c>
      <c r="C514" t="s">
        <v>1527</v>
      </c>
      <c r="D514" t="s">
        <v>1527</v>
      </c>
      <c r="E514" t="s">
        <v>140</v>
      </c>
      <c r="F514" t="s">
        <v>169</v>
      </c>
      <c r="G514">
        <v>33680874.86</v>
      </c>
      <c r="H514" s="2">
        <f t="shared" si="7"/>
        <v>33680874.86</v>
      </c>
      <c r="I514" s="1">
        <v>45834</v>
      </c>
    </row>
    <row r="515" hidden="1" spans="1:9">
      <c r="A515">
        <v>17623</v>
      </c>
      <c r="B515" t="s">
        <v>769</v>
      </c>
      <c r="C515" t="s">
        <v>1528</v>
      </c>
      <c r="D515" t="s">
        <v>1529</v>
      </c>
      <c r="E515" t="s">
        <v>141</v>
      </c>
      <c r="F515" t="s">
        <v>169</v>
      </c>
      <c r="G515">
        <v>0.1</v>
      </c>
      <c r="H515" s="2">
        <f t="shared" ref="H515:H578" si="8">ABS(G515)</f>
        <v>0.1</v>
      </c>
      <c r="I515" s="1">
        <v>45834</v>
      </c>
    </row>
    <row r="516" hidden="1" spans="1:9">
      <c r="A516">
        <v>17624</v>
      </c>
      <c r="B516" t="s">
        <v>782</v>
      </c>
      <c r="C516" t="s">
        <v>1530</v>
      </c>
      <c r="D516" t="s">
        <v>1530</v>
      </c>
      <c r="E516" t="s">
        <v>141</v>
      </c>
      <c r="F516" t="s">
        <v>169</v>
      </c>
      <c r="G516">
        <v>25375.9</v>
      </c>
      <c r="H516" s="2">
        <f t="shared" si="8"/>
        <v>25375.9</v>
      </c>
      <c r="I516" s="1">
        <v>45834</v>
      </c>
    </row>
    <row r="517" hidden="1" spans="1:9">
      <c r="A517">
        <v>17633</v>
      </c>
      <c r="B517" t="s">
        <v>782</v>
      </c>
      <c r="C517" t="s">
        <v>1531</v>
      </c>
      <c r="D517" t="s">
        <v>1531</v>
      </c>
      <c r="E517" t="s">
        <v>140</v>
      </c>
      <c r="F517" t="s">
        <v>169</v>
      </c>
      <c r="G517">
        <v>1704796.32</v>
      </c>
      <c r="H517" s="2">
        <f t="shared" si="8"/>
        <v>1704796.32</v>
      </c>
      <c r="I517" s="1">
        <v>45834</v>
      </c>
    </row>
    <row r="518" spans="1:9">
      <c r="A518">
        <v>17637</v>
      </c>
      <c r="B518" t="s">
        <v>769</v>
      </c>
      <c r="C518" t="s">
        <v>1532</v>
      </c>
      <c r="D518" t="s">
        <v>1533</v>
      </c>
      <c r="E518" t="s">
        <v>138</v>
      </c>
      <c r="F518" t="s">
        <v>169</v>
      </c>
      <c r="G518">
        <v>-0.18</v>
      </c>
      <c r="H518" s="2">
        <f t="shared" si="8"/>
        <v>0.18</v>
      </c>
      <c r="I518" s="1">
        <v>45834</v>
      </c>
    </row>
    <row r="519" hidden="1" spans="1:9">
      <c r="A519">
        <v>17638</v>
      </c>
      <c r="B519" t="s">
        <v>782</v>
      </c>
      <c r="C519" t="s">
        <v>1534</v>
      </c>
      <c r="D519" t="s">
        <v>1534</v>
      </c>
      <c r="E519" t="s">
        <v>138</v>
      </c>
      <c r="F519" t="s">
        <v>169</v>
      </c>
      <c r="G519">
        <v>645460.18</v>
      </c>
      <c r="H519" s="2">
        <f t="shared" si="8"/>
        <v>645460.18</v>
      </c>
      <c r="I519" s="1">
        <v>45834</v>
      </c>
    </row>
    <row r="520" spans="1:9">
      <c r="A520">
        <v>17648</v>
      </c>
      <c r="B520" t="s">
        <v>847</v>
      </c>
      <c r="C520" t="s">
        <v>1535</v>
      </c>
      <c r="D520" t="s">
        <v>1535</v>
      </c>
      <c r="E520" t="s">
        <v>91</v>
      </c>
      <c r="F520" t="s">
        <v>169</v>
      </c>
      <c r="G520">
        <v>-601800</v>
      </c>
      <c r="H520" s="2">
        <f t="shared" si="8"/>
        <v>601800</v>
      </c>
      <c r="I520" s="1">
        <v>45834</v>
      </c>
    </row>
    <row r="521" hidden="1" spans="1:9">
      <c r="A521">
        <v>17653</v>
      </c>
      <c r="B521" t="s">
        <v>782</v>
      </c>
      <c r="C521" t="s">
        <v>1536</v>
      </c>
      <c r="D521" t="s">
        <v>1536</v>
      </c>
      <c r="E521" t="s">
        <v>91</v>
      </c>
      <c r="F521" t="s">
        <v>169</v>
      </c>
      <c r="G521">
        <v>601800</v>
      </c>
      <c r="H521" s="2">
        <f t="shared" si="8"/>
        <v>601800</v>
      </c>
      <c r="I521" s="1">
        <v>45834</v>
      </c>
    </row>
    <row r="522" spans="1:9">
      <c r="A522">
        <v>17655</v>
      </c>
      <c r="B522" t="s">
        <v>769</v>
      </c>
      <c r="C522" t="s">
        <v>1537</v>
      </c>
      <c r="D522" t="s">
        <v>1538</v>
      </c>
      <c r="E522" t="s">
        <v>24</v>
      </c>
      <c r="F522" t="s">
        <v>169</v>
      </c>
      <c r="G522">
        <v>-0.32</v>
      </c>
      <c r="H522" s="2">
        <f t="shared" si="8"/>
        <v>0.32</v>
      </c>
      <c r="I522" s="1">
        <v>45834</v>
      </c>
    </row>
    <row r="523" hidden="1" spans="1:9">
      <c r="A523">
        <v>17656</v>
      </c>
      <c r="B523" t="s">
        <v>782</v>
      </c>
      <c r="C523" t="s">
        <v>1539</v>
      </c>
      <c r="D523" t="s">
        <v>1539</v>
      </c>
      <c r="E523" t="s">
        <v>24</v>
      </c>
      <c r="F523" t="s">
        <v>169</v>
      </c>
      <c r="G523">
        <v>2208693.32</v>
      </c>
      <c r="H523" s="2">
        <f t="shared" si="8"/>
        <v>2208693.32</v>
      </c>
      <c r="I523" s="1">
        <v>45834</v>
      </c>
    </row>
    <row r="524" hidden="1" spans="1:9">
      <c r="A524">
        <v>17658</v>
      </c>
      <c r="B524" t="s">
        <v>782</v>
      </c>
      <c r="C524" t="s">
        <v>1540</v>
      </c>
      <c r="D524" t="s">
        <v>1540</v>
      </c>
      <c r="E524" t="s">
        <v>36</v>
      </c>
      <c r="F524" t="s">
        <v>169</v>
      </c>
      <c r="G524">
        <v>297891</v>
      </c>
      <c r="H524" s="2">
        <f t="shared" si="8"/>
        <v>297891</v>
      </c>
      <c r="I524" s="1">
        <v>45834</v>
      </c>
    </row>
    <row r="525" hidden="1" spans="1:9">
      <c r="A525">
        <v>17660</v>
      </c>
      <c r="B525" t="s">
        <v>782</v>
      </c>
      <c r="C525" t="s">
        <v>1541</v>
      </c>
      <c r="D525" t="s">
        <v>1541</v>
      </c>
      <c r="E525" t="s">
        <v>36</v>
      </c>
      <c r="F525" t="s">
        <v>169</v>
      </c>
      <c r="G525">
        <v>289454</v>
      </c>
      <c r="H525" s="2">
        <f t="shared" si="8"/>
        <v>289454</v>
      </c>
      <c r="I525" s="1">
        <v>45834</v>
      </c>
    </row>
    <row r="526" spans="1:9">
      <c r="A526">
        <v>17674</v>
      </c>
      <c r="B526" t="s">
        <v>769</v>
      </c>
      <c r="C526" t="s">
        <v>1542</v>
      </c>
      <c r="D526" t="s">
        <v>1543</v>
      </c>
      <c r="E526" t="s">
        <v>140</v>
      </c>
      <c r="F526" t="s">
        <v>169</v>
      </c>
      <c r="G526">
        <v>-0.32</v>
      </c>
      <c r="H526" s="2">
        <f t="shared" si="8"/>
        <v>0.32</v>
      </c>
      <c r="I526" s="1">
        <v>45834</v>
      </c>
    </row>
    <row r="527" spans="1:9">
      <c r="A527">
        <v>18205</v>
      </c>
      <c r="B527" t="s">
        <v>769</v>
      </c>
      <c r="C527" t="s">
        <v>1544</v>
      </c>
      <c r="D527" t="s">
        <v>1545</v>
      </c>
      <c r="E527" t="s">
        <v>65</v>
      </c>
      <c r="F527" t="s">
        <v>169</v>
      </c>
      <c r="G527">
        <v>-0.14</v>
      </c>
      <c r="H527" s="2">
        <f t="shared" si="8"/>
        <v>0.14</v>
      </c>
      <c r="I527" s="1">
        <v>45834</v>
      </c>
    </row>
    <row r="528" hidden="1" spans="1:9">
      <c r="A528">
        <v>18206</v>
      </c>
      <c r="B528" t="s">
        <v>782</v>
      </c>
      <c r="C528" t="s">
        <v>1546</v>
      </c>
      <c r="D528" t="s">
        <v>1546</v>
      </c>
      <c r="E528" t="s">
        <v>65</v>
      </c>
      <c r="F528" t="s">
        <v>169</v>
      </c>
      <c r="G528">
        <v>846913.14</v>
      </c>
      <c r="H528" s="2">
        <f t="shared" si="8"/>
        <v>846913.14</v>
      </c>
      <c r="I528" s="1">
        <v>45834</v>
      </c>
    </row>
    <row r="529" hidden="1" spans="1:9">
      <c r="A529">
        <v>18210</v>
      </c>
      <c r="B529" t="s">
        <v>769</v>
      </c>
      <c r="C529" t="s">
        <v>1547</v>
      </c>
      <c r="D529" t="s">
        <v>1548</v>
      </c>
      <c r="E529" t="s">
        <v>65</v>
      </c>
      <c r="F529" t="s">
        <v>169</v>
      </c>
      <c r="G529">
        <v>0.08</v>
      </c>
      <c r="H529" s="2">
        <f t="shared" si="8"/>
        <v>0.08</v>
      </c>
      <c r="I529" s="1">
        <v>45834</v>
      </c>
    </row>
    <row r="530" hidden="1" spans="1:9">
      <c r="A530">
        <v>18211</v>
      </c>
      <c r="B530" t="s">
        <v>782</v>
      </c>
      <c r="C530" t="s">
        <v>1549</v>
      </c>
      <c r="D530" t="s">
        <v>1549</v>
      </c>
      <c r="E530" t="s">
        <v>65</v>
      </c>
      <c r="F530" t="s">
        <v>169</v>
      </c>
      <c r="G530">
        <v>797554.92</v>
      </c>
      <c r="H530" s="2">
        <f t="shared" si="8"/>
        <v>797554.92</v>
      </c>
      <c r="I530" s="1">
        <v>45834</v>
      </c>
    </row>
    <row r="531" spans="1:9">
      <c r="A531">
        <v>25362</v>
      </c>
      <c r="B531" t="s">
        <v>847</v>
      </c>
      <c r="C531" t="s">
        <v>1550</v>
      </c>
      <c r="D531" t="s">
        <v>1550</v>
      </c>
      <c r="E531" t="s">
        <v>65</v>
      </c>
      <c r="F531" t="s">
        <v>810</v>
      </c>
      <c r="G531">
        <v>-825874.92</v>
      </c>
      <c r="H531" s="2">
        <f t="shared" si="8"/>
        <v>825874.92</v>
      </c>
      <c r="I531" s="1">
        <v>45834</v>
      </c>
    </row>
    <row r="532" hidden="1" spans="1:9">
      <c r="A532">
        <v>31238</v>
      </c>
      <c r="B532" t="s">
        <v>782</v>
      </c>
      <c r="C532" t="s">
        <v>1551</v>
      </c>
      <c r="D532" t="s">
        <v>1551</v>
      </c>
      <c r="E532" t="s">
        <v>775</v>
      </c>
      <c r="F532" t="s">
        <v>169</v>
      </c>
      <c r="G532">
        <v>32948277.81</v>
      </c>
      <c r="H532" s="2">
        <f t="shared" si="8"/>
        <v>32948277.81</v>
      </c>
      <c r="I532" s="1">
        <v>45834</v>
      </c>
    </row>
    <row r="533" spans="1:9">
      <c r="A533">
        <v>31497</v>
      </c>
      <c r="B533" t="s">
        <v>847</v>
      </c>
      <c r="C533" t="s">
        <v>1552</v>
      </c>
      <c r="D533" t="s">
        <v>1552</v>
      </c>
      <c r="E533" t="s">
        <v>65</v>
      </c>
      <c r="F533" t="s">
        <v>169</v>
      </c>
      <c r="G533">
        <v>-846913.14</v>
      </c>
      <c r="H533" s="2">
        <f t="shared" si="8"/>
        <v>846913.14</v>
      </c>
      <c r="I533" s="1">
        <v>45834</v>
      </c>
    </row>
    <row r="534" hidden="1" spans="1:9">
      <c r="A534">
        <v>33144</v>
      </c>
      <c r="B534" t="s">
        <v>769</v>
      </c>
      <c r="C534" t="s">
        <v>1553</v>
      </c>
      <c r="D534" t="s">
        <v>1554</v>
      </c>
      <c r="E534" t="s">
        <v>775</v>
      </c>
      <c r="F534" t="s">
        <v>169</v>
      </c>
      <c r="G534">
        <v>0.19</v>
      </c>
      <c r="H534" s="2">
        <f t="shared" si="8"/>
        <v>0.19</v>
      </c>
      <c r="I534" s="1">
        <v>45834</v>
      </c>
    </row>
    <row r="535" spans="1:9">
      <c r="A535">
        <v>34201</v>
      </c>
      <c r="B535" t="s">
        <v>807</v>
      </c>
      <c r="C535" t="s">
        <v>1555</v>
      </c>
      <c r="D535" t="s">
        <v>1556</v>
      </c>
      <c r="E535" t="s">
        <v>910</v>
      </c>
      <c r="F535" t="s">
        <v>810</v>
      </c>
      <c r="G535">
        <v>-23352</v>
      </c>
      <c r="H535" s="2">
        <f t="shared" si="8"/>
        <v>23352</v>
      </c>
      <c r="I535" s="1">
        <v>45834</v>
      </c>
    </row>
    <row r="536" spans="1:9">
      <c r="A536">
        <v>34202</v>
      </c>
      <c r="B536" t="s">
        <v>811</v>
      </c>
      <c r="C536" t="s">
        <v>1557</v>
      </c>
      <c r="D536" t="s">
        <v>162</v>
      </c>
      <c r="E536" t="s">
        <v>910</v>
      </c>
      <c r="F536" t="s">
        <v>810</v>
      </c>
      <c r="G536">
        <v>-661</v>
      </c>
      <c r="H536" s="2">
        <f t="shared" si="8"/>
        <v>661</v>
      </c>
      <c r="I536" s="1">
        <v>45834</v>
      </c>
    </row>
    <row r="537" hidden="1" spans="1:9">
      <c r="A537">
        <v>34208</v>
      </c>
      <c r="B537" t="s">
        <v>816</v>
      </c>
      <c r="C537" t="s">
        <v>1558</v>
      </c>
      <c r="D537" t="s">
        <v>1559</v>
      </c>
      <c r="E537" t="s">
        <v>776</v>
      </c>
      <c r="F537" t="s">
        <v>170</v>
      </c>
      <c r="G537">
        <v>72620.67</v>
      </c>
      <c r="H537" s="2">
        <f t="shared" si="8"/>
        <v>72620.67</v>
      </c>
      <c r="I537" s="1">
        <v>45834</v>
      </c>
    </row>
    <row r="538" spans="1:9">
      <c r="A538">
        <v>34309</v>
      </c>
      <c r="B538" t="s">
        <v>807</v>
      </c>
      <c r="C538" t="s">
        <v>1560</v>
      </c>
      <c r="D538" t="s">
        <v>1561</v>
      </c>
      <c r="E538" t="s">
        <v>33</v>
      </c>
      <c r="F538" t="s">
        <v>169</v>
      </c>
      <c r="G538">
        <v>-2040399</v>
      </c>
      <c r="H538" s="2">
        <f t="shared" si="8"/>
        <v>2040399</v>
      </c>
      <c r="I538" s="1">
        <v>45834</v>
      </c>
    </row>
    <row r="539" spans="1:9">
      <c r="A539">
        <v>34310</v>
      </c>
      <c r="B539" t="s">
        <v>811</v>
      </c>
      <c r="C539" t="s">
        <v>1562</v>
      </c>
      <c r="D539" t="s">
        <v>162</v>
      </c>
      <c r="E539" t="s">
        <v>33</v>
      </c>
      <c r="F539" t="s">
        <v>169</v>
      </c>
      <c r="G539">
        <v>-60908</v>
      </c>
      <c r="H539" s="2">
        <f t="shared" si="8"/>
        <v>60908</v>
      </c>
      <c r="I539" s="1">
        <v>45834</v>
      </c>
    </row>
    <row r="540" hidden="1" spans="1:9">
      <c r="A540">
        <v>34494</v>
      </c>
      <c r="B540" t="s">
        <v>782</v>
      </c>
      <c r="C540" t="s">
        <v>1563</v>
      </c>
      <c r="D540" t="s">
        <v>1563</v>
      </c>
      <c r="E540" t="s">
        <v>36</v>
      </c>
      <c r="F540" t="s">
        <v>169</v>
      </c>
      <c r="G540">
        <v>13693.9</v>
      </c>
      <c r="H540" s="2">
        <f t="shared" si="8"/>
        <v>13693.9</v>
      </c>
      <c r="I540" s="1">
        <v>45834</v>
      </c>
    </row>
    <row r="541" hidden="1" spans="1:9">
      <c r="A541">
        <v>34495</v>
      </c>
      <c r="B541" t="s">
        <v>769</v>
      </c>
      <c r="C541" t="s">
        <v>1564</v>
      </c>
      <c r="D541" t="s">
        <v>1565</v>
      </c>
      <c r="E541" t="s">
        <v>36</v>
      </c>
      <c r="F541" t="s">
        <v>169</v>
      </c>
      <c r="G541">
        <v>0.1</v>
      </c>
      <c r="H541" s="2">
        <f t="shared" si="8"/>
        <v>0.1</v>
      </c>
      <c r="I541" s="1">
        <v>45834</v>
      </c>
    </row>
    <row r="542" spans="1:9">
      <c r="A542">
        <v>38584</v>
      </c>
      <c r="B542" t="s">
        <v>807</v>
      </c>
      <c r="C542" t="s">
        <v>1566</v>
      </c>
      <c r="D542" t="s">
        <v>1567</v>
      </c>
      <c r="E542" t="s">
        <v>143</v>
      </c>
      <c r="F542" t="s">
        <v>169</v>
      </c>
      <c r="G542">
        <v>-577113</v>
      </c>
      <c r="H542" s="2">
        <f t="shared" si="8"/>
        <v>577113</v>
      </c>
      <c r="I542" s="1">
        <v>45834</v>
      </c>
    </row>
    <row r="543" spans="1:9">
      <c r="A543">
        <v>38585</v>
      </c>
      <c r="B543" t="s">
        <v>811</v>
      </c>
      <c r="C543" t="s">
        <v>1568</v>
      </c>
      <c r="D543" t="s">
        <v>162</v>
      </c>
      <c r="E543" t="s">
        <v>143</v>
      </c>
      <c r="F543" t="s">
        <v>169</v>
      </c>
      <c r="G543">
        <v>-53436</v>
      </c>
      <c r="H543" s="2">
        <f t="shared" si="8"/>
        <v>53436</v>
      </c>
      <c r="I543" s="1">
        <v>45834</v>
      </c>
    </row>
    <row r="544" spans="1:9">
      <c r="A544">
        <v>38586</v>
      </c>
      <c r="B544" t="s">
        <v>807</v>
      </c>
      <c r="C544" t="s">
        <v>1569</v>
      </c>
      <c r="D544" t="s">
        <v>1570</v>
      </c>
      <c r="E544" t="s">
        <v>82</v>
      </c>
      <c r="F544" t="s">
        <v>810</v>
      </c>
      <c r="G544">
        <v>-342553</v>
      </c>
      <c r="H544" s="2">
        <f t="shared" si="8"/>
        <v>342553</v>
      </c>
      <c r="I544" s="1">
        <v>45834</v>
      </c>
    </row>
    <row r="545" spans="1:9">
      <c r="A545">
        <v>38587</v>
      </c>
      <c r="B545" t="s">
        <v>811</v>
      </c>
      <c r="C545" t="s">
        <v>1571</v>
      </c>
      <c r="D545" t="s">
        <v>162</v>
      </c>
      <c r="E545" t="s">
        <v>82</v>
      </c>
      <c r="F545" t="s">
        <v>810</v>
      </c>
      <c r="G545">
        <v>-31718</v>
      </c>
      <c r="H545" s="2">
        <f t="shared" si="8"/>
        <v>31718</v>
      </c>
      <c r="I545" s="1">
        <v>45834</v>
      </c>
    </row>
    <row r="546" hidden="1" spans="1:9">
      <c r="A546">
        <v>17757</v>
      </c>
      <c r="B546" t="s">
        <v>769</v>
      </c>
      <c r="C546" t="s">
        <v>1572</v>
      </c>
      <c r="D546" t="s">
        <v>1573</v>
      </c>
      <c r="E546" t="s">
        <v>140</v>
      </c>
      <c r="F546" t="s">
        <v>169</v>
      </c>
      <c r="G546">
        <v>0.4</v>
      </c>
      <c r="H546" s="2">
        <f t="shared" si="8"/>
        <v>0.4</v>
      </c>
      <c r="I546" s="1">
        <v>45835</v>
      </c>
    </row>
    <row r="547" hidden="1" spans="1:9">
      <c r="A547">
        <v>17758</v>
      </c>
      <c r="B547" t="s">
        <v>782</v>
      </c>
      <c r="C547" t="s">
        <v>1574</v>
      </c>
      <c r="D547" t="s">
        <v>1574</v>
      </c>
      <c r="E547" t="s">
        <v>140</v>
      </c>
      <c r="F547" t="s">
        <v>169</v>
      </c>
      <c r="G547">
        <v>5011424.6</v>
      </c>
      <c r="H547" s="2">
        <f t="shared" si="8"/>
        <v>5011424.6</v>
      </c>
      <c r="I547" s="1">
        <v>45835</v>
      </c>
    </row>
    <row r="548" hidden="1" spans="1:9">
      <c r="A548">
        <v>17759</v>
      </c>
      <c r="B548" t="s">
        <v>769</v>
      </c>
      <c r="C548" t="s">
        <v>1575</v>
      </c>
      <c r="D548" t="s">
        <v>1576</v>
      </c>
      <c r="E548" t="s">
        <v>138</v>
      </c>
      <c r="F548" t="s">
        <v>169</v>
      </c>
      <c r="G548">
        <v>0.22</v>
      </c>
      <c r="H548" s="2">
        <f t="shared" si="8"/>
        <v>0.22</v>
      </c>
      <c r="I548" s="1">
        <v>45835</v>
      </c>
    </row>
    <row r="549" hidden="1" spans="1:9">
      <c r="A549">
        <v>17760</v>
      </c>
      <c r="B549" t="s">
        <v>782</v>
      </c>
      <c r="C549" t="s">
        <v>1577</v>
      </c>
      <c r="D549" t="s">
        <v>1577</v>
      </c>
      <c r="E549" t="s">
        <v>138</v>
      </c>
      <c r="F549" t="s">
        <v>169</v>
      </c>
      <c r="G549">
        <v>21231052.78</v>
      </c>
      <c r="H549" s="2">
        <f t="shared" si="8"/>
        <v>21231052.78</v>
      </c>
      <c r="I549" s="1">
        <v>45835</v>
      </c>
    </row>
    <row r="550" spans="1:9">
      <c r="A550">
        <v>17771</v>
      </c>
      <c r="B550" t="s">
        <v>769</v>
      </c>
      <c r="C550" t="s">
        <v>1578</v>
      </c>
      <c r="D550" t="s">
        <v>1579</v>
      </c>
      <c r="E550" t="s">
        <v>33</v>
      </c>
      <c r="F550" t="s">
        <v>169</v>
      </c>
      <c r="G550">
        <v>-0.26</v>
      </c>
      <c r="H550" s="2">
        <f t="shared" si="8"/>
        <v>0.26</v>
      </c>
      <c r="I550" s="1">
        <v>45835</v>
      </c>
    </row>
    <row r="551" hidden="1" spans="1:9">
      <c r="A551">
        <v>17772</v>
      </c>
      <c r="B551" t="s">
        <v>782</v>
      </c>
      <c r="C551" t="s">
        <v>1580</v>
      </c>
      <c r="D551" t="s">
        <v>1580</v>
      </c>
      <c r="E551" t="s">
        <v>33</v>
      </c>
      <c r="F551" t="s">
        <v>169</v>
      </c>
      <c r="G551">
        <v>1669413.26</v>
      </c>
      <c r="H551" s="2">
        <f t="shared" si="8"/>
        <v>1669413.26</v>
      </c>
      <c r="I551" s="1">
        <v>45835</v>
      </c>
    </row>
    <row r="552" hidden="1" spans="1:9">
      <c r="A552">
        <v>17788</v>
      </c>
      <c r="B552" t="s">
        <v>769</v>
      </c>
      <c r="C552" t="s">
        <v>1581</v>
      </c>
      <c r="D552" t="s">
        <v>1582</v>
      </c>
      <c r="E552" t="s">
        <v>80</v>
      </c>
      <c r="F552" t="s">
        <v>169</v>
      </c>
      <c r="G552">
        <v>0.27</v>
      </c>
      <c r="H552" s="2">
        <f t="shared" si="8"/>
        <v>0.27</v>
      </c>
      <c r="I552" s="1">
        <v>45835</v>
      </c>
    </row>
    <row r="553" hidden="1" spans="1:9">
      <c r="A553">
        <v>17789</v>
      </c>
      <c r="B553" t="s">
        <v>782</v>
      </c>
      <c r="C553" t="s">
        <v>1583</v>
      </c>
      <c r="D553" t="s">
        <v>1583</v>
      </c>
      <c r="E553" t="s">
        <v>80</v>
      </c>
      <c r="F553" t="s">
        <v>169</v>
      </c>
      <c r="G553">
        <v>2584601.73</v>
      </c>
      <c r="H553" s="2">
        <f t="shared" si="8"/>
        <v>2584601.73</v>
      </c>
      <c r="I553" s="1">
        <v>45835</v>
      </c>
    </row>
    <row r="554" hidden="1" spans="1:9">
      <c r="A554">
        <v>17812</v>
      </c>
      <c r="B554" t="s">
        <v>782</v>
      </c>
      <c r="C554" t="s">
        <v>1584</v>
      </c>
      <c r="D554" t="s">
        <v>1584</v>
      </c>
      <c r="E554" t="s">
        <v>777</v>
      </c>
      <c r="F554" t="s">
        <v>169</v>
      </c>
      <c r="G554">
        <v>240779</v>
      </c>
      <c r="H554" s="2">
        <f t="shared" si="8"/>
        <v>240779</v>
      </c>
      <c r="I554" s="1">
        <v>45835</v>
      </c>
    </row>
    <row r="555" spans="1:9">
      <c r="A555">
        <v>17824</v>
      </c>
      <c r="B555" t="s">
        <v>769</v>
      </c>
      <c r="C555" t="s">
        <v>1585</v>
      </c>
      <c r="D555" t="s">
        <v>1586</v>
      </c>
      <c r="E555" t="s">
        <v>772</v>
      </c>
      <c r="F555" t="s">
        <v>169</v>
      </c>
      <c r="G555">
        <v>-0.28</v>
      </c>
      <c r="H555" s="2">
        <f t="shared" si="8"/>
        <v>0.28</v>
      </c>
      <c r="I555" s="1">
        <v>45835</v>
      </c>
    </row>
    <row r="556" hidden="1" spans="1:9">
      <c r="A556">
        <v>17825</v>
      </c>
      <c r="B556" t="s">
        <v>782</v>
      </c>
      <c r="C556" t="s">
        <v>1587</v>
      </c>
      <c r="D556" t="s">
        <v>1587</v>
      </c>
      <c r="E556" t="s">
        <v>772</v>
      </c>
      <c r="F556" t="s">
        <v>169</v>
      </c>
      <c r="G556">
        <v>2402534.28</v>
      </c>
      <c r="H556" s="2">
        <f t="shared" si="8"/>
        <v>2402534.28</v>
      </c>
      <c r="I556" s="1">
        <v>45835</v>
      </c>
    </row>
    <row r="557" hidden="1" spans="1:9">
      <c r="A557">
        <v>18007</v>
      </c>
      <c r="B557" t="s">
        <v>769</v>
      </c>
      <c r="C557" t="s">
        <v>1588</v>
      </c>
      <c r="D557" t="s">
        <v>1589</v>
      </c>
      <c r="E557" t="s">
        <v>16</v>
      </c>
      <c r="F557" t="s">
        <v>169</v>
      </c>
      <c r="G557">
        <v>0.2</v>
      </c>
      <c r="H557" s="2">
        <f t="shared" si="8"/>
        <v>0.2</v>
      </c>
      <c r="I557" s="1">
        <v>45835</v>
      </c>
    </row>
    <row r="558" hidden="1" spans="1:9">
      <c r="A558">
        <v>18008</v>
      </c>
      <c r="B558" t="s">
        <v>782</v>
      </c>
      <c r="C558" t="s">
        <v>1590</v>
      </c>
      <c r="D558" t="s">
        <v>1590</v>
      </c>
      <c r="E558" t="s">
        <v>16</v>
      </c>
      <c r="F558" t="s">
        <v>169</v>
      </c>
      <c r="G558">
        <v>11811.8</v>
      </c>
      <c r="H558" s="2">
        <f t="shared" si="8"/>
        <v>11811.8</v>
      </c>
      <c r="I558" s="1">
        <v>45835</v>
      </c>
    </row>
    <row r="559" spans="1:9">
      <c r="A559">
        <v>18061</v>
      </c>
      <c r="B559" t="s">
        <v>769</v>
      </c>
      <c r="C559" t="s">
        <v>1591</v>
      </c>
      <c r="D559" t="s">
        <v>1592</v>
      </c>
      <c r="E559" t="s">
        <v>16</v>
      </c>
      <c r="F559" t="s">
        <v>169</v>
      </c>
      <c r="G559">
        <v>-0.19</v>
      </c>
      <c r="H559" s="2">
        <f t="shared" si="8"/>
        <v>0.19</v>
      </c>
      <c r="I559" s="1">
        <v>45835</v>
      </c>
    </row>
    <row r="560" hidden="1" spans="1:9">
      <c r="A560">
        <v>18062</v>
      </c>
      <c r="B560" t="s">
        <v>782</v>
      </c>
      <c r="C560" t="s">
        <v>1593</v>
      </c>
      <c r="D560" t="s">
        <v>1593</v>
      </c>
      <c r="E560" t="s">
        <v>16</v>
      </c>
      <c r="F560" t="s">
        <v>169</v>
      </c>
      <c r="G560">
        <v>149471.19</v>
      </c>
      <c r="H560" s="2">
        <f t="shared" si="8"/>
        <v>149471.19</v>
      </c>
      <c r="I560" s="1">
        <v>45835</v>
      </c>
    </row>
    <row r="561" hidden="1" spans="1:9">
      <c r="A561">
        <v>22336</v>
      </c>
      <c r="B561" t="s">
        <v>769</v>
      </c>
      <c r="C561" t="s">
        <v>1594</v>
      </c>
      <c r="D561" t="s">
        <v>1595</v>
      </c>
      <c r="E561" t="s">
        <v>772</v>
      </c>
      <c r="F561" t="s">
        <v>169</v>
      </c>
      <c r="G561">
        <v>0.14</v>
      </c>
      <c r="H561" s="2">
        <f t="shared" si="8"/>
        <v>0.14</v>
      </c>
      <c r="I561" s="1">
        <v>45835</v>
      </c>
    </row>
    <row r="562" hidden="1" spans="1:9">
      <c r="A562">
        <v>22337</v>
      </c>
      <c r="B562" t="s">
        <v>782</v>
      </c>
      <c r="C562" t="s">
        <v>1596</v>
      </c>
      <c r="D562" t="s">
        <v>1596</v>
      </c>
      <c r="E562" t="s">
        <v>772</v>
      </c>
      <c r="F562" t="s">
        <v>169</v>
      </c>
      <c r="G562">
        <v>3286626.86</v>
      </c>
      <c r="H562" s="2">
        <f t="shared" si="8"/>
        <v>3286626.86</v>
      </c>
      <c r="I562" s="1">
        <v>45835</v>
      </c>
    </row>
    <row r="563" spans="1:9">
      <c r="A563">
        <v>22764</v>
      </c>
      <c r="B563" t="s">
        <v>769</v>
      </c>
      <c r="C563" t="s">
        <v>1597</v>
      </c>
      <c r="D563" t="s">
        <v>1598</v>
      </c>
      <c r="E563" t="s">
        <v>942</v>
      </c>
      <c r="F563" t="s">
        <v>169</v>
      </c>
      <c r="G563">
        <v>-0.32</v>
      </c>
      <c r="H563" s="2">
        <f t="shared" si="8"/>
        <v>0.32</v>
      </c>
      <c r="I563" s="1">
        <v>45835</v>
      </c>
    </row>
    <row r="564" hidden="1" spans="1:9">
      <c r="A564">
        <v>22765</v>
      </c>
      <c r="B564" t="s">
        <v>782</v>
      </c>
      <c r="C564" t="s">
        <v>1599</v>
      </c>
      <c r="D564" t="s">
        <v>1599</v>
      </c>
      <c r="E564" t="s">
        <v>942</v>
      </c>
      <c r="F564" t="s">
        <v>169</v>
      </c>
      <c r="G564">
        <v>14713507.32</v>
      </c>
      <c r="H564" s="2">
        <f t="shared" si="8"/>
        <v>14713507.32</v>
      </c>
      <c r="I564" s="1">
        <v>45835</v>
      </c>
    </row>
    <row r="565" hidden="1" spans="1:9">
      <c r="A565">
        <v>22766</v>
      </c>
      <c r="B565" t="s">
        <v>769</v>
      </c>
      <c r="C565" t="s">
        <v>1600</v>
      </c>
      <c r="D565" t="s">
        <v>1601</v>
      </c>
      <c r="E565" t="s">
        <v>942</v>
      </c>
      <c r="F565" t="s">
        <v>169</v>
      </c>
      <c r="G565">
        <v>0.34</v>
      </c>
      <c r="H565" s="2">
        <f t="shared" si="8"/>
        <v>0.34</v>
      </c>
      <c r="I565" s="1">
        <v>45835</v>
      </c>
    </row>
    <row r="566" hidden="1" spans="1:9">
      <c r="A566">
        <v>22767</v>
      </c>
      <c r="B566" t="s">
        <v>782</v>
      </c>
      <c r="C566" t="s">
        <v>1602</v>
      </c>
      <c r="D566" t="s">
        <v>1602</v>
      </c>
      <c r="E566" t="s">
        <v>942</v>
      </c>
      <c r="F566" t="s">
        <v>169</v>
      </c>
      <c r="G566">
        <v>21710332.66</v>
      </c>
      <c r="H566" s="2">
        <f t="shared" si="8"/>
        <v>21710332.66</v>
      </c>
      <c r="I566" s="1">
        <v>45835</v>
      </c>
    </row>
    <row r="567" spans="1:9">
      <c r="A567">
        <v>25383</v>
      </c>
      <c r="B567" t="s">
        <v>847</v>
      </c>
      <c r="C567" t="s">
        <v>1603</v>
      </c>
      <c r="D567" t="s">
        <v>1603</v>
      </c>
      <c r="E567" t="s">
        <v>942</v>
      </c>
      <c r="F567" t="s">
        <v>810</v>
      </c>
      <c r="G567">
        <v>-36423839.98</v>
      </c>
      <c r="H567" s="2">
        <f t="shared" si="8"/>
        <v>36423839.98</v>
      </c>
      <c r="I567" s="1">
        <v>45835</v>
      </c>
    </row>
    <row r="568" hidden="1" spans="1:9">
      <c r="A568">
        <v>34313</v>
      </c>
      <c r="B568" t="s">
        <v>816</v>
      </c>
      <c r="C568" t="s">
        <v>1604</v>
      </c>
      <c r="D568" t="s">
        <v>1605</v>
      </c>
      <c r="E568" t="s">
        <v>776</v>
      </c>
      <c r="F568" t="s">
        <v>170</v>
      </c>
      <c r="G568">
        <v>99857.94</v>
      </c>
      <c r="H568" s="2">
        <f t="shared" si="8"/>
        <v>99857.94</v>
      </c>
      <c r="I568" s="1">
        <v>45835</v>
      </c>
    </row>
    <row r="569" spans="1:9">
      <c r="A569">
        <v>34314</v>
      </c>
      <c r="B569" t="s">
        <v>807</v>
      </c>
      <c r="C569" t="s">
        <v>1606</v>
      </c>
      <c r="D569" t="s">
        <v>1607</v>
      </c>
      <c r="E569" t="s">
        <v>80</v>
      </c>
      <c r="F569" t="s">
        <v>810</v>
      </c>
      <c r="G569">
        <v>-5760651</v>
      </c>
      <c r="H569" s="2">
        <f t="shared" si="8"/>
        <v>5760651</v>
      </c>
      <c r="I569" s="1">
        <v>45835</v>
      </c>
    </row>
    <row r="570" spans="1:9">
      <c r="A570">
        <v>34315</v>
      </c>
      <c r="B570" t="s">
        <v>811</v>
      </c>
      <c r="C570" t="s">
        <v>1608</v>
      </c>
      <c r="D570" t="s">
        <v>162</v>
      </c>
      <c r="E570" t="s">
        <v>80</v>
      </c>
      <c r="F570" t="s">
        <v>810</v>
      </c>
      <c r="G570">
        <v>-533394</v>
      </c>
      <c r="H570" s="2">
        <f t="shared" si="8"/>
        <v>533394</v>
      </c>
      <c r="I570" s="1">
        <v>45835</v>
      </c>
    </row>
    <row r="571" hidden="1" spans="1:9">
      <c r="A571">
        <v>34317</v>
      </c>
      <c r="B571" t="s">
        <v>816</v>
      </c>
      <c r="C571" t="s">
        <v>1609</v>
      </c>
      <c r="D571" t="s">
        <v>1610</v>
      </c>
      <c r="E571" t="s">
        <v>63</v>
      </c>
      <c r="F571" t="s">
        <v>170</v>
      </c>
      <c r="G571">
        <v>12135738</v>
      </c>
      <c r="H571" s="2">
        <f t="shared" si="8"/>
        <v>12135738</v>
      </c>
      <c r="I571" s="1">
        <v>45835</v>
      </c>
    </row>
    <row r="572" spans="1:9">
      <c r="A572">
        <v>38588</v>
      </c>
      <c r="B572" t="s">
        <v>807</v>
      </c>
      <c r="C572" t="s">
        <v>1611</v>
      </c>
      <c r="D572" t="s">
        <v>1612</v>
      </c>
      <c r="E572" t="s">
        <v>92</v>
      </c>
      <c r="F572" t="s">
        <v>169</v>
      </c>
      <c r="G572">
        <v>-156600</v>
      </c>
      <c r="H572" s="2">
        <f t="shared" si="8"/>
        <v>156600</v>
      </c>
      <c r="I572" s="1">
        <v>45835</v>
      </c>
    </row>
    <row r="573" spans="1:9">
      <c r="A573">
        <v>38589</v>
      </c>
      <c r="B573" t="s">
        <v>811</v>
      </c>
      <c r="C573" t="s">
        <v>1613</v>
      </c>
      <c r="D573" t="s">
        <v>162</v>
      </c>
      <c r="E573" t="s">
        <v>92</v>
      </c>
      <c r="F573" t="s">
        <v>169</v>
      </c>
      <c r="G573">
        <v>-2700</v>
      </c>
      <c r="H573" s="2">
        <f t="shared" si="8"/>
        <v>2700</v>
      </c>
      <c r="I573" s="1">
        <v>45835</v>
      </c>
    </row>
    <row r="574" spans="1:9">
      <c r="A574">
        <v>38891</v>
      </c>
      <c r="B574" t="s">
        <v>807</v>
      </c>
      <c r="C574" t="s">
        <v>1614</v>
      </c>
      <c r="D574" t="s">
        <v>1615</v>
      </c>
      <c r="E574" t="s">
        <v>136</v>
      </c>
      <c r="F574" t="s">
        <v>810</v>
      </c>
      <c r="G574">
        <v>-1819754</v>
      </c>
      <c r="H574" s="2">
        <f t="shared" si="8"/>
        <v>1819754</v>
      </c>
      <c r="I574" s="1">
        <v>45835</v>
      </c>
    </row>
    <row r="575" spans="1:9">
      <c r="A575">
        <v>38892</v>
      </c>
      <c r="B575" t="s">
        <v>811</v>
      </c>
      <c r="C575" t="s">
        <v>1616</v>
      </c>
      <c r="D575" t="s">
        <v>162</v>
      </c>
      <c r="E575" t="s">
        <v>136</v>
      </c>
      <c r="F575" t="s">
        <v>810</v>
      </c>
      <c r="G575">
        <v>-31375</v>
      </c>
      <c r="H575" s="2">
        <f t="shared" si="8"/>
        <v>31375</v>
      </c>
      <c r="I575" s="1">
        <v>45835</v>
      </c>
    </row>
    <row r="576" spans="1:9">
      <c r="A576">
        <v>38894</v>
      </c>
      <c r="B576" t="s">
        <v>807</v>
      </c>
      <c r="C576" t="s">
        <v>1617</v>
      </c>
      <c r="D576" t="s">
        <v>1618</v>
      </c>
      <c r="E576" t="s">
        <v>857</v>
      </c>
      <c r="F576" t="s">
        <v>169</v>
      </c>
      <c r="G576">
        <v>-1788329.42</v>
      </c>
      <c r="H576" s="2">
        <f t="shared" si="8"/>
        <v>1788329.42</v>
      </c>
      <c r="I576" s="1">
        <v>45835</v>
      </c>
    </row>
    <row r="577" spans="1:9">
      <c r="A577">
        <v>38895</v>
      </c>
      <c r="B577" t="s">
        <v>811</v>
      </c>
      <c r="C577" t="s">
        <v>1619</v>
      </c>
      <c r="D577" t="s">
        <v>162</v>
      </c>
      <c r="E577" t="s">
        <v>857</v>
      </c>
      <c r="F577" t="s">
        <v>169</v>
      </c>
      <c r="G577">
        <v>-30833.58</v>
      </c>
      <c r="H577" s="2">
        <f t="shared" si="8"/>
        <v>30833.58</v>
      </c>
      <c r="I577" s="1">
        <v>45835</v>
      </c>
    </row>
    <row r="578" spans="1:9">
      <c r="A578">
        <v>38896</v>
      </c>
      <c r="B578" t="s">
        <v>807</v>
      </c>
      <c r="C578" t="s">
        <v>1620</v>
      </c>
      <c r="D578" t="s">
        <v>1621</v>
      </c>
      <c r="E578" t="s">
        <v>1130</v>
      </c>
      <c r="F578" t="s">
        <v>810</v>
      </c>
      <c r="G578">
        <v>-8468000</v>
      </c>
      <c r="H578" s="2">
        <f t="shared" si="8"/>
        <v>8468000</v>
      </c>
      <c r="I578" s="1">
        <v>45835</v>
      </c>
    </row>
    <row r="579" spans="1:9">
      <c r="A579">
        <v>38897</v>
      </c>
      <c r="B579" t="s">
        <v>811</v>
      </c>
      <c r="C579" t="s">
        <v>1622</v>
      </c>
      <c r="D579" t="s">
        <v>162</v>
      </c>
      <c r="E579" t="s">
        <v>1130</v>
      </c>
      <c r="F579" t="s">
        <v>810</v>
      </c>
      <c r="G579">
        <v>-146000</v>
      </c>
      <c r="H579" s="2">
        <f t="shared" ref="H579:H627" si="9">ABS(G579)</f>
        <v>146000</v>
      </c>
      <c r="I579" s="1">
        <v>45835</v>
      </c>
    </row>
    <row r="580" hidden="1" spans="1:9">
      <c r="A580">
        <v>53965</v>
      </c>
      <c r="B580" t="s">
        <v>782</v>
      </c>
      <c r="C580" t="s">
        <v>1623</v>
      </c>
      <c r="D580" t="s">
        <v>1623</v>
      </c>
      <c r="E580" t="s">
        <v>142</v>
      </c>
      <c r="F580" t="s">
        <v>169</v>
      </c>
      <c r="G580">
        <v>97350</v>
      </c>
      <c r="H580" s="2">
        <f t="shared" si="9"/>
        <v>97350</v>
      </c>
      <c r="I580" s="1">
        <v>45835</v>
      </c>
    </row>
    <row r="581" spans="1:9">
      <c r="A581">
        <v>54012</v>
      </c>
      <c r="B581" t="s">
        <v>847</v>
      </c>
      <c r="C581" t="s">
        <v>1624</v>
      </c>
      <c r="D581" t="s">
        <v>1624</v>
      </c>
      <c r="E581" t="s">
        <v>1625</v>
      </c>
      <c r="F581" t="s">
        <v>169</v>
      </c>
      <c r="G581">
        <v>-97350</v>
      </c>
      <c r="H581" s="2">
        <f t="shared" si="9"/>
        <v>97350</v>
      </c>
      <c r="I581" s="1">
        <v>45835</v>
      </c>
    </row>
    <row r="582" spans="1:9">
      <c r="A582">
        <v>55877</v>
      </c>
      <c r="B582" t="s">
        <v>807</v>
      </c>
      <c r="C582" t="s">
        <v>1626</v>
      </c>
      <c r="D582" t="s">
        <v>1627</v>
      </c>
      <c r="E582" t="s">
        <v>47</v>
      </c>
      <c r="F582" t="s">
        <v>169</v>
      </c>
      <c r="G582">
        <v>-2089762.36</v>
      </c>
      <c r="H582" s="2">
        <f t="shared" si="9"/>
        <v>2089762.36</v>
      </c>
      <c r="I582" s="1">
        <v>45835</v>
      </c>
    </row>
    <row r="583" spans="1:9">
      <c r="A583">
        <v>55878</v>
      </c>
      <c r="B583" t="s">
        <v>811</v>
      </c>
      <c r="C583" t="s">
        <v>1628</v>
      </c>
      <c r="D583" t="s">
        <v>162</v>
      </c>
      <c r="E583" t="s">
        <v>47</v>
      </c>
      <c r="F583" t="s">
        <v>169</v>
      </c>
      <c r="G583">
        <v>-207697.64</v>
      </c>
      <c r="H583" s="2">
        <f t="shared" si="9"/>
        <v>207697.64</v>
      </c>
      <c r="I583" s="1">
        <v>45835</v>
      </c>
    </row>
    <row r="584" hidden="1" spans="1:9">
      <c r="A584">
        <v>18219</v>
      </c>
      <c r="B584" t="s">
        <v>782</v>
      </c>
      <c r="C584" t="s">
        <v>1629</v>
      </c>
      <c r="D584" t="s">
        <v>1629</v>
      </c>
      <c r="E584" t="s">
        <v>48</v>
      </c>
      <c r="F584" t="s">
        <v>169</v>
      </c>
      <c r="G584">
        <v>1199470</v>
      </c>
      <c r="H584" s="2">
        <f t="shared" si="9"/>
        <v>1199470</v>
      </c>
      <c r="I584" s="1">
        <v>45836</v>
      </c>
    </row>
    <row r="585" hidden="1" spans="1:9">
      <c r="A585">
        <v>18250</v>
      </c>
      <c r="B585" t="s">
        <v>769</v>
      </c>
      <c r="C585" t="s">
        <v>1630</v>
      </c>
      <c r="D585" t="s">
        <v>1631</v>
      </c>
      <c r="E585" t="s">
        <v>37</v>
      </c>
      <c r="F585" t="s">
        <v>169</v>
      </c>
      <c r="G585">
        <v>0.04</v>
      </c>
      <c r="H585" s="2">
        <f t="shared" si="9"/>
        <v>0.04</v>
      </c>
      <c r="I585" s="1">
        <v>45836</v>
      </c>
    </row>
    <row r="586" hidden="1" spans="1:9">
      <c r="A586">
        <v>18252</v>
      </c>
      <c r="B586" t="s">
        <v>769</v>
      </c>
      <c r="C586" t="s">
        <v>1632</v>
      </c>
      <c r="D586" t="s">
        <v>1633</v>
      </c>
      <c r="E586" t="s">
        <v>37</v>
      </c>
      <c r="F586" t="s">
        <v>169</v>
      </c>
      <c r="G586">
        <v>0.04</v>
      </c>
      <c r="H586" s="2">
        <f t="shared" si="9"/>
        <v>0.04</v>
      </c>
      <c r="I586" s="1">
        <v>45836</v>
      </c>
    </row>
    <row r="587" hidden="1" spans="1:9">
      <c r="A587">
        <v>18839</v>
      </c>
      <c r="B587" t="s">
        <v>769</v>
      </c>
      <c r="C587" t="s">
        <v>1634</v>
      </c>
      <c r="D587" t="s">
        <v>1635</v>
      </c>
      <c r="E587" t="s">
        <v>134</v>
      </c>
      <c r="F587" t="s">
        <v>169</v>
      </c>
      <c r="G587">
        <v>0.12</v>
      </c>
      <c r="H587" s="2">
        <f t="shared" si="9"/>
        <v>0.12</v>
      </c>
      <c r="I587" s="1">
        <v>45838</v>
      </c>
    </row>
    <row r="588" hidden="1" spans="1:9">
      <c r="A588">
        <v>18840</v>
      </c>
      <c r="B588" t="s">
        <v>782</v>
      </c>
      <c r="C588" t="s">
        <v>1636</v>
      </c>
      <c r="D588" t="s">
        <v>1636</v>
      </c>
      <c r="E588" t="s">
        <v>134</v>
      </c>
      <c r="F588" t="s">
        <v>169</v>
      </c>
      <c r="G588">
        <v>17404074.88</v>
      </c>
      <c r="H588" s="2">
        <f t="shared" si="9"/>
        <v>17404074.88</v>
      </c>
      <c r="I588" s="1">
        <v>45838</v>
      </c>
    </row>
    <row r="589" spans="1:9">
      <c r="A589">
        <v>32567</v>
      </c>
      <c r="B589" t="s">
        <v>769</v>
      </c>
      <c r="C589" t="s">
        <v>1637</v>
      </c>
      <c r="D589" t="s">
        <v>1638</v>
      </c>
      <c r="E589" t="s">
        <v>134</v>
      </c>
      <c r="F589" t="s">
        <v>169</v>
      </c>
      <c r="G589">
        <v>-17404074.88</v>
      </c>
      <c r="H589" s="2">
        <f t="shared" si="9"/>
        <v>17404074.88</v>
      </c>
      <c r="I589" s="1">
        <v>45838</v>
      </c>
    </row>
    <row r="590" spans="1:9">
      <c r="A590">
        <v>34319</v>
      </c>
      <c r="B590" t="s">
        <v>807</v>
      </c>
      <c r="C590" t="s">
        <v>1639</v>
      </c>
      <c r="D590" t="s">
        <v>1640</v>
      </c>
      <c r="E590" t="s">
        <v>128</v>
      </c>
      <c r="F590" t="s">
        <v>810</v>
      </c>
      <c r="G590">
        <v>-2233000</v>
      </c>
      <c r="H590" s="2">
        <f t="shared" si="9"/>
        <v>2233000</v>
      </c>
      <c r="I590" s="1">
        <v>45838</v>
      </c>
    </row>
    <row r="591" spans="1:9">
      <c r="A591">
        <v>34320</v>
      </c>
      <c r="B591" t="s">
        <v>811</v>
      </c>
      <c r="C591" t="s">
        <v>1641</v>
      </c>
      <c r="D591" t="s">
        <v>162</v>
      </c>
      <c r="E591" t="s">
        <v>128</v>
      </c>
      <c r="F591" t="s">
        <v>810</v>
      </c>
      <c r="G591">
        <v>-38500</v>
      </c>
      <c r="H591" s="2">
        <f t="shared" si="9"/>
        <v>38500</v>
      </c>
      <c r="I591" s="1">
        <v>45838</v>
      </c>
    </row>
    <row r="592" spans="1:9">
      <c r="A592">
        <v>34325</v>
      </c>
      <c r="B592" t="s">
        <v>807</v>
      </c>
      <c r="C592" t="s">
        <v>1642</v>
      </c>
      <c r="D592" t="s">
        <v>1643</v>
      </c>
      <c r="E592" t="s">
        <v>80</v>
      </c>
      <c r="F592" t="s">
        <v>810</v>
      </c>
      <c r="G592">
        <v>-309809</v>
      </c>
      <c r="H592" s="2">
        <f t="shared" si="9"/>
        <v>309809</v>
      </c>
      <c r="I592" s="1">
        <v>45838</v>
      </c>
    </row>
    <row r="593" spans="1:9">
      <c r="A593">
        <v>34326</v>
      </c>
      <c r="B593" t="s">
        <v>811</v>
      </c>
      <c r="C593" t="s">
        <v>1644</v>
      </c>
      <c r="D593" t="s">
        <v>162</v>
      </c>
      <c r="E593" t="s">
        <v>80</v>
      </c>
      <c r="F593" t="s">
        <v>810</v>
      </c>
      <c r="G593">
        <v>-28686</v>
      </c>
      <c r="H593" s="2">
        <f t="shared" si="9"/>
        <v>28686</v>
      </c>
      <c r="I593" s="1">
        <v>45838</v>
      </c>
    </row>
    <row r="594" hidden="1" spans="1:9">
      <c r="A594">
        <v>34327</v>
      </c>
      <c r="B594" t="s">
        <v>816</v>
      </c>
      <c r="C594" t="s">
        <v>1645</v>
      </c>
      <c r="D594" t="s">
        <v>1646</v>
      </c>
      <c r="E594" t="s">
        <v>776</v>
      </c>
      <c r="F594" t="s">
        <v>170</v>
      </c>
      <c r="G594">
        <v>136849.76</v>
      </c>
      <c r="H594" s="2">
        <f t="shared" si="9"/>
        <v>136849.76</v>
      </c>
      <c r="I594" s="1">
        <v>45838</v>
      </c>
    </row>
    <row r="595" spans="1:9">
      <c r="A595">
        <v>34329</v>
      </c>
      <c r="B595" t="s">
        <v>807</v>
      </c>
      <c r="C595" t="s">
        <v>1647</v>
      </c>
      <c r="D595" t="s">
        <v>1648</v>
      </c>
      <c r="E595" t="s">
        <v>23</v>
      </c>
      <c r="F595" t="s">
        <v>169</v>
      </c>
      <c r="G595">
        <v>-641310</v>
      </c>
      <c r="H595" s="2">
        <f t="shared" si="9"/>
        <v>641310</v>
      </c>
      <c r="I595" s="1">
        <v>45838</v>
      </c>
    </row>
    <row r="596" spans="1:9">
      <c r="A596">
        <v>34330</v>
      </c>
      <c r="B596" t="s">
        <v>811</v>
      </c>
      <c r="C596" t="s">
        <v>1649</v>
      </c>
      <c r="D596" t="s">
        <v>162</v>
      </c>
      <c r="E596" t="s">
        <v>23</v>
      </c>
      <c r="F596" t="s">
        <v>169</v>
      </c>
      <c r="G596">
        <v>-59381</v>
      </c>
      <c r="H596" s="2">
        <f t="shared" si="9"/>
        <v>59381</v>
      </c>
      <c r="I596" s="1">
        <v>45838</v>
      </c>
    </row>
    <row r="597" spans="1:9">
      <c r="A597">
        <v>34331</v>
      </c>
      <c r="B597" t="s">
        <v>807</v>
      </c>
      <c r="C597" t="s">
        <v>1650</v>
      </c>
      <c r="D597" t="s">
        <v>1651</v>
      </c>
      <c r="E597" t="s">
        <v>61</v>
      </c>
      <c r="F597" t="s">
        <v>810</v>
      </c>
      <c r="G597">
        <v>-61776</v>
      </c>
      <c r="H597" s="2">
        <f t="shared" si="9"/>
        <v>61776</v>
      </c>
      <c r="I597" s="1">
        <v>45838</v>
      </c>
    </row>
    <row r="598" spans="1:9">
      <c r="A598">
        <v>34332</v>
      </c>
      <c r="B598" t="s">
        <v>811</v>
      </c>
      <c r="C598" t="s">
        <v>1652</v>
      </c>
      <c r="D598" t="s">
        <v>162</v>
      </c>
      <c r="E598" t="s">
        <v>61</v>
      </c>
      <c r="F598" t="s">
        <v>810</v>
      </c>
      <c r="G598">
        <v>-5720</v>
      </c>
      <c r="H598" s="2">
        <f t="shared" si="9"/>
        <v>5720</v>
      </c>
      <c r="I598" s="1">
        <v>45838</v>
      </c>
    </row>
    <row r="599" spans="1:9">
      <c r="A599">
        <v>34334</v>
      </c>
      <c r="B599" t="s">
        <v>807</v>
      </c>
      <c r="C599" t="s">
        <v>1653</v>
      </c>
      <c r="D599" t="s">
        <v>1654</v>
      </c>
      <c r="E599" t="s">
        <v>61</v>
      </c>
      <c r="F599" t="s">
        <v>810</v>
      </c>
      <c r="G599">
        <v>-893321</v>
      </c>
      <c r="H599" s="2">
        <f t="shared" si="9"/>
        <v>893321</v>
      </c>
      <c r="I599" s="1">
        <v>45838</v>
      </c>
    </row>
    <row r="600" spans="1:9">
      <c r="A600">
        <v>34335</v>
      </c>
      <c r="B600" t="s">
        <v>811</v>
      </c>
      <c r="C600" t="s">
        <v>1655</v>
      </c>
      <c r="D600" t="s">
        <v>162</v>
      </c>
      <c r="E600" t="s">
        <v>61</v>
      </c>
      <c r="F600" t="s">
        <v>810</v>
      </c>
      <c r="G600">
        <v>-82715</v>
      </c>
      <c r="H600" s="2">
        <f t="shared" si="9"/>
        <v>82715</v>
      </c>
      <c r="I600" s="1">
        <v>45838</v>
      </c>
    </row>
    <row r="601" spans="1:9">
      <c r="A601">
        <v>34338</v>
      </c>
      <c r="B601" t="s">
        <v>807</v>
      </c>
      <c r="C601" t="s">
        <v>1656</v>
      </c>
      <c r="D601" t="s">
        <v>1657</v>
      </c>
      <c r="E601" t="s">
        <v>37</v>
      </c>
      <c r="F601" t="s">
        <v>169</v>
      </c>
      <c r="G601">
        <v>-19590413.76</v>
      </c>
      <c r="H601" s="2">
        <f t="shared" si="9"/>
        <v>19590413.76</v>
      </c>
      <c r="I601" s="1">
        <v>45838</v>
      </c>
    </row>
    <row r="602" spans="1:9">
      <c r="A602">
        <v>34339</v>
      </c>
      <c r="B602" t="s">
        <v>811</v>
      </c>
      <c r="C602" t="s">
        <v>1658</v>
      </c>
      <c r="D602" t="s">
        <v>162</v>
      </c>
      <c r="E602" t="s">
        <v>37</v>
      </c>
      <c r="F602" t="s">
        <v>169</v>
      </c>
      <c r="G602">
        <v>-1813927.24</v>
      </c>
      <c r="H602" s="2">
        <f t="shared" si="9"/>
        <v>1813927.24</v>
      </c>
      <c r="I602" s="1">
        <v>45838</v>
      </c>
    </row>
    <row r="603" spans="1:9">
      <c r="A603">
        <v>49820</v>
      </c>
      <c r="B603" t="s">
        <v>807</v>
      </c>
      <c r="C603" t="s">
        <v>1659</v>
      </c>
      <c r="D603" t="s">
        <v>1660</v>
      </c>
      <c r="E603" t="s">
        <v>857</v>
      </c>
      <c r="F603" t="s">
        <v>169</v>
      </c>
      <c r="G603">
        <v>-1943297</v>
      </c>
      <c r="H603" s="2">
        <f t="shared" si="9"/>
        <v>1943297</v>
      </c>
      <c r="I603" s="1">
        <v>45838</v>
      </c>
    </row>
    <row r="604" spans="1:9">
      <c r="A604">
        <v>49821</v>
      </c>
      <c r="B604" t="s">
        <v>811</v>
      </c>
      <c r="C604" t="s">
        <v>1661</v>
      </c>
      <c r="D604" t="s">
        <v>162</v>
      </c>
      <c r="E604" t="s">
        <v>857</v>
      </c>
      <c r="F604" t="s">
        <v>169</v>
      </c>
      <c r="G604">
        <v>-33506</v>
      </c>
      <c r="H604" s="2">
        <f t="shared" si="9"/>
        <v>33506</v>
      </c>
      <c r="I604" s="1">
        <v>45838</v>
      </c>
    </row>
    <row r="605" hidden="1" spans="1:9">
      <c r="A605">
        <v>53687</v>
      </c>
      <c r="B605" t="s">
        <v>769</v>
      </c>
      <c r="C605" t="s">
        <v>1662</v>
      </c>
      <c r="D605" t="s">
        <v>1662</v>
      </c>
      <c r="E605" t="s">
        <v>1663</v>
      </c>
      <c r="F605" t="s">
        <v>169</v>
      </c>
      <c r="G605">
        <v>1.56</v>
      </c>
      <c r="H605" s="2">
        <f t="shared" si="9"/>
        <v>1.56</v>
      </c>
      <c r="I605" s="1">
        <v>45838</v>
      </c>
    </row>
    <row r="606" hidden="1" spans="1:9">
      <c r="A606">
        <v>54209</v>
      </c>
      <c r="B606" t="s">
        <v>769</v>
      </c>
      <c r="C606" t="s">
        <v>1664</v>
      </c>
      <c r="D606" t="s">
        <v>1664</v>
      </c>
      <c r="E606" t="s">
        <v>13</v>
      </c>
      <c r="F606" t="s">
        <v>169</v>
      </c>
      <c r="G606">
        <v>1</v>
      </c>
      <c r="H606" s="2">
        <f t="shared" si="9"/>
        <v>1</v>
      </c>
      <c r="I606" s="1">
        <v>45838</v>
      </c>
    </row>
    <row r="607" hidden="1" spans="1:9">
      <c r="A607">
        <v>55308</v>
      </c>
      <c r="B607" t="s">
        <v>769</v>
      </c>
      <c r="C607" t="s">
        <v>1665</v>
      </c>
      <c r="D607" t="s">
        <v>1665</v>
      </c>
      <c r="E607" t="s">
        <v>22</v>
      </c>
      <c r="F607" t="s">
        <v>169</v>
      </c>
      <c r="G607">
        <v>634929</v>
      </c>
      <c r="H607" s="2">
        <f t="shared" si="9"/>
        <v>634929</v>
      </c>
      <c r="I607" s="1">
        <v>45838</v>
      </c>
    </row>
    <row r="608" hidden="1" spans="1:9">
      <c r="A608">
        <v>55308</v>
      </c>
      <c r="B608" t="s">
        <v>769</v>
      </c>
      <c r="C608" t="s">
        <v>1665</v>
      </c>
      <c r="D608" t="s">
        <v>1665</v>
      </c>
      <c r="E608" t="s">
        <v>1513</v>
      </c>
      <c r="F608" t="s">
        <v>169</v>
      </c>
      <c r="G608">
        <v>340409</v>
      </c>
      <c r="H608" s="2">
        <f t="shared" si="9"/>
        <v>340409</v>
      </c>
      <c r="I608" s="1">
        <v>45838</v>
      </c>
    </row>
    <row r="609" hidden="1" spans="1:9">
      <c r="A609">
        <v>55308</v>
      </c>
      <c r="B609" t="s">
        <v>769</v>
      </c>
      <c r="C609" t="s">
        <v>1665</v>
      </c>
      <c r="D609" t="s">
        <v>1665</v>
      </c>
      <c r="E609" t="s">
        <v>1484</v>
      </c>
      <c r="F609" t="s">
        <v>169</v>
      </c>
      <c r="G609">
        <v>945135</v>
      </c>
      <c r="H609" s="2">
        <f t="shared" si="9"/>
        <v>945135</v>
      </c>
      <c r="I609" s="1">
        <v>45838</v>
      </c>
    </row>
    <row r="610" hidden="1" spans="1:9">
      <c r="A610">
        <v>55308</v>
      </c>
      <c r="B610" t="s">
        <v>769</v>
      </c>
      <c r="C610" t="s">
        <v>1665</v>
      </c>
      <c r="D610" t="s">
        <v>1665</v>
      </c>
      <c r="E610" t="s">
        <v>773</v>
      </c>
      <c r="F610" t="s">
        <v>169</v>
      </c>
      <c r="G610">
        <v>10855.7</v>
      </c>
      <c r="H610" s="2">
        <f t="shared" si="9"/>
        <v>10855.7</v>
      </c>
      <c r="I610" s="1">
        <v>45838</v>
      </c>
    </row>
    <row r="611" hidden="1" spans="1:9">
      <c r="A611">
        <v>55308</v>
      </c>
      <c r="B611" t="s">
        <v>769</v>
      </c>
      <c r="C611" t="s">
        <v>1665</v>
      </c>
      <c r="D611" t="s">
        <v>1665</v>
      </c>
      <c r="E611" t="s">
        <v>104</v>
      </c>
      <c r="F611" t="s">
        <v>169</v>
      </c>
      <c r="G611">
        <v>308447.39</v>
      </c>
      <c r="H611" s="2">
        <f t="shared" si="9"/>
        <v>308447.39</v>
      </c>
      <c r="I611" s="1">
        <v>45838</v>
      </c>
    </row>
    <row r="612" hidden="1" spans="1:9">
      <c r="A612">
        <v>55308</v>
      </c>
      <c r="B612" t="s">
        <v>769</v>
      </c>
      <c r="C612" t="s">
        <v>1665</v>
      </c>
      <c r="D612" t="s">
        <v>1665</v>
      </c>
      <c r="E612" t="s">
        <v>1487</v>
      </c>
      <c r="F612" t="s">
        <v>169</v>
      </c>
      <c r="G612">
        <v>2928752.5</v>
      </c>
      <c r="H612" s="2">
        <f t="shared" si="9"/>
        <v>2928752.5</v>
      </c>
      <c r="I612" s="1">
        <v>45838</v>
      </c>
    </row>
    <row r="613" hidden="1" spans="1:9">
      <c r="A613">
        <v>55308</v>
      </c>
      <c r="B613" t="s">
        <v>769</v>
      </c>
      <c r="C613" t="s">
        <v>1665</v>
      </c>
      <c r="D613" t="s">
        <v>1665</v>
      </c>
      <c r="E613" t="s">
        <v>107</v>
      </c>
      <c r="F613" t="s">
        <v>169</v>
      </c>
      <c r="G613">
        <v>29087.46</v>
      </c>
      <c r="H613" s="2">
        <f t="shared" si="9"/>
        <v>29087.46</v>
      </c>
      <c r="I613" s="1">
        <v>45838</v>
      </c>
    </row>
    <row r="614" hidden="1" spans="1:9">
      <c r="A614">
        <v>55308</v>
      </c>
      <c r="B614" t="s">
        <v>769</v>
      </c>
      <c r="C614" t="s">
        <v>1665</v>
      </c>
      <c r="D614" t="s">
        <v>1665</v>
      </c>
      <c r="E614" t="s">
        <v>57</v>
      </c>
      <c r="F614" t="s">
        <v>169</v>
      </c>
      <c r="G614">
        <v>212400</v>
      </c>
      <c r="H614" s="2">
        <f t="shared" si="9"/>
        <v>212400</v>
      </c>
      <c r="I614" s="1">
        <v>45838</v>
      </c>
    </row>
    <row r="615" hidden="1" spans="1:9">
      <c r="A615">
        <v>55308</v>
      </c>
      <c r="B615" t="s">
        <v>769</v>
      </c>
      <c r="C615" t="s">
        <v>1665</v>
      </c>
      <c r="D615" t="s">
        <v>1665</v>
      </c>
      <c r="E615" t="s">
        <v>60</v>
      </c>
      <c r="F615" t="s">
        <v>169</v>
      </c>
      <c r="G615">
        <v>140420</v>
      </c>
      <c r="H615" s="2">
        <f t="shared" si="9"/>
        <v>140420</v>
      </c>
      <c r="I615" s="1">
        <v>45838</v>
      </c>
    </row>
    <row r="616" hidden="1" spans="1:9">
      <c r="A616">
        <v>55308</v>
      </c>
      <c r="B616" t="s">
        <v>769</v>
      </c>
      <c r="C616" t="s">
        <v>1665</v>
      </c>
      <c r="D616" t="s">
        <v>1665</v>
      </c>
      <c r="E616" t="s">
        <v>63</v>
      </c>
      <c r="F616" t="s">
        <v>169</v>
      </c>
      <c r="G616">
        <v>12135738</v>
      </c>
      <c r="H616" s="2">
        <f t="shared" si="9"/>
        <v>12135738</v>
      </c>
      <c r="I616" s="1">
        <v>45838</v>
      </c>
    </row>
    <row r="617" hidden="1" spans="1:9">
      <c r="A617">
        <v>55308</v>
      </c>
      <c r="B617" t="s">
        <v>769</v>
      </c>
      <c r="C617" t="s">
        <v>1665</v>
      </c>
      <c r="D617" t="s">
        <v>1665</v>
      </c>
      <c r="E617" t="s">
        <v>11</v>
      </c>
      <c r="F617" t="s">
        <v>169</v>
      </c>
      <c r="G617">
        <v>124733.34</v>
      </c>
      <c r="H617" s="2">
        <f t="shared" si="9"/>
        <v>124733.34</v>
      </c>
      <c r="I617" s="1">
        <v>45838</v>
      </c>
    </row>
    <row r="618" hidden="1" spans="1:9">
      <c r="A618">
        <v>55308</v>
      </c>
      <c r="B618" t="s">
        <v>769</v>
      </c>
      <c r="C618" t="s">
        <v>1665</v>
      </c>
      <c r="D618" t="s">
        <v>1665</v>
      </c>
      <c r="E618" t="s">
        <v>937</v>
      </c>
      <c r="F618" t="s">
        <v>169</v>
      </c>
      <c r="G618">
        <v>2425638</v>
      </c>
      <c r="H618" s="2">
        <f t="shared" si="9"/>
        <v>2425638</v>
      </c>
      <c r="I618" s="1">
        <v>45838</v>
      </c>
    </row>
    <row r="619" hidden="1" spans="1:9">
      <c r="A619">
        <v>55308</v>
      </c>
      <c r="B619" t="s">
        <v>769</v>
      </c>
      <c r="C619" t="s">
        <v>1665</v>
      </c>
      <c r="D619" t="s">
        <v>1665</v>
      </c>
      <c r="E619" t="s">
        <v>775</v>
      </c>
      <c r="F619" t="s">
        <v>169</v>
      </c>
      <c r="G619">
        <v>301478.34</v>
      </c>
      <c r="H619" s="2">
        <f t="shared" si="9"/>
        <v>301478.34</v>
      </c>
      <c r="I619" s="1">
        <v>45838</v>
      </c>
    </row>
    <row r="620" hidden="1" spans="1:9">
      <c r="A620">
        <v>55308</v>
      </c>
      <c r="B620" t="s">
        <v>769</v>
      </c>
      <c r="C620" t="s">
        <v>1665</v>
      </c>
      <c r="D620" t="s">
        <v>1665</v>
      </c>
      <c r="E620" t="s">
        <v>776</v>
      </c>
      <c r="F620" t="s">
        <v>169</v>
      </c>
      <c r="G620">
        <v>2588666.53</v>
      </c>
      <c r="H620" s="2">
        <f t="shared" si="9"/>
        <v>2588666.53</v>
      </c>
      <c r="I620" s="1">
        <v>45838</v>
      </c>
    </row>
    <row r="621" hidden="1" spans="1:9">
      <c r="A621">
        <v>55308</v>
      </c>
      <c r="B621" t="s">
        <v>769</v>
      </c>
      <c r="C621" t="s">
        <v>1665</v>
      </c>
      <c r="D621" t="s">
        <v>1665</v>
      </c>
      <c r="E621" t="s">
        <v>777</v>
      </c>
      <c r="F621" t="s">
        <v>169</v>
      </c>
      <c r="G621">
        <v>4493156.36</v>
      </c>
      <c r="H621" s="2">
        <f t="shared" si="9"/>
        <v>4493156.36</v>
      </c>
      <c r="I621" s="1">
        <v>45838</v>
      </c>
    </row>
    <row r="622" hidden="1" spans="1:9">
      <c r="A622">
        <v>55308</v>
      </c>
      <c r="B622" t="s">
        <v>769</v>
      </c>
      <c r="C622" t="s">
        <v>1665</v>
      </c>
      <c r="D622" t="s">
        <v>1665</v>
      </c>
      <c r="E622" t="s">
        <v>86</v>
      </c>
      <c r="F622" t="s">
        <v>169</v>
      </c>
      <c r="G622">
        <v>67919.04</v>
      </c>
      <c r="H622" s="2">
        <f t="shared" si="9"/>
        <v>67919.04</v>
      </c>
      <c r="I622" s="1">
        <v>45838</v>
      </c>
    </row>
    <row r="623" hidden="1" spans="1:9">
      <c r="A623">
        <v>55308</v>
      </c>
      <c r="B623" t="s">
        <v>769</v>
      </c>
      <c r="C623" t="s">
        <v>1665</v>
      </c>
      <c r="D623" t="s">
        <v>1665</v>
      </c>
      <c r="E623" t="s">
        <v>922</v>
      </c>
      <c r="F623" t="s">
        <v>169</v>
      </c>
      <c r="G623">
        <v>171525</v>
      </c>
      <c r="H623" s="2">
        <f t="shared" si="9"/>
        <v>171525</v>
      </c>
      <c r="I623" s="1">
        <v>45838</v>
      </c>
    </row>
    <row r="624" hidden="1" spans="1:9">
      <c r="A624">
        <v>55308</v>
      </c>
      <c r="B624" t="s">
        <v>769</v>
      </c>
      <c r="C624" t="s">
        <v>1665</v>
      </c>
      <c r="D624" t="s">
        <v>1665</v>
      </c>
      <c r="E624" t="s">
        <v>1354</v>
      </c>
      <c r="F624" t="s">
        <v>169</v>
      </c>
      <c r="G624">
        <v>11008345</v>
      </c>
      <c r="H624" s="2">
        <f t="shared" si="9"/>
        <v>11008345</v>
      </c>
      <c r="I624" s="1">
        <v>45838</v>
      </c>
    </row>
    <row r="625" hidden="1" spans="1:9">
      <c r="A625">
        <v>55308</v>
      </c>
      <c r="B625" t="s">
        <v>769</v>
      </c>
      <c r="C625" t="s">
        <v>1665</v>
      </c>
      <c r="D625" t="s">
        <v>1665</v>
      </c>
      <c r="E625" t="s">
        <v>1368</v>
      </c>
      <c r="F625" t="s">
        <v>169</v>
      </c>
      <c r="G625">
        <v>14416127</v>
      </c>
      <c r="H625" s="2">
        <f t="shared" si="9"/>
        <v>14416127</v>
      </c>
      <c r="I625" s="1">
        <v>45838</v>
      </c>
    </row>
    <row r="626" hidden="1" spans="1:9">
      <c r="A626">
        <v>55308</v>
      </c>
      <c r="B626" t="s">
        <v>769</v>
      </c>
      <c r="C626" t="s">
        <v>1665</v>
      </c>
      <c r="D626" t="s">
        <v>1665</v>
      </c>
      <c r="E626" t="s">
        <v>133</v>
      </c>
      <c r="F626" t="s">
        <v>169</v>
      </c>
      <c r="G626">
        <v>774902.24</v>
      </c>
      <c r="H626" s="2">
        <f>ABS(G626)</f>
        <v>774902.24</v>
      </c>
      <c r="I626" s="1">
        <v>45838</v>
      </c>
    </row>
    <row r="627" hidden="1" spans="8:8">
      <c r="H627" s="2"/>
    </row>
    <row r="628" spans="7:7">
      <c r="G628" s="2">
        <f>SUBTOTAL(9,G1:G626)</f>
        <v>-284499040.53</v>
      </c>
    </row>
    <row r="629" spans="7:7">
      <c r="G629" s="2"/>
    </row>
    <row r="631" spans="7:7">
      <c r="G631">
        <f>SUBTOTAL(9,G1:G604)</f>
        <v>-284499040.53</v>
      </c>
    </row>
  </sheetData>
  <autoFilter xmlns:etc="http://www.wps.cn/officeDocument/2017/etCustomData" ref="A1:I627" etc:filterBottomFollowUsedRange="0">
    <filterColumn colId="6">
      <customFilters>
        <customFilter operator="lessThan" val="0"/>
      </customFilters>
    </filterColumn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8"/>
  <sheetViews>
    <sheetView topLeftCell="D460" workbookViewId="0">
      <selection activeCell="F477" sqref="F477"/>
    </sheetView>
  </sheetViews>
  <sheetFormatPr defaultColWidth="8.72727272727273" defaultRowHeight="14.5" outlineLevelCol="6"/>
  <cols>
    <col min="1" max="1" width="10.4545454545455" customWidth="1"/>
    <col min="2" max="2" width="18.7272727272727" customWidth="1"/>
    <col min="3" max="3" width="30.6363636363636" customWidth="1"/>
    <col min="4" max="4" width="127.181818181818" customWidth="1"/>
    <col min="5" max="5" width="19.4545454545455" customWidth="1"/>
    <col min="6" max="6" width="14" customWidth="1"/>
    <col min="7" max="7" width="11.5454545454545" style="1" customWidth="1"/>
  </cols>
  <sheetData>
    <row r="1" spans="1:7">
      <c r="A1" t="s">
        <v>762</v>
      </c>
      <c r="B1" t="s">
        <v>763</v>
      </c>
      <c r="C1" t="s">
        <v>765</v>
      </c>
      <c r="D1" t="s">
        <v>766</v>
      </c>
      <c r="E1" t="s">
        <v>163</v>
      </c>
      <c r="F1" t="s">
        <v>767</v>
      </c>
      <c r="G1" s="1" t="s">
        <v>768</v>
      </c>
    </row>
    <row r="2" spans="1:7">
      <c r="A2">
        <v>12227</v>
      </c>
      <c r="B2" t="s">
        <v>769</v>
      </c>
      <c r="C2" t="s">
        <v>771</v>
      </c>
      <c r="D2" t="s">
        <v>33</v>
      </c>
      <c r="E2" t="s">
        <v>169</v>
      </c>
      <c r="F2">
        <v>-1492232</v>
      </c>
      <c r="G2" s="1">
        <v>45809</v>
      </c>
    </row>
    <row r="3" spans="1:7">
      <c r="A3">
        <v>12227</v>
      </c>
      <c r="B3" t="s">
        <v>769</v>
      </c>
      <c r="C3" t="s">
        <v>771</v>
      </c>
      <c r="D3" t="s">
        <v>13</v>
      </c>
      <c r="E3" t="s">
        <v>169</v>
      </c>
      <c r="F3">
        <v>-1</v>
      </c>
      <c r="G3" s="1">
        <v>45809</v>
      </c>
    </row>
    <row r="4" spans="1:7">
      <c r="A4">
        <v>12227</v>
      </c>
      <c r="B4" t="s">
        <v>769</v>
      </c>
      <c r="C4" t="s">
        <v>771</v>
      </c>
      <c r="D4" t="s">
        <v>772</v>
      </c>
      <c r="E4" t="s">
        <v>169</v>
      </c>
      <c r="F4">
        <v>-1610447.16</v>
      </c>
      <c r="G4" s="1">
        <v>45809</v>
      </c>
    </row>
    <row r="5" spans="1:7">
      <c r="A5">
        <v>12227</v>
      </c>
      <c r="B5" t="s">
        <v>769</v>
      </c>
      <c r="C5" t="s">
        <v>771</v>
      </c>
      <c r="D5" t="s">
        <v>773</v>
      </c>
      <c r="E5" t="s">
        <v>169</v>
      </c>
      <c r="F5">
        <v>-10855.7</v>
      </c>
      <c r="G5" s="1">
        <v>45809</v>
      </c>
    </row>
    <row r="6" spans="1:7">
      <c r="A6">
        <v>12227</v>
      </c>
      <c r="B6" t="s">
        <v>769</v>
      </c>
      <c r="C6" t="s">
        <v>771</v>
      </c>
      <c r="D6" t="s">
        <v>104</v>
      </c>
      <c r="E6" t="s">
        <v>169</v>
      </c>
      <c r="F6">
        <v>-10279.56</v>
      </c>
      <c r="G6" s="1">
        <v>45809</v>
      </c>
    </row>
    <row r="7" spans="1:7">
      <c r="A7">
        <v>12227</v>
      </c>
      <c r="B7" t="s">
        <v>769</v>
      </c>
      <c r="C7" t="s">
        <v>771</v>
      </c>
      <c r="D7" t="s">
        <v>107</v>
      </c>
      <c r="E7" t="s">
        <v>169</v>
      </c>
      <c r="F7">
        <v>-29087.46</v>
      </c>
      <c r="G7" s="1">
        <v>45809</v>
      </c>
    </row>
    <row r="8" spans="1:7">
      <c r="A8">
        <v>12227</v>
      </c>
      <c r="B8" t="s">
        <v>769</v>
      </c>
      <c r="C8" t="s">
        <v>771</v>
      </c>
      <c r="D8" t="s">
        <v>774</v>
      </c>
      <c r="E8" t="s">
        <v>169</v>
      </c>
      <c r="F8">
        <v>-14810</v>
      </c>
      <c r="G8" s="1">
        <v>45809</v>
      </c>
    </row>
    <row r="9" spans="1:7">
      <c r="A9">
        <v>12227</v>
      </c>
      <c r="B9" t="s">
        <v>769</v>
      </c>
      <c r="C9" t="s">
        <v>771</v>
      </c>
      <c r="D9" t="s">
        <v>53</v>
      </c>
      <c r="E9" t="s">
        <v>169</v>
      </c>
      <c r="F9">
        <v>-7813736</v>
      </c>
      <c r="G9" s="1">
        <v>45809</v>
      </c>
    </row>
    <row r="10" spans="1:7">
      <c r="A10">
        <v>12227</v>
      </c>
      <c r="B10" t="s">
        <v>769</v>
      </c>
      <c r="C10" t="s">
        <v>771</v>
      </c>
      <c r="D10" t="s">
        <v>57</v>
      </c>
      <c r="E10" t="s">
        <v>169</v>
      </c>
      <c r="F10">
        <v>-212400</v>
      </c>
      <c r="G10" s="1">
        <v>45809</v>
      </c>
    </row>
    <row r="11" spans="1:7">
      <c r="A11">
        <v>12227</v>
      </c>
      <c r="B11" t="s">
        <v>769</v>
      </c>
      <c r="C11" t="s">
        <v>771</v>
      </c>
      <c r="D11" t="s">
        <v>60</v>
      </c>
      <c r="E11" t="s">
        <v>169</v>
      </c>
      <c r="F11">
        <v>-140420</v>
      </c>
      <c r="G11" s="1">
        <v>45809</v>
      </c>
    </row>
    <row r="12" spans="1:7">
      <c r="A12">
        <v>12227</v>
      </c>
      <c r="B12" t="s">
        <v>769</v>
      </c>
      <c r="C12" t="s">
        <v>771</v>
      </c>
      <c r="D12" t="s">
        <v>11</v>
      </c>
      <c r="E12" t="s">
        <v>169</v>
      </c>
      <c r="F12">
        <v>-124733.34</v>
      </c>
      <c r="G12" s="1">
        <v>45809</v>
      </c>
    </row>
    <row r="13" spans="1:7">
      <c r="A13">
        <v>12227</v>
      </c>
      <c r="B13" t="s">
        <v>769</v>
      </c>
      <c r="C13" t="s">
        <v>771</v>
      </c>
      <c r="D13" t="s">
        <v>775</v>
      </c>
      <c r="E13" t="s">
        <v>169</v>
      </c>
      <c r="F13">
        <v>-301478.34</v>
      </c>
      <c r="G13" s="1">
        <v>45809</v>
      </c>
    </row>
    <row r="14" spans="1:7">
      <c r="A14">
        <v>12227</v>
      </c>
      <c r="B14" t="s">
        <v>769</v>
      </c>
      <c r="C14" t="s">
        <v>771</v>
      </c>
      <c r="D14" t="s">
        <v>776</v>
      </c>
      <c r="E14" t="s">
        <v>169</v>
      </c>
      <c r="F14">
        <v>-720214.34</v>
      </c>
      <c r="G14" s="1">
        <v>45809</v>
      </c>
    </row>
    <row r="15" spans="1:7">
      <c r="A15">
        <v>12227</v>
      </c>
      <c r="B15" t="s">
        <v>769</v>
      </c>
      <c r="C15" t="s">
        <v>771</v>
      </c>
      <c r="D15" t="s">
        <v>777</v>
      </c>
      <c r="E15" t="s">
        <v>169</v>
      </c>
      <c r="F15">
        <v>-4493156.36</v>
      </c>
      <c r="G15" s="1">
        <v>45809</v>
      </c>
    </row>
    <row r="16" spans="1:7">
      <c r="A16">
        <v>12227</v>
      </c>
      <c r="B16" t="s">
        <v>769</v>
      </c>
      <c r="C16" t="s">
        <v>771</v>
      </c>
      <c r="D16" t="s">
        <v>133</v>
      </c>
      <c r="E16" t="s">
        <v>169</v>
      </c>
      <c r="F16">
        <v>-310632</v>
      </c>
      <c r="G16" s="1">
        <v>45809</v>
      </c>
    </row>
    <row r="17" spans="1:7">
      <c r="A17">
        <v>17135</v>
      </c>
      <c r="B17" t="s">
        <v>769</v>
      </c>
      <c r="C17" t="s">
        <v>1453</v>
      </c>
      <c r="D17" t="s">
        <v>39</v>
      </c>
      <c r="E17" t="s">
        <v>169</v>
      </c>
      <c r="F17">
        <v>0.1</v>
      </c>
      <c r="G17" s="1">
        <v>45832</v>
      </c>
    </row>
    <row r="18" spans="1:7">
      <c r="A18">
        <v>17136</v>
      </c>
      <c r="B18" t="s">
        <v>782</v>
      </c>
      <c r="C18" t="s">
        <v>1454</v>
      </c>
      <c r="D18" t="s">
        <v>39</v>
      </c>
      <c r="E18" t="s">
        <v>169</v>
      </c>
      <c r="F18">
        <v>1254817.9</v>
      </c>
      <c r="G18" s="1">
        <v>45832</v>
      </c>
    </row>
    <row r="19" spans="1:7">
      <c r="A19">
        <v>17166</v>
      </c>
      <c r="B19" t="s">
        <v>769</v>
      </c>
      <c r="C19" t="s">
        <v>1456</v>
      </c>
      <c r="D19" t="s">
        <v>47</v>
      </c>
      <c r="E19" t="s">
        <v>169</v>
      </c>
      <c r="F19">
        <v>0.44</v>
      </c>
      <c r="G19" s="1">
        <v>45832</v>
      </c>
    </row>
    <row r="20" spans="1:7">
      <c r="A20">
        <v>17167</v>
      </c>
      <c r="B20" t="s">
        <v>782</v>
      </c>
      <c r="C20" t="s">
        <v>1457</v>
      </c>
      <c r="D20" t="s">
        <v>47</v>
      </c>
      <c r="E20" t="s">
        <v>169</v>
      </c>
      <c r="F20">
        <v>641556.56</v>
      </c>
      <c r="G20" s="1">
        <v>45832</v>
      </c>
    </row>
    <row r="21" spans="1:7">
      <c r="A21">
        <v>17186</v>
      </c>
      <c r="B21" t="s">
        <v>782</v>
      </c>
      <c r="C21" t="s">
        <v>1459</v>
      </c>
      <c r="D21" t="s">
        <v>91</v>
      </c>
      <c r="E21" t="s">
        <v>169</v>
      </c>
      <c r="F21">
        <v>601800</v>
      </c>
      <c r="G21" s="1">
        <v>45832</v>
      </c>
    </row>
    <row r="22" spans="1:7">
      <c r="A22">
        <v>17196</v>
      </c>
      <c r="B22" t="s">
        <v>782</v>
      </c>
      <c r="C22" t="s">
        <v>1460</v>
      </c>
      <c r="D22" t="s">
        <v>16</v>
      </c>
      <c r="E22" t="s">
        <v>169</v>
      </c>
      <c r="F22">
        <v>76700</v>
      </c>
      <c r="G22" s="1">
        <v>45832</v>
      </c>
    </row>
    <row r="23" spans="1:7">
      <c r="A23">
        <v>17216</v>
      </c>
      <c r="B23" t="s">
        <v>769</v>
      </c>
      <c r="C23" t="s">
        <v>1462</v>
      </c>
      <c r="D23" t="s">
        <v>143</v>
      </c>
      <c r="E23" t="s">
        <v>169</v>
      </c>
      <c r="F23">
        <v>0.46</v>
      </c>
      <c r="G23" s="1">
        <v>45832</v>
      </c>
    </row>
    <row r="24" spans="1:7">
      <c r="A24">
        <v>17217</v>
      </c>
      <c r="B24" t="s">
        <v>782</v>
      </c>
      <c r="C24" t="s">
        <v>1463</v>
      </c>
      <c r="D24" t="s">
        <v>143</v>
      </c>
      <c r="E24" t="s">
        <v>169</v>
      </c>
      <c r="F24">
        <v>610063.54</v>
      </c>
      <c r="G24" s="1">
        <v>45832</v>
      </c>
    </row>
    <row r="25" spans="1:7">
      <c r="A25">
        <v>17235</v>
      </c>
      <c r="B25" t="s">
        <v>782</v>
      </c>
      <c r="C25" t="s">
        <v>1464</v>
      </c>
      <c r="D25" t="s">
        <v>15</v>
      </c>
      <c r="E25" t="s">
        <v>169</v>
      </c>
      <c r="F25">
        <v>24780</v>
      </c>
      <c r="G25" s="1">
        <v>45832</v>
      </c>
    </row>
    <row r="26" spans="1:7">
      <c r="A26">
        <v>17365</v>
      </c>
      <c r="B26" t="s">
        <v>769</v>
      </c>
      <c r="C26" t="s">
        <v>1493</v>
      </c>
      <c r="D26" t="s">
        <v>910</v>
      </c>
      <c r="E26" t="s">
        <v>169</v>
      </c>
      <c r="F26">
        <v>0.08</v>
      </c>
      <c r="G26" s="1">
        <v>45833</v>
      </c>
    </row>
    <row r="27" spans="1:7">
      <c r="A27">
        <v>17366</v>
      </c>
      <c r="B27" t="s">
        <v>782</v>
      </c>
      <c r="C27" t="s">
        <v>1494</v>
      </c>
      <c r="D27" t="s">
        <v>910</v>
      </c>
      <c r="E27" t="s">
        <v>169</v>
      </c>
      <c r="F27">
        <v>367385.92</v>
      </c>
      <c r="G27" s="1">
        <v>45833</v>
      </c>
    </row>
    <row r="28" spans="1:7">
      <c r="A28">
        <v>17409</v>
      </c>
      <c r="B28" t="s">
        <v>769</v>
      </c>
      <c r="C28" t="s">
        <v>1496</v>
      </c>
      <c r="D28" t="s">
        <v>1497</v>
      </c>
      <c r="E28" t="s">
        <v>169</v>
      </c>
      <c r="F28">
        <v>0.4</v>
      </c>
      <c r="G28" s="1">
        <v>45833</v>
      </c>
    </row>
    <row r="29" spans="1:7">
      <c r="A29">
        <v>17410</v>
      </c>
      <c r="B29" t="s">
        <v>782</v>
      </c>
      <c r="C29" t="s">
        <v>1498</v>
      </c>
      <c r="D29" t="s">
        <v>1497</v>
      </c>
      <c r="E29" t="s">
        <v>169</v>
      </c>
      <c r="F29">
        <v>276733.6</v>
      </c>
      <c r="G29" s="1">
        <v>45833</v>
      </c>
    </row>
    <row r="30" spans="1:7">
      <c r="A30">
        <v>17436</v>
      </c>
      <c r="B30" t="s">
        <v>769</v>
      </c>
      <c r="C30" t="s">
        <v>1500</v>
      </c>
      <c r="D30" t="s">
        <v>1501</v>
      </c>
      <c r="E30" t="s">
        <v>169</v>
      </c>
      <c r="F30">
        <v>0.32</v>
      </c>
      <c r="G30" s="1">
        <v>45833</v>
      </c>
    </row>
    <row r="31" spans="1:7">
      <c r="A31">
        <v>17437</v>
      </c>
      <c r="B31" t="s">
        <v>782</v>
      </c>
      <c r="C31" t="s">
        <v>1502</v>
      </c>
      <c r="D31" t="s">
        <v>1501</v>
      </c>
      <c r="E31" t="s">
        <v>169</v>
      </c>
      <c r="F31">
        <v>65048.68</v>
      </c>
      <c r="G31" s="1">
        <v>45833</v>
      </c>
    </row>
    <row r="32" spans="1:7">
      <c r="A32">
        <v>17447</v>
      </c>
      <c r="B32" t="s">
        <v>769</v>
      </c>
      <c r="C32" t="s">
        <v>1504</v>
      </c>
      <c r="D32" t="s">
        <v>128</v>
      </c>
      <c r="E32" t="s">
        <v>169</v>
      </c>
      <c r="F32">
        <v>-0.46</v>
      </c>
      <c r="G32" s="1">
        <v>45833</v>
      </c>
    </row>
    <row r="33" spans="1:7">
      <c r="A33">
        <v>17448</v>
      </c>
      <c r="B33" t="s">
        <v>782</v>
      </c>
      <c r="C33" t="s">
        <v>1505</v>
      </c>
      <c r="D33" t="s">
        <v>128</v>
      </c>
      <c r="E33" t="s">
        <v>169</v>
      </c>
      <c r="F33">
        <v>339954.46</v>
      </c>
      <c r="G33" s="1">
        <v>45833</v>
      </c>
    </row>
    <row r="34" spans="1:7">
      <c r="A34">
        <v>17616</v>
      </c>
      <c r="B34" t="s">
        <v>769</v>
      </c>
      <c r="C34" t="s">
        <v>1523</v>
      </c>
      <c r="D34" t="s">
        <v>142</v>
      </c>
      <c r="E34" t="s">
        <v>169</v>
      </c>
      <c r="F34">
        <v>0.21</v>
      </c>
      <c r="G34" s="1">
        <v>45834</v>
      </c>
    </row>
    <row r="35" spans="1:7">
      <c r="A35">
        <v>17617</v>
      </c>
      <c r="B35" t="s">
        <v>782</v>
      </c>
      <c r="C35" t="s">
        <v>1524</v>
      </c>
      <c r="D35" t="s">
        <v>142</v>
      </c>
      <c r="E35" t="s">
        <v>169</v>
      </c>
      <c r="F35">
        <v>1950704.79</v>
      </c>
      <c r="G35" s="1">
        <v>45834</v>
      </c>
    </row>
    <row r="36" spans="1:7">
      <c r="A36">
        <v>17621</v>
      </c>
      <c r="B36" t="s">
        <v>769</v>
      </c>
      <c r="C36" t="s">
        <v>1526</v>
      </c>
      <c r="D36" t="s">
        <v>140</v>
      </c>
      <c r="E36" t="s">
        <v>169</v>
      </c>
      <c r="F36">
        <v>0.14</v>
      </c>
      <c r="G36" s="1">
        <v>45834</v>
      </c>
    </row>
    <row r="37" spans="1:7">
      <c r="A37">
        <v>17622</v>
      </c>
      <c r="B37" t="s">
        <v>782</v>
      </c>
      <c r="C37" t="s">
        <v>1527</v>
      </c>
      <c r="D37" t="s">
        <v>140</v>
      </c>
      <c r="E37" t="s">
        <v>169</v>
      </c>
      <c r="F37">
        <v>33680874.86</v>
      </c>
      <c r="G37" s="1">
        <v>45834</v>
      </c>
    </row>
    <row r="38" spans="1:7">
      <c r="A38">
        <v>17623</v>
      </c>
      <c r="B38" t="s">
        <v>769</v>
      </c>
      <c r="C38" t="s">
        <v>1529</v>
      </c>
      <c r="D38" t="s">
        <v>141</v>
      </c>
      <c r="E38" t="s">
        <v>169</v>
      </c>
      <c r="F38">
        <v>0.1</v>
      </c>
      <c r="G38" s="1">
        <v>45834</v>
      </c>
    </row>
    <row r="39" spans="1:7">
      <c r="A39">
        <v>17624</v>
      </c>
      <c r="B39" t="s">
        <v>782</v>
      </c>
      <c r="C39" t="s">
        <v>1530</v>
      </c>
      <c r="D39" t="s">
        <v>141</v>
      </c>
      <c r="E39" t="s">
        <v>169</v>
      </c>
      <c r="F39">
        <v>25375.9</v>
      </c>
      <c r="G39" s="1">
        <v>45834</v>
      </c>
    </row>
    <row r="40" spans="1:7">
      <c r="A40">
        <v>17633</v>
      </c>
      <c r="B40" t="s">
        <v>782</v>
      </c>
      <c r="C40" t="s">
        <v>1531</v>
      </c>
      <c r="D40" t="s">
        <v>140</v>
      </c>
      <c r="E40" t="s">
        <v>169</v>
      </c>
      <c r="F40">
        <v>1704796.32</v>
      </c>
      <c r="G40" s="1">
        <v>45834</v>
      </c>
    </row>
    <row r="41" spans="1:7">
      <c r="A41">
        <v>17637</v>
      </c>
      <c r="B41" t="s">
        <v>769</v>
      </c>
      <c r="C41" t="s">
        <v>1533</v>
      </c>
      <c r="D41" t="s">
        <v>138</v>
      </c>
      <c r="E41" t="s">
        <v>169</v>
      </c>
      <c r="F41">
        <v>-0.18</v>
      </c>
      <c r="G41" s="1">
        <v>45834</v>
      </c>
    </row>
    <row r="42" spans="1:7">
      <c r="A42">
        <v>17638</v>
      </c>
      <c r="B42" t="s">
        <v>782</v>
      </c>
      <c r="C42" t="s">
        <v>1534</v>
      </c>
      <c r="D42" t="s">
        <v>138</v>
      </c>
      <c r="E42" t="s">
        <v>169</v>
      </c>
      <c r="F42">
        <v>645460.18</v>
      </c>
      <c r="G42" s="1">
        <v>45834</v>
      </c>
    </row>
    <row r="43" spans="1:7">
      <c r="A43">
        <v>17648</v>
      </c>
      <c r="B43" t="s">
        <v>847</v>
      </c>
      <c r="C43" t="s">
        <v>1535</v>
      </c>
      <c r="D43" t="s">
        <v>91</v>
      </c>
      <c r="E43" t="s">
        <v>169</v>
      </c>
      <c r="F43">
        <v>-601800</v>
      </c>
      <c r="G43" s="1">
        <v>45834</v>
      </c>
    </row>
    <row r="44" spans="1:7">
      <c r="A44">
        <v>17653</v>
      </c>
      <c r="B44" t="s">
        <v>782</v>
      </c>
      <c r="C44" t="s">
        <v>1536</v>
      </c>
      <c r="D44" t="s">
        <v>91</v>
      </c>
      <c r="E44" t="s">
        <v>169</v>
      </c>
      <c r="F44">
        <v>601800</v>
      </c>
      <c r="G44" s="1">
        <v>45834</v>
      </c>
    </row>
    <row r="45" spans="1:7">
      <c r="A45">
        <v>17655</v>
      </c>
      <c r="B45" t="s">
        <v>769</v>
      </c>
      <c r="C45" t="s">
        <v>1538</v>
      </c>
      <c r="D45" t="s">
        <v>24</v>
      </c>
      <c r="E45" t="s">
        <v>169</v>
      </c>
      <c r="F45">
        <v>-0.32</v>
      </c>
      <c r="G45" s="1">
        <v>45834</v>
      </c>
    </row>
    <row r="46" spans="1:7">
      <c r="A46">
        <v>17656</v>
      </c>
      <c r="B46" t="s">
        <v>782</v>
      </c>
      <c r="C46" t="s">
        <v>1539</v>
      </c>
      <c r="D46" t="s">
        <v>24</v>
      </c>
      <c r="E46" t="s">
        <v>169</v>
      </c>
      <c r="F46">
        <v>2208693.32</v>
      </c>
      <c r="G46" s="1">
        <v>45834</v>
      </c>
    </row>
    <row r="47" spans="1:7">
      <c r="A47">
        <v>17658</v>
      </c>
      <c r="B47" t="s">
        <v>782</v>
      </c>
      <c r="C47" t="s">
        <v>1540</v>
      </c>
      <c r="D47" t="s">
        <v>36</v>
      </c>
      <c r="E47" t="s">
        <v>169</v>
      </c>
      <c r="F47">
        <v>297891</v>
      </c>
      <c r="G47" s="1">
        <v>45834</v>
      </c>
    </row>
    <row r="48" spans="1:7">
      <c r="A48">
        <v>17660</v>
      </c>
      <c r="B48" t="s">
        <v>782</v>
      </c>
      <c r="C48" t="s">
        <v>1541</v>
      </c>
      <c r="D48" t="s">
        <v>36</v>
      </c>
      <c r="E48" t="s">
        <v>169</v>
      </c>
      <c r="F48">
        <v>289454</v>
      </c>
      <c r="G48" s="1">
        <v>45834</v>
      </c>
    </row>
    <row r="49" spans="1:7">
      <c r="A49">
        <v>17674</v>
      </c>
      <c r="B49" t="s">
        <v>769</v>
      </c>
      <c r="C49" t="s">
        <v>1543</v>
      </c>
      <c r="D49" t="s">
        <v>140</v>
      </c>
      <c r="E49" t="s">
        <v>169</v>
      </c>
      <c r="F49">
        <v>-0.32</v>
      </c>
      <c r="G49" s="1">
        <v>45834</v>
      </c>
    </row>
    <row r="50" spans="1:7">
      <c r="A50">
        <v>17716</v>
      </c>
      <c r="B50" t="s">
        <v>769</v>
      </c>
      <c r="C50" t="s">
        <v>781</v>
      </c>
      <c r="D50" t="s">
        <v>65</v>
      </c>
      <c r="E50" t="s">
        <v>169</v>
      </c>
      <c r="F50">
        <v>0.4</v>
      </c>
      <c r="G50" s="1">
        <v>45810</v>
      </c>
    </row>
    <row r="51" spans="1:7">
      <c r="A51">
        <v>17717</v>
      </c>
      <c r="B51" t="s">
        <v>782</v>
      </c>
      <c r="C51" t="s">
        <v>783</v>
      </c>
      <c r="D51" t="s">
        <v>65</v>
      </c>
      <c r="E51" t="s">
        <v>169</v>
      </c>
      <c r="F51">
        <v>451314.6</v>
      </c>
      <c r="G51" s="1">
        <v>45810</v>
      </c>
    </row>
    <row r="52" spans="1:7">
      <c r="A52">
        <v>17738</v>
      </c>
      <c r="B52" t="s">
        <v>769</v>
      </c>
      <c r="C52" t="s">
        <v>830</v>
      </c>
      <c r="D52" t="s">
        <v>135</v>
      </c>
      <c r="E52" t="s">
        <v>169</v>
      </c>
      <c r="F52">
        <v>-0.2</v>
      </c>
      <c r="G52" s="1">
        <v>45811</v>
      </c>
    </row>
    <row r="53" spans="1:7">
      <c r="A53">
        <v>17739</v>
      </c>
      <c r="B53" t="s">
        <v>782</v>
      </c>
      <c r="C53" t="s">
        <v>831</v>
      </c>
      <c r="D53" t="s">
        <v>135</v>
      </c>
      <c r="E53" t="s">
        <v>169</v>
      </c>
      <c r="F53">
        <v>1413451.2</v>
      </c>
      <c r="G53" s="1">
        <v>45811</v>
      </c>
    </row>
    <row r="54" spans="1:7">
      <c r="A54">
        <v>17745</v>
      </c>
      <c r="B54" t="s">
        <v>782</v>
      </c>
      <c r="C54" t="s">
        <v>856</v>
      </c>
      <c r="D54" t="s">
        <v>857</v>
      </c>
      <c r="E54" t="s">
        <v>169</v>
      </c>
      <c r="F54">
        <v>14160</v>
      </c>
      <c r="G54" s="1">
        <v>45812</v>
      </c>
    </row>
    <row r="55" spans="1:7">
      <c r="A55">
        <v>17757</v>
      </c>
      <c r="B55" t="s">
        <v>769</v>
      </c>
      <c r="C55" t="s">
        <v>1573</v>
      </c>
      <c r="D55" t="s">
        <v>140</v>
      </c>
      <c r="E55" t="s">
        <v>169</v>
      </c>
      <c r="F55">
        <v>0.4</v>
      </c>
      <c r="G55" s="1">
        <v>45835</v>
      </c>
    </row>
    <row r="56" spans="1:7">
      <c r="A56">
        <v>17758</v>
      </c>
      <c r="B56" t="s">
        <v>782</v>
      </c>
      <c r="C56" t="s">
        <v>1574</v>
      </c>
      <c r="D56" t="s">
        <v>140</v>
      </c>
      <c r="E56" t="s">
        <v>169</v>
      </c>
      <c r="F56">
        <v>5011424.6</v>
      </c>
      <c r="G56" s="1">
        <v>45835</v>
      </c>
    </row>
    <row r="57" spans="1:7">
      <c r="A57">
        <v>17759</v>
      </c>
      <c r="B57" t="s">
        <v>769</v>
      </c>
      <c r="C57" t="s">
        <v>1576</v>
      </c>
      <c r="D57" t="s">
        <v>138</v>
      </c>
      <c r="E57" t="s">
        <v>169</v>
      </c>
      <c r="F57">
        <v>0.22</v>
      </c>
      <c r="G57" s="1">
        <v>45835</v>
      </c>
    </row>
    <row r="58" spans="1:7">
      <c r="A58">
        <v>17760</v>
      </c>
      <c r="B58" t="s">
        <v>782</v>
      </c>
      <c r="C58" t="s">
        <v>1577</v>
      </c>
      <c r="D58" t="s">
        <v>138</v>
      </c>
      <c r="E58" t="s">
        <v>169</v>
      </c>
      <c r="F58">
        <v>21231052.78</v>
      </c>
      <c r="G58" s="1">
        <v>45835</v>
      </c>
    </row>
    <row r="59" spans="1:7">
      <c r="A59">
        <v>17771</v>
      </c>
      <c r="B59" t="s">
        <v>769</v>
      </c>
      <c r="C59" t="s">
        <v>1579</v>
      </c>
      <c r="D59" t="s">
        <v>33</v>
      </c>
      <c r="E59" t="s">
        <v>169</v>
      </c>
      <c r="F59">
        <v>-0.26</v>
      </c>
      <c r="G59" s="1">
        <v>45835</v>
      </c>
    </row>
    <row r="60" spans="1:7">
      <c r="A60">
        <v>17772</v>
      </c>
      <c r="B60" t="s">
        <v>782</v>
      </c>
      <c r="C60" t="s">
        <v>1580</v>
      </c>
      <c r="D60" t="s">
        <v>33</v>
      </c>
      <c r="E60" t="s">
        <v>169</v>
      </c>
      <c r="F60">
        <v>1669413.26</v>
      </c>
      <c r="G60" s="1">
        <v>45835</v>
      </c>
    </row>
    <row r="61" spans="1:7">
      <c r="A61">
        <v>17788</v>
      </c>
      <c r="B61" t="s">
        <v>769</v>
      </c>
      <c r="C61" t="s">
        <v>1582</v>
      </c>
      <c r="D61" t="s">
        <v>80</v>
      </c>
      <c r="E61" t="s">
        <v>169</v>
      </c>
      <c r="F61">
        <v>0.27</v>
      </c>
      <c r="G61" s="1">
        <v>45835</v>
      </c>
    </row>
    <row r="62" spans="1:7">
      <c r="A62">
        <v>17789</v>
      </c>
      <c r="B62" t="s">
        <v>782</v>
      </c>
      <c r="C62" t="s">
        <v>1583</v>
      </c>
      <c r="D62" t="s">
        <v>80</v>
      </c>
      <c r="E62" t="s">
        <v>169</v>
      </c>
      <c r="F62">
        <v>2584601.73</v>
      </c>
      <c r="G62" s="1">
        <v>45835</v>
      </c>
    </row>
    <row r="63" spans="1:7">
      <c r="A63">
        <v>17795</v>
      </c>
      <c r="B63" t="s">
        <v>782</v>
      </c>
      <c r="C63" t="s">
        <v>896</v>
      </c>
      <c r="D63" t="s">
        <v>775</v>
      </c>
      <c r="E63" t="s">
        <v>169</v>
      </c>
      <c r="F63">
        <v>6336600</v>
      </c>
      <c r="G63" s="1">
        <v>45813</v>
      </c>
    </row>
    <row r="64" spans="1:7">
      <c r="A64">
        <v>17800</v>
      </c>
      <c r="B64" t="s">
        <v>769</v>
      </c>
      <c r="C64" t="s">
        <v>924</v>
      </c>
      <c r="D64" t="s">
        <v>857</v>
      </c>
      <c r="E64" t="s">
        <v>169</v>
      </c>
      <c r="F64">
        <v>-0.1</v>
      </c>
      <c r="G64" s="1">
        <v>45814</v>
      </c>
    </row>
    <row r="65" spans="1:7">
      <c r="A65">
        <v>17801</v>
      </c>
      <c r="B65" t="s">
        <v>782</v>
      </c>
      <c r="C65" t="s">
        <v>925</v>
      </c>
      <c r="D65" t="s">
        <v>857</v>
      </c>
      <c r="E65" t="s">
        <v>169</v>
      </c>
      <c r="F65">
        <v>802984.1</v>
      </c>
      <c r="G65" s="1">
        <v>45814</v>
      </c>
    </row>
    <row r="66" spans="1:7">
      <c r="A66">
        <v>17812</v>
      </c>
      <c r="B66" t="s">
        <v>782</v>
      </c>
      <c r="C66" t="s">
        <v>1584</v>
      </c>
      <c r="D66" t="s">
        <v>777</v>
      </c>
      <c r="E66" t="s">
        <v>169</v>
      </c>
      <c r="F66">
        <v>240779</v>
      </c>
      <c r="G66" s="1">
        <v>45835</v>
      </c>
    </row>
    <row r="67" spans="1:7">
      <c r="A67">
        <v>17814</v>
      </c>
      <c r="B67" t="s">
        <v>782</v>
      </c>
      <c r="C67" t="s">
        <v>1013</v>
      </c>
      <c r="D67" t="s">
        <v>97</v>
      </c>
      <c r="E67" t="s">
        <v>169</v>
      </c>
      <c r="F67">
        <v>794376</v>
      </c>
      <c r="G67" s="1">
        <v>45818</v>
      </c>
    </row>
    <row r="68" spans="1:7">
      <c r="A68">
        <v>17821</v>
      </c>
      <c r="B68" t="s">
        <v>769</v>
      </c>
      <c r="C68" t="s">
        <v>980</v>
      </c>
      <c r="D68" t="s">
        <v>58</v>
      </c>
      <c r="E68" t="s">
        <v>169</v>
      </c>
      <c r="F68">
        <v>0.2</v>
      </c>
      <c r="G68" s="1">
        <v>45817</v>
      </c>
    </row>
    <row r="69" spans="1:7">
      <c r="A69">
        <v>17822</v>
      </c>
      <c r="B69" t="s">
        <v>782</v>
      </c>
      <c r="C69" t="s">
        <v>981</v>
      </c>
      <c r="D69" t="s">
        <v>58</v>
      </c>
      <c r="E69" t="s">
        <v>169</v>
      </c>
      <c r="F69">
        <v>588890.8</v>
      </c>
      <c r="G69" s="1">
        <v>45817</v>
      </c>
    </row>
    <row r="70" spans="1:7">
      <c r="A70">
        <v>17824</v>
      </c>
      <c r="B70" t="s">
        <v>769</v>
      </c>
      <c r="C70" t="s">
        <v>1586</v>
      </c>
      <c r="D70" t="s">
        <v>772</v>
      </c>
      <c r="E70" t="s">
        <v>169</v>
      </c>
      <c r="F70">
        <v>-0.28</v>
      </c>
      <c r="G70" s="1">
        <v>45835</v>
      </c>
    </row>
    <row r="71" spans="1:7">
      <c r="A71">
        <v>17825</v>
      </c>
      <c r="B71" t="s">
        <v>782</v>
      </c>
      <c r="C71" t="s">
        <v>1587</v>
      </c>
      <c r="D71" t="s">
        <v>772</v>
      </c>
      <c r="E71" t="s">
        <v>169</v>
      </c>
      <c r="F71">
        <v>2402534.28</v>
      </c>
      <c r="G71" s="1">
        <v>45835</v>
      </c>
    </row>
    <row r="72" spans="1:7">
      <c r="A72">
        <v>17829</v>
      </c>
      <c r="B72" t="s">
        <v>769</v>
      </c>
      <c r="C72" t="s">
        <v>1015</v>
      </c>
      <c r="D72" t="s">
        <v>58</v>
      </c>
      <c r="E72" t="s">
        <v>169</v>
      </c>
      <c r="F72">
        <v>-0.28</v>
      </c>
      <c r="G72" s="1">
        <v>45818</v>
      </c>
    </row>
    <row r="73" spans="1:7">
      <c r="A73">
        <v>17830</v>
      </c>
      <c r="B73" t="s">
        <v>782</v>
      </c>
      <c r="C73" t="s">
        <v>1016</v>
      </c>
      <c r="D73" t="s">
        <v>58</v>
      </c>
      <c r="E73" t="s">
        <v>169</v>
      </c>
      <c r="F73">
        <v>1760791.28</v>
      </c>
      <c r="G73" s="1">
        <v>45818</v>
      </c>
    </row>
    <row r="74" spans="1:7">
      <c r="A74">
        <v>18003</v>
      </c>
      <c r="B74" t="s">
        <v>782</v>
      </c>
      <c r="C74" t="s">
        <v>1017</v>
      </c>
      <c r="D74" t="s">
        <v>58</v>
      </c>
      <c r="E74" t="s">
        <v>169</v>
      </c>
      <c r="F74">
        <v>767118</v>
      </c>
      <c r="G74" s="1">
        <v>45818</v>
      </c>
    </row>
    <row r="75" spans="1:7">
      <c r="A75">
        <v>18007</v>
      </c>
      <c r="B75" t="s">
        <v>769</v>
      </c>
      <c r="C75" t="s">
        <v>1589</v>
      </c>
      <c r="D75" t="s">
        <v>16</v>
      </c>
      <c r="E75" t="s">
        <v>169</v>
      </c>
      <c r="F75">
        <v>0.2</v>
      </c>
      <c r="G75" s="1">
        <v>45835</v>
      </c>
    </row>
    <row r="76" spans="1:7">
      <c r="A76">
        <v>18008</v>
      </c>
      <c r="B76" t="s">
        <v>782</v>
      </c>
      <c r="C76" t="s">
        <v>1590</v>
      </c>
      <c r="D76" t="s">
        <v>16</v>
      </c>
      <c r="E76" t="s">
        <v>169</v>
      </c>
      <c r="F76">
        <v>11811.8</v>
      </c>
      <c r="G76" s="1">
        <v>45835</v>
      </c>
    </row>
    <row r="77" spans="1:7">
      <c r="A77">
        <v>18018</v>
      </c>
      <c r="B77" t="s">
        <v>782</v>
      </c>
      <c r="C77" t="s">
        <v>1018</v>
      </c>
      <c r="D77" t="s">
        <v>53</v>
      </c>
      <c r="E77" t="s">
        <v>169</v>
      </c>
      <c r="F77">
        <v>28343139.8</v>
      </c>
      <c r="G77" s="1">
        <v>45818</v>
      </c>
    </row>
    <row r="78" spans="1:7">
      <c r="A78">
        <v>18033</v>
      </c>
      <c r="B78" t="s">
        <v>782</v>
      </c>
      <c r="C78" t="s">
        <v>1043</v>
      </c>
      <c r="D78" t="s">
        <v>43</v>
      </c>
      <c r="E78" t="s">
        <v>169</v>
      </c>
      <c r="F78">
        <v>426393</v>
      </c>
      <c r="G78" s="1">
        <v>45819</v>
      </c>
    </row>
    <row r="79" spans="1:7">
      <c r="A79">
        <v>18041</v>
      </c>
      <c r="B79" t="s">
        <v>782</v>
      </c>
      <c r="C79" t="s">
        <v>1108</v>
      </c>
      <c r="D79" t="s">
        <v>857</v>
      </c>
      <c r="E79" t="s">
        <v>169</v>
      </c>
      <c r="F79">
        <v>2920677</v>
      </c>
      <c r="G79" s="1">
        <v>45820</v>
      </c>
    </row>
    <row r="80" spans="1:7">
      <c r="A80">
        <v>18049</v>
      </c>
      <c r="B80" t="s">
        <v>769</v>
      </c>
      <c r="C80" t="s">
        <v>1110</v>
      </c>
      <c r="D80" t="s">
        <v>41</v>
      </c>
      <c r="E80" t="s">
        <v>169</v>
      </c>
      <c r="F80">
        <v>-0.5</v>
      </c>
      <c r="G80" s="1">
        <v>45820</v>
      </c>
    </row>
    <row r="81" spans="1:7">
      <c r="A81">
        <v>18050</v>
      </c>
      <c r="B81" t="s">
        <v>782</v>
      </c>
      <c r="C81" t="s">
        <v>1111</v>
      </c>
      <c r="D81" t="s">
        <v>41</v>
      </c>
      <c r="E81" t="s">
        <v>169</v>
      </c>
      <c r="F81">
        <v>7780909.38</v>
      </c>
      <c r="G81" s="1">
        <v>45820</v>
      </c>
    </row>
    <row r="82" spans="1:7">
      <c r="A82">
        <v>18051</v>
      </c>
      <c r="B82" t="s">
        <v>769</v>
      </c>
      <c r="C82" t="s">
        <v>1113</v>
      </c>
      <c r="D82" t="s">
        <v>41</v>
      </c>
      <c r="E82" t="s">
        <v>169</v>
      </c>
      <c r="F82">
        <v>0.5</v>
      </c>
      <c r="G82" s="1">
        <v>45820</v>
      </c>
    </row>
    <row r="83" spans="1:7">
      <c r="A83">
        <v>18052</v>
      </c>
      <c r="B83" t="s">
        <v>782</v>
      </c>
      <c r="C83" t="s">
        <v>1114</v>
      </c>
      <c r="D83" t="s">
        <v>41</v>
      </c>
      <c r="E83" t="s">
        <v>169</v>
      </c>
      <c r="F83">
        <v>3279662.5</v>
      </c>
      <c r="G83" s="1">
        <v>45820</v>
      </c>
    </row>
    <row r="84" spans="1:7">
      <c r="A84">
        <v>18053</v>
      </c>
      <c r="B84" t="s">
        <v>769</v>
      </c>
      <c r="C84" t="s">
        <v>1116</v>
      </c>
      <c r="D84" t="s">
        <v>41</v>
      </c>
      <c r="E84" t="s">
        <v>169</v>
      </c>
      <c r="F84">
        <v>-0.18</v>
      </c>
      <c r="G84" s="1">
        <v>45820</v>
      </c>
    </row>
    <row r="85" spans="1:7">
      <c r="A85">
        <v>18054</v>
      </c>
      <c r="B85" t="s">
        <v>782</v>
      </c>
      <c r="C85" t="s">
        <v>1117</v>
      </c>
      <c r="D85" t="s">
        <v>41</v>
      </c>
      <c r="E85" t="s">
        <v>169</v>
      </c>
      <c r="F85">
        <v>4809209.18</v>
      </c>
      <c r="G85" s="1">
        <v>45820</v>
      </c>
    </row>
    <row r="86" spans="1:7">
      <c r="A86">
        <v>18057</v>
      </c>
      <c r="B86" t="s">
        <v>769</v>
      </c>
      <c r="C86" t="s">
        <v>1119</v>
      </c>
      <c r="D86" t="s">
        <v>41</v>
      </c>
      <c r="E86" t="s">
        <v>169</v>
      </c>
      <c r="F86">
        <v>-0.44</v>
      </c>
      <c r="G86" s="1">
        <v>45820</v>
      </c>
    </row>
    <row r="87" spans="1:7">
      <c r="A87">
        <v>18058</v>
      </c>
      <c r="B87" t="s">
        <v>782</v>
      </c>
      <c r="C87" t="s">
        <v>1120</v>
      </c>
      <c r="D87" t="s">
        <v>41</v>
      </c>
      <c r="E87" t="s">
        <v>169</v>
      </c>
      <c r="F87">
        <v>7438493.44</v>
      </c>
      <c r="G87" s="1">
        <v>45820</v>
      </c>
    </row>
    <row r="88" spans="1:7">
      <c r="A88">
        <v>18059</v>
      </c>
      <c r="B88" t="s">
        <v>782</v>
      </c>
      <c r="C88" t="s">
        <v>1121</v>
      </c>
      <c r="D88" t="s">
        <v>41</v>
      </c>
      <c r="E88" t="s">
        <v>169</v>
      </c>
      <c r="F88">
        <v>2281117</v>
      </c>
      <c r="G88" s="1">
        <v>45820</v>
      </c>
    </row>
    <row r="89" spans="1:7">
      <c r="A89">
        <v>18061</v>
      </c>
      <c r="B89" t="s">
        <v>769</v>
      </c>
      <c r="C89" t="s">
        <v>1592</v>
      </c>
      <c r="D89" t="s">
        <v>16</v>
      </c>
      <c r="E89" t="s">
        <v>169</v>
      </c>
      <c r="F89">
        <v>-0.19</v>
      </c>
      <c r="G89" s="1">
        <v>45835</v>
      </c>
    </row>
    <row r="90" spans="1:7">
      <c r="A90">
        <v>18062</v>
      </c>
      <c r="B90" t="s">
        <v>782</v>
      </c>
      <c r="C90" t="s">
        <v>1593</v>
      </c>
      <c r="D90" t="s">
        <v>16</v>
      </c>
      <c r="E90" t="s">
        <v>169</v>
      </c>
      <c r="F90">
        <v>149471.19</v>
      </c>
      <c r="G90" s="1">
        <v>45835</v>
      </c>
    </row>
    <row r="91" spans="1:7">
      <c r="A91">
        <v>18068</v>
      </c>
      <c r="B91" t="s">
        <v>782</v>
      </c>
      <c r="C91" t="s">
        <v>1159</v>
      </c>
      <c r="D91" t="s">
        <v>1130</v>
      </c>
      <c r="E91" t="s">
        <v>169</v>
      </c>
      <c r="F91">
        <v>3894000</v>
      </c>
      <c r="G91" s="1">
        <v>45821</v>
      </c>
    </row>
    <row r="92" spans="1:7">
      <c r="A92">
        <v>18069</v>
      </c>
      <c r="B92" t="s">
        <v>782</v>
      </c>
      <c r="C92" t="s">
        <v>1160</v>
      </c>
      <c r="D92" t="s">
        <v>1130</v>
      </c>
      <c r="E92" t="s">
        <v>169</v>
      </c>
      <c r="F92">
        <v>3894000</v>
      </c>
      <c r="G92" s="1">
        <v>45821</v>
      </c>
    </row>
    <row r="93" spans="1:7">
      <c r="A93">
        <v>18071</v>
      </c>
      <c r="B93" t="s">
        <v>782</v>
      </c>
      <c r="C93" t="s">
        <v>1161</v>
      </c>
      <c r="D93" t="s">
        <v>1130</v>
      </c>
      <c r="E93" t="s">
        <v>169</v>
      </c>
      <c r="F93">
        <v>2478000</v>
      </c>
      <c r="G93" s="1">
        <v>45821</v>
      </c>
    </row>
    <row r="94" spans="1:7">
      <c r="A94">
        <v>18072</v>
      </c>
      <c r="B94" t="s">
        <v>782</v>
      </c>
      <c r="C94" t="s">
        <v>1300</v>
      </c>
      <c r="D94" t="s">
        <v>1130</v>
      </c>
      <c r="E94" t="s">
        <v>169</v>
      </c>
      <c r="F94">
        <v>3894000</v>
      </c>
      <c r="G94" s="1">
        <v>45826</v>
      </c>
    </row>
    <row r="95" spans="1:7">
      <c r="A95">
        <v>18074</v>
      </c>
      <c r="B95" t="s">
        <v>782</v>
      </c>
      <c r="C95" t="s">
        <v>1373</v>
      </c>
      <c r="D95" t="s">
        <v>14</v>
      </c>
      <c r="E95" t="s">
        <v>169</v>
      </c>
      <c r="F95">
        <v>3186944</v>
      </c>
      <c r="G95" s="1">
        <v>45828</v>
      </c>
    </row>
    <row r="96" spans="1:7">
      <c r="A96">
        <v>18076</v>
      </c>
      <c r="B96" t="s">
        <v>782</v>
      </c>
      <c r="C96" t="s">
        <v>1374</v>
      </c>
      <c r="D96" t="s">
        <v>14</v>
      </c>
      <c r="E96" t="s">
        <v>169</v>
      </c>
      <c r="F96">
        <v>2596000</v>
      </c>
      <c r="G96" s="1">
        <v>45828</v>
      </c>
    </row>
    <row r="97" spans="1:7">
      <c r="A97">
        <v>18078</v>
      </c>
      <c r="B97" t="s">
        <v>782</v>
      </c>
      <c r="C97" t="s">
        <v>1375</v>
      </c>
      <c r="D97" t="s">
        <v>14</v>
      </c>
      <c r="E97" t="s">
        <v>169</v>
      </c>
      <c r="F97">
        <v>851960</v>
      </c>
      <c r="G97" s="1">
        <v>45828</v>
      </c>
    </row>
    <row r="98" spans="1:7">
      <c r="A98">
        <v>18082</v>
      </c>
      <c r="B98" t="s">
        <v>782</v>
      </c>
      <c r="C98" t="s">
        <v>1376</v>
      </c>
      <c r="D98" t="s">
        <v>53</v>
      </c>
      <c r="E98" t="s">
        <v>169</v>
      </c>
      <c r="F98">
        <v>3460114</v>
      </c>
      <c r="G98" s="1">
        <v>45828</v>
      </c>
    </row>
    <row r="99" spans="1:7">
      <c r="A99">
        <v>18088</v>
      </c>
      <c r="B99" t="s">
        <v>782</v>
      </c>
      <c r="C99" t="s">
        <v>1318</v>
      </c>
      <c r="D99" t="s">
        <v>65</v>
      </c>
      <c r="E99" t="s">
        <v>169</v>
      </c>
      <c r="F99">
        <v>3175557</v>
      </c>
      <c r="G99" s="1">
        <v>45827</v>
      </c>
    </row>
    <row r="100" spans="1:7">
      <c r="A100">
        <v>18092</v>
      </c>
      <c r="B100" t="s">
        <v>769</v>
      </c>
      <c r="C100" t="s">
        <v>1320</v>
      </c>
      <c r="D100" t="s">
        <v>29</v>
      </c>
      <c r="E100" t="s">
        <v>169</v>
      </c>
      <c r="F100">
        <v>0.44</v>
      </c>
      <c r="G100" s="1">
        <v>45827</v>
      </c>
    </row>
    <row r="101" spans="1:7">
      <c r="A101">
        <v>18093</v>
      </c>
      <c r="B101" t="s">
        <v>782</v>
      </c>
      <c r="C101" t="s">
        <v>1321</v>
      </c>
      <c r="D101" t="s">
        <v>29</v>
      </c>
      <c r="E101" t="s">
        <v>169</v>
      </c>
      <c r="F101">
        <v>1755181.56</v>
      </c>
      <c r="G101" s="1">
        <v>45827</v>
      </c>
    </row>
    <row r="102" spans="1:7">
      <c r="A102">
        <v>18096</v>
      </c>
      <c r="B102" t="s">
        <v>782</v>
      </c>
      <c r="C102" t="s">
        <v>1377</v>
      </c>
      <c r="D102" t="s">
        <v>14</v>
      </c>
      <c r="E102" t="s">
        <v>169</v>
      </c>
      <c r="F102">
        <v>354000</v>
      </c>
      <c r="G102" s="1">
        <v>45828</v>
      </c>
    </row>
    <row r="103" spans="1:7">
      <c r="A103">
        <v>18104</v>
      </c>
      <c r="B103" t="s">
        <v>769</v>
      </c>
      <c r="C103" t="s">
        <v>1466</v>
      </c>
      <c r="D103" t="s">
        <v>138</v>
      </c>
      <c r="E103" t="s">
        <v>169</v>
      </c>
      <c r="F103">
        <v>-0.2</v>
      </c>
      <c r="G103" s="1">
        <v>45832</v>
      </c>
    </row>
    <row r="104" spans="1:7">
      <c r="A104">
        <v>18105</v>
      </c>
      <c r="B104" t="s">
        <v>782</v>
      </c>
      <c r="C104" t="s">
        <v>1467</v>
      </c>
      <c r="D104" t="s">
        <v>138</v>
      </c>
      <c r="E104" t="s">
        <v>169</v>
      </c>
      <c r="F104">
        <v>15713720.16</v>
      </c>
      <c r="G104" s="1">
        <v>45832</v>
      </c>
    </row>
    <row r="105" spans="1:7">
      <c r="A105">
        <v>18107</v>
      </c>
      <c r="B105" t="s">
        <v>769</v>
      </c>
      <c r="C105" t="s">
        <v>1274</v>
      </c>
      <c r="D105" t="s">
        <v>1193</v>
      </c>
      <c r="E105" t="s">
        <v>169</v>
      </c>
      <c r="F105">
        <v>-0.4</v>
      </c>
      <c r="G105" s="1">
        <v>45825</v>
      </c>
    </row>
    <row r="106" spans="1:7">
      <c r="A106">
        <v>18108</v>
      </c>
      <c r="B106" t="s">
        <v>782</v>
      </c>
      <c r="C106" t="s">
        <v>1275</v>
      </c>
      <c r="D106" t="s">
        <v>1193</v>
      </c>
      <c r="E106" t="s">
        <v>169</v>
      </c>
      <c r="F106">
        <v>3794089.4</v>
      </c>
      <c r="G106" s="1">
        <v>45825</v>
      </c>
    </row>
    <row r="107" spans="1:7">
      <c r="A107">
        <v>18186</v>
      </c>
      <c r="B107" t="s">
        <v>782</v>
      </c>
      <c r="C107" t="s">
        <v>1322</v>
      </c>
      <c r="D107" t="s">
        <v>58</v>
      </c>
      <c r="E107" t="s">
        <v>169</v>
      </c>
      <c r="F107">
        <v>767118</v>
      </c>
      <c r="G107" s="1">
        <v>45827</v>
      </c>
    </row>
    <row r="108" spans="1:7">
      <c r="A108">
        <v>18205</v>
      </c>
      <c r="B108" t="s">
        <v>769</v>
      </c>
      <c r="C108" t="s">
        <v>1545</v>
      </c>
      <c r="D108" t="s">
        <v>65</v>
      </c>
      <c r="E108" t="s">
        <v>169</v>
      </c>
      <c r="F108">
        <v>-0.14</v>
      </c>
      <c r="G108" s="1">
        <v>45834</v>
      </c>
    </row>
    <row r="109" spans="1:7">
      <c r="A109">
        <v>18206</v>
      </c>
      <c r="B109" t="s">
        <v>782</v>
      </c>
      <c r="C109" t="s">
        <v>1546</v>
      </c>
      <c r="D109" t="s">
        <v>65</v>
      </c>
      <c r="E109" t="s">
        <v>169</v>
      </c>
      <c r="F109">
        <v>846913.14</v>
      </c>
      <c r="G109" s="1">
        <v>45834</v>
      </c>
    </row>
    <row r="110" spans="1:7">
      <c r="A110">
        <v>18210</v>
      </c>
      <c r="B110" t="s">
        <v>769</v>
      </c>
      <c r="C110" t="s">
        <v>1548</v>
      </c>
      <c r="D110" t="s">
        <v>65</v>
      </c>
      <c r="E110" t="s">
        <v>169</v>
      </c>
      <c r="F110">
        <v>0.08</v>
      </c>
      <c r="G110" s="1">
        <v>45834</v>
      </c>
    </row>
    <row r="111" spans="1:7">
      <c r="A111">
        <v>18211</v>
      </c>
      <c r="B111" t="s">
        <v>782</v>
      </c>
      <c r="C111" t="s">
        <v>1549</v>
      </c>
      <c r="D111" t="s">
        <v>65</v>
      </c>
      <c r="E111" t="s">
        <v>169</v>
      </c>
      <c r="F111">
        <v>797554.92</v>
      </c>
      <c r="G111" s="1">
        <v>45834</v>
      </c>
    </row>
    <row r="112" spans="1:7">
      <c r="A112">
        <v>18219</v>
      </c>
      <c r="B112" t="s">
        <v>782</v>
      </c>
      <c r="C112" t="s">
        <v>1629</v>
      </c>
      <c r="D112" t="s">
        <v>48</v>
      </c>
      <c r="E112" t="s">
        <v>169</v>
      </c>
      <c r="F112">
        <v>1199470</v>
      </c>
      <c r="G112" s="1">
        <v>45836</v>
      </c>
    </row>
    <row r="113" spans="1:7">
      <c r="A113">
        <v>18250</v>
      </c>
      <c r="B113" t="s">
        <v>769</v>
      </c>
      <c r="C113" t="s">
        <v>1631</v>
      </c>
      <c r="D113" t="s">
        <v>37</v>
      </c>
      <c r="E113" t="s">
        <v>169</v>
      </c>
      <c r="F113">
        <v>0.04</v>
      </c>
      <c r="G113" s="1">
        <v>45836</v>
      </c>
    </row>
    <row r="114" spans="1:7">
      <c r="A114">
        <v>18252</v>
      </c>
      <c r="B114" t="s">
        <v>769</v>
      </c>
      <c r="C114" t="s">
        <v>1633</v>
      </c>
      <c r="D114" t="s">
        <v>37</v>
      </c>
      <c r="E114" t="s">
        <v>169</v>
      </c>
      <c r="F114">
        <v>0.04</v>
      </c>
      <c r="G114" s="1">
        <v>45836</v>
      </c>
    </row>
    <row r="115" spans="1:7">
      <c r="A115">
        <v>18839</v>
      </c>
      <c r="B115" t="s">
        <v>769</v>
      </c>
      <c r="C115" t="s">
        <v>1635</v>
      </c>
      <c r="D115" t="s">
        <v>134</v>
      </c>
      <c r="E115" t="s">
        <v>169</v>
      </c>
      <c r="F115">
        <v>0.12</v>
      </c>
      <c r="G115" s="1">
        <v>45838</v>
      </c>
    </row>
    <row r="116" spans="1:7">
      <c r="A116">
        <v>18840</v>
      </c>
      <c r="B116" t="s">
        <v>782</v>
      </c>
      <c r="C116" t="s">
        <v>1636</v>
      </c>
      <c r="D116" t="s">
        <v>134</v>
      </c>
      <c r="E116" t="s">
        <v>169</v>
      </c>
      <c r="F116">
        <v>17404074.88</v>
      </c>
      <c r="G116" s="1">
        <v>45838</v>
      </c>
    </row>
    <row r="117" spans="1:7">
      <c r="A117">
        <v>20978</v>
      </c>
      <c r="B117" t="s">
        <v>769</v>
      </c>
      <c r="C117" t="s">
        <v>785</v>
      </c>
      <c r="D117" t="s">
        <v>142</v>
      </c>
      <c r="E117" t="s">
        <v>169</v>
      </c>
      <c r="F117">
        <v>147648</v>
      </c>
      <c r="G117" s="1">
        <v>45810</v>
      </c>
    </row>
    <row r="118" spans="1:7">
      <c r="A118">
        <v>20978</v>
      </c>
      <c r="B118" t="s">
        <v>769</v>
      </c>
      <c r="C118" t="s">
        <v>785</v>
      </c>
      <c r="D118" t="s">
        <v>142</v>
      </c>
      <c r="E118" t="s">
        <v>169</v>
      </c>
      <c r="F118">
        <v>2051624</v>
      </c>
      <c r="G118" s="1">
        <v>45810</v>
      </c>
    </row>
    <row r="119" spans="1:7">
      <c r="A119">
        <v>20978</v>
      </c>
      <c r="B119" t="s">
        <v>769</v>
      </c>
      <c r="C119" t="s">
        <v>785</v>
      </c>
      <c r="D119" t="s">
        <v>141</v>
      </c>
      <c r="E119" t="s">
        <v>169</v>
      </c>
      <c r="F119">
        <v>22066</v>
      </c>
      <c r="G119" s="1">
        <v>45810</v>
      </c>
    </row>
    <row r="120" spans="1:7">
      <c r="A120">
        <v>20978</v>
      </c>
      <c r="B120" t="s">
        <v>769</v>
      </c>
      <c r="C120" t="s">
        <v>785</v>
      </c>
      <c r="D120" t="s">
        <v>141</v>
      </c>
      <c r="E120" t="s">
        <v>169</v>
      </c>
      <c r="F120">
        <v>394203</v>
      </c>
      <c r="G120" s="1">
        <v>45810</v>
      </c>
    </row>
    <row r="121" spans="1:7">
      <c r="A121">
        <v>20978</v>
      </c>
      <c r="B121" t="s">
        <v>769</v>
      </c>
      <c r="C121" t="s">
        <v>785</v>
      </c>
      <c r="D121" t="s">
        <v>141</v>
      </c>
      <c r="E121" t="s">
        <v>169</v>
      </c>
      <c r="F121">
        <v>201190</v>
      </c>
      <c r="G121" s="1">
        <v>45810</v>
      </c>
    </row>
    <row r="122" spans="1:7">
      <c r="A122">
        <v>20978</v>
      </c>
      <c r="B122" t="s">
        <v>769</v>
      </c>
      <c r="C122" t="s">
        <v>785</v>
      </c>
      <c r="D122" t="s">
        <v>140</v>
      </c>
      <c r="E122" t="s">
        <v>169</v>
      </c>
      <c r="F122">
        <v>603479</v>
      </c>
      <c r="G122" s="1">
        <v>45810</v>
      </c>
    </row>
    <row r="123" spans="1:7">
      <c r="A123">
        <v>20978</v>
      </c>
      <c r="B123" t="s">
        <v>769</v>
      </c>
      <c r="C123" t="s">
        <v>785</v>
      </c>
      <c r="D123" t="s">
        <v>140</v>
      </c>
      <c r="E123" t="s">
        <v>169</v>
      </c>
      <c r="F123">
        <v>719741</v>
      </c>
      <c r="G123" s="1">
        <v>45810</v>
      </c>
    </row>
    <row r="124" spans="1:7">
      <c r="A124">
        <v>20978</v>
      </c>
      <c r="B124" t="s">
        <v>769</v>
      </c>
      <c r="C124" t="s">
        <v>785</v>
      </c>
      <c r="D124" t="s">
        <v>140</v>
      </c>
      <c r="E124" t="s">
        <v>169</v>
      </c>
      <c r="F124">
        <v>13339180</v>
      </c>
      <c r="G124" s="1">
        <v>45810</v>
      </c>
    </row>
    <row r="125" spans="1:7">
      <c r="A125">
        <v>20978</v>
      </c>
      <c r="B125" t="s">
        <v>769</v>
      </c>
      <c r="C125" t="s">
        <v>785</v>
      </c>
      <c r="D125" t="s">
        <v>138</v>
      </c>
      <c r="E125" t="s">
        <v>169</v>
      </c>
      <c r="F125">
        <v>17417122</v>
      </c>
      <c r="G125" s="1">
        <v>45810</v>
      </c>
    </row>
    <row r="126" spans="1:7">
      <c r="A126">
        <v>20978</v>
      </c>
      <c r="B126" t="s">
        <v>769</v>
      </c>
      <c r="C126" t="s">
        <v>785</v>
      </c>
      <c r="D126" t="s">
        <v>138</v>
      </c>
      <c r="E126" t="s">
        <v>169</v>
      </c>
      <c r="F126">
        <v>7742331</v>
      </c>
      <c r="G126" s="1">
        <v>45810</v>
      </c>
    </row>
    <row r="127" spans="1:7">
      <c r="A127">
        <v>20978</v>
      </c>
      <c r="B127" t="s">
        <v>769</v>
      </c>
      <c r="C127" t="s">
        <v>785</v>
      </c>
      <c r="D127" t="s">
        <v>138</v>
      </c>
      <c r="E127" t="s">
        <v>169</v>
      </c>
      <c r="F127">
        <v>46557321</v>
      </c>
      <c r="G127" s="1">
        <v>45810</v>
      </c>
    </row>
    <row r="128" spans="1:7">
      <c r="A128">
        <v>21682</v>
      </c>
      <c r="B128" t="s">
        <v>782</v>
      </c>
      <c r="C128" t="s">
        <v>786</v>
      </c>
      <c r="D128" t="s">
        <v>787</v>
      </c>
      <c r="E128" t="s">
        <v>169</v>
      </c>
      <c r="F128">
        <v>1298000</v>
      </c>
      <c r="G128" s="1">
        <v>45810</v>
      </c>
    </row>
    <row r="129" spans="1:7">
      <c r="A129">
        <v>21685</v>
      </c>
      <c r="B129" t="s">
        <v>782</v>
      </c>
      <c r="C129" t="s">
        <v>788</v>
      </c>
      <c r="D129" t="s">
        <v>776</v>
      </c>
      <c r="E129" t="s">
        <v>169</v>
      </c>
      <c r="F129">
        <v>2360000</v>
      </c>
      <c r="G129" s="1">
        <v>45810</v>
      </c>
    </row>
    <row r="130" spans="1:7">
      <c r="A130">
        <v>21692</v>
      </c>
      <c r="B130" t="s">
        <v>769</v>
      </c>
      <c r="C130" t="s">
        <v>790</v>
      </c>
      <c r="D130" t="s">
        <v>787</v>
      </c>
      <c r="E130" t="s">
        <v>169</v>
      </c>
      <c r="F130">
        <v>-0.18</v>
      </c>
      <c r="G130" s="1">
        <v>45810</v>
      </c>
    </row>
    <row r="131" spans="1:7">
      <c r="A131">
        <v>21693</v>
      </c>
      <c r="B131" t="s">
        <v>782</v>
      </c>
      <c r="C131" t="s">
        <v>791</v>
      </c>
      <c r="D131" t="s">
        <v>787</v>
      </c>
      <c r="E131" t="s">
        <v>169</v>
      </c>
      <c r="F131">
        <v>2208962.14</v>
      </c>
      <c r="G131" s="1">
        <v>45810</v>
      </c>
    </row>
    <row r="132" spans="1:7">
      <c r="A132">
        <v>21694</v>
      </c>
      <c r="B132" t="s">
        <v>769</v>
      </c>
      <c r="C132" t="s">
        <v>833</v>
      </c>
      <c r="D132" t="s">
        <v>18</v>
      </c>
      <c r="E132" t="s">
        <v>169</v>
      </c>
      <c r="F132">
        <v>0.48</v>
      </c>
      <c r="G132" s="1">
        <v>45811</v>
      </c>
    </row>
    <row r="133" spans="1:7">
      <c r="A133">
        <v>21695</v>
      </c>
      <c r="B133" t="s">
        <v>782</v>
      </c>
      <c r="C133" t="s">
        <v>834</v>
      </c>
      <c r="D133" t="s">
        <v>18</v>
      </c>
      <c r="E133" t="s">
        <v>169</v>
      </c>
      <c r="F133">
        <v>94416.52</v>
      </c>
      <c r="G133" s="1">
        <v>45811</v>
      </c>
    </row>
    <row r="134" spans="1:7">
      <c r="A134">
        <v>21698</v>
      </c>
      <c r="B134" t="s">
        <v>769</v>
      </c>
      <c r="C134" t="s">
        <v>859</v>
      </c>
      <c r="D134" t="s">
        <v>48</v>
      </c>
      <c r="E134" t="s">
        <v>169</v>
      </c>
      <c r="F134">
        <v>0.38</v>
      </c>
      <c r="G134" s="1">
        <v>45812</v>
      </c>
    </row>
    <row r="135" spans="1:7">
      <c r="A135">
        <v>21699</v>
      </c>
      <c r="B135" t="s">
        <v>782</v>
      </c>
      <c r="C135" t="s">
        <v>860</v>
      </c>
      <c r="D135" t="s">
        <v>48</v>
      </c>
      <c r="E135" t="s">
        <v>169</v>
      </c>
      <c r="F135">
        <v>3027772.62</v>
      </c>
      <c r="G135" s="1">
        <v>45812</v>
      </c>
    </row>
    <row r="136" spans="1:7">
      <c r="A136">
        <v>21784</v>
      </c>
      <c r="B136" t="s">
        <v>782</v>
      </c>
      <c r="C136" t="s">
        <v>792</v>
      </c>
      <c r="D136" t="s">
        <v>47</v>
      </c>
      <c r="E136" t="s">
        <v>169</v>
      </c>
      <c r="F136">
        <v>2135210</v>
      </c>
      <c r="G136" s="1">
        <v>45810</v>
      </c>
    </row>
    <row r="137" spans="1:7">
      <c r="A137">
        <v>21786</v>
      </c>
      <c r="B137" t="s">
        <v>782</v>
      </c>
      <c r="C137" t="s">
        <v>793</v>
      </c>
      <c r="D137" t="s">
        <v>47</v>
      </c>
      <c r="E137" t="s">
        <v>169</v>
      </c>
      <c r="F137">
        <v>1394052</v>
      </c>
      <c r="G137" s="1">
        <v>45810</v>
      </c>
    </row>
    <row r="138" spans="1:7">
      <c r="A138">
        <v>21788</v>
      </c>
      <c r="B138" t="s">
        <v>769</v>
      </c>
      <c r="C138" t="s">
        <v>795</v>
      </c>
      <c r="D138" t="s">
        <v>128</v>
      </c>
      <c r="E138" t="s">
        <v>169</v>
      </c>
      <c r="F138">
        <v>-0.16</v>
      </c>
      <c r="G138" s="1">
        <v>45810</v>
      </c>
    </row>
    <row r="139" spans="1:7">
      <c r="A139">
        <v>21789</v>
      </c>
      <c r="B139" t="s">
        <v>782</v>
      </c>
      <c r="C139" t="s">
        <v>796</v>
      </c>
      <c r="D139" t="s">
        <v>128</v>
      </c>
      <c r="E139" t="s">
        <v>169</v>
      </c>
      <c r="F139">
        <v>266696.16</v>
      </c>
      <c r="G139" s="1">
        <v>45810</v>
      </c>
    </row>
    <row r="140" spans="1:7">
      <c r="A140">
        <v>21790</v>
      </c>
      <c r="B140" t="s">
        <v>769</v>
      </c>
      <c r="C140" t="s">
        <v>798</v>
      </c>
      <c r="D140" t="s">
        <v>18</v>
      </c>
      <c r="E140" t="s">
        <v>169</v>
      </c>
      <c r="F140">
        <v>-0.3</v>
      </c>
      <c r="G140" s="1">
        <v>45810</v>
      </c>
    </row>
    <row r="141" spans="1:7">
      <c r="A141">
        <v>21791</v>
      </c>
      <c r="B141" t="s">
        <v>782</v>
      </c>
      <c r="C141" t="s">
        <v>799</v>
      </c>
      <c r="D141" t="s">
        <v>18</v>
      </c>
      <c r="E141" t="s">
        <v>169</v>
      </c>
      <c r="F141">
        <v>497588.3</v>
      </c>
      <c r="G141" s="1">
        <v>45810</v>
      </c>
    </row>
    <row r="142" spans="1:7">
      <c r="A142">
        <v>21792</v>
      </c>
      <c r="B142" t="s">
        <v>769</v>
      </c>
      <c r="C142" t="s">
        <v>801</v>
      </c>
      <c r="D142" t="s">
        <v>69</v>
      </c>
      <c r="E142" t="s">
        <v>169</v>
      </c>
      <c r="F142">
        <v>0.5</v>
      </c>
      <c r="G142" s="1">
        <v>45810</v>
      </c>
    </row>
    <row r="143" spans="1:7">
      <c r="A143">
        <v>21793</v>
      </c>
      <c r="B143" t="s">
        <v>782</v>
      </c>
      <c r="C143" t="s">
        <v>802</v>
      </c>
      <c r="D143" t="s">
        <v>69</v>
      </c>
      <c r="E143" t="s">
        <v>169</v>
      </c>
      <c r="F143">
        <v>290427.5</v>
      </c>
      <c r="G143" s="1">
        <v>45810</v>
      </c>
    </row>
    <row r="144" spans="1:7">
      <c r="A144">
        <v>21795</v>
      </c>
      <c r="B144" t="s">
        <v>782</v>
      </c>
      <c r="C144" t="s">
        <v>803</v>
      </c>
      <c r="D144" t="s">
        <v>787</v>
      </c>
      <c r="E144" t="s">
        <v>169</v>
      </c>
      <c r="F144">
        <v>148680</v>
      </c>
      <c r="G144" s="1">
        <v>45810</v>
      </c>
    </row>
    <row r="145" spans="1:7">
      <c r="A145">
        <v>21800</v>
      </c>
      <c r="B145" t="s">
        <v>769</v>
      </c>
      <c r="C145" t="s">
        <v>836</v>
      </c>
      <c r="D145" t="s">
        <v>48</v>
      </c>
      <c r="E145" t="s">
        <v>169</v>
      </c>
      <c r="F145">
        <v>0.32</v>
      </c>
      <c r="G145" s="1">
        <v>45811</v>
      </c>
    </row>
    <row r="146" spans="1:7">
      <c r="A146">
        <v>21801</v>
      </c>
      <c r="B146" t="s">
        <v>782</v>
      </c>
      <c r="C146" t="s">
        <v>837</v>
      </c>
      <c r="D146" t="s">
        <v>48</v>
      </c>
      <c r="E146" t="s">
        <v>169</v>
      </c>
      <c r="F146">
        <v>455333.68</v>
      </c>
      <c r="G146" s="1">
        <v>45811</v>
      </c>
    </row>
    <row r="147" spans="1:7">
      <c r="A147">
        <v>21805</v>
      </c>
      <c r="B147" t="s">
        <v>769</v>
      </c>
      <c r="C147" t="s">
        <v>862</v>
      </c>
      <c r="D147" t="s">
        <v>80</v>
      </c>
      <c r="E147" t="s">
        <v>169</v>
      </c>
      <c r="F147">
        <v>0.19</v>
      </c>
      <c r="G147" s="1">
        <v>45812</v>
      </c>
    </row>
    <row r="148" spans="1:7">
      <c r="A148">
        <v>21806</v>
      </c>
      <c r="B148" t="s">
        <v>782</v>
      </c>
      <c r="C148" t="s">
        <v>863</v>
      </c>
      <c r="D148" t="s">
        <v>80</v>
      </c>
      <c r="E148" t="s">
        <v>169</v>
      </c>
      <c r="F148">
        <v>52680.81</v>
      </c>
      <c r="G148" s="1">
        <v>45812</v>
      </c>
    </row>
    <row r="149" spans="1:7">
      <c r="A149">
        <v>21814</v>
      </c>
      <c r="B149" t="s">
        <v>782</v>
      </c>
      <c r="C149" t="s">
        <v>864</v>
      </c>
      <c r="D149" t="s">
        <v>16</v>
      </c>
      <c r="E149" t="s">
        <v>169</v>
      </c>
      <c r="F149">
        <v>42480</v>
      </c>
      <c r="G149" s="1">
        <v>45812</v>
      </c>
    </row>
    <row r="150" spans="1:7">
      <c r="A150">
        <v>21815</v>
      </c>
      <c r="B150" t="s">
        <v>782</v>
      </c>
      <c r="C150" t="s">
        <v>865</v>
      </c>
      <c r="D150" t="s">
        <v>866</v>
      </c>
      <c r="E150" t="s">
        <v>169</v>
      </c>
      <c r="F150">
        <v>196116</v>
      </c>
      <c r="G150" s="1">
        <v>45812</v>
      </c>
    </row>
    <row r="151" spans="1:7">
      <c r="A151">
        <v>21818</v>
      </c>
      <c r="B151" t="s">
        <v>769</v>
      </c>
      <c r="C151" t="s">
        <v>868</v>
      </c>
      <c r="D151" t="s">
        <v>18</v>
      </c>
      <c r="E151" t="s">
        <v>169</v>
      </c>
      <c r="F151">
        <v>-0.1</v>
      </c>
      <c r="G151" s="1">
        <v>45812</v>
      </c>
    </row>
    <row r="152" spans="1:7">
      <c r="A152">
        <v>21819</v>
      </c>
      <c r="B152" t="s">
        <v>782</v>
      </c>
      <c r="C152" t="s">
        <v>869</v>
      </c>
      <c r="D152" t="s">
        <v>18</v>
      </c>
      <c r="E152" t="s">
        <v>169</v>
      </c>
      <c r="F152">
        <v>38875.1</v>
      </c>
      <c r="G152" s="1">
        <v>45812</v>
      </c>
    </row>
    <row r="153" spans="1:7">
      <c r="A153">
        <v>21824</v>
      </c>
      <c r="B153" t="s">
        <v>782</v>
      </c>
      <c r="C153" t="s">
        <v>870</v>
      </c>
      <c r="D153" t="s">
        <v>19</v>
      </c>
      <c r="E153" t="s">
        <v>169</v>
      </c>
      <c r="F153">
        <v>1298000</v>
      </c>
      <c r="G153" s="1">
        <v>45812</v>
      </c>
    </row>
    <row r="154" spans="1:7">
      <c r="A154">
        <v>21834</v>
      </c>
      <c r="B154" t="s">
        <v>769</v>
      </c>
      <c r="C154" t="s">
        <v>898</v>
      </c>
      <c r="D154" t="s">
        <v>842</v>
      </c>
      <c r="E154" t="s">
        <v>169</v>
      </c>
      <c r="F154">
        <v>-0.22</v>
      </c>
      <c r="G154" s="1">
        <v>45813</v>
      </c>
    </row>
    <row r="155" spans="1:7">
      <c r="A155">
        <v>21835</v>
      </c>
      <c r="B155" t="s">
        <v>782</v>
      </c>
      <c r="C155" t="s">
        <v>899</v>
      </c>
      <c r="D155" t="s">
        <v>842</v>
      </c>
      <c r="E155" t="s">
        <v>169</v>
      </c>
      <c r="F155">
        <v>316569.22</v>
      </c>
      <c r="G155" s="1">
        <v>45813</v>
      </c>
    </row>
    <row r="156" spans="1:7">
      <c r="A156">
        <v>21837</v>
      </c>
      <c r="B156" t="s">
        <v>782</v>
      </c>
      <c r="C156" t="s">
        <v>900</v>
      </c>
      <c r="D156" t="s">
        <v>842</v>
      </c>
      <c r="E156" t="s">
        <v>169</v>
      </c>
      <c r="F156">
        <v>42834</v>
      </c>
      <c r="G156" s="1">
        <v>45813</v>
      </c>
    </row>
    <row r="157" spans="1:7">
      <c r="A157">
        <v>21844</v>
      </c>
      <c r="B157" t="s">
        <v>769</v>
      </c>
      <c r="C157" t="s">
        <v>902</v>
      </c>
      <c r="D157" t="s">
        <v>842</v>
      </c>
      <c r="E157" t="s">
        <v>169</v>
      </c>
      <c r="F157">
        <v>0.2</v>
      </c>
      <c r="G157" s="1">
        <v>45813</v>
      </c>
    </row>
    <row r="158" spans="1:7">
      <c r="A158">
        <v>21845</v>
      </c>
      <c r="B158" t="s">
        <v>782</v>
      </c>
      <c r="C158" t="s">
        <v>903</v>
      </c>
      <c r="D158" t="s">
        <v>842</v>
      </c>
      <c r="E158" t="s">
        <v>169</v>
      </c>
      <c r="F158">
        <v>57890.8</v>
      </c>
      <c r="G158" s="1">
        <v>45813</v>
      </c>
    </row>
    <row r="159" spans="1:7">
      <c r="A159">
        <v>21847</v>
      </c>
      <c r="B159" t="s">
        <v>782</v>
      </c>
      <c r="C159" t="s">
        <v>904</v>
      </c>
      <c r="D159" t="s">
        <v>842</v>
      </c>
      <c r="E159" t="s">
        <v>169</v>
      </c>
      <c r="F159">
        <v>71390</v>
      </c>
      <c r="G159" s="1">
        <v>45813</v>
      </c>
    </row>
    <row r="160" spans="1:7">
      <c r="A160">
        <v>21848</v>
      </c>
      <c r="B160" t="s">
        <v>769</v>
      </c>
      <c r="C160" t="s">
        <v>906</v>
      </c>
      <c r="D160" t="s">
        <v>842</v>
      </c>
      <c r="E160" t="s">
        <v>169</v>
      </c>
      <c r="F160">
        <v>-0.2</v>
      </c>
      <c r="G160" s="1">
        <v>45813</v>
      </c>
    </row>
    <row r="161" spans="1:7">
      <c r="A161">
        <v>21849</v>
      </c>
      <c r="B161" t="s">
        <v>782</v>
      </c>
      <c r="C161" t="s">
        <v>907</v>
      </c>
      <c r="D161" t="s">
        <v>842</v>
      </c>
      <c r="E161" t="s">
        <v>169</v>
      </c>
      <c r="F161">
        <v>96571.2</v>
      </c>
      <c r="G161" s="1">
        <v>45813</v>
      </c>
    </row>
    <row r="162" spans="1:7">
      <c r="A162">
        <v>21950</v>
      </c>
      <c r="B162" t="s">
        <v>769</v>
      </c>
      <c r="C162" t="s">
        <v>927</v>
      </c>
      <c r="D162" t="s">
        <v>80</v>
      </c>
      <c r="E162" t="s">
        <v>169</v>
      </c>
      <c r="F162">
        <v>0.28</v>
      </c>
      <c r="G162" s="1">
        <v>45814</v>
      </c>
    </row>
    <row r="163" spans="1:7">
      <c r="A163">
        <v>21951</v>
      </c>
      <c r="B163" t="s">
        <v>782</v>
      </c>
      <c r="C163" t="s">
        <v>928</v>
      </c>
      <c r="D163" t="s">
        <v>80</v>
      </c>
      <c r="E163" t="s">
        <v>169</v>
      </c>
      <c r="F163">
        <v>1271733.72</v>
      </c>
      <c r="G163" s="1">
        <v>45814</v>
      </c>
    </row>
    <row r="164" spans="1:7">
      <c r="A164">
        <v>21953</v>
      </c>
      <c r="B164" t="s">
        <v>769</v>
      </c>
      <c r="C164" t="s">
        <v>930</v>
      </c>
      <c r="D164" t="s">
        <v>80</v>
      </c>
      <c r="E164" t="s">
        <v>169</v>
      </c>
      <c r="F164">
        <v>-0.4</v>
      </c>
      <c r="G164" s="1">
        <v>45814</v>
      </c>
    </row>
    <row r="165" spans="1:7">
      <c r="A165">
        <v>21954</v>
      </c>
      <c r="B165" t="s">
        <v>782</v>
      </c>
      <c r="C165" t="s">
        <v>931</v>
      </c>
      <c r="D165" t="s">
        <v>80</v>
      </c>
      <c r="E165" t="s">
        <v>169</v>
      </c>
      <c r="F165">
        <v>54332.4</v>
      </c>
      <c r="G165" s="1">
        <v>45814</v>
      </c>
    </row>
    <row r="166" spans="1:7">
      <c r="A166">
        <v>21957</v>
      </c>
      <c r="B166" t="s">
        <v>769</v>
      </c>
      <c r="C166" t="s">
        <v>933</v>
      </c>
      <c r="D166" t="s">
        <v>23</v>
      </c>
      <c r="E166" t="s">
        <v>169</v>
      </c>
      <c r="F166">
        <v>0.4</v>
      </c>
      <c r="G166" s="1">
        <v>45814</v>
      </c>
    </row>
    <row r="167" spans="1:7">
      <c r="A167">
        <v>21958</v>
      </c>
      <c r="B167" t="s">
        <v>782</v>
      </c>
      <c r="C167" t="s">
        <v>934</v>
      </c>
      <c r="D167" t="s">
        <v>23</v>
      </c>
      <c r="E167" t="s">
        <v>169</v>
      </c>
      <c r="F167">
        <v>178186.6</v>
      </c>
      <c r="G167" s="1">
        <v>45814</v>
      </c>
    </row>
    <row r="168" spans="1:7">
      <c r="A168">
        <v>21963</v>
      </c>
      <c r="B168" t="s">
        <v>769</v>
      </c>
      <c r="C168" t="s">
        <v>983</v>
      </c>
      <c r="D168" t="s">
        <v>110</v>
      </c>
      <c r="E168" t="s">
        <v>169</v>
      </c>
      <c r="F168">
        <v>0.25</v>
      </c>
      <c r="G168" s="1">
        <v>45817</v>
      </c>
    </row>
    <row r="169" spans="1:7">
      <c r="A169">
        <v>21964</v>
      </c>
      <c r="B169" t="s">
        <v>782</v>
      </c>
      <c r="C169" t="s">
        <v>984</v>
      </c>
      <c r="D169" t="s">
        <v>110</v>
      </c>
      <c r="E169" t="s">
        <v>169</v>
      </c>
      <c r="F169">
        <v>356827.75</v>
      </c>
      <c r="G169" s="1">
        <v>45817</v>
      </c>
    </row>
    <row r="170" spans="1:7">
      <c r="A170">
        <v>21966</v>
      </c>
      <c r="B170" t="s">
        <v>769</v>
      </c>
      <c r="C170" t="s">
        <v>986</v>
      </c>
      <c r="D170" t="s">
        <v>910</v>
      </c>
      <c r="E170" t="s">
        <v>169</v>
      </c>
      <c r="F170">
        <v>0.14</v>
      </c>
      <c r="G170" s="1">
        <v>45817</v>
      </c>
    </row>
    <row r="171" spans="1:7">
      <c r="A171">
        <v>21967</v>
      </c>
      <c r="B171" t="s">
        <v>782</v>
      </c>
      <c r="C171" t="s">
        <v>987</v>
      </c>
      <c r="D171" t="s">
        <v>910</v>
      </c>
      <c r="E171" t="s">
        <v>169</v>
      </c>
      <c r="F171">
        <v>907293.86</v>
      </c>
      <c r="G171" s="1">
        <v>45817</v>
      </c>
    </row>
    <row r="172" spans="1:7">
      <c r="A172">
        <v>21980</v>
      </c>
      <c r="B172" t="s">
        <v>769</v>
      </c>
      <c r="C172" t="s">
        <v>1123</v>
      </c>
      <c r="D172" t="s">
        <v>48</v>
      </c>
      <c r="E172" t="s">
        <v>169</v>
      </c>
      <c r="F172">
        <v>0.12</v>
      </c>
      <c r="G172" s="1">
        <v>45820</v>
      </c>
    </row>
    <row r="173" spans="1:7">
      <c r="A173">
        <v>21981</v>
      </c>
      <c r="B173" t="s">
        <v>782</v>
      </c>
      <c r="C173" t="s">
        <v>1124</v>
      </c>
      <c r="D173" t="s">
        <v>48</v>
      </c>
      <c r="E173" t="s">
        <v>169</v>
      </c>
      <c r="F173">
        <v>885903.88</v>
      </c>
      <c r="G173" s="1">
        <v>45820</v>
      </c>
    </row>
    <row r="174" spans="1:7">
      <c r="A174">
        <v>21982</v>
      </c>
      <c r="B174" t="s">
        <v>769</v>
      </c>
      <c r="C174" t="s">
        <v>1126</v>
      </c>
      <c r="D174" t="s">
        <v>102</v>
      </c>
      <c r="E174" t="s">
        <v>169</v>
      </c>
      <c r="F174">
        <v>0.2</v>
      </c>
      <c r="G174" s="1">
        <v>45820</v>
      </c>
    </row>
    <row r="175" spans="1:7">
      <c r="A175">
        <v>21983</v>
      </c>
      <c r="B175" t="s">
        <v>782</v>
      </c>
      <c r="C175" t="s">
        <v>1127</v>
      </c>
      <c r="D175" t="s">
        <v>102</v>
      </c>
      <c r="E175" t="s">
        <v>169</v>
      </c>
      <c r="F175">
        <v>84499.8</v>
      </c>
      <c r="G175" s="1">
        <v>45820</v>
      </c>
    </row>
    <row r="176" spans="1:7">
      <c r="A176">
        <v>21984</v>
      </c>
      <c r="B176" t="s">
        <v>769</v>
      </c>
      <c r="C176" t="s">
        <v>1163</v>
      </c>
      <c r="D176" t="s">
        <v>787</v>
      </c>
      <c r="E176" t="s">
        <v>169</v>
      </c>
      <c r="F176">
        <v>-0.37</v>
      </c>
      <c r="G176" s="1">
        <v>45821</v>
      </c>
    </row>
    <row r="177" spans="1:7">
      <c r="A177">
        <v>21985</v>
      </c>
      <c r="B177" t="s">
        <v>782</v>
      </c>
      <c r="C177" t="s">
        <v>1164</v>
      </c>
      <c r="D177" t="s">
        <v>787</v>
      </c>
      <c r="E177" t="s">
        <v>169</v>
      </c>
      <c r="F177">
        <v>1230914.37</v>
      </c>
      <c r="G177" s="1">
        <v>45821</v>
      </c>
    </row>
    <row r="178" spans="1:7">
      <c r="A178">
        <v>21986</v>
      </c>
      <c r="B178" t="s">
        <v>769</v>
      </c>
      <c r="C178" t="s">
        <v>1166</v>
      </c>
      <c r="D178" t="s">
        <v>81</v>
      </c>
      <c r="E178" t="s">
        <v>169</v>
      </c>
      <c r="F178">
        <v>0.19</v>
      </c>
      <c r="G178" s="1">
        <v>45821</v>
      </c>
    </row>
    <row r="179" spans="1:7">
      <c r="A179">
        <v>21987</v>
      </c>
      <c r="B179" t="s">
        <v>782</v>
      </c>
      <c r="C179" t="s">
        <v>1167</v>
      </c>
      <c r="D179" t="s">
        <v>81</v>
      </c>
      <c r="E179" t="s">
        <v>169</v>
      </c>
      <c r="F179">
        <v>176698.81</v>
      </c>
      <c r="G179" s="1">
        <v>45821</v>
      </c>
    </row>
    <row r="180" spans="1:7">
      <c r="A180">
        <v>21991</v>
      </c>
      <c r="B180" t="s">
        <v>769</v>
      </c>
      <c r="C180" t="s">
        <v>1169</v>
      </c>
      <c r="D180" t="s">
        <v>48</v>
      </c>
      <c r="E180" t="s">
        <v>169</v>
      </c>
      <c r="F180">
        <v>-0.38</v>
      </c>
      <c r="G180" s="1">
        <v>45821</v>
      </c>
    </row>
    <row r="181" spans="1:7">
      <c r="A181">
        <v>21992</v>
      </c>
      <c r="B181" t="s">
        <v>782</v>
      </c>
      <c r="C181" t="s">
        <v>1170</v>
      </c>
      <c r="D181" t="s">
        <v>48</v>
      </c>
      <c r="E181" t="s">
        <v>169</v>
      </c>
      <c r="F181">
        <v>669698.38</v>
      </c>
      <c r="G181" s="1">
        <v>45821</v>
      </c>
    </row>
    <row r="182" spans="1:7">
      <c r="A182">
        <v>21997</v>
      </c>
      <c r="B182" t="s">
        <v>769</v>
      </c>
      <c r="C182" t="s">
        <v>1172</v>
      </c>
      <c r="D182" t="s">
        <v>116</v>
      </c>
      <c r="E182" t="s">
        <v>169</v>
      </c>
      <c r="F182">
        <v>0.5</v>
      </c>
      <c r="G182" s="1">
        <v>45821</v>
      </c>
    </row>
    <row r="183" spans="1:7">
      <c r="A183">
        <v>21998</v>
      </c>
      <c r="B183" t="s">
        <v>782</v>
      </c>
      <c r="C183" t="s">
        <v>1173</v>
      </c>
      <c r="D183" t="s">
        <v>116</v>
      </c>
      <c r="E183" t="s">
        <v>169</v>
      </c>
      <c r="F183">
        <v>86169.5</v>
      </c>
      <c r="G183" s="1">
        <v>45821</v>
      </c>
    </row>
    <row r="184" spans="1:7">
      <c r="A184">
        <v>22000</v>
      </c>
      <c r="B184" t="s">
        <v>769</v>
      </c>
      <c r="C184" t="s">
        <v>1175</v>
      </c>
      <c r="D184" t="s">
        <v>69</v>
      </c>
      <c r="E184" t="s">
        <v>169</v>
      </c>
      <c r="F184">
        <v>0.23</v>
      </c>
      <c r="G184" s="1">
        <v>45821</v>
      </c>
    </row>
    <row r="185" spans="1:7">
      <c r="A185">
        <v>22001</v>
      </c>
      <c r="B185" t="s">
        <v>782</v>
      </c>
      <c r="C185" t="s">
        <v>1176</v>
      </c>
      <c r="D185" t="s">
        <v>69</v>
      </c>
      <c r="E185" t="s">
        <v>169</v>
      </c>
      <c r="F185">
        <v>1027696.77</v>
      </c>
      <c r="G185" s="1">
        <v>45821</v>
      </c>
    </row>
    <row r="186" spans="1:7">
      <c r="A186">
        <v>22009</v>
      </c>
      <c r="B186" t="s">
        <v>782</v>
      </c>
      <c r="C186" t="s">
        <v>1177</v>
      </c>
      <c r="D186" t="s">
        <v>37</v>
      </c>
      <c r="E186" t="s">
        <v>169</v>
      </c>
      <c r="F186">
        <v>6626880</v>
      </c>
      <c r="G186" s="1">
        <v>45821</v>
      </c>
    </row>
    <row r="187" spans="1:7">
      <c r="A187">
        <v>22121</v>
      </c>
      <c r="B187" t="s">
        <v>782</v>
      </c>
      <c r="C187" t="s">
        <v>1249</v>
      </c>
      <c r="D187" t="s">
        <v>23</v>
      </c>
      <c r="E187" t="s">
        <v>169</v>
      </c>
      <c r="F187">
        <v>1401840</v>
      </c>
      <c r="G187" s="1">
        <v>45824</v>
      </c>
    </row>
    <row r="188" spans="1:7">
      <c r="A188">
        <v>22127</v>
      </c>
      <c r="B188" t="s">
        <v>782</v>
      </c>
      <c r="C188" t="s">
        <v>1250</v>
      </c>
      <c r="D188" t="s">
        <v>48</v>
      </c>
      <c r="E188" t="s">
        <v>169</v>
      </c>
      <c r="F188">
        <v>94695</v>
      </c>
      <c r="G188" s="1">
        <v>45824</v>
      </c>
    </row>
    <row r="189" spans="1:7">
      <c r="A189">
        <v>22132</v>
      </c>
      <c r="B189" t="s">
        <v>769</v>
      </c>
      <c r="C189" t="s">
        <v>1252</v>
      </c>
      <c r="D189" t="s">
        <v>89</v>
      </c>
      <c r="E189" t="s">
        <v>169</v>
      </c>
      <c r="F189">
        <v>-0.1</v>
      </c>
      <c r="G189" s="1">
        <v>45824</v>
      </c>
    </row>
    <row r="190" spans="1:7">
      <c r="A190">
        <v>22133</v>
      </c>
      <c r="B190" t="s">
        <v>782</v>
      </c>
      <c r="C190" t="s">
        <v>1253</v>
      </c>
      <c r="D190" t="s">
        <v>89</v>
      </c>
      <c r="E190" t="s">
        <v>169</v>
      </c>
      <c r="F190">
        <v>475357.1</v>
      </c>
      <c r="G190" s="1">
        <v>45824</v>
      </c>
    </row>
    <row r="191" spans="1:7">
      <c r="A191">
        <v>22136</v>
      </c>
      <c r="B191" t="s">
        <v>769</v>
      </c>
      <c r="C191" t="s">
        <v>1255</v>
      </c>
      <c r="D191" t="s">
        <v>54</v>
      </c>
      <c r="E191" t="s">
        <v>169</v>
      </c>
      <c r="F191">
        <v>0.4</v>
      </c>
      <c r="G191" s="1">
        <v>45824</v>
      </c>
    </row>
    <row r="192" spans="1:7">
      <c r="A192">
        <v>22137</v>
      </c>
      <c r="B192" t="s">
        <v>782</v>
      </c>
      <c r="C192" t="s">
        <v>1256</v>
      </c>
      <c r="D192" t="s">
        <v>54</v>
      </c>
      <c r="E192" t="s">
        <v>169</v>
      </c>
      <c r="F192">
        <v>346176.6</v>
      </c>
      <c r="G192" s="1">
        <v>45824</v>
      </c>
    </row>
    <row r="193" spans="1:7">
      <c r="A193">
        <v>22160</v>
      </c>
      <c r="B193" t="s">
        <v>769</v>
      </c>
      <c r="C193" t="s">
        <v>1277</v>
      </c>
      <c r="D193" t="s">
        <v>1098</v>
      </c>
      <c r="E193" t="s">
        <v>169</v>
      </c>
      <c r="F193">
        <v>-0.01</v>
      </c>
      <c r="G193" s="1">
        <v>45825</v>
      </c>
    </row>
    <row r="194" spans="1:7">
      <c r="A194">
        <v>22161</v>
      </c>
      <c r="B194" t="s">
        <v>782</v>
      </c>
      <c r="C194" t="s">
        <v>1278</v>
      </c>
      <c r="D194" t="s">
        <v>1098</v>
      </c>
      <c r="E194" t="s">
        <v>169</v>
      </c>
      <c r="F194">
        <v>28833.01</v>
      </c>
      <c r="G194" s="1">
        <v>45825</v>
      </c>
    </row>
    <row r="195" spans="1:7">
      <c r="A195">
        <v>22179</v>
      </c>
      <c r="B195" t="s">
        <v>769</v>
      </c>
      <c r="C195" t="s">
        <v>1280</v>
      </c>
      <c r="D195" t="s">
        <v>93</v>
      </c>
      <c r="E195" t="s">
        <v>169</v>
      </c>
      <c r="F195">
        <v>0.48</v>
      </c>
      <c r="G195" s="1">
        <v>45825</v>
      </c>
    </row>
    <row r="196" spans="1:7">
      <c r="A196">
        <v>22180</v>
      </c>
      <c r="B196" t="s">
        <v>782</v>
      </c>
      <c r="C196" t="s">
        <v>1281</v>
      </c>
      <c r="D196" t="s">
        <v>93</v>
      </c>
      <c r="E196" t="s">
        <v>169</v>
      </c>
      <c r="F196">
        <v>21257.52</v>
      </c>
      <c r="G196" s="1">
        <v>45825</v>
      </c>
    </row>
    <row r="197" spans="1:7">
      <c r="A197">
        <v>22187</v>
      </c>
      <c r="B197" t="s">
        <v>769</v>
      </c>
      <c r="C197" t="s">
        <v>1283</v>
      </c>
      <c r="D197" t="s">
        <v>54</v>
      </c>
      <c r="E197" t="s">
        <v>169</v>
      </c>
      <c r="F197">
        <v>0.25</v>
      </c>
      <c r="G197" s="1">
        <v>45825</v>
      </c>
    </row>
    <row r="198" spans="1:7">
      <c r="A198">
        <v>22188</v>
      </c>
      <c r="B198" t="s">
        <v>782</v>
      </c>
      <c r="C198" t="s">
        <v>1284</v>
      </c>
      <c r="D198" t="s">
        <v>54</v>
      </c>
      <c r="E198" t="s">
        <v>169</v>
      </c>
      <c r="F198">
        <v>27567.75</v>
      </c>
      <c r="G198" s="1">
        <v>45825</v>
      </c>
    </row>
    <row r="199" spans="1:7">
      <c r="A199">
        <v>22203</v>
      </c>
      <c r="B199" t="s">
        <v>782</v>
      </c>
      <c r="C199" t="s">
        <v>1285</v>
      </c>
      <c r="D199" t="s">
        <v>69</v>
      </c>
      <c r="E199" t="s">
        <v>169</v>
      </c>
      <c r="F199">
        <v>481558</v>
      </c>
      <c r="G199" s="1">
        <v>45825</v>
      </c>
    </row>
    <row r="200" spans="1:7">
      <c r="A200">
        <v>22213</v>
      </c>
      <c r="B200" t="s">
        <v>769</v>
      </c>
      <c r="C200" t="s">
        <v>1302</v>
      </c>
      <c r="D200" t="s">
        <v>80</v>
      </c>
      <c r="E200" t="s">
        <v>169</v>
      </c>
      <c r="F200">
        <v>-0.3</v>
      </c>
      <c r="G200" s="1">
        <v>45826</v>
      </c>
    </row>
    <row r="201" spans="1:7">
      <c r="A201">
        <v>22214</v>
      </c>
      <c r="B201" t="s">
        <v>782</v>
      </c>
      <c r="C201" t="s">
        <v>1303</v>
      </c>
      <c r="D201" t="s">
        <v>80</v>
      </c>
      <c r="E201" t="s">
        <v>169</v>
      </c>
      <c r="F201">
        <v>231298.3</v>
      </c>
      <c r="G201" s="1">
        <v>45826</v>
      </c>
    </row>
    <row r="202" spans="1:7">
      <c r="A202">
        <v>22217</v>
      </c>
      <c r="B202" t="s">
        <v>769</v>
      </c>
      <c r="C202" t="s">
        <v>1305</v>
      </c>
      <c r="D202" t="s">
        <v>80</v>
      </c>
      <c r="E202" t="s">
        <v>169</v>
      </c>
      <c r="F202">
        <v>0.18</v>
      </c>
      <c r="G202" s="1">
        <v>45826</v>
      </c>
    </row>
    <row r="203" spans="1:7">
      <c r="A203">
        <v>22218</v>
      </c>
      <c r="B203" t="s">
        <v>782</v>
      </c>
      <c r="C203" t="s">
        <v>1306</v>
      </c>
      <c r="D203" t="s">
        <v>80</v>
      </c>
      <c r="E203" t="s">
        <v>169</v>
      </c>
      <c r="F203">
        <v>602063.82</v>
      </c>
      <c r="G203" s="1">
        <v>45826</v>
      </c>
    </row>
    <row r="204" spans="1:7">
      <c r="A204">
        <v>22221</v>
      </c>
      <c r="B204" t="s">
        <v>782</v>
      </c>
      <c r="C204" t="s">
        <v>1307</v>
      </c>
      <c r="D204" t="s">
        <v>54</v>
      </c>
      <c r="E204" t="s">
        <v>169</v>
      </c>
      <c r="F204">
        <v>123900</v>
      </c>
      <c r="G204" s="1">
        <v>45826</v>
      </c>
    </row>
    <row r="205" spans="1:7">
      <c r="A205">
        <v>22253</v>
      </c>
      <c r="B205" t="s">
        <v>769</v>
      </c>
      <c r="C205" t="s">
        <v>1324</v>
      </c>
      <c r="D205" t="s">
        <v>69</v>
      </c>
      <c r="E205" t="s">
        <v>169</v>
      </c>
      <c r="F205">
        <v>0.5</v>
      </c>
      <c r="G205" s="1">
        <v>45827</v>
      </c>
    </row>
    <row r="206" spans="1:7">
      <c r="A206">
        <v>22254</v>
      </c>
      <c r="B206" t="s">
        <v>782</v>
      </c>
      <c r="C206" t="s">
        <v>1325</v>
      </c>
      <c r="D206" t="s">
        <v>69</v>
      </c>
      <c r="E206" t="s">
        <v>169</v>
      </c>
      <c r="F206">
        <v>483770.5</v>
      </c>
      <c r="G206" s="1">
        <v>45827</v>
      </c>
    </row>
    <row r="207" spans="1:7">
      <c r="A207">
        <v>22269</v>
      </c>
      <c r="B207" t="s">
        <v>769</v>
      </c>
      <c r="C207" t="s">
        <v>1327</v>
      </c>
      <c r="D207" t="s">
        <v>33</v>
      </c>
      <c r="E207" t="s">
        <v>169</v>
      </c>
      <c r="F207">
        <v>-0.04</v>
      </c>
      <c r="G207" s="1">
        <v>45827</v>
      </c>
    </row>
    <row r="208" spans="1:7">
      <c r="A208">
        <v>22270</v>
      </c>
      <c r="B208" t="s">
        <v>782</v>
      </c>
      <c r="C208" t="s">
        <v>1328</v>
      </c>
      <c r="D208" t="s">
        <v>33</v>
      </c>
      <c r="E208" t="s">
        <v>169</v>
      </c>
      <c r="F208">
        <v>3593538.96</v>
      </c>
      <c r="G208" s="1">
        <v>45827</v>
      </c>
    </row>
    <row r="209" spans="1:7">
      <c r="A209">
        <v>22287</v>
      </c>
      <c r="B209" t="s">
        <v>769</v>
      </c>
      <c r="C209" t="s">
        <v>1379</v>
      </c>
      <c r="D209" t="s">
        <v>48</v>
      </c>
      <c r="E209" t="s">
        <v>169</v>
      </c>
      <c r="F209">
        <v>0.06</v>
      </c>
      <c r="G209" s="1">
        <v>45828</v>
      </c>
    </row>
    <row r="210" spans="1:7">
      <c r="A210">
        <v>22288</v>
      </c>
      <c r="B210" t="s">
        <v>782</v>
      </c>
      <c r="C210" t="s">
        <v>1380</v>
      </c>
      <c r="D210" t="s">
        <v>48</v>
      </c>
      <c r="E210" t="s">
        <v>169</v>
      </c>
      <c r="F210">
        <v>283356.94</v>
      </c>
      <c r="G210" s="1">
        <v>45828</v>
      </c>
    </row>
    <row r="211" spans="1:7">
      <c r="A211">
        <v>22301</v>
      </c>
      <c r="B211" t="s">
        <v>769</v>
      </c>
      <c r="C211" t="s">
        <v>1382</v>
      </c>
      <c r="D211" t="s">
        <v>44</v>
      </c>
      <c r="E211" t="s">
        <v>169</v>
      </c>
      <c r="F211">
        <v>0.3</v>
      </c>
      <c r="G211" s="1">
        <v>45828</v>
      </c>
    </row>
    <row r="212" spans="1:7">
      <c r="A212">
        <v>22302</v>
      </c>
      <c r="B212" t="s">
        <v>782</v>
      </c>
      <c r="C212" t="s">
        <v>1383</v>
      </c>
      <c r="D212" t="s">
        <v>44</v>
      </c>
      <c r="E212" t="s">
        <v>169</v>
      </c>
      <c r="F212">
        <v>5852749.7</v>
      </c>
      <c r="G212" s="1">
        <v>45828</v>
      </c>
    </row>
    <row r="213" spans="1:7">
      <c r="A213">
        <v>22314</v>
      </c>
      <c r="B213" t="s">
        <v>769</v>
      </c>
      <c r="C213" t="s">
        <v>1385</v>
      </c>
      <c r="D213" t="s">
        <v>842</v>
      </c>
      <c r="E213" t="s">
        <v>169</v>
      </c>
      <c r="F213">
        <v>0.41</v>
      </c>
      <c r="G213" s="1">
        <v>45828</v>
      </c>
    </row>
    <row r="214" spans="1:7">
      <c r="A214">
        <v>22315</v>
      </c>
      <c r="B214" t="s">
        <v>782</v>
      </c>
      <c r="C214" t="s">
        <v>1386</v>
      </c>
      <c r="D214" t="s">
        <v>842</v>
      </c>
      <c r="E214" t="s">
        <v>169</v>
      </c>
      <c r="F214">
        <v>748238.59</v>
      </c>
      <c r="G214" s="1">
        <v>45828</v>
      </c>
    </row>
    <row r="215" spans="1:7">
      <c r="A215">
        <v>22319</v>
      </c>
      <c r="B215" t="s">
        <v>769</v>
      </c>
      <c r="C215" t="s">
        <v>1409</v>
      </c>
      <c r="D215" t="s">
        <v>28</v>
      </c>
      <c r="E215" t="s">
        <v>169</v>
      </c>
      <c r="F215">
        <v>0.32</v>
      </c>
      <c r="G215" s="1">
        <v>45829</v>
      </c>
    </row>
    <row r="216" spans="1:7">
      <c r="A216">
        <v>22320</v>
      </c>
      <c r="B216" t="s">
        <v>782</v>
      </c>
      <c r="C216" t="s">
        <v>1410</v>
      </c>
      <c r="D216" t="s">
        <v>28</v>
      </c>
      <c r="E216" t="s">
        <v>169</v>
      </c>
      <c r="F216">
        <v>3445099.68</v>
      </c>
      <c r="G216" s="1">
        <v>45829</v>
      </c>
    </row>
    <row r="217" spans="1:7">
      <c r="A217">
        <v>22324</v>
      </c>
      <c r="B217" t="s">
        <v>769</v>
      </c>
      <c r="C217" t="s">
        <v>1421</v>
      </c>
      <c r="D217" t="s">
        <v>910</v>
      </c>
      <c r="E217" t="s">
        <v>169</v>
      </c>
      <c r="F217">
        <v>-0.2</v>
      </c>
      <c r="G217" s="1">
        <v>45831</v>
      </c>
    </row>
    <row r="218" spans="1:7">
      <c r="A218">
        <v>22325</v>
      </c>
      <c r="B218" t="s">
        <v>782</v>
      </c>
      <c r="C218" t="s">
        <v>1422</v>
      </c>
      <c r="D218" t="s">
        <v>910</v>
      </c>
      <c r="E218" t="s">
        <v>169</v>
      </c>
      <c r="F218">
        <v>94624.2</v>
      </c>
      <c r="G218" s="1">
        <v>45831</v>
      </c>
    </row>
    <row r="219" spans="1:7">
      <c r="A219">
        <v>22327</v>
      </c>
      <c r="B219" t="s">
        <v>782</v>
      </c>
      <c r="C219" t="s">
        <v>1423</v>
      </c>
      <c r="D219" t="s">
        <v>10</v>
      </c>
      <c r="E219" t="s">
        <v>169</v>
      </c>
      <c r="F219">
        <v>1641675</v>
      </c>
      <c r="G219" s="1">
        <v>45831</v>
      </c>
    </row>
    <row r="220" spans="1:7">
      <c r="A220">
        <v>22332</v>
      </c>
      <c r="B220" t="s">
        <v>769</v>
      </c>
      <c r="C220" t="s">
        <v>1425</v>
      </c>
      <c r="D220" t="s">
        <v>108</v>
      </c>
      <c r="E220" t="s">
        <v>169</v>
      </c>
      <c r="F220">
        <v>0.2</v>
      </c>
      <c r="G220" s="1">
        <v>45831</v>
      </c>
    </row>
    <row r="221" spans="1:7">
      <c r="A221">
        <v>22333</v>
      </c>
      <c r="B221" t="s">
        <v>782</v>
      </c>
      <c r="C221" t="s">
        <v>1426</v>
      </c>
      <c r="D221" t="s">
        <v>108</v>
      </c>
      <c r="E221" t="s">
        <v>169</v>
      </c>
      <c r="F221">
        <v>70221.8</v>
      </c>
      <c r="G221" s="1">
        <v>45831</v>
      </c>
    </row>
    <row r="222" spans="1:7">
      <c r="A222">
        <v>22336</v>
      </c>
      <c r="B222" t="s">
        <v>769</v>
      </c>
      <c r="C222" t="s">
        <v>1595</v>
      </c>
      <c r="D222" t="s">
        <v>772</v>
      </c>
      <c r="E222" t="s">
        <v>169</v>
      </c>
      <c r="F222">
        <v>0.14</v>
      </c>
      <c r="G222" s="1">
        <v>45835</v>
      </c>
    </row>
    <row r="223" spans="1:7">
      <c r="A223">
        <v>22337</v>
      </c>
      <c r="B223" t="s">
        <v>782</v>
      </c>
      <c r="C223" t="s">
        <v>1596</v>
      </c>
      <c r="D223" t="s">
        <v>772</v>
      </c>
      <c r="E223" t="s">
        <v>169</v>
      </c>
      <c r="F223">
        <v>3286626.86</v>
      </c>
      <c r="G223" s="1">
        <v>45835</v>
      </c>
    </row>
    <row r="224" spans="1:7">
      <c r="A224">
        <v>22342</v>
      </c>
      <c r="B224" t="s">
        <v>769</v>
      </c>
      <c r="C224" t="s">
        <v>872</v>
      </c>
      <c r="D224" t="s">
        <v>36</v>
      </c>
      <c r="E224" t="s">
        <v>169</v>
      </c>
      <c r="F224">
        <v>-0.16</v>
      </c>
      <c r="G224" s="1">
        <v>45812</v>
      </c>
    </row>
    <row r="225" spans="1:7">
      <c r="A225">
        <v>22343</v>
      </c>
      <c r="B225" t="s">
        <v>782</v>
      </c>
      <c r="C225" t="s">
        <v>873</v>
      </c>
      <c r="D225" t="s">
        <v>36</v>
      </c>
      <c r="E225" t="s">
        <v>169</v>
      </c>
      <c r="F225">
        <v>1073991.16</v>
      </c>
      <c r="G225" s="1">
        <v>45812</v>
      </c>
    </row>
    <row r="226" spans="1:7">
      <c r="A226">
        <v>22346</v>
      </c>
      <c r="B226" t="s">
        <v>769</v>
      </c>
      <c r="C226" t="s">
        <v>875</v>
      </c>
      <c r="D226" t="s">
        <v>85</v>
      </c>
      <c r="E226" t="s">
        <v>169</v>
      </c>
      <c r="F226">
        <v>-0.36</v>
      </c>
      <c r="G226" s="1">
        <v>45812</v>
      </c>
    </row>
    <row r="227" spans="1:7">
      <c r="A227">
        <v>22347</v>
      </c>
      <c r="B227" t="s">
        <v>782</v>
      </c>
      <c r="C227" t="s">
        <v>876</v>
      </c>
      <c r="D227" t="s">
        <v>85</v>
      </c>
      <c r="E227" t="s">
        <v>169</v>
      </c>
      <c r="F227">
        <v>1223780.36</v>
      </c>
      <c r="G227" s="1">
        <v>45812</v>
      </c>
    </row>
    <row r="228" spans="1:7">
      <c r="A228">
        <v>22348</v>
      </c>
      <c r="B228" t="s">
        <v>769</v>
      </c>
      <c r="C228" t="s">
        <v>989</v>
      </c>
      <c r="D228" t="s">
        <v>132</v>
      </c>
      <c r="E228" t="s">
        <v>169</v>
      </c>
      <c r="F228">
        <v>-0.31</v>
      </c>
      <c r="G228" s="1">
        <v>45817</v>
      </c>
    </row>
    <row r="229" spans="1:7">
      <c r="A229">
        <v>22349</v>
      </c>
      <c r="B229" t="s">
        <v>782</v>
      </c>
      <c r="C229" t="s">
        <v>990</v>
      </c>
      <c r="D229" t="s">
        <v>132</v>
      </c>
      <c r="E229" t="s">
        <v>169</v>
      </c>
      <c r="F229">
        <v>38040.31</v>
      </c>
      <c r="G229" s="1">
        <v>45817</v>
      </c>
    </row>
    <row r="230" spans="1:7">
      <c r="A230">
        <v>22350</v>
      </c>
      <c r="B230" t="s">
        <v>769</v>
      </c>
      <c r="C230" t="s">
        <v>992</v>
      </c>
      <c r="D230" t="s">
        <v>132</v>
      </c>
      <c r="E230" t="s">
        <v>169</v>
      </c>
      <c r="F230">
        <v>0.07</v>
      </c>
      <c r="G230" s="1">
        <v>45817</v>
      </c>
    </row>
    <row r="231" spans="1:7">
      <c r="A231">
        <v>22351</v>
      </c>
      <c r="B231" t="s">
        <v>782</v>
      </c>
      <c r="C231" t="s">
        <v>993</v>
      </c>
      <c r="D231" t="s">
        <v>132</v>
      </c>
      <c r="E231" t="s">
        <v>169</v>
      </c>
      <c r="F231">
        <v>39134.93</v>
      </c>
      <c r="G231" s="1">
        <v>45817</v>
      </c>
    </row>
    <row r="232" spans="1:7">
      <c r="A232">
        <v>22360</v>
      </c>
      <c r="B232" t="s">
        <v>769</v>
      </c>
      <c r="C232" t="s">
        <v>995</v>
      </c>
      <c r="D232" t="s">
        <v>132</v>
      </c>
      <c r="E232" t="s">
        <v>169</v>
      </c>
      <c r="F232">
        <v>-0.3</v>
      </c>
      <c r="G232" s="1">
        <v>45817</v>
      </c>
    </row>
    <row r="233" spans="1:7">
      <c r="A233">
        <v>22361</v>
      </c>
      <c r="B233" t="s">
        <v>782</v>
      </c>
      <c r="C233" t="s">
        <v>996</v>
      </c>
      <c r="D233" t="s">
        <v>132</v>
      </c>
      <c r="E233" t="s">
        <v>169</v>
      </c>
      <c r="F233">
        <v>600831.3</v>
      </c>
      <c r="G233" s="1">
        <v>45817</v>
      </c>
    </row>
    <row r="234" spans="1:7">
      <c r="A234">
        <v>22366</v>
      </c>
      <c r="B234" t="s">
        <v>769</v>
      </c>
      <c r="C234" t="s">
        <v>1287</v>
      </c>
      <c r="D234" t="s">
        <v>117</v>
      </c>
      <c r="E234" t="s">
        <v>169</v>
      </c>
      <c r="F234">
        <v>-0.36</v>
      </c>
      <c r="G234" s="1">
        <v>45825</v>
      </c>
    </row>
    <row r="235" spans="1:7">
      <c r="A235">
        <v>22367</v>
      </c>
      <c r="B235" t="s">
        <v>782</v>
      </c>
      <c r="C235" t="s">
        <v>1288</v>
      </c>
      <c r="D235" t="s">
        <v>117</v>
      </c>
      <c r="E235" t="s">
        <v>169</v>
      </c>
      <c r="F235">
        <v>25523.36</v>
      </c>
      <c r="G235" s="1">
        <v>45825</v>
      </c>
    </row>
    <row r="236" spans="1:7">
      <c r="A236">
        <v>22374</v>
      </c>
      <c r="B236" t="s">
        <v>769</v>
      </c>
      <c r="C236" t="s">
        <v>1330</v>
      </c>
      <c r="D236" t="s">
        <v>36</v>
      </c>
      <c r="E236" t="s">
        <v>169</v>
      </c>
      <c r="F236">
        <v>0.4</v>
      </c>
      <c r="G236" s="1">
        <v>45827</v>
      </c>
    </row>
    <row r="237" spans="1:7">
      <c r="A237">
        <v>22375</v>
      </c>
      <c r="B237" t="s">
        <v>782</v>
      </c>
      <c r="C237" t="s">
        <v>1331</v>
      </c>
      <c r="D237" t="s">
        <v>36</v>
      </c>
      <c r="E237" t="s">
        <v>169</v>
      </c>
      <c r="F237">
        <v>49583.6</v>
      </c>
      <c r="G237" s="1">
        <v>45827</v>
      </c>
    </row>
    <row r="238" spans="1:7">
      <c r="A238">
        <v>22377</v>
      </c>
      <c r="B238" t="s">
        <v>769</v>
      </c>
      <c r="C238" t="s">
        <v>1428</v>
      </c>
      <c r="D238" t="s">
        <v>910</v>
      </c>
      <c r="E238" t="s">
        <v>169</v>
      </c>
      <c r="F238">
        <v>-0.14</v>
      </c>
      <c r="G238" s="1">
        <v>45831</v>
      </c>
    </row>
    <row r="239" spans="1:7">
      <c r="A239">
        <v>22378</v>
      </c>
      <c r="B239" t="s">
        <v>782</v>
      </c>
      <c r="C239" t="s">
        <v>1429</v>
      </c>
      <c r="D239" t="s">
        <v>910</v>
      </c>
      <c r="E239" t="s">
        <v>169</v>
      </c>
      <c r="F239">
        <v>308515.14</v>
      </c>
      <c r="G239" s="1">
        <v>45831</v>
      </c>
    </row>
    <row r="240" spans="1:7">
      <c r="A240">
        <v>22407</v>
      </c>
      <c r="B240" t="s">
        <v>769</v>
      </c>
      <c r="C240" t="s">
        <v>1020</v>
      </c>
      <c r="D240" t="s">
        <v>53</v>
      </c>
      <c r="E240" t="s">
        <v>169</v>
      </c>
      <c r="F240">
        <v>0.2</v>
      </c>
      <c r="G240" s="1">
        <v>45818</v>
      </c>
    </row>
    <row r="241" spans="1:7">
      <c r="A241">
        <v>22524</v>
      </c>
      <c r="B241" t="s">
        <v>769</v>
      </c>
      <c r="C241" t="s">
        <v>805</v>
      </c>
      <c r="D241" t="s">
        <v>39</v>
      </c>
      <c r="E241" t="s">
        <v>169</v>
      </c>
      <c r="F241">
        <v>-0.3</v>
      </c>
      <c r="G241" s="1">
        <v>45810</v>
      </c>
    </row>
    <row r="242" spans="1:7">
      <c r="A242">
        <v>22525</v>
      </c>
      <c r="B242" t="s">
        <v>782</v>
      </c>
      <c r="C242" t="s">
        <v>806</v>
      </c>
      <c r="D242" t="s">
        <v>39</v>
      </c>
      <c r="E242" t="s">
        <v>169</v>
      </c>
      <c r="F242">
        <v>716950.3</v>
      </c>
      <c r="G242" s="1">
        <v>45810</v>
      </c>
    </row>
    <row r="243" spans="1:7">
      <c r="A243">
        <v>22528</v>
      </c>
      <c r="B243" t="s">
        <v>782</v>
      </c>
      <c r="C243" t="s">
        <v>1044</v>
      </c>
      <c r="D243" t="s">
        <v>1045</v>
      </c>
      <c r="E243" t="s">
        <v>169</v>
      </c>
      <c r="F243">
        <v>579262</v>
      </c>
      <c r="G243" s="1">
        <v>45819</v>
      </c>
    </row>
    <row r="244" spans="1:7">
      <c r="A244">
        <v>22529</v>
      </c>
      <c r="B244" t="s">
        <v>769</v>
      </c>
      <c r="C244" t="s">
        <v>998</v>
      </c>
      <c r="D244" t="s">
        <v>777</v>
      </c>
      <c r="E244" t="s">
        <v>169</v>
      </c>
      <c r="F244">
        <v>0.39</v>
      </c>
      <c r="G244" s="1">
        <v>45817</v>
      </c>
    </row>
    <row r="245" spans="1:7">
      <c r="A245">
        <v>22530</v>
      </c>
      <c r="B245" t="s">
        <v>782</v>
      </c>
      <c r="C245" t="s">
        <v>999</v>
      </c>
      <c r="D245" t="s">
        <v>777</v>
      </c>
      <c r="E245" t="s">
        <v>169</v>
      </c>
      <c r="F245">
        <v>888642.61</v>
      </c>
      <c r="G245" s="1">
        <v>45817</v>
      </c>
    </row>
    <row r="246" spans="1:7">
      <c r="A246">
        <v>22531</v>
      </c>
      <c r="B246" t="s">
        <v>782</v>
      </c>
      <c r="C246" t="s">
        <v>1046</v>
      </c>
      <c r="D246" t="s">
        <v>1045</v>
      </c>
      <c r="E246" t="s">
        <v>169</v>
      </c>
      <c r="F246">
        <v>429520</v>
      </c>
      <c r="G246" s="1">
        <v>45819</v>
      </c>
    </row>
    <row r="247" spans="1:7">
      <c r="A247">
        <v>22532</v>
      </c>
      <c r="B247" t="s">
        <v>782</v>
      </c>
      <c r="C247" t="s">
        <v>1047</v>
      </c>
      <c r="D247" t="s">
        <v>1045</v>
      </c>
      <c r="E247" t="s">
        <v>169</v>
      </c>
      <c r="F247">
        <v>183490</v>
      </c>
      <c r="G247" s="1">
        <v>45819</v>
      </c>
    </row>
    <row r="248" spans="1:7">
      <c r="A248">
        <v>22533</v>
      </c>
      <c r="B248" t="s">
        <v>782</v>
      </c>
      <c r="C248" t="s">
        <v>1048</v>
      </c>
      <c r="D248" t="s">
        <v>1045</v>
      </c>
      <c r="E248" t="s">
        <v>169</v>
      </c>
      <c r="F248">
        <v>579262</v>
      </c>
      <c r="G248" s="1">
        <v>45819</v>
      </c>
    </row>
    <row r="249" spans="1:7">
      <c r="A249">
        <v>22534</v>
      </c>
      <c r="B249" t="s">
        <v>782</v>
      </c>
      <c r="C249" t="s">
        <v>1049</v>
      </c>
      <c r="D249" t="s">
        <v>1045</v>
      </c>
      <c r="E249" t="s">
        <v>169</v>
      </c>
      <c r="F249">
        <v>429520</v>
      </c>
      <c r="G249" s="1">
        <v>45819</v>
      </c>
    </row>
    <row r="250" spans="1:7">
      <c r="A250">
        <v>22535</v>
      </c>
      <c r="B250" t="s">
        <v>782</v>
      </c>
      <c r="C250" t="s">
        <v>1050</v>
      </c>
      <c r="D250" t="s">
        <v>1045</v>
      </c>
      <c r="E250" t="s">
        <v>169</v>
      </c>
      <c r="F250">
        <v>183490</v>
      </c>
      <c r="G250" s="1">
        <v>45819</v>
      </c>
    </row>
    <row r="251" spans="1:7">
      <c r="A251">
        <v>22536</v>
      </c>
      <c r="B251" t="s">
        <v>782</v>
      </c>
      <c r="C251" t="s">
        <v>1051</v>
      </c>
      <c r="D251" t="s">
        <v>1045</v>
      </c>
      <c r="E251" t="s">
        <v>169</v>
      </c>
      <c r="F251">
        <v>579262</v>
      </c>
      <c r="G251" s="1">
        <v>45819</v>
      </c>
    </row>
    <row r="252" spans="1:7">
      <c r="A252">
        <v>22537</v>
      </c>
      <c r="B252" t="s">
        <v>782</v>
      </c>
      <c r="C252" t="s">
        <v>1052</v>
      </c>
      <c r="D252" t="s">
        <v>1045</v>
      </c>
      <c r="E252" t="s">
        <v>169</v>
      </c>
      <c r="F252">
        <v>429520</v>
      </c>
      <c r="G252" s="1">
        <v>45819</v>
      </c>
    </row>
    <row r="253" spans="1:7">
      <c r="A253">
        <v>22538</v>
      </c>
      <c r="B253" t="s">
        <v>782</v>
      </c>
      <c r="C253" t="s">
        <v>1053</v>
      </c>
      <c r="D253" t="s">
        <v>1045</v>
      </c>
      <c r="E253" t="s">
        <v>169</v>
      </c>
      <c r="F253">
        <v>183490</v>
      </c>
      <c r="G253" s="1">
        <v>45819</v>
      </c>
    </row>
    <row r="254" spans="1:7">
      <c r="A254">
        <v>22717</v>
      </c>
      <c r="B254" t="s">
        <v>782</v>
      </c>
      <c r="C254" t="s">
        <v>1178</v>
      </c>
      <c r="D254" t="s">
        <v>37</v>
      </c>
      <c r="E254" t="s">
        <v>169</v>
      </c>
      <c r="F254">
        <v>2725800</v>
      </c>
      <c r="G254" s="1">
        <v>45821</v>
      </c>
    </row>
    <row r="255" spans="1:7">
      <c r="A255">
        <v>22757</v>
      </c>
      <c r="B255" t="s">
        <v>769</v>
      </c>
      <c r="C255" t="s">
        <v>1180</v>
      </c>
      <c r="D255" t="s">
        <v>37</v>
      </c>
      <c r="E255" t="s">
        <v>169</v>
      </c>
      <c r="F255">
        <v>0.4</v>
      </c>
      <c r="G255" s="1">
        <v>45821</v>
      </c>
    </row>
    <row r="256" spans="1:7">
      <c r="A256">
        <v>22758</v>
      </c>
      <c r="B256" t="s">
        <v>782</v>
      </c>
      <c r="C256" t="s">
        <v>1181</v>
      </c>
      <c r="D256" t="s">
        <v>37</v>
      </c>
      <c r="E256" t="s">
        <v>169</v>
      </c>
      <c r="F256">
        <v>2330877.6</v>
      </c>
      <c r="G256" s="1">
        <v>45821</v>
      </c>
    </row>
    <row r="257" spans="1:7">
      <c r="A257">
        <v>22759</v>
      </c>
      <c r="B257" t="s">
        <v>782</v>
      </c>
      <c r="C257" t="s">
        <v>1182</v>
      </c>
      <c r="D257" t="s">
        <v>37</v>
      </c>
      <c r="E257" t="s">
        <v>169</v>
      </c>
      <c r="F257">
        <v>828360</v>
      </c>
      <c r="G257" s="1">
        <v>45821</v>
      </c>
    </row>
    <row r="258" spans="1:7">
      <c r="A258">
        <v>22760</v>
      </c>
      <c r="B258" t="s">
        <v>782</v>
      </c>
      <c r="C258" t="s">
        <v>1183</v>
      </c>
      <c r="D258" t="s">
        <v>37</v>
      </c>
      <c r="E258" t="s">
        <v>169</v>
      </c>
      <c r="F258">
        <v>1534000</v>
      </c>
      <c r="G258" s="1">
        <v>45821</v>
      </c>
    </row>
    <row r="259" spans="1:7">
      <c r="A259">
        <v>22761</v>
      </c>
      <c r="B259" t="s">
        <v>782</v>
      </c>
      <c r="C259" t="s">
        <v>1184</v>
      </c>
      <c r="D259" t="s">
        <v>1185</v>
      </c>
      <c r="E259" t="s">
        <v>169</v>
      </c>
      <c r="F259">
        <v>579262</v>
      </c>
      <c r="G259" s="1">
        <v>45821</v>
      </c>
    </row>
    <row r="260" spans="1:7">
      <c r="A260">
        <v>22762</v>
      </c>
      <c r="B260" t="s">
        <v>782</v>
      </c>
      <c r="C260" t="s">
        <v>1186</v>
      </c>
      <c r="D260" t="s">
        <v>1185</v>
      </c>
      <c r="E260" t="s">
        <v>169</v>
      </c>
      <c r="F260">
        <v>429520</v>
      </c>
      <c r="G260" s="1">
        <v>45821</v>
      </c>
    </row>
    <row r="261" spans="1:7">
      <c r="A261">
        <v>22763</v>
      </c>
      <c r="B261" t="s">
        <v>782</v>
      </c>
      <c r="C261" t="s">
        <v>1187</v>
      </c>
      <c r="D261" t="s">
        <v>1185</v>
      </c>
      <c r="E261" t="s">
        <v>169</v>
      </c>
      <c r="F261">
        <v>183490</v>
      </c>
      <c r="G261" s="1">
        <v>45821</v>
      </c>
    </row>
    <row r="262" spans="1:7">
      <c r="A262">
        <v>22764</v>
      </c>
      <c r="B262" t="s">
        <v>769</v>
      </c>
      <c r="C262" t="s">
        <v>1598</v>
      </c>
      <c r="D262" t="s">
        <v>942</v>
      </c>
      <c r="E262" t="s">
        <v>169</v>
      </c>
      <c r="F262">
        <v>-0.32</v>
      </c>
      <c r="G262" s="1">
        <v>45835</v>
      </c>
    </row>
    <row r="263" spans="1:7">
      <c r="A263">
        <v>22765</v>
      </c>
      <c r="B263" t="s">
        <v>782</v>
      </c>
      <c r="C263" t="s">
        <v>1599</v>
      </c>
      <c r="D263" t="s">
        <v>942</v>
      </c>
      <c r="E263" t="s">
        <v>169</v>
      </c>
      <c r="F263">
        <v>14713507.32</v>
      </c>
      <c r="G263" s="1">
        <v>45835</v>
      </c>
    </row>
    <row r="264" spans="1:7">
      <c r="A264">
        <v>22766</v>
      </c>
      <c r="B264" t="s">
        <v>769</v>
      </c>
      <c r="C264" t="s">
        <v>1601</v>
      </c>
      <c r="D264" t="s">
        <v>942</v>
      </c>
      <c r="E264" t="s">
        <v>169</v>
      </c>
      <c r="F264">
        <v>0.34</v>
      </c>
      <c r="G264" s="1">
        <v>45835</v>
      </c>
    </row>
    <row r="265" spans="1:7">
      <c r="A265">
        <v>22767</v>
      </c>
      <c r="B265" t="s">
        <v>782</v>
      </c>
      <c r="C265" t="s">
        <v>1602</v>
      </c>
      <c r="D265" t="s">
        <v>942</v>
      </c>
      <c r="E265" t="s">
        <v>169</v>
      </c>
      <c r="F265">
        <v>21710332.66</v>
      </c>
      <c r="G265" s="1">
        <v>45835</v>
      </c>
    </row>
    <row r="266" spans="1:7">
      <c r="A266">
        <v>22897</v>
      </c>
      <c r="B266" t="s">
        <v>807</v>
      </c>
      <c r="C266" t="s">
        <v>839</v>
      </c>
      <c r="D266" t="s">
        <v>58</v>
      </c>
      <c r="E266" t="s">
        <v>169</v>
      </c>
      <c r="F266">
        <v>-505056.57</v>
      </c>
      <c r="G266" s="1">
        <v>45811</v>
      </c>
    </row>
    <row r="267" spans="1:7">
      <c r="A267">
        <v>22939</v>
      </c>
      <c r="B267" t="s">
        <v>769</v>
      </c>
      <c r="C267" t="s">
        <v>825</v>
      </c>
      <c r="D267" t="s">
        <v>95</v>
      </c>
      <c r="E267" t="s">
        <v>169</v>
      </c>
      <c r="F267">
        <v>0.04</v>
      </c>
      <c r="G267" s="1">
        <v>45810</v>
      </c>
    </row>
    <row r="268" spans="1:7">
      <c r="A268">
        <v>22940</v>
      </c>
      <c r="B268" t="s">
        <v>782</v>
      </c>
      <c r="C268" t="s">
        <v>826</v>
      </c>
      <c r="D268" t="s">
        <v>95</v>
      </c>
      <c r="E268" t="s">
        <v>169</v>
      </c>
      <c r="F268">
        <v>419043.96</v>
      </c>
      <c r="G268" s="1">
        <v>45810</v>
      </c>
    </row>
    <row r="269" spans="1:7">
      <c r="A269">
        <v>23169</v>
      </c>
      <c r="B269" t="s">
        <v>807</v>
      </c>
      <c r="C269" t="s">
        <v>960</v>
      </c>
      <c r="D269" t="s">
        <v>842</v>
      </c>
      <c r="E269" t="s">
        <v>169</v>
      </c>
      <c r="F269">
        <v>-43956</v>
      </c>
      <c r="G269" s="1">
        <v>45814</v>
      </c>
    </row>
    <row r="270" spans="1:7">
      <c r="A270">
        <v>23170</v>
      </c>
      <c r="B270" t="s">
        <v>811</v>
      </c>
      <c r="C270" t="s">
        <v>162</v>
      </c>
      <c r="D270" t="s">
        <v>842</v>
      </c>
      <c r="E270" t="s">
        <v>169</v>
      </c>
      <c r="F270">
        <v>-4070</v>
      </c>
      <c r="G270" s="1">
        <v>45814</v>
      </c>
    </row>
    <row r="271" spans="1:7">
      <c r="A271">
        <v>23176</v>
      </c>
      <c r="B271" t="s">
        <v>807</v>
      </c>
      <c r="C271" t="s">
        <v>1001</v>
      </c>
      <c r="D271" t="s">
        <v>1002</v>
      </c>
      <c r="E271" t="s">
        <v>169</v>
      </c>
      <c r="F271">
        <v>-197779</v>
      </c>
      <c r="G271" s="1">
        <v>45817</v>
      </c>
    </row>
    <row r="272" spans="1:7">
      <c r="A272">
        <v>23182</v>
      </c>
      <c r="B272" t="s">
        <v>807</v>
      </c>
      <c r="C272" t="s">
        <v>1006</v>
      </c>
      <c r="D272" t="s">
        <v>22</v>
      </c>
      <c r="E272" t="s">
        <v>169</v>
      </c>
      <c r="F272">
        <v>-490000</v>
      </c>
      <c r="G272" s="1">
        <v>45817</v>
      </c>
    </row>
    <row r="273" spans="1:7">
      <c r="A273">
        <v>23186</v>
      </c>
      <c r="B273" t="s">
        <v>807</v>
      </c>
      <c r="C273" t="s">
        <v>1022</v>
      </c>
      <c r="D273" t="s">
        <v>14</v>
      </c>
      <c r="E273" t="s">
        <v>169</v>
      </c>
      <c r="F273">
        <v>-1330560</v>
      </c>
      <c r="G273" s="1">
        <v>45818</v>
      </c>
    </row>
    <row r="274" spans="1:7">
      <c r="A274">
        <v>23187</v>
      </c>
      <c r="B274" t="s">
        <v>811</v>
      </c>
      <c r="C274" t="s">
        <v>162</v>
      </c>
      <c r="D274" t="s">
        <v>14</v>
      </c>
      <c r="E274" t="s">
        <v>169</v>
      </c>
      <c r="F274">
        <v>-123200</v>
      </c>
      <c r="G274" s="1">
        <v>45818</v>
      </c>
    </row>
    <row r="275" spans="1:7">
      <c r="A275">
        <v>23207</v>
      </c>
      <c r="B275" t="s">
        <v>807</v>
      </c>
      <c r="C275" t="s">
        <v>1025</v>
      </c>
      <c r="D275" t="s">
        <v>18</v>
      </c>
      <c r="E275" t="s">
        <v>169</v>
      </c>
      <c r="F275">
        <v>-68526.96</v>
      </c>
      <c r="G275" s="1">
        <v>45818</v>
      </c>
    </row>
    <row r="276" spans="1:7">
      <c r="A276">
        <v>23228</v>
      </c>
      <c r="B276" t="s">
        <v>807</v>
      </c>
      <c r="C276" t="s">
        <v>1027</v>
      </c>
      <c r="D276" t="s">
        <v>22</v>
      </c>
      <c r="E276" t="s">
        <v>169</v>
      </c>
      <c r="F276">
        <v>-582704</v>
      </c>
      <c r="G276" s="1">
        <v>45818</v>
      </c>
    </row>
    <row r="277" spans="1:7">
      <c r="A277">
        <v>23250</v>
      </c>
      <c r="B277" t="s">
        <v>807</v>
      </c>
      <c r="C277" t="s">
        <v>1058</v>
      </c>
      <c r="D277" t="s">
        <v>85</v>
      </c>
      <c r="E277" t="s">
        <v>169</v>
      </c>
      <c r="F277">
        <v>-1203038</v>
      </c>
      <c r="G277" s="1">
        <v>45819</v>
      </c>
    </row>
    <row r="278" spans="1:7">
      <c r="A278">
        <v>23290</v>
      </c>
      <c r="B278" t="s">
        <v>807</v>
      </c>
      <c r="C278" t="s">
        <v>1086</v>
      </c>
      <c r="D278" t="s">
        <v>866</v>
      </c>
      <c r="E278" t="s">
        <v>169</v>
      </c>
      <c r="F278">
        <v>-3259510.6</v>
      </c>
      <c r="G278" s="1">
        <v>45819</v>
      </c>
    </row>
    <row r="279" spans="1:7">
      <c r="A279">
        <v>23291</v>
      </c>
      <c r="B279" t="s">
        <v>811</v>
      </c>
      <c r="C279" t="s">
        <v>162</v>
      </c>
      <c r="D279" t="s">
        <v>866</v>
      </c>
      <c r="E279" t="s">
        <v>169</v>
      </c>
      <c r="F279">
        <v>-47645.4</v>
      </c>
      <c r="G279" s="1">
        <v>45819</v>
      </c>
    </row>
    <row r="280" spans="1:7">
      <c r="A280">
        <v>23434</v>
      </c>
      <c r="B280" t="s">
        <v>807</v>
      </c>
      <c r="C280" t="s">
        <v>1139</v>
      </c>
      <c r="D280" t="s">
        <v>112</v>
      </c>
      <c r="E280" t="s">
        <v>169</v>
      </c>
      <c r="F280">
        <v>-5054475.96</v>
      </c>
      <c r="G280" s="1">
        <v>45820</v>
      </c>
    </row>
    <row r="281" spans="1:7">
      <c r="A281">
        <v>23448</v>
      </c>
      <c r="B281" t="s">
        <v>807</v>
      </c>
      <c r="C281" t="s">
        <v>1141</v>
      </c>
      <c r="D281" t="s">
        <v>88</v>
      </c>
      <c r="E281" t="s">
        <v>169</v>
      </c>
      <c r="F281">
        <v>-183600</v>
      </c>
      <c r="G281" s="1">
        <v>45820</v>
      </c>
    </row>
    <row r="282" spans="1:7">
      <c r="A282">
        <v>23449</v>
      </c>
      <c r="B282" t="s">
        <v>811</v>
      </c>
      <c r="C282" t="s">
        <v>162</v>
      </c>
      <c r="D282" t="s">
        <v>88</v>
      </c>
      <c r="E282" t="s">
        <v>169</v>
      </c>
      <c r="F282">
        <v>-17000</v>
      </c>
      <c r="G282" s="1">
        <v>45820</v>
      </c>
    </row>
    <row r="283" spans="1:7">
      <c r="A283">
        <v>23456</v>
      </c>
      <c r="B283" t="s">
        <v>811</v>
      </c>
      <c r="C283" t="s">
        <v>162</v>
      </c>
      <c r="D283" t="s">
        <v>1193</v>
      </c>
      <c r="E283" t="s">
        <v>169</v>
      </c>
      <c r="F283">
        <v>-241151.2</v>
      </c>
      <c r="G283" s="1">
        <v>45821</v>
      </c>
    </row>
    <row r="284" spans="1:7">
      <c r="A284">
        <v>23494</v>
      </c>
      <c r="B284" t="s">
        <v>769</v>
      </c>
      <c r="C284" t="s">
        <v>884</v>
      </c>
      <c r="D284" t="s">
        <v>885</v>
      </c>
      <c r="E284" t="s">
        <v>169</v>
      </c>
      <c r="F284">
        <v>0.16</v>
      </c>
      <c r="G284" s="1">
        <v>45812</v>
      </c>
    </row>
    <row r="285" spans="1:7">
      <c r="A285">
        <v>23495</v>
      </c>
      <c r="B285" t="s">
        <v>782</v>
      </c>
      <c r="C285" t="s">
        <v>886</v>
      </c>
      <c r="D285" t="s">
        <v>885</v>
      </c>
      <c r="E285" t="s">
        <v>169</v>
      </c>
      <c r="F285">
        <v>31550.84</v>
      </c>
      <c r="G285" s="1">
        <v>45812</v>
      </c>
    </row>
    <row r="286" spans="1:7">
      <c r="A286">
        <v>23502</v>
      </c>
      <c r="B286" t="s">
        <v>807</v>
      </c>
      <c r="C286" t="s">
        <v>1227</v>
      </c>
      <c r="D286" t="s">
        <v>885</v>
      </c>
      <c r="E286" t="s">
        <v>169</v>
      </c>
      <c r="F286">
        <v>-30976.31</v>
      </c>
      <c r="G286" s="1">
        <v>45821</v>
      </c>
    </row>
    <row r="287" spans="1:7">
      <c r="A287">
        <v>24553</v>
      </c>
      <c r="B287" t="s">
        <v>807</v>
      </c>
      <c r="C287" t="s">
        <v>1262</v>
      </c>
      <c r="D287" t="s">
        <v>103</v>
      </c>
      <c r="E287" t="s">
        <v>169</v>
      </c>
      <c r="F287">
        <v>-499727.01</v>
      </c>
      <c r="G287" s="1">
        <v>45824</v>
      </c>
    </row>
    <row r="288" spans="1:7">
      <c r="A288">
        <v>24554</v>
      </c>
      <c r="B288" t="s">
        <v>811</v>
      </c>
      <c r="C288" t="s">
        <v>162</v>
      </c>
      <c r="D288" t="s">
        <v>103</v>
      </c>
      <c r="E288" t="s">
        <v>169</v>
      </c>
      <c r="F288">
        <v>-8615.99</v>
      </c>
      <c r="G288" s="1">
        <v>45824</v>
      </c>
    </row>
    <row r="289" spans="1:7">
      <c r="A289">
        <v>24561</v>
      </c>
      <c r="B289" t="s">
        <v>807</v>
      </c>
      <c r="C289" t="s">
        <v>1267</v>
      </c>
      <c r="D289" t="s">
        <v>86</v>
      </c>
      <c r="E289" t="s">
        <v>169</v>
      </c>
      <c r="F289">
        <v>-67919.04</v>
      </c>
      <c r="G289" s="1">
        <v>45824</v>
      </c>
    </row>
    <row r="290" spans="1:7">
      <c r="A290">
        <v>24562</v>
      </c>
      <c r="B290" t="s">
        <v>811</v>
      </c>
      <c r="C290" t="s">
        <v>162</v>
      </c>
      <c r="D290" t="s">
        <v>86</v>
      </c>
      <c r="E290" t="s">
        <v>169</v>
      </c>
      <c r="F290">
        <v>-7546.56</v>
      </c>
      <c r="G290" s="1">
        <v>45824</v>
      </c>
    </row>
    <row r="291" spans="1:7">
      <c r="A291">
        <v>25356</v>
      </c>
      <c r="B291" t="s">
        <v>847</v>
      </c>
      <c r="C291" t="s">
        <v>964</v>
      </c>
      <c r="D291" t="s">
        <v>857</v>
      </c>
      <c r="E291" t="s">
        <v>169</v>
      </c>
      <c r="F291">
        <v>-802984.1</v>
      </c>
      <c r="G291" s="1">
        <v>45814</v>
      </c>
    </row>
    <row r="292" spans="1:7">
      <c r="A292">
        <v>25357</v>
      </c>
      <c r="B292" t="s">
        <v>847</v>
      </c>
      <c r="C292" t="s">
        <v>1088</v>
      </c>
      <c r="D292" t="s">
        <v>41</v>
      </c>
      <c r="E292" t="s">
        <v>169</v>
      </c>
      <c r="F292">
        <v>-5805600</v>
      </c>
      <c r="G292" s="1">
        <v>45819</v>
      </c>
    </row>
    <row r="293" spans="1:7">
      <c r="A293">
        <v>25358</v>
      </c>
      <c r="B293" t="s">
        <v>847</v>
      </c>
      <c r="C293" t="s">
        <v>1089</v>
      </c>
      <c r="D293" t="s">
        <v>41</v>
      </c>
      <c r="E293" t="s">
        <v>169</v>
      </c>
      <c r="F293">
        <v>-14223720</v>
      </c>
      <c r="G293" s="1">
        <v>45819</v>
      </c>
    </row>
    <row r="294" spans="1:7">
      <c r="A294">
        <v>25360</v>
      </c>
      <c r="B294" t="s">
        <v>847</v>
      </c>
      <c r="C294" t="s">
        <v>1332</v>
      </c>
      <c r="D294" t="s">
        <v>58</v>
      </c>
      <c r="E294" t="s">
        <v>169</v>
      </c>
      <c r="F294">
        <v>-767118</v>
      </c>
      <c r="G294" s="1">
        <v>45827</v>
      </c>
    </row>
    <row r="295" spans="1:7">
      <c r="A295">
        <v>25368</v>
      </c>
      <c r="B295" t="s">
        <v>847</v>
      </c>
      <c r="C295" t="s">
        <v>919</v>
      </c>
      <c r="D295" t="s">
        <v>920</v>
      </c>
      <c r="E295" t="s">
        <v>169</v>
      </c>
      <c r="F295">
        <v>-100294.1</v>
      </c>
      <c r="G295" s="1">
        <v>45813</v>
      </c>
    </row>
    <row r="296" spans="1:7">
      <c r="A296">
        <v>25372</v>
      </c>
      <c r="B296" t="s">
        <v>847</v>
      </c>
      <c r="C296" t="s">
        <v>921</v>
      </c>
      <c r="D296" t="s">
        <v>922</v>
      </c>
      <c r="E296" t="s">
        <v>169</v>
      </c>
      <c r="F296">
        <v>-102105.4</v>
      </c>
      <c r="G296" s="1">
        <v>45813</v>
      </c>
    </row>
    <row r="297" spans="1:7">
      <c r="A297">
        <v>25374</v>
      </c>
      <c r="B297" t="s">
        <v>782</v>
      </c>
      <c r="C297" t="s">
        <v>849</v>
      </c>
      <c r="D297" t="s">
        <v>850</v>
      </c>
      <c r="E297" t="s">
        <v>169</v>
      </c>
      <c r="F297">
        <v>172044.66</v>
      </c>
      <c r="G297" s="1">
        <v>45811</v>
      </c>
    </row>
    <row r="298" spans="1:7">
      <c r="A298">
        <v>25376</v>
      </c>
      <c r="B298" t="s">
        <v>769</v>
      </c>
      <c r="C298" t="s">
        <v>852</v>
      </c>
      <c r="D298" t="s">
        <v>850</v>
      </c>
      <c r="E298" t="s">
        <v>169</v>
      </c>
      <c r="F298">
        <v>0.34</v>
      </c>
      <c r="G298" s="1">
        <v>45811</v>
      </c>
    </row>
    <row r="299" spans="1:7">
      <c r="A299">
        <v>25377</v>
      </c>
      <c r="B299" t="s">
        <v>847</v>
      </c>
      <c r="C299" t="s">
        <v>1090</v>
      </c>
      <c r="D299" t="s">
        <v>850</v>
      </c>
      <c r="E299" t="s">
        <v>169</v>
      </c>
      <c r="F299">
        <v>-172044.66</v>
      </c>
      <c r="G299" s="1">
        <v>45819</v>
      </c>
    </row>
    <row r="300" spans="1:7">
      <c r="A300">
        <v>25378</v>
      </c>
      <c r="B300" t="s">
        <v>847</v>
      </c>
      <c r="C300" t="s">
        <v>1333</v>
      </c>
      <c r="D300" t="s">
        <v>122</v>
      </c>
      <c r="E300" t="s">
        <v>169</v>
      </c>
      <c r="F300">
        <v>-1755181.56</v>
      </c>
      <c r="G300" s="1">
        <v>45827</v>
      </c>
    </row>
    <row r="301" spans="1:7">
      <c r="A301">
        <v>28475</v>
      </c>
      <c r="B301" t="s">
        <v>769</v>
      </c>
      <c r="C301" t="s">
        <v>1666</v>
      </c>
      <c r="D301" t="s">
        <v>162</v>
      </c>
      <c r="E301" t="s">
        <v>169</v>
      </c>
      <c r="F301">
        <v>1782.15</v>
      </c>
      <c r="G301" s="1">
        <v>45815</v>
      </c>
    </row>
    <row r="302" spans="1:7">
      <c r="A302">
        <v>30795</v>
      </c>
      <c r="B302" t="s">
        <v>782</v>
      </c>
      <c r="C302" t="s">
        <v>827</v>
      </c>
      <c r="D302" t="s">
        <v>787</v>
      </c>
      <c r="E302" t="s">
        <v>169</v>
      </c>
      <c r="F302">
        <v>802400</v>
      </c>
      <c r="G302" s="1">
        <v>45810</v>
      </c>
    </row>
    <row r="303" spans="1:7">
      <c r="A303">
        <v>30800</v>
      </c>
      <c r="B303" t="s">
        <v>782</v>
      </c>
      <c r="C303" t="s">
        <v>828</v>
      </c>
      <c r="D303" t="s">
        <v>69</v>
      </c>
      <c r="E303" t="s">
        <v>169</v>
      </c>
      <c r="F303">
        <v>236236</v>
      </c>
      <c r="G303" s="1">
        <v>45810</v>
      </c>
    </row>
    <row r="304" spans="1:7">
      <c r="A304">
        <v>30803</v>
      </c>
      <c r="B304" t="s">
        <v>782</v>
      </c>
      <c r="C304" t="s">
        <v>887</v>
      </c>
      <c r="D304" t="s">
        <v>18</v>
      </c>
      <c r="E304" t="s">
        <v>169</v>
      </c>
      <c r="F304">
        <v>66717.2</v>
      </c>
      <c r="G304" s="1">
        <v>45812</v>
      </c>
    </row>
    <row r="305" spans="1:7">
      <c r="A305">
        <v>30805</v>
      </c>
      <c r="B305" t="s">
        <v>782</v>
      </c>
      <c r="C305" t="s">
        <v>888</v>
      </c>
      <c r="D305" t="s">
        <v>18</v>
      </c>
      <c r="E305" t="s">
        <v>169</v>
      </c>
      <c r="F305">
        <v>1433067.28</v>
      </c>
      <c r="G305" s="1">
        <v>45812</v>
      </c>
    </row>
    <row r="306" spans="1:7">
      <c r="A306">
        <v>30814</v>
      </c>
      <c r="B306" t="s">
        <v>782</v>
      </c>
      <c r="C306" t="s">
        <v>966</v>
      </c>
      <c r="D306" t="s">
        <v>773</v>
      </c>
      <c r="E306" t="s">
        <v>169</v>
      </c>
      <c r="F306">
        <v>16874</v>
      </c>
      <c r="G306" s="1">
        <v>45814</v>
      </c>
    </row>
    <row r="307" spans="1:7">
      <c r="A307">
        <v>30816</v>
      </c>
      <c r="B307" t="s">
        <v>782</v>
      </c>
      <c r="C307" t="s">
        <v>1009</v>
      </c>
      <c r="D307" t="s">
        <v>69</v>
      </c>
      <c r="E307" t="s">
        <v>169</v>
      </c>
      <c r="F307">
        <v>4367382.31</v>
      </c>
      <c r="G307" s="1">
        <v>45817</v>
      </c>
    </row>
    <row r="308" spans="1:7">
      <c r="A308">
        <v>30819</v>
      </c>
      <c r="B308" t="s">
        <v>782</v>
      </c>
      <c r="C308" t="s">
        <v>1031</v>
      </c>
      <c r="D308" t="s">
        <v>98</v>
      </c>
      <c r="E308" t="s">
        <v>169</v>
      </c>
      <c r="F308">
        <v>1505276.15</v>
      </c>
      <c r="G308" s="1">
        <v>45818</v>
      </c>
    </row>
    <row r="309" spans="1:7">
      <c r="A309">
        <v>30884</v>
      </c>
      <c r="B309" t="s">
        <v>782</v>
      </c>
      <c r="C309" t="s">
        <v>1091</v>
      </c>
      <c r="D309" t="s">
        <v>144</v>
      </c>
      <c r="E309" t="s">
        <v>169</v>
      </c>
      <c r="F309">
        <v>229317.66</v>
      </c>
      <c r="G309" s="1">
        <v>45819</v>
      </c>
    </row>
    <row r="310" spans="1:7">
      <c r="A310">
        <v>30954</v>
      </c>
      <c r="B310" t="s">
        <v>782</v>
      </c>
      <c r="C310" t="s">
        <v>1144</v>
      </c>
      <c r="D310" t="s">
        <v>48</v>
      </c>
      <c r="E310" t="s">
        <v>169</v>
      </c>
      <c r="F310">
        <v>495420.64</v>
      </c>
      <c r="G310" s="1">
        <v>45820</v>
      </c>
    </row>
    <row r="311" spans="1:7">
      <c r="A311">
        <v>30968</v>
      </c>
      <c r="B311" t="s">
        <v>782</v>
      </c>
      <c r="C311" t="s">
        <v>1231</v>
      </c>
      <c r="D311" t="s">
        <v>1098</v>
      </c>
      <c r="E311" t="s">
        <v>169</v>
      </c>
      <c r="F311">
        <v>160776.18</v>
      </c>
      <c r="G311" s="1">
        <v>45821</v>
      </c>
    </row>
    <row r="312" spans="1:7">
      <c r="A312">
        <v>31071</v>
      </c>
      <c r="B312" t="s">
        <v>782</v>
      </c>
      <c r="C312" t="s">
        <v>1232</v>
      </c>
      <c r="D312" t="s">
        <v>89</v>
      </c>
      <c r="E312" t="s">
        <v>169</v>
      </c>
      <c r="F312">
        <v>2579480</v>
      </c>
      <c r="G312" s="1">
        <v>45821</v>
      </c>
    </row>
    <row r="313" spans="1:7">
      <c r="A313">
        <v>31075</v>
      </c>
      <c r="B313" t="s">
        <v>782</v>
      </c>
      <c r="C313" t="s">
        <v>1269</v>
      </c>
      <c r="D313" t="s">
        <v>69</v>
      </c>
      <c r="E313" t="s">
        <v>169</v>
      </c>
      <c r="F313">
        <v>5338388.88</v>
      </c>
      <c r="G313" s="1">
        <v>45824</v>
      </c>
    </row>
    <row r="314" spans="1:7">
      <c r="A314">
        <v>31091</v>
      </c>
      <c r="B314" t="s">
        <v>769</v>
      </c>
      <c r="C314" t="s">
        <v>1234</v>
      </c>
      <c r="D314" t="s">
        <v>1098</v>
      </c>
      <c r="E314" t="s">
        <v>169</v>
      </c>
      <c r="F314">
        <v>-0.18</v>
      </c>
      <c r="G314" s="1">
        <v>45821</v>
      </c>
    </row>
    <row r="315" spans="1:7">
      <c r="A315">
        <v>31095</v>
      </c>
      <c r="B315" t="s">
        <v>782</v>
      </c>
      <c r="C315" t="s">
        <v>1289</v>
      </c>
      <c r="D315" t="s">
        <v>48</v>
      </c>
      <c r="E315" t="s">
        <v>169</v>
      </c>
      <c r="F315">
        <v>413649</v>
      </c>
      <c r="G315" s="1">
        <v>45825</v>
      </c>
    </row>
    <row r="316" spans="1:7">
      <c r="A316">
        <v>31103</v>
      </c>
      <c r="B316" t="s">
        <v>782</v>
      </c>
      <c r="C316" t="s">
        <v>1290</v>
      </c>
      <c r="D316" t="s">
        <v>113</v>
      </c>
      <c r="E316" t="s">
        <v>169</v>
      </c>
      <c r="F316">
        <v>6739082.83</v>
      </c>
      <c r="G316" s="1">
        <v>45825</v>
      </c>
    </row>
    <row r="317" spans="1:7">
      <c r="A317">
        <v>31105</v>
      </c>
      <c r="B317" t="s">
        <v>769</v>
      </c>
      <c r="C317" t="s">
        <v>1292</v>
      </c>
      <c r="D317" t="s">
        <v>113</v>
      </c>
      <c r="E317" t="s">
        <v>169</v>
      </c>
      <c r="F317">
        <v>0.17</v>
      </c>
      <c r="G317" s="1">
        <v>45825</v>
      </c>
    </row>
    <row r="318" spans="1:7">
      <c r="A318">
        <v>31107</v>
      </c>
      <c r="B318" t="s">
        <v>782</v>
      </c>
      <c r="C318" t="s">
        <v>1293</v>
      </c>
      <c r="D318" t="s">
        <v>99</v>
      </c>
      <c r="E318" t="s">
        <v>169</v>
      </c>
      <c r="F318">
        <v>2001355.93</v>
      </c>
      <c r="G318" s="1">
        <v>45825</v>
      </c>
    </row>
    <row r="319" spans="1:7">
      <c r="A319">
        <v>31115</v>
      </c>
      <c r="B319" t="s">
        <v>782</v>
      </c>
      <c r="C319" t="s">
        <v>1294</v>
      </c>
      <c r="D319" t="s">
        <v>99</v>
      </c>
      <c r="E319" t="s">
        <v>169</v>
      </c>
      <c r="F319">
        <v>632126</v>
      </c>
      <c r="G319" s="1">
        <v>45825</v>
      </c>
    </row>
    <row r="320" spans="1:7">
      <c r="A320">
        <v>31128</v>
      </c>
      <c r="B320" t="s">
        <v>782</v>
      </c>
      <c r="C320" t="s">
        <v>1336</v>
      </c>
      <c r="D320" t="s">
        <v>71</v>
      </c>
      <c r="E320" t="s">
        <v>169</v>
      </c>
      <c r="F320">
        <v>725071.89</v>
      </c>
      <c r="G320" s="1">
        <v>45827</v>
      </c>
    </row>
    <row r="321" spans="1:7">
      <c r="A321">
        <v>31134</v>
      </c>
      <c r="B321" t="s">
        <v>769</v>
      </c>
      <c r="C321" t="s">
        <v>1338</v>
      </c>
      <c r="D321" t="s">
        <v>71</v>
      </c>
      <c r="E321" t="s">
        <v>169</v>
      </c>
      <c r="F321">
        <v>0.11</v>
      </c>
      <c r="G321" s="1">
        <v>45827</v>
      </c>
    </row>
    <row r="322" spans="1:7">
      <c r="A322">
        <v>31146</v>
      </c>
      <c r="B322" t="s">
        <v>782</v>
      </c>
      <c r="C322" t="s">
        <v>1339</v>
      </c>
      <c r="D322" t="s">
        <v>48</v>
      </c>
      <c r="E322" t="s">
        <v>169</v>
      </c>
      <c r="F322">
        <v>1770000</v>
      </c>
      <c r="G322" s="1">
        <v>45827</v>
      </c>
    </row>
    <row r="323" spans="1:7">
      <c r="A323">
        <v>31158</v>
      </c>
      <c r="B323" t="s">
        <v>782</v>
      </c>
      <c r="C323" t="s">
        <v>1340</v>
      </c>
      <c r="D323" t="s">
        <v>80</v>
      </c>
      <c r="E323" t="s">
        <v>169</v>
      </c>
      <c r="F323">
        <v>465793.2</v>
      </c>
      <c r="G323" s="1">
        <v>45827</v>
      </c>
    </row>
    <row r="324" spans="1:7">
      <c r="A324">
        <v>31160</v>
      </c>
      <c r="B324" t="s">
        <v>769</v>
      </c>
      <c r="C324" t="s">
        <v>1342</v>
      </c>
      <c r="D324" t="s">
        <v>80</v>
      </c>
      <c r="E324" t="s">
        <v>169</v>
      </c>
      <c r="F324">
        <v>-0.2</v>
      </c>
      <c r="G324" s="1">
        <v>45827</v>
      </c>
    </row>
    <row r="325" spans="1:7">
      <c r="A325">
        <v>31165</v>
      </c>
      <c r="B325" t="s">
        <v>782</v>
      </c>
      <c r="C325" t="s">
        <v>1343</v>
      </c>
      <c r="D325" t="s">
        <v>80</v>
      </c>
      <c r="E325" t="s">
        <v>169</v>
      </c>
      <c r="F325">
        <v>526143.36</v>
      </c>
      <c r="G325" s="1">
        <v>45827</v>
      </c>
    </row>
    <row r="326" spans="1:7">
      <c r="A326">
        <v>31169</v>
      </c>
      <c r="B326" t="s">
        <v>769</v>
      </c>
      <c r="C326" t="s">
        <v>1345</v>
      </c>
      <c r="D326" t="s">
        <v>80</v>
      </c>
      <c r="E326" t="s">
        <v>169</v>
      </c>
      <c r="F326">
        <v>-0.36</v>
      </c>
      <c r="G326" s="1">
        <v>45827</v>
      </c>
    </row>
    <row r="327" spans="1:7">
      <c r="A327">
        <v>31176</v>
      </c>
      <c r="B327" t="s">
        <v>782</v>
      </c>
      <c r="C327" t="s">
        <v>1346</v>
      </c>
      <c r="D327" t="s">
        <v>93</v>
      </c>
      <c r="E327" t="s">
        <v>169</v>
      </c>
      <c r="F327">
        <v>317746.57</v>
      </c>
      <c r="G327" s="1">
        <v>45827</v>
      </c>
    </row>
    <row r="328" spans="1:7">
      <c r="A328">
        <v>31178</v>
      </c>
      <c r="B328" t="s">
        <v>769</v>
      </c>
      <c r="C328" t="s">
        <v>1348</v>
      </c>
      <c r="D328" t="s">
        <v>93</v>
      </c>
      <c r="E328" t="s">
        <v>169</v>
      </c>
      <c r="F328">
        <v>0.43</v>
      </c>
      <c r="G328" s="1">
        <v>45827</v>
      </c>
    </row>
    <row r="329" spans="1:7">
      <c r="A329">
        <v>31181</v>
      </c>
      <c r="B329" t="s">
        <v>782</v>
      </c>
      <c r="C329" t="s">
        <v>1387</v>
      </c>
      <c r="D329" t="s">
        <v>1098</v>
      </c>
      <c r="E329" t="s">
        <v>169</v>
      </c>
      <c r="F329">
        <v>75716.77</v>
      </c>
      <c r="G329" s="1">
        <v>45828</v>
      </c>
    </row>
    <row r="330" spans="1:7">
      <c r="A330">
        <v>31188</v>
      </c>
      <c r="B330" t="s">
        <v>782</v>
      </c>
      <c r="C330" t="s">
        <v>1388</v>
      </c>
      <c r="D330" t="s">
        <v>842</v>
      </c>
      <c r="E330" t="s">
        <v>169</v>
      </c>
      <c r="F330">
        <v>282112.51</v>
      </c>
      <c r="G330" s="1">
        <v>45828</v>
      </c>
    </row>
    <row r="331" spans="1:7">
      <c r="A331">
        <v>31203</v>
      </c>
      <c r="B331" t="s">
        <v>782</v>
      </c>
      <c r="C331" t="s">
        <v>1389</v>
      </c>
      <c r="D331" t="s">
        <v>48</v>
      </c>
      <c r="E331" t="s">
        <v>169</v>
      </c>
      <c r="F331">
        <v>2596978.22</v>
      </c>
      <c r="G331" s="1">
        <v>45828</v>
      </c>
    </row>
    <row r="332" spans="1:7">
      <c r="A332">
        <v>31212</v>
      </c>
      <c r="B332" t="s">
        <v>782</v>
      </c>
      <c r="C332" t="s">
        <v>1411</v>
      </c>
      <c r="D332" t="s">
        <v>842</v>
      </c>
      <c r="E332" t="s">
        <v>169</v>
      </c>
      <c r="F332">
        <v>146994.96</v>
      </c>
      <c r="G332" s="1">
        <v>45829</v>
      </c>
    </row>
    <row r="333" spans="1:7">
      <c r="A333">
        <v>31221</v>
      </c>
      <c r="B333" t="s">
        <v>782</v>
      </c>
      <c r="C333" t="s">
        <v>1412</v>
      </c>
      <c r="D333" t="s">
        <v>910</v>
      </c>
      <c r="E333" t="s">
        <v>169</v>
      </c>
      <c r="F333">
        <v>28320</v>
      </c>
      <c r="G333" s="1">
        <v>45829</v>
      </c>
    </row>
    <row r="334" spans="1:7">
      <c r="A334">
        <v>31224</v>
      </c>
      <c r="B334" t="s">
        <v>782</v>
      </c>
      <c r="C334" t="s">
        <v>1430</v>
      </c>
      <c r="D334" t="s">
        <v>69</v>
      </c>
      <c r="E334" t="s">
        <v>169</v>
      </c>
      <c r="F334">
        <v>198122</v>
      </c>
      <c r="G334" s="1">
        <v>45831</v>
      </c>
    </row>
    <row r="335" spans="1:7">
      <c r="A335">
        <v>31228</v>
      </c>
      <c r="B335" t="s">
        <v>782</v>
      </c>
      <c r="C335" t="s">
        <v>1431</v>
      </c>
      <c r="D335" t="s">
        <v>842</v>
      </c>
      <c r="E335" t="s">
        <v>169</v>
      </c>
      <c r="F335">
        <v>52523.57</v>
      </c>
      <c r="G335" s="1">
        <v>45831</v>
      </c>
    </row>
    <row r="336" spans="1:7">
      <c r="A336">
        <v>31233</v>
      </c>
      <c r="B336" t="s">
        <v>782</v>
      </c>
      <c r="C336" t="s">
        <v>1432</v>
      </c>
      <c r="D336" t="s">
        <v>910</v>
      </c>
      <c r="E336" t="s">
        <v>169</v>
      </c>
      <c r="F336">
        <v>94624.2</v>
      </c>
      <c r="G336" s="1">
        <v>45831</v>
      </c>
    </row>
    <row r="337" spans="1:7">
      <c r="A337">
        <v>31235</v>
      </c>
      <c r="B337" t="s">
        <v>782</v>
      </c>
      <c r="C337" t="s">
        <v>1433</v>
      </c>
      <c r="D337" t="s">
        <v>910</v>
      </c>
      <c r="E337" t="s">
        <v>169</v>
      </c>
      <c r="F337">
        <v>46728</v>
      </c>
      <c r="G337" s="1">
        <v>45831</v>
      </c>
    </row>
    <row r="338" spans="1:7">
      <c r="A338">
        <v>31238</v>
      </c>
      <c r="B338" t="s">
        <v>782</v>
      </c>
      <c r="C338" t="s">
        <v>1551</v>
      </c>
      <c r="D338" t="s">
        <v>775</v>
      </c>
      <c r="E338" t="s">
        <v>169</v>
      </c>
      <c r="F338">
        <v>32948277.81</v>
      </c>
      <c r="G338" s="1">
        <v>45834</v>
      </c>
    </row>
    <row r="339" spans="1:7">
      <c r="A339">
        <v>31497</v>
      </c>
      <c r="B339" t="s">
        <v>847</v>
      </c>
      <c r="C339" t="s">
        <v>1552</v>
      </c>
      <c r="D339" t="s">
        <v>65</v>
      </c>
      <c r="E339" t="s">
        <v>169</v>
      </c>
      <c r="F339">
        <v>-846913.14</v>
      </c>
      <c r="G339" s="1">
        <v>45834</v>
      </c>
    </row>
    <row r="340" spans="1:7">
      <c r="A340">
        <v>32567</v>
      </c>
      <c r="B340" t="s">
        <v>769</v>
      </c>
      <c r="C340" t="s">
        <v>1638</v>
      </c>
      <c r="D340" t="s">
        <v>134</v>
      </c>
      <c r="E340" t="s">
        <v>169</v>
      </c>
      <c r="F340">
        <v>-17404074.88</v>
      </c>
      <c r="G340" s="1">
        <v>45838</v>
      </c>
    </row>
    <row r="341" spans="1:7">
      <c r="A341">
        <v>32761</v>
      </c>
      <c r="B341" t="s">
        <v>769</v>
      </c>
      <c r="C341" t="s">
        <v>1093</v>
      </c>
      <c r="D341" t="s">
        <v>144</v>
      </c>
      <c r="E341" t="s">
        <v>169</v>
      </c>
      <c r="F341">
        <v>0.34</v>
      </c>
      <c r="G341" s="1">
        <v>45819</v>
      </c>
    </row>
    <row r="342" spans="1:7">
      <c r="A342">
        <v>32915</v>
      </c>
      <c r="B342" t="s">
        <v>769</v>
      </c>
      <c r="C342" t="s">
        <v>1146</v>
      </c>
      <c r="D342" t="s">
        <v>48</v>
      </c>
      <c r="E342" t="s">
        <v>169</v>
      </c>
      <c r="F342">
        <v>0.36</v>
      </c>
      <c r="G342" s="1">
        <v>45820</v>
      </c>
    </row>
    <row r="343" spans="1:7">
      <c r="A343">
        <v>33132</v>
      </c>
      <c r="B343" t="s">
        <v>769</v>
      </c>
      <c r="C343" t="s">
        <v>890</v>
      </c>
      <c r="D343" t="s">
        <v>18</v>
      </c>
      <c r="E343" t="s">
        <v>169</v>
      </c>
      <c r="F343">
        <v>-0.2</v>
      </c>
      <c r="G343" s="1">
        <v>45812</v>
      </c>
    </row>
    <row r="344" spans="1:7">
      <c r="A344">
        <v>33133</v>
      </c>
      <c r="B344" t="s">
        <v>769</v>
      </c>
      <c r="C344" t="s">
        <v>1033</v>
      </c>
      <c r="D344" t="s">
        <v>98</v>
      </c>
      <c r="E344" t="s">
        <v>169</v>
      </c>
      <c r="F344">
        <v>-0.15</v>
      </c>
      <c r="G344" s="1">
        <v>45818</v>
      </c>
    </row>
    <row r="345" spans="1:7">
      <c r="A345">
        <v>33134</v>
      </c>
      <c r="B345" t="s">
        <v>769</v>
      </c>
      <c r="C345" t="s">
        <v>1271</v>
      </c>
      <c r="D345" t="s">
        <v>69</v>
      </c>
      <c r="E345" t="s">
        <v>169</v>
      </c>
      <c r="F345">
        <v>0.06</v>
      </c>
      <c r="G345" s="1">
        <v>45824</v>
      </c>
    </row>
    <row r="346" spans="1:7">
      <c r="A346">
        <v>33136</v>
      </c>
      <c r="B346" t="s">
        <v>769</v>
      </c>
      <c r="C346" t="s">
        <v>1296</v>
      </c>
      <c r="D346" t="s">
        <v>99</v>
      </c>
      <c r="E346" t="s">
        <v>169</v>
      </c>
      <c r="F346">
        <v>0.47</v>
      </c>
      <c r="G346" s="1">
        <v>45825</v>
      </c>
    </row>
    <row r="347" spans="1:7">
      <c r="A347">
        <v>33137</v>
      </c>
      <c r="B347" t="s">
        <v>769</v>
      </c>
      <c r="C347" t="s">
        <v>1391</v>
      </c>
      <c r="D347" t="s">
        <v>1098</v>
      </c>
      <c r="E347" t="s">
        <v>169</v>
      </c>
      <c r="F347">
        <v>0.23</v>
      </c>
      <c r="G347" s="1">
        <v>45828</v>
      </c>
    </row>
    <row r="348" spans="1:7">
      <c r="A348">
        <v>33138</v>
      </c>
      <c r="B348" t="s">
        <v>769</v>
      </c>
      <c r="C348" t="s">
        <v>1393</v>
      </c>
      <c r="D348" t="s">
        <v>842</v>
      </c>
      <c r="E348" t="s">
        <v>169</v>
      </c>
      <c r="F348">
        <v>0.49</v>
      </c>
      <c r="G348" s="1">
        <v>45828</v>
      </c>
    </row>
    <row r="349" spans="1:7">
      <c r="A349">
        <v>33139</v>
      </c>
      <c r="B349" t="s">
        <v>769</v>
      </c>
      <c r="C349" t="s">
        <v>1395</v>
      </c>
      <c r="D349" t="s">
        <v>48</v>
      </c>
      <c r="E349" t="s">
        <v>169</v>
      </c>
      <c r="F349">
        <v>-0.22</v>
      </c>
      <c r="G349" s="1">
        <v>45828</v>
      </c>
    </row>
    <row r="350" spans="1:7">
      <c r="A350">
        <v>33140</v>
      </c>
      <c r="B350" t="s">
        <v>769</v>
      </c>
      <c r="C350" t="s">
        <v>1414</v>
      </c>
      <c r="D350" t="s">
        <v>842</v>
      </c>
      <c r="E350" t="s">
        <v>169</v>
      </c>
      <c r="F350">
        <v>0.04</v>
      </c>
      <c r="G350" s="1">
        <v>45829</v>
      </c>
    </row>
    <row r="351" spans="1:7">
      <c r="A351">
        <v>33141</v>
      </c>
      <c r="B351" t="s">
        <v>769</v>
      </c>
      <c r="C351" t="s">
        <v>1435</v>
      </c>
      <c r="D351" t="s">
        <v>842</v>
      </c>
      <c r="E351" t="s">
        <v>169</v>
      </c>
      <c r="F351">
        <v>0.43</v>
      </c>
      <c r="G351" s="1">
        <v>45831</v>
      </c>
    </row>
    <row r="352" spans="1:7">
      <c r="A352">
        <v>33143</v>
      </c>
      <c r="B352" t="s">
        <v>769</v>
      </c>
      <c r="C352" t="s">
        <v>1437</v>
      </c>
      <c r="D352" t="s">
        <v>910</v>
      </c>
      <c r="E352" t="s">
        <v>169</v>
      </c>
      <c r="F352">
        <v>-0.2</v>
      </c>
      <c r="G352" s="1">
        <v>45831</v>
      </c>
    </row>
    <row r="353" spans="1:7">
      <c r="A353">
        <v>33144</v>
      </c>
      <c r="B353" t="s">
        <v>769</v>
      </c>
      <c r="C353" t="s">
        <v>1554</v>
      </c>
      <c r="D353" t="s">
        <v>775</v>
      </c>
      <c r="E353" t="s">
        <v>169</v>
      </c>
      <c r="F353">
        <v>0.19</v>
      </c>
      <c r="G353" s="1">
        <v>45834</v>
      </c>
    </row>
    <row r="354" spans="1:7">
      <c r="A354">
        <v>33875</v>
      </c>
      <c r="B354" t="s">
        <v>769</v>
      </c>
      <c r="C354" t="s">
        <v>779</v>
      </c>
      <c r="D354" t="s">
        <v>13</v>
      </c>
      <c r="E354" t="s">
        <v>169</v>
      </c>
      <c r="F354">
        <v>1</v>
      </c>
      <c r="G354" s="1">
        <v>45809</v>
      </c>
    </row>
    <row r="355" spans="1:7">
      <c r="A355">
        <v>34050</v>
      </c>
      <c r="B355" t="s">
        <v>807</v>
      </c>
      <c r="C355" t="s">
        <v>1095</v>
      </c>
      <c r="D355" t="s">
        <v>55</v>
      </c>
      <c r="E355" t="s">
        <v>169</v>
      </c>
      <c r="F355">
        <v>-857450</v>
      </c>
      <c r="G355" s="1">
        <v>45819</v>
      </c>
    </row>
    <row r="356" spans="1:7">
      <c r="A356">
        <v>34051</v>
      </c>
      <c r="B356" t="s">
        <v>811</v>
      </c>
      <c r="C356" t="s">
        <v>162</v>
      </c>
      <c r="D356" t="s">
        <v>55</v>
      </c>
      <c r="E356" t="s">
        <v>169</v>
      </c>
      <c r="F356">
        <v>-29568</v>
      </c>
      <c r="G356" s="1">
        <v>45819</v>
      </c>
    </row>
    <row r="357" spans="1:7">
      <c r="A357">
        <v>34065</v>
      </c>
      <c r="B357" t="s">
        <v>807</v>
      </c>
      <c r="C357" t="s">
        <v>1350</v>
      </c>
      <c r="D357" t="s">
        <v>18</v>
      </c>
      <c r="E357" t="s">
        <v>169</v>
      </c>
      <c r="F357">
        <v>-506988.44</v>
      </c>
      <c r="G357" s="1">
        <v>45827</v>
      </c>
    </row>
    <row r="358" spans="1:7">
      <c r="A358">
        <v>34066</v>
      </c>
      <c r="B358" t="s">
        <v>811</v>
      </c>
      <c r="C358" t="s">
        <v>162</v>
      </c>
      <c r="D358" t="s">
        <v>18</v>
      </c>
      <c r="E358" t="s">
        <v>169</v>
      </c>
      <c r="F358">
        <v>-8741.56</v>
      </c>
      <c r="G358" s="1">
        <v>45827</v>
      </c>
    </row>
    <row r="359" spans="1:7">
      <c r="A359">
        <v>34072</v>
      </c>
      <c r="B359" t="s">
        <v>811</v>
      </c>
      <c r="C359" t="s">
        <v>162</v>
      </c>
      <c r="D359" t="s">
        <v>1354</v>
      </c>
      <c r="E359" t="s">
        <v>169</v>
      </c>
      <c r="F359">
        <v>-216435.25</v>
      </c>
      <c r="G359" s="1">
        <v>45827</v>
      </c>
    </row>
    <row r="360" spans="1:7">
      <c r="A360">
        <v>34079</v>
      </c>
      <c r="B360" t="s">
        <v>807</v>
      </c>
      <c r="C360" t="s">
        <v>1357</v>
      </c>
      <c r="D360" t="s">
        <v>18</v>
      </c>
      <c r="E360" t="s">
        <v>169</v>
      </c>
      <c r="F360">
        <v>-1433067.28</v>
      </c>
      <c r="G360" s="1">
        <v>45827</v>
      </c>
    </row>
    <row r="361" spans="1:7">
      <c r="A361">
        <v>34083</v>
      </c>
      <c r="B361" t="s">
        <v>807</v>
      </c>
      <c r="C361" t="s">
        <v>1359</v>
      </c>
      <c r="D361" t="s">
        <v>17</v>
      </c>
      <c r="E361" t="s">
        <v>169</v>
      </c>
      <c r="F361">
        <v>-92382.4</v>
      </c>
      <c r="G361" s="1">
        <v>45827</v>
      </c>
    </row>
    <row r="362" spans="1:7">
      <c r="A362">
        <v>34084</v>
      </c>
      <c r="B362" t="s">
        <v>811</v>
      </c>
      <c r="C362" t="s">
        <v>162</v>
      </c>
      <c r="D362" t="s">
        <v>17</v>
      </c>
      <c r="E362" t="s">
        <v>169</v>
      </c>
      <c r="F362">
        <v>-1592.6</v>
      </c>
      <c r="G362" s="1">
        <v>45827</v>
      </c>
    </row>
    <row r="363" spans="1:7">
      <c r="A363">
        <v>34102</v>
      </c>
      <c r="B363" t="s">
        <v>807</v>
      </c>
      <c r="C363" t="s">
        <v>1471</v>
      </c>
      <c r="D363" t="s">
        <v>73</v>
      </c>
      <c r="E363" t="s">
        <v>169</v>
      </c>
      <c r="F363">
        <v>-37422</v>
      </c>
      <c r="G363" s="1">
        <v>45832</v>
      </c>
    </row>
    <row r="364" spans="1:7">
      <c r="A364">
        <v>34103</v>
      </c>
      <c r="B364" t="s">
        <v>811</v>
      </c>
      <c r="C364" t="s">
        <v>162</v>
      </c>
      <c r="D364" t="s">
        <v>73</v>
      </c>
      <c r="E364" t="s">
        <v>169</v>
      </c>
      <c r="F364">
        <v>-3465</v>
      </c>
      <c r="G364" s="1">
        <v>45832</v>
      </c>
    </row>
    <row r="365" spans="1:7">
      <c r="A365">
        <v>34105</v>
      </c>
      <c r="B365" t="s">
        <v>807</v>
      </c>
      <c r="C365" t="s">
        <v>1474</v>
      </c>
      <c r="D365" t="s">
        <v>48</v>
      </c>
      <c r="E365" t="s">
        <v>169</v>
      </c>
      <c r="F365">
        <v>-198520.38</v>
      </c>
      <c r="G365" s="1">
        <v>45832</v>
      </c>
    </row>
    <row r="366" spans="1:7">
      <c r="A366">
        <v>34106</v>
      </c>
      <c r="B366" t="s">
        <v>811</v>
      </c>
      <c r="C366" t="s">
        <v>162</v>
      </c>
      <c r="D366" t="s">
        <v>48</v>
      </c>
      <c r="E366" t="s">
        <v>169</v>
      </c>
      <c r="F366">
        <v>-3248.62</v>
      </c>
      <c r="G366" s="1">
        <v>45832</v>
      </c>
    </row>
    <row r="367" spans="1:7">
      <c r="A367">
        <v>34128</v>
      </c>
      <c r="B367" t="s">
        <v>807</v>
      </c>
      <c r="C367" t="s">
        <v>1477</v>
      </c>
      <c r="D367" t="s">
        <v>110</v>
      </c>
      <c r="E367" t="s">
        <v>169</v>
      </c>
      <c r="F367">
        <v>-350780.07</v>
      </c>
      <c r="G367" s="1">
        <v>45832</v>
      </c>
    </row>
    <row r="368" spans="1:7">
      <c r="A368">
        <v>34129</v>
      </c>
      <c r="B368" t="s">
        <v>811</v>
      </c>
      <c r="C368" t="s">
        <v>162</v>
      </c>
      <c r="D368" t="s">
        <v>110</v>
      </c>
      <c r="E368" t="s">
        <v>169</v>
      </c>
      <c r="F368">
        <v>-6047.93</v>
      </c>
      <c r="G368" s="1">
        <v>45832</v>
      </c>
    </row>
    <row r="369" spans="1:7">
      <c r="A369">
        <v>34309</v>
      </c>
      <c r="B369" t="s">
        <v>807</v>
      </c>
      <c r="C369" t="s">
        <v>1561</v>
      </c>
      <c r="D369" t="s">
        <v>33</v>
      </c>
      <c r="E369" t="s">
        <v>169</v>
      </c>
      <c r="F369">
        <v>-2040399</v>
      </c>
      <c r="G369" s="1">
        <v>45834</v>
      </c>
    </row>
    <row r="370" spans="1:7">
      <c r="A370">
        <v>34310</v>
      </c>
      <c r="B370" t="s">
        <v>811</v>
      </c>
      <c r="C370" t="s">
        <v>162</v>
      </c>
      <c r="D370" t="s">
        <v>33</v>
      </c>
      <c r="E370" t="s">
        <v>169</v>
      </c>
      <c r="F370">
        <v>-60908</v>
      </c>
      <c r="G370" s="1">
        <v>45834</v>
      </c>
    </row>
    <row r="371" spans="1:7">
      <c r="A371">
        <v>34329</v>
      </c>
      <c r="B371" t="s">
        <v>807</v>
      </c>
      <c r="C371" t="s">
        <v>1648</v>
      </c>
      <c r="D371" t="s">
        <v>23</v>
      </c>
      <c r="E371" t="s">
        <v>169</v>
      </c>
      <c r="F371">
        <v>-641310</v>
      </c>
      <c r="G371" s="1">
        <v>45838</v>
      </c>
    </row>
    <row r="372" spans="1:7">
      <c r="A372">
        <v>34330</v>
      </c>
      <c r="B372" t="s">
        <v>811</v>
      </c>
      <c r="C372" t="s">
        <v>162</v>
      </c>
      <c r="D372" t="s">
        <v>23</v>
      </c>
      <c r="E372" t="s">
        <v>169</v>
      </c>
      <c r="F372">
        <v>-59381</v>
      </c>
      <c r="G372" s="1">
        <v>45838</v>
      </c>
    </row>
    <row r="373" spans="1:7">
      <c r="A373">
        <v>34338</v>
      </c>
      <c r="B373" t="s">
        <v>807</v>
      </c>
      <c r="C373" t="s">
        <v>1657</v>
      </c>
      <c r="D373" t="s">
        <v>37</v>
      </c>
      <c r="E373" t="s">
        <v>169</v>
      </c>
      <c r="F373">
        <v>-19590413.76</v>
      </c>
      <c r="G373" s="1">
        <v>45838</v>
      </c>
    </row>
    <row r="374" spans="1:7">
      <c r="A374">
        <v>34339</v>
      </c>
      <c r="B374" t="s">
        <v>811</v>
      </c>
      <c r="C374" t="s">
        <v>162</v>
      </c>
      <c r="D374" t="s">
        <v>37</v>
      </c>
      <c r="E374" t="s">
        <v>169</v>
      </c>
      <c r="F374">
        <v>-1813927.24</v>
      </c>
      <c r="G374" s="1">
        <v>45838</v>
      </c>
    </row>
    <row r="375" spans="1:7">
      <c r="A375">
        <v>34444</v>
      </c>
      <c r="B375" t="s">
        <v>782</v>
      </c>
      <c r="C375" t="s">
        <v>893</v>
      </c>
      <c r="D375" t="s">
        <v>41</v>
      </c>
      <c r="E375" t="s">
        <v>169</v>
      </c>
      <c r="F375">
        <v>13837973.28</v>
      </c>
      <c r="G375" s="1">
        <v>45812</v>
      </c>
    </row>
    <row r="376" spans="1:7">
      <c r="A376">
        <v>34447</v>
      </c>
      <c r="B376" t="s">
        <v>782</v>
      </c>
      <c r="C376" t="s">
        <v>1034</v>
      </c>
      <c r="D376" t="s">
        <v>86</v>
      </c>
      <c r="E376" t="s">
        <v>169</v>
      </c>
      <c r="F376">
        <v>87225.6</v>
      </c>
      <c r="G376" s="1">
        <v>45818</v>
      </c>
    </row>
    <row r="377" spans="1:7">
      <c r="A377">
        <v>34448</v>
      </c>
      <c r="B377" t="s">
        <v>769</v>
      </c>
      <c r="C377" t="s">
        <v>1036</v>
      </c>
      <c r="D377" t="s">
        <v>86</v>
      </c>
      <c r="E377" t="s">
        <v>169</v>
      </c>
      <c r="F377">
        <v>0.4</v>
      </c>
      <c r="G377" s="1">
        <v>45818</v>
      </c>
    </row>
    <row r="378" spans="1:7">
      <c r="A378">
        <v>34449</v>
      </c>
      <c r="B378" t="s">
        <v>782</v>
      </c>
      <c r="C378" t="s">
        <v>1097</v>
      </c>
      <c r="D378" t="s">
        <v>1098</v>
      </c>
      <c r="E378" t="s">
        <v>169</v>
      </c>
      <c r="F378">
        <v>355726.34</v>
      </c>
      <c r="G378" s="1">
        <v>45819</v>
      </c>
    </row>
    <row r="379" spans="1:7">
      <c r="A379">
        <v>34452</v>
      </c>
      <c r="B379" t="s">
        <v>769</v>
      </c>
      <c r="C379" t="s">
        <v>1100</v>
      </c>
      <c r="D379" t="s">
        <v>1098</v>
      </c>
      <c r="E379" t="s">
        <v>169</v>
      </c>
      <c r="F379">
        <v>-0.34</v>
      </c>
      <c r="G379" s="1">
        <v>45819</v>
      </c>
    </row>
    <row r="380" spans="1:7">
      <c r="A380">
        <v>34453</v>
      </c>
      <c r="B380" t="s">
        <v>769</v>
      </c>
      <c r="C380" t="s">
        <v>895</v>
      </c>
      <c r="D380" t="s">
        <v>41</v>
      </c>
      <c r="E380" t="s">
        <v>169</v>
      </c>
      <c r="F380">
        <v>-0.28</v>
      </c>
      <c r="G380" s="1">
        <v>45812</v>
      </c>
    </row>
    <row r="381" spans="1:7">
      <c r="A381">
        <v>34454</v>
      </c>
      <c r="B381" t="s">
        <v>782</v>
      </c>
      <c r="C381" t="s">
        <v>1101</v>
      </c>
      <c r="D381" t="s">
        <v>850</v>
      </c>
      <c r="E381" t="s">
        <v>169</v>
      </c>
      <c r="F381">
        <v>585097.1</v>
      </c>
      <c r="G381" s="1">
        <v>45819</v>
      </c>
    </row>
    <row r="382" spans="1:7">
      <c r="A382">
        <v>34458</v>
      </c>
      <c r="B382" t="s">
        <v>782</v>
      </c>
      <c r="C382" t="s">
        <v>1102</v>
      </c>
      <c r="D382" t="s">
        <v>26</v>
      </c>
      <c r="E382" t="s">
        <v>169</v>
      </c>
      <c r="F382">
        <v>809024</v>
      </c>
      <c r="G382" s="1">
        <v>45819</v>
      </c>
    </row>
    <row r="383" spans="1:7">
      <c r="A383">
        <v>34459</v>
      </c>
      <c r="B383" t="s">
        <v>782</v>
      </c>
      <c r="C383" t="s">
        <v>1150</v>
      </c>
      <c r="D383" t="s">
        <v>80</v>
      </c>
      <c r="E383" t="s">
        <v>169</v>
      </c>
      <c r="F383">
        <v>31020.73</v>
      </c>
      <c r="G383" s="1">
        <v>45820</v>
      </c>
    </row>
    <row r="384" spans="1:7">
      <c r="A384">
        <v>34461</v>
      </c>
      <c r="B384" t="s">
        <v>782</v>
      </c>
      <c r="C384" t="s">
        <v>1151</v>
      </c>
      <c r="D384" t="s">
        <v>76</v>
      </c>
      <c r="E384" t="s">
        <v>169</v>
      </c>
      <c r="F384">
        <v>82600</v>
      </c>
      <c r="G384" s="1">
        <v>45820</v>
      </c>
    </row>
    <row r="385" spans="1:7">
      <c r="A385">
        <v>34462</v>
      </c>
      <c r="B385" t="s">
        <v>782</v>
      </c>
      <c r="C385" t="s">
        <v>1152</v>
      </c>
      <c r="D385" t="s">
        <v>25</v>
      </c>
      <c r="E385" t="s">
        <v>169</v>
      </c>
      <c r="F385">
        <v>41300</v>
      </c>
      <c r="G385" s="1">
        <v>45820</v>
      </c>
    </row>
    <row r="386" spans="1:7">
      <c r="A386">
        <v>34463</v>
      </c>
      <c r="B386" t="s">
        <v>782</v>
      </c>
      <c r="C386" t="s">
        <v>1363</v>
      </c>
      <c r="D386" t="s">
        <v>39</v>
      </c>
      <c r="E386" t="s">
        <v>169</v>
      </c>
      <c r="F386">
        <v>3576753.46</v>
      </c>
      <c r="G386" s="1">
        <v>45827</v>
      </c>
    </row>
    <row r="387" spans="1:7">
      <c r="A387">
        <v>34465</v>
      </c>
      <c r="B387" t="s">
        <v>769</v>
      </c>
      <c r="C387" t="s">
        <v>1365</v>
      </c>
      <c r="D387" t="s">
        <v>39</v>
      </c>
      <c r="E387" t="s">
        <v>169</v>
      </c>
      <c r="F387">
        <v>-0.46</v>
      </c>
      <c r="G387" s="1">
        <v>45827</v>
      </c>
    </row>
    <row r="388" spans="1:7">
      <c r="A388">
        <v>34468</v>
      </c>
      <c r="B388" t="s">
        <v>782</v>
      </c>
      <c r="C388" t="s">
        <v>1010</v>
      </c>
      <c r="D388" t="s">
        <v>132</v>
      </c>
      <c r="E388" t="s">
        <v>169</v>
      </c>
      <c r="F388">
        <v>191018.4</v>
      </c>
      <c r="G388" s="1">
        <v>45817</v>
      </c>
    </row>
    <row r="389" spans="1:7">
      <c r="A389">
        <v>34472</v>
      </c>
      <c r="B389" t="s">
        <v>782</v>
      </c>
      <c r="C389" t="s">
        <v>1297</v>
      </c>
      <c r="D389" t="s">
        <v>910</v>
      </c>
      <c r="E389" t="s">
        <v>169</v>
      </c>
      <c r="F389">
        <v>1905541.88</v>
      </c>
      <c r="G389" s="1">
        <v>45825</v>
      </c>
    </row>
    <row r="390" spans="1:7">
      <c r="A390">
        <v>34475</v>
      </c>
      <c r="B390" t="s">
        <v>769</v>
      </c>
      <c r="C390" t="s">
        <v>1012</v>
      </c>
      <c r="D390" t="s">
        <v>132</v>
      </c>
      <c r="E390" t="s">
        <v>169</v>
      </c>
      <c r="F390">
        <v>-0.4</v>
      </c>
      <c r="G390" s="1">
        <v>45817</v>
      </c>
    </row>
    <row r="391" spans="1:7">
      <c r="A391">
        <v>34476</v>
      </c>
      <c r="B391" t="s">
        <v>769</v>
      </c>
      <c r="C391" t="s">
        <v>1299</v>
      </c>
      <c r="D391" t="s">
        <v>910</v>
      </c>
      <c r="E391" t="s">
        <v>169</v>
      </c>
      <c r="F391">
        <v>0.12</v>
      </c>
      <c r="G391" s="1">
        <v>45825</v>
      </c>
    </row>
    <row r="392" spans="1:7">
      <c r="A392">
        <v>34480</v>
      </c>
      <c r="B392" t="s">
        <v>782</v>
      </c>
      <c r="C392" t="s">
        <v>1488</v>
      </c>
      <c r="D392" t="s">
        <v>143</v>
      </c>
      <c r="E392" t="s">
        <v>169</v>
      </c>
      <c r="F392">
        <v>20484.8</v>
      </c>
      <c r="G392" s="1">
        <v>45832</v>
      </c>
    </row>
    <row r="393" spans="1:7">
      <c r="A393">
        <v>34483</v>
      </c>
      <c r="B393" t="s">
        <v>769</v>
      </c>
      <c r="C393" t="s">
        <v>1490</v>
      </c>
      <c r="D393" t="s">
        <v>143</v>
      </c>
      <c r="E393" t="s">
        <v>169</v>
      </c>
      <c r="F393">
        <v>0.2</v>
      </c>
      <c r="G393" s="1">
        <v>45832</v>
      </c>
    </row>
    <row r="394" spans="1:7">
      <c r="A394">
        <v>34485</v>
      </c>
      <c r="B394" t="s">
        <v>782</v>
      </c>
      <c r="C394" t="s">
        <v>1315</v>
      </c>
      <c r="D394" t="s">
        <v>910</v>
      </c>
      <c r="E394" t="s">
        <v>169</v>
      </c>
      <c r="F394">
        <v>961057.02</v>
      </c>
      <c r="G394" s="1">
        <v>45826</v>
      </c>
    </row>
    <row r="395" spans="1:7">
      <c r="A395">
        <v>34489</v>
      </c>
      <c r="B395" t="s">
        <v>769</v>
      </c>
      <c r="C395" t="s">
        <v>1317</v>
      </c>
      <c r="D395" t="s">
        <v>910</v>
      </c>
      <c r="E395" t="s">
        <v>169</v>
      </c>
      <c r="F395">
        <v>-0.02</v>
      </c>
      <c r="G395" s="1">
        <v>45826</v>
      </c>
    </row>
    <row r="396" spans="1:7">
      <c r="A396">
        <v>34491</v>
      </c>
      <c r="B396" t="s">
        <v>782</v>
      </c>
      <c r="C396" t="s">
        <v>1491</v>
      </c>
      <c r="D396" t="s">
        <v>100</v>
      </c>
      <c r="E396" t="s">
        <v>169</v>
      </c>
      <c r="F396">
        <v>631005</v>
      </c>
      <c r="G396" s="1">
        <v>45832</v>
      </c>
    </row>
    <row r="397" spans="1:7">
      <c r="A397">
        <v>34494</v>
      </c>
      <c r="B397" t="s">
        <v>782</v>
      </c>
      <c r="C397" t="s">
        <v>1563</v>
      </c>
      <c r="D397" t="s">
        <v>36</v>
      </c>
      <c r="E397" t="s">
        <v>169</v>
      </c>
      <c r="F397">
        <v>13693.9</v>
      </c>
      <c r="G397" s="1">
        <v>45834</v>
      </c>
    </row>
    <row r="398" spans="1:7">
      <c r="A398">
        <v>34495</v>
      </c>
      <c r="B398" t="s">
        <v>769</v>
      </c>
      <c r="C398" t="s">
        <v>1565</v>
      </c>
      <c r="D398" t="s">
        <v>36</v>
      </c>
      <c r="E398" t="s">
        <v>169</v>
      </c>
      <c r="F398">
        <v>0.1</v>
      </c>
      <c r="G398" s="1">
        <v>45834</v>
      </c>
    </row>
    <row r="399" spans="1:7">
      <c r="A399">
        <v>34498</v>
      </c>
      <c r="B399" t="s">
        <v>782</v>
      </c>
      <c r="C399" t="s">
        <v>1103</v>
      </c>
      <c r="D399" t="s">
        <v>7</v>
      </c>
      <c r="E399" t="s">
        <v>169</v>
      </c>
      <c r="F399">
        <v>534565.72</v>
      </c>
      <c r="G399" s="1">
        <v>45819</v>
      </c>
    </row>
    <row r="400" spans="1:7">
      <c r="A400">
        <v>34499</v>
      </c>
      <c r="B400" t="s">
        <v>769</v>
      </c>
      <c r="C400" t="s">
        <v>1105</v>
      </c>
      <c r="D400" t="s">
        <v>7</v>
      </c>
      <c r="E400" t="s">
        <v>169</v>
      </c>
      <c r="F400">
        <v>0.28</v>
      </c>
      <c r="G400" s="1">
        <v>45819</v>
      </c>
    </row>
    <row r="401" spans="1:7">
      <c r="A401">
        <v>34500</v>
      </c>
      <c r="B401" t="s">
        <v>782</v>
      </c>
      <c r="C401" t="s">
        <v>1272</v>
      </c>
      <c r="D401" t="s">
        <v>92</v>
      </c>
      <c r="E401" t="s">
        <v>169</v>
      </c>
      <c r="F401">
        <v>159300</v>
      </c>
      <c r="G401" s="1">
        <v>45824</v>
      </c>
    </row>
    <row r="402" spans="1:7">
      <c r="A402">
        <v>34501</v>
      </c>
      <c r="B402" t="s">
        <v>769</v>
      </c>
      <c r="C402" t="s">
        <v>1107</v>
      </c>
      <c r="D402" t="s">
        <v>850</v>
      </c>
      <c r="E402" t="s">
        <v>169</v>
      </c>
      <c r="F402">
        <v>-0.1</v>
      </c>
      <c r="G402" s="1">
        <v>45819</v>
      </c>
    </row>
    <row r="403" spans="1:7">
      <c r="A403">
        <v>34502</v>
      </c>
      <c r="B403" t="s">
        <v>769</v>
      </c>
      <c r="C403" t="s">
        <v>1154</v>
      </c>
      <c r="D403" t="s">
        <v>80</v>
      </c>
      <c r="E403" t="s">
        <v>169</v>
      </c>
      <c r="F403">
        <v>0.27</v>
      </c>
      <c r="G403" s="1">
        <v>45820</v>
      </c>
    </row>
    <row r="404" spans="1:7">
      <c r="A404">
        <v>38584</v>
      </c>
      <c r="B404" t="s">
        <v>807</v>
      </c>
      <c r="C404" t="s">
        <v>1567</v>
      </c>
      <c r="D404" t="s">
        <v>143</v>
      </c>
      <c r="E404" t="s">
        <v>169</v>
      </c>
      <c r="F404">
        <v>-577113</v>
      </c>
      <c r="G404" s="1">
        <v>45834</v>
      </c>
    </row>
    <row r="405" spans="1:7">
      <c r="A405">
        <v>38585</v>
      </c>
      <c r="B405" t="s">
        <v>811</v>
      </c>
      <c r="C405" t="s">
        <v>162</v>
      </c>
      <c r="D405" t="s">
        <v>143</v>
      </c>
      <c r="E405" t="s">
        <v>169</v>
      </c>
      <c r="F405">
        <v>-53436</v>
      </c>
      <c r="G405" s="1">
        <v>45834</v>
      </c>
    </row>
    <row r="406" spans="1:7">
      <c r="A406">
        <v>38588</v>
      </c>
      <c r="B406" t="s">
        <v>807</v>
      </c>
      <c r="C406" t="s">
        <v>1612</v>
      </c>
      <c r="D406" t="s">
        <v>92</v>
      </c>
      <c r="E406" t="s">
        <v>169</v>
      </c>
      <c r="F406">
        <v>-156600</v>
      </c>
      <c r="G406" s="1">
        <v>45835</v>
      </c>
    </row>
    <row r="407" spans="1:7">
      <c r="A407">
        <v>38589</v>
      </c>
      <c r="B407" t="s">
        <v>811</v>
      </c>
      <c r="C407" t="s">
        <v>162</v>
      </c>
      <c r="D407" t="s">
        <v>92</v>
      </c>
      <c r="E407" t="s">
        <v>169</v>
      </c>
      <c r="F407">
        <v>-2700</v>
      </c>
      <c r="G407" s="1">
        <v>45835</v>
      </c>
    </row>
    <row r="408" spans="1:7">
      <c r="A408">
        <v>38591</v>
      </c>
      <c r="B408" t="s">
        <v>807</v>
      </c>
      <c r="C408" t="s">
        <v>1444</v>
      </c>
      <c r="D408" t="s">
        <v>1445</v>
      </c>
      <c r="E408" t="s">
        <v>169</v>
      </c>
      <c r="F408">
        <v>-425793.24</v>
      </c>
      <c r="G408" s="1">
        <v>45831</v>
      </c>
    </row>
    <row r="409" spans="1:7">
      <c r="A409">
        <v>38592</v>
      </c>
      <c r="B409" t="s">
        <v>811</v>
      </c>
      <c r="C409" t="s">
        <v>162</v>
      </c>
      <c r="D409" t="s">
        <v>1445</v>
      </c>
      <c r="E409" t="s">
        <v>169</v>
      </c>
      <c r="F409">
        <v>-39425.76</v>
      </c>
      <c r="G409" s="1">
        <v>45831</v>
      </c>
    </row>
    <row r="410" spans="1:7">
      <c r="A410">
        <v>38596</v>
      </c>
      <c r="B410" t="s">
        <v>807</v>
      </c>
      <c r="C410" t="s">
        <v>1038</v>
      </c>
      <c r="D410" t="s">
        <v>65</v>
      </c>
      <c r="E410" t="s">
        <v>169</v>
      </c>
      <c r="F410">
        <v>-470475</v>
      </c>
      <c r="G410" s="1">
        <v>45818</v>
      </c>
    </row>
    <row r="411" spans="1:7">
      <c r="A411">
        <v>38597</v>
      </c>
      <c r="B411" t="s">
        <v>811</v>
      </c>
      <c r="C411" t="s">
        <v>162</v>
      </c>
      <c r="D411" t="s">
        <v>65</v>
      </c>
      <c r="E411" t="s">
        <v>169</v>
      </c>
      <c r="F411">
        <v>-13325</v>
      </c>
      <c r="G411" s="1">
        <v>45818</v>
      </c>
    </row>
    <row r="412" spans="1:7">
      <c r="A412">
        <v>38600</v>
      </c>
      <c r="B412" t="s">
        <v>807</v>
      </c>
      <c r="C412" t="s">
        <v>1238</v>
      </c>
      <c r="D412" t="s">
        <v>1239</v>
      </c>
      <c r="E412" t="s">
        <v>169</v>
      </c>
      <c r="F412">
        <v>-1928349</v>
      </c>
      <c r="G412" s="1">
        <v>45821</v>
      </c>
    </row>
    <row r="413" spans="1:7">
      <c r="A413">
        <v>38601</v>
      </c>
      <c r="B413" t="s">
        <v>811</v>
      </c>
      <c r="C413" t="s">
        <v>162</v>
      </c>
      <c r="D413" t="s">
        <v>1239</v>
      </c>
      <c r="E413" t="s">
        <v>169</v>
      </c>
      <c r="F413">
        <v>-33248</v>
      </c>
      <c r="G413" s="1">
        <v>45821</v>
      </c>
    </row>
    <row r="414" spans="1:7">
      <c r="A414">
        <v>38883</v>
      </c>
      <c r="B414" t="s">
        <v>811</v>
      </c>
      <c r="C414" t="s">
        <v>162</v>
      </c>
      <c r="D414" t="s">
        <v>1368</v>
      </c>
      <c r="E414" t="s">
        <v>169</v>
      </c>
      <c r="F414">
        <v>-288323</v>
      </c>
      <c r="G414" s="1">
        <v>45827</v>
      </c>
    </row>
    <row r="415" spans="1:7">
      <c r="A415">
        <v>38884</v>
      </c>
      <c r="B415" t="s">
        <v>807</v>
      </c>
      <c r="C415" t="s">
        <v>1401</v>
      </c>
      <c r="D415" t="s">
        <v>47</v>
      </c>
      <c r="E415" t="s">
        <v>169</v>
      </c>
      <c r="F415">
        <v>-119988</v>
      </c>
      <c r="G415" s="1">
        <v>45828</v>
      </c>
    </row>
    <row r="416" spans="1:7">
      <c r="A416">
        <v>38885</v>
      </c>
      <c r="B416" t="s">
        <v>811</v>
      </c>
      <c r="C416" t="s">
        <v>162</v>
      </c>
      <c r="D416" t="s">
        <v>47</v>
      </c>
      <c r="E416" t="s">
        <v>169</v>
      </c>
      <c r="F416">
        <v>-11110</v>
      </c>
      <c r="G416" s="1">
        <v>45828</v>
      </c>
    </row>
    <row r="417" spans="1:7">
      <c r="A417">
        <v>38894</v>
      </c>
      <c r="B417" t="s">
        <v>807</v>
      </c>
      <c r="C417" t="s">
        <v>1618</v>
      </c>
      <c r="D417" t="s">
        <v>857</v>
      </c>
      <c r="E417" t="s">
        <v>169</v>
      </c>
      <c r="F417">
        <v>-1788329.42</v>
      </c>
      <c r="G417" s="1">
        <v>45835</v>
      </c>
    </row>
    <row r="418" spans="1:7">
      <c r="A418">
        <v>38895</v>
      </c>
      <c r="B418" t="s">
        <v>811</v>
      </c>
      <c r="C418" t="s">
        <v>162</v>
      </c>
      <c r="D418" t="s">
        <v>857</v>
      </c>
      <c r="E418" t="s">
        <v>169</v>
      </c>
      <c r="F418">
        <v>-30833.58</v>
      </c>
      <c r="G418" s="1">
        <v>45835</v>
      </c>
    </row>
    <row r="419" spans="1:7">
      <c r="A419">
        <v>40393</v>
      </c>
      <c r="B419" t="s">
        <v>807</v>
      </c>
      <c r="C419" t="s">
        <v>1242</v>
      </c>
      <c r="D419" t="s">
        <v>7</v>
      </c>
      <c r="E419" t="s">
        <v>169</v>
      </c>
      <c r="F419">
        <v>-534565</v>
      </c>
      <c r="G419" s="1">
        <v>45821</v>
      </c>
    </row>
    <row r="420" spans="1:7">
      <c r="A420">
        <v>40394</v>
      </c>
      <c r="B420" t="s">
        <v>807</v>
      </c>
      <c r="C420" t="s">
        <v>1242</v>
      </c>
      <c r="D420" t="s">
        <v>7</v>
      </c>
      <c r="E420" t="s">
        <v>169</v>
      </c>
      <c r="F420">
        <v>-1</v>
      </c>
      <c r="G420" s="1">
        <v>45821</v>
      </c>
    </row>
    <row r="421" spans="1:7">
      <c r="A421">
        <v>40574</v>
      </c>
      <c r="B421" t="s">
        <v>807</v>
      </c>
      <c r="C421" t="s">
        <v>968</v>
      </c>
      <c r="D421" t="s">
        <v>842</v>
      </c>
      <c r="E421" t="s">
        <v>169</v>
      </c>
      <c r="F421">
        <v>-772192.57</v>
      </c>
      <c r="G421" s="1">
        <v>45814</v>
      </c>
    </row>
    <row r="422" spans="1:7">
      <c r="A422">
        <v>40576</v>
      </c>
      <c r="B422" t="s">
        <v>811</v>
      </c>
      <c r="C422" t="s">
        <v>162</v>
      </c>
      <c r="D422" t="s">
        <v>842</v>
      </c>
      <c r="E422" t="s">
        <v>169</v>
      </c>
      <c r="F422">
        <v>-71501.43</v>
      </c>
      <c r="G422" s="1">
        <v>45814</v>
      </c>
    </row>
    <row r="423" spans="1:7">
      <c r="A423">
        <v>40584</v>
      </c>
      <c r="B423" t="s">
        <v>807</v>
      </c>
      <c r="C423" t="s">
        <v>971</v>
      </c>
      <c r="D423" t="s">
        <v>842</v>
      </c>
      <c r="E423" t="s">
        <v>169</v>
      </c>
      <c r="F423">
        <v>-160076.42</v>
      </c>
      <c r="G423" s="1">
        <v>45814</v>
      </c>
    </row>
    <row r="424" spans="1:7">
      <c r="A424">
        <v>40585</v>
      </c>
      <c r="B424" t="s">
        <v>811</v>
      </c>
      <c r="C424" t="s">
        <v>162</v>
      </c>
      <c r="D424" t="s">
        <v>842</v>
      </c>
      <c r="E424" t="s">
        <v>169</v>
      </c>
      <c r="F424">
        <v>-14822.58</v>
      </c>
      <c r="G424" s="1">
        <v>45814</v>
      </c>
    </row>
    <row r="425" spans="1:7">
      <c r="A425">
        <v>40589</v>
      </c>
      <c r="B425" t="s">
        <v>807</v>
      </c>
      <c r="C425" t="s">
        <v>1041</v>
      </c>
      <c r="D425" t="s">
        <v>48</v>
      </c>
      <c r="E425" t="s">
        <v>169</v>
      </c>
      <c r="F425">
        <v>-3241504.52</v>
      </c>
      <c r="G425" s="1">
        <v>45818</v>
      </c>
    </row>
    <row r="426" spans="1:7">
      <c r="A426">
        <v>40590</v>
      </c>
      <c r="B426" t="s">
        <v>811</v>
      </c>
      <c r="C426" t="s">
        <v>162</v>
      </c>
      <c r="D426" t="s">
        <v>48</v>
      </c>
      <c r="E426" t="s">
        <v>169</v>
      </c>
      <c r="F426">
        <v>-53049.48</v>
      </c>
      <c r="G426" s="1">
        <v>45818</v>
      </c>
    </row>
    <row r="427" spans="1:7">
      <c r="A427">
        <v>40602</v>
      </c>
      <c r="B427" t="s">
        <v>807</v>
      </c>
      <c r="C427" t="s">
        <v>1245</v>
      </c>
      <c r="D427" t="s">
        <v>842</v>
      </c>
      <c r="E427" t="s">
        <v>169</v>
      </c>
      <c r="F427">
        <v>-224503</v>
      </c>
      <c r="G427" s="1">
        <v>45821</v>
      </c>
    </row>
    <row r="428" spans="1:7">
      <c r="A428">
        <v>40603</v>
      </c>
      <c r="B428" t="s">
        <v>811</v>
      </c>
      <c r="C428" t="s">
        <v>162</v>
      </c>
      <c r="D428" t="s">
        <v>842</v>
      </c>
      <c r="E428" t="s">
        <v>169</v>
      </c>
      <c r="F428">
        <v>-20787</v>
      </c>
      <c r="G428" s="1">
        <v>45821</v>
      </c>
    </row>
    <row r="429" spans="1:7">
      <c r="A429">
        <v>40604</v>
      </c>
      <c r="B429" t="s">
        <v>807</v>
      </c>
      <c r="C429" t="s">
        <v>1245</v>
      </c>
      <c r="D429" t="s">
        <v>842</v>
      </c>
      <c r="E429" t="s">
        <v>169</v>
      </c>
      <c r="F429">
        <v>-20195.84</v>
      </c>
      <c r="G429" s="1">
        <v>45821</v>
      </c>
    </row>
    <row r="430" spans="1:7">
      <c r="A430">
        <v>40605</v>
      </c>
      <c r="B430" t="s">
        <v>811</v>
      </c>
      <c r="C430" t="s">
        <v>162</v>
      </c>
      <c r="D430" t="s">
        <v>842</v>
      </c>
      <c r="E430" t="s">
        <v>169</v>
      </c>
      <c r="F430">
        <v>-1870.16</v>
      </c>
      <c r="G430" s="1">
        <v>45821</v>
      </c>
    </row>
    <row r="431" spans="1:7">
      <c r="A431">
        <v>49793</v>
      </c>
      <c r="B431" t="s">
        <v>807</v>
      </c>
      <c r="C431" t="s">
        <v>1371</v>
      </c>
      <c r="D431" t="s">
        <v>775</v>
      </c>
      <c r="E431" t="s">
        <v>169</v>
      </c>
      <c r="F431">
        <v>-5462035.2</v>
      </c>
      <c r="G431" s="1">
        <v>45827</v>
      </c>
    </row>
    <row r="432" spans="1:7">
      <c r="A432">
        <v>49794</v>
      </c>
      <c r="B432" t="s">
        <v>811</v>
      </c>
      <c r="C432" t="s">
        <v>162</v>
      </c>
      <c r="D432" t="s">
        <v>775</v>
      </c>
      <c r="E432" t="s">
        <v>169</v>
      </c>
      <c r="F432">
        <v>-505743.8</v>
      </c>
      <c r="G432" s="1">
        <v>45827</v>
      </c>
    </row>
    <row r="433" spans="1:7">
      <c r="A433">
        <v>49797</v>
      </c>
      <c r="B433" t="s">
        <v>807</v>
      </c>
      <c r="C433" t="s">
        <v>1520</v>
      </c>
      <c r="D433" t="s">
        <v>842</v>
      </c>
      <c r="E433" t="s">
        <v>169</v>
      </c>
      <c r="F433">
        <v>-140979.66</v>
      </c>
      <c r="G433" s="1">
        <v>45833</v>
      </c>
    </row>
    <row r="434" spans="1:7">
      <c r="A434">
        <v>49798</v>
      </c>
      <c r="B434" t="s">
        <v>811</v>
      </c>
      <c r="C434" t="s">
        <v>162</v>
      </c>
      <c r="D434" t="s">
        <v>842</v>
      </c>
      <c r="E434" t="s">
        <v>169</v>
      </c>
      <c r="F434">
        <v>-13053.34</v>
      </c>
      <c r="G434" s="1">
        <v>45833</v>
      </c>
    </row>
    <row r="435" spans="1:7">
      <c r="A435">
        <v>49806</v>
      </c>
      <c r="B435" t="s">
        <v>807</v>
      </c>
      <c r="C435" t="s">
        <v>1418</v>
      </c>
      <c r="D435" t="s">
        <v>910</v>
      </c>
      <c r="E435" t="s">
        <v>169</v>
      </c>
      <c r="F435">
        <v>-132610</v>
      </c>
      <c r="G435" s="1">
        <v>45829</v>
      </c>
    </row>
    <row r="436" spans="1:7">
      <c r="A436">
        <v>49807</v>
      </c>
      <c r="B436" t="s">
        <v>811</v>
      </c>
      <c r="C436" t="s">
        <v>162</v>
      </c>
      <c r="D436" t="s">
        <v>910</v>
      </c>
      <c r="E436" t="s">
        <v>169</v>
      </c>
      <c r="F436">
        <v>-12279</v>
      </c>
      <c r="G436" s="1">
        <v>45829</v>
      </c>
    </row>
    <row r="437" spans="1:7">
      <c r="A437">
        <v>49809</v>
      </c>
      <c r="B437" t="s">
        <v>807</v>
      </c>
      <c r="C437" t="s">
        <v>1450</v>
      </c>
      <c r="D437" t="s">
        <v>117</v>
      </c>
      <c r="E437" t="s">
        <v>169</v>
      </c>
      <c r="F437">
        <v>-25090.4</v>
      </c>
      <c r="G437" s="1">
        <v>45831</v>
      </c>
    </row>
    <row r="438" spans="1:7">
      <c r="A438">
        <v>49810</v>
      </c>
      <c r="B438" t="s">
        <v>811</v>
      </c>
      <c r="C438" t="s">
        <v>162</v>
      </c>
      <c r="D438" t="s">
        <v>117</v>
      </c>
      <c r="E438" t="s">
        <v>169</v>
      </c>
      <c r="F438">
        <v>-432.6</v>
      </c>
      <c r="G438" s="1">
        <v>45831</v>
      </c>
    </row>
    <row r="439" spans="1:7">
      <c r="A439">
        <v>49812</v>
      </c>
      <c r="B439" t="s">
        <v>769</v>
      </c>
      <c r="C439" t="s">
        <v>1404</v>
      </c>
      <c r="D439" t="s">
        <v>95</v>
      </c>
      <c r="E439" t="s">
        <v>169</v>
      </c>
      <c r="F439">
        <v>-419044</v>
      </c>
      <c r="G439" s="1">
        <v>45828</v>
      </c>
    </row>
    <row r="440" spans="1:7">
      <c r="A440">
        <v>49820</v>
      </c>
      <c r="B440" t="s">
        <v>807</v>
      </c>
      <c r="C440" t="s">
        <v>1660</v>
      </c>
      <c r="D440" t="s">
        <v>857</v>
      </c>
      <c r="E440" t="s">
        <v>169</v>
      </c>
      <c r="F440">
        <v>-1943297</v>
      </c>
      <c r="G440" s="1">
        <v>45838</v>
      </c>
    </row>
    <row r="441" spans="1:7">
      <c r="A441">
        <v>49821</v>
      </c>
      <c r="B441" t="s">
        <v>811</v>
      </c>
      <c r="C441" t="s">
        <v>162</v>
      </c>
      <c r="D441" t="s">
        <v>857</v>
      </c>
      <c r="E441" t="s">
        <v>169</v>
      </c>
      <c r="F441">
        <v>-33506</v>
      </c>
      <c r="G441" s="1">
        <v>45838</v>
      </c>
    </row>
    <row r="442" spans="1:7">
      <c r="A442">
        <v>51778</v>
      </c>
      <c r="B442" t="s">
        <v>1667</v>
      </c>
      <c r="C442" t="s">
        <v>162</v>
      </c>
      <c r="D442" t="s">
        <v>53</v>
      </c>
      <c r="E442" t="s">
        <v>169</v>
      </c>
      <c r="F442">
        <v>-1456500</v>
      </c>
      <c r="G442" s="1">
        <v>45828</v>
      </c>
    </row>
    <row r="443" spans="1:7">
      <c r="A443">
        <v>51779</v>
      </c>
      <c r="B443" t="s">
        <v>1667</v>
      </c>
      <c r="C443" t="s">
        <v>162</v>
      </c>
      <c r="D443" t="s">
        <v>53</v>
      </c>
      <c r="E443" t="s">
        <v>169</v>
      </c>
      <c r="F443">
        <v>-11025000</v>
      </c>
      <c r="G443" s="1">
        <v>45818</v>
      </c>
    </row>
    <row r="444" spans="1:7">
      <c r="A444">
        <v>52108</v>
      </c>
      <c r="B444" t="s">
        <v>769</v>
      </c>
      <c r="C444" t="s">
        <v>1155</v>
      </c>
      <c r="D444" t="s">
        <v>48</v>
      </c>
      <c r="E444" t="s">
        <v>169</v>
      </c>
      <c r="F444">
        <v>14810</v>
      </c>
      <c r="G444" s="1">
        <v>45820</v>
      </c>
    </row>
    <row r="445" spans="1:7">
      <c r="A445">
        <v>52111</v>
      </c>
      <c r="B445" t="s">
        <v>1667</v>
      </c>
      <c r="C445" t="s">
        <v>162</v>
      </c>
      <c r="D445" t="s">
        <v>48</v>
      </c>
      <c r="E445" t="s">
        <v>169</v>
      </c>
      <c r="F445">
        <v>-14570.89</v>
      </c>
      <c r="G445" s="1">
        <v>45820</v>
      </c>
    </row>
    <row r="446" spans="1:7">
      <c r="A446">
        <v>53687</v>
      </c>
      <c r="B446" t="s">
        <v>769</v>
      </c>
      <c r="C446" t="s">
        <v>1662</v>
      </c>
      <c r="D446" t="s">
        <v>1663</v>
      </c>
      <c r="E446" t="s">
        <v>169</v>
      </c>
      <c r="F446">
        <v>1.56</v>
      </c>
      <c r="G446" s="1">
        <v>45838</v>
      </c>
    </row>
    <row r="447" spans="1:7">
      <c r="A447">
        <v>53965</v>
      </c>
      <c r="B447" t="s">
        <v>782</v>
      </c>
      <c r="C447" t="s">
        <v>1623</v>
      </c>
      <c r="D447" t="s">
        <v>142</v>
      </c>
      <c r="E447" t="s">
        <v>169</v>
      </c>
      <c r="F447">
        <v>97350</v>
      </c>
      <c r="G447" s="1">
        <v>45835</v>
      </c>
    </row>
    <row r="448" spans="1:7">
      <c r="A448">
        <v>54012</v>
      </c>
      <c r="B448" t="s">
        <v>847</v>
      </c>
      <c r="C448" t="s">
        <v>1624</v>
      </c>
      <c r="D448" t="s">
        <v>1625</v>
      </c>
      <c r="E448" t="s">
        <v>169</v>
      </c>
      <c r="F448">
        <v>-97350</v>
      </c>
      <c r="G448" s="1">
        <v>45835</v>
      </c>
    </row>
    <row r="449" spans="1:7">
      <c r="A449">
        <v>54209</v>
      </c>
      <c r="B449" t="s">
        <v>769</v>
      </c>
      <c r="C449" t="s">
        <v>1664</v>
      </c>
      <c r="D449" t="s">
        <v>13</v>
      </c>
      <c r="E449" t="s">
        <v>169</v>
      </c>
      <c r="F449">
        <v>1</v>
      </c>
      <c r="G449" s="1">
        <v>45838</v>
      </c>
    </row>
    <row r="450" spans="1:7">
      <c r="A450">
        <v>54642</v>
      </c>
      <c r="B450" t="s">
        <v>807</v>
      </c>
      <c r="C450" t="s">
        <v>1406</v>
      </c>
      <c r="D450" t="s">
        <v>48</v>
      </c>
      <c r="E450" t="s">
        <v>169</v>
      </c>
      <c r="F450">
        <v>-1245713.51</v>
      </c>
      <c r="G450" s="1">
        <v>45828</v>
      </c>
    </row>
    <row r="451" spans="1:7">
      <c r="A451">
        <v>54643</v>
      </c>
      <c r="B451" t="s">
        <v>811</v>
      </c>
      <c r="C451" t="s">
        <v>162</v>
      </c>
      <c r="D451" t="s">
        <v>48</v>
      </c>
      <c r="E451" t="s">
        <v>169</v>
      </c>
      <c r="F451">
        <v>-28827.49</v>
      </c>
      <c r="G451" s="1">
        <v>45828</v>
      </c>
    </row>
    <row r="452" spans="1:7">
      <c r="A452">
        <v>55308</v>
      </c>
      <c r="B452" t="s">
        <v>769</v>
      </c>
      <c r="C452" t="s">
        <v>1665</v>
      </c>
      <c r="D452" t="s">
        <v>22</v>
      </c>
      <c r="E452" t="s">
        <v>169</v>
      </c>
      <c r="F452">
        <v>634929</v>
      </c>
      <c r="G452" s="1">
        <v>45838</v>
      </c>
    </row>
    <row r="453" spans="1:7">
      <c r="A453">
        <v>55308</v>
      </c>
      <c r="B453" t="s">
        <v>769</v>
      </c>
      <c r="C453" t="s">
        <v>1665</v>
      </c>
      <c r="D453" t="s">
        <v>1513</v>
      </c>
      <c r="E453" t="s">
        <v>169</v>
      </c>
      <c r="F453">
        <v>340409</v>
      </c>
      <c r="G453" s="1">
        <v>45838</v>
      </c>
    </row>
    <row r="454" spans="1:7">
      <c r="A454">
        <v>55308</v>
      </c>
      <c r="B454" t="s">
        <v>769</v>
      </c>
      <c r="C454" t="s">
        <v>1665</v>
      </c>
      <c r="D454" t="s">
        <v>1484</v>
      </c>
      <c r="E454" t="s">
        <v>169</v>
      </c>
      <c r="F454">
        <v>945135</v>
      </c>
      <c r="G454" s="1">
        <v>45838</v>
      </c>
    </row>
    <row r="455" spans="1:7">
      <c r="A455">
        <v>55308</v>
      </c>
      <c r="B455" t="s">
        <v>769</v>
      </c>
      <c r="C455" t="s">
        <v>1665</v>
      </c>
      <c r="D455" t="s">
        <v>773</v>
      </c>
      <c r="E455" t="s">
        <v>169</v>
      </c>
      <c r="F455">
        <v>10855.7</v>
      </c>
      <c r="G455" s="1">
        <v>45838</v>
      </c>
    </row>
    <row r="456" spans="1:7">
      <c r="A456">
        <v>55308</v>
      </c>
      <c r="B456" t="s">
        <v>769</v>
      </c>
      <c r="C456" t="s">
        <v>1665</v>
      </c>
      <c r="D456" t="s">
        <v>104</v>
      </c>
      <c r="E456" t="s">
        <v>169</v>
      </c>
      <c r="F456">
        <v>308447.39</v>
      </c>
      <c r="G456" s="1">
        <v>45838</v>
      </c>
    </row>
    <row r="457" spans="1:7">
      <c r="A457">
        <v>55308</v>
      </c>
      <c r="B457" t="s">
        <v>769</v>
      </c>
      <c r="C457" t="s">
        <v>1665</v>
      </c>
      <c r="D457" t="s">
        <v>1487</v>
      </c>
      <c r="E457" t="s">
        <v>169</v>
      </c>
      <c r="F457">
        <v>2928752.5</v>
      </c>
      <c r="G457" s="1">
        <v>45838</v>
      </c>
    </row>
    <row r="458" spans="1:7">
      <c r="A458">
        <v>55308</v>
      </c>
      <c r="B458" t="s">
        <v>769</v>
      </c>
      <c r="C458" t="s">
        <v>1665</v>
      </c>
      <c r="D458" t="s">
        <v>107</v>
      </c>
      <c r="E458" t="s">
        <v>169</v>
      </c>
      <c r="F458">
        <v>29087.46</v>
      </c>
      <c r="G458" s="1">
        <v>45838</v>
      </c>
    </row>
    <row r="459" spans="1:7">
      <c r="A459">
        <v>55308</v>
      </c>
      <c r="B459" t="s">
        <v>769</v>
      </c>
      <c r="C459" t="s">
        <v>1665</v>
      </c>
      <c r="D459" t="s">
        <v>57</v>
      </c>
      <c r="E459" t="s">
        <v>169</v>
      </c>
      <c r="F459">
        <v>212400</v>
      </c>
      <c r="G459" s="1">
        <v>45838</v>
      </c>
    </row>
    <row r="460" spans="1:7">
      <c r="A460">
        <v>55308</v>
      </c>
      <c r="B460" t="s">
        <v>769</v>
      </c>
      <c r="C460" t="s">
        <v>1665</v>
      </c>
      <c r="D460" t="s">
        <v>60</v>
      </c>
      <c r="E460" t="s">
        <v>169</v>
      </c>
      <c r="F460">
        <v>140420</v>
      </c>
      <c r="G460" s="1">
        <v>45838</v>
      </c>
    </row>
    <row r="461" spans="1:7">
      <c r="A461">
        <v>55308</v>
      </c>
      <c r="B461" t="s">
        <v>769</v>
      </c>
      <c r="C461" t="s">
        <v>1665</v>
      </c>
      <c r="D461" t="s">
        <v>63</v>
      </c>
      <c r="E461" t="s">
        <v>169</v>
      </c>
      <c r="F461">
        <v>12135738</v>
      </c>
      <c r="G461" s="1">
        <v>45838</v>
      </c>
    </row>
    <row r="462" spans="1:7">
      <c r="A462">
        <v>55308</v>
      </c>
      <c r="B462" t="s">
        <v>769</v>
      </c>
      <c r="C462" t="s">
        <v>1665</v>
      </c>
      <c r="D462" t="s">
        <v>11</v>
      </c>
      <c r="E462" t="s">
        <v>169</v>
      </c>
      <c r="F462">
        <v>124733.34</v>
      </c>
      <c r="G462" s="1">
        <v>45838</v>
      </c>
    </row>
    <row r="463" spans="1:7">
      <c r="A463">
        <v>55308</v>
      </c>
      <c r="B463" t="s">
        <v>769</v>
      </c>
      <c r="C463" t="s">
        <v>1665</v>
      </c>
      <c r="D463" t="s">
        <v>937</v>
      </c>
      <c r="E463" t="s">
        <v>169</v>
      </c>
      <c r="F463">
        <v>2425638</v>
      </c>
      <c r="G463" s="1">
        <v>45838</v>
      </c>
    </row>
    <row r="464" spans="1:7">
      <c r="A464">
        <v>55308</v>
      </c>
      <c r="B464" t="s">
        <v>769</v>
      </c>
      <c r="C464" t="s">
        <v>1665</v>
      </c>
      <c r="D464" t="s">
        <v>775</v>
      </c>
      <c r="E464" t="s">
        <v>169</v>
      </c>
      <c r="F464">
        <v>301478.34</v>
      </c>
      <c r="G464" s="1">
        <v>45838</v>
      </c>
    </row>
    <row r="465" spans="1:7">
      <c r="A465">
        <v>55308</v>
      </c>
      <c r="B465" t="s">
        <v>769</v>
      </c>
      <c r="C465" t="s">
        <v>1665</v>
      </c>
      <c r="D465" t="s">
        <v>776</v>
      </c>
      <c r="E465" t="s">
        <v>169</v>
      </c>
      <c r="F465">
        <v>2588666.53</v>
      </c>
      <c r="G465" s="1">
        <v>45838</v>
      </c>
    </row>
    <row r="466" spans="1:7">
      <c r="A466">
        <v>55308</v>
      </c>
      <c r="B466" t="s">
        <v>769</v>
      </c>
      <c r="C466" t="s">
        <v>1665</v>
      </c>
      <c r="D466" t="s">
        <v>777</v>
      </c>
      <c r="E466" t="s">
        <v>169</v>
      </c>
      <c r="F466">
        <v>4493156.36</v>
      </c>
      <c r="G466" s="1">
        <v>45838</v>
      </c>
    </row>
    <row r="467" spans="1:7">
      <c r="A467">
        <v>55308</v>
      </c>
      <c r="B467" t="s">
        <v>769</v>
      </c>
      <c r="C467" t="s">
        <v>1665</v>
      </c>
      <c r="D467" t="s">
        <v>86</v>
      </c>
      <c r="E467" t="s">
        <v>169</v>
      </c>
      <c r="F467">
        <v>67919.04</v>
      </c>
      <c r="G467" s="1">
        <v>45838</v>
      </c>
    </row>
    <row r="468" spans="1:7">
      <c r="A468">
        <v>55308</v>
      </c>
      <c r="B468" t="s">
        <v>769</v>
      </c>
      <c r="C468" t="s">
        <v>1665</v>
      </c>
      <c r="D468" t="s">
        <v>922</v>
      </c>
      <c r="E468" t="s">
        <v>169</v>
      </c>
      <c r="F468">
        <v>171525</v>
      </c>
      <c r="G468" s="1">
        <v>45838</v>
      </c>
    </row>
    <row r="469" spans="1:7">
      <c r="A469">
        <v>55308</v>
      </c>
      <c r="B469" t="s">
        <v>769</v>
      </c>
      <c r="C469" t="s">
        <v>1665</v>
      </c>
      <c r="D469" t="s">
        <v>1354</v>
      </c>
      <c r="E469" t="s">
        <v>169</v>
      </c>
      <c r="F469">
        <v>11008345</v>
      </c>
      <c r="G469" s="1">
        <v>45838</v>
      </c>
    </row>
    <row r="470" spans="1:7">
      <c r="A470">
        <v>55308</v>
      </c>
      <c r="B470" t="s">
        <v>769</v>
      </c>
      <c r="C470" t="s">
        <v>1665</v>
      </c>
      <c r="D470" t="s">
        <v>1368</v>
      </c>
      <c r="E470" t="s">
        <v>169</v>
      </c>
      <c r="F470">
        <v>14416127</v>
      </c>
      <c r="G470" s="1">
        <v>45838</v>
      </c>
    </row>
    <row r="471" spans="1:7">
      <c r="A471">
        <v>55308</v>
      </c>
      <c r="B471" t="s">
        <v>769</v>
      </c>
      <c r="C471" t="s">
        <v>1665</v>
      </c>
      <c r="D471" t="s">
        <v>133</v>
      </c>
      <c r="E471" t="s">
        <v>169</v>
      </c>
      <c r="F471">
        <v>774902.24</v>
      </c>
      <c r="G471" s="1">
        <v>45838</v>
      </c>
    </row>
    <row r="472" spans="1:7">
      <c r="A472">
        <v>55363</v>
      </c>
      <c r="B472" t="s">
        <v>1667</v>
      </c>
      <c r="C472" t="s">
        <v>162</v>
      </c>
      <c r="D472" t="s">
        <v>1193</v>
      </c>
      <c r="E472" t="s">
        <v>169</v>
      </c>
      <c r="F472">
        <v>-2170360.8</v>
      </c>
      <c r="G472" s="1">
        <v>45825</v>
      </c>
    </row>
    <row r="473" spans="1:7">
      <c r="A473">
        <v>55877</v>
      </c>
      <c r="B473" t="s">
        <v>807</v>
      </c>
      <c r="C473" t="s">
        <v>1627</v>
      </c>
      <c r="D473" t="s">
        <v>47</v>
      </c>
      <c r="E473" t="s">
        <v>169</v>
      </c>
      <c r="F473">
        <v>-2089762.36</v>
      </c>
      <c r="G473" s="1">
        <v>45835</v>
      </c>
    </row>
    <row r="474" spans="1:7">
      <c r="A474">
        <v>55878</v>
      </c>
      <c r="B474" t="s">
        <v>811</v>
      </c>
      <c r="C474" t="s">
        <v>162</v>
      </c>
      <c r="D474" t="s">
        <v>47</v>
      </c>
      <c r="E474" t="s">
        <v>169</v>
      </c>
      <c r="F474">
        <v>-207697.64</v>
      </c>
      <c r="G474" s="1">
        <v>45835</v>
      </c>
    </row>
    <row r="475" spans="1:7">
      <c r="A475">
        <v>56043</v>
      </c>
      <c r="B475" t="s">
        <v>1667</v>
      </c>
      <c r="C475" t="s">
        <v>162</v>
      </c>
      <c r="D475" t="s">
        <v>772</v>
      </c>
      <c r="E475" t="s">
        <v>169</v>
      </c>
      <c r="F475">
        <v>-1213494.8</v>
      </c>
      <c r="G475" s="1">
        <v>45835</v>
      </c>
    </row>
    <row r="476" spans="1:7">
      <c r="A476">
        <v>56044</v>
      </c>
      <c r="B476" t="s">
        <v>1667</v>
      </c>
      <c r="C476" t="s">
        <v>162</v>
      </c>
      <c r="D476" t="s">
        <v>772</v>
      </c>
      <c r="E476" t="s">
        <v>169</v>
      </c>
      <c r="F476">
        <v>-1610447.16</v>
      </c>
      <c r="G476" s="1">
        <v>45835</v>
      </c>
    </row>
    <row r="477" spans="1:7">
      <c r="A477" t="s">
        <v>162</v>
      </c>
      <c r="B477" t="s">
        <v>1668</v>
      </c>
      <c r="C477" t="s">
        <v>162</v>
      </c>
      <c r="D477" t="s">
        <v>162</v>
      </c>
      <c r="E477" t="s">
        <v>162</v>
      </c>
      <c r="F477">
        <v>418515666.46</v>
      </c>
      <c r="G477" s="1" t="s">
        <v>162</v>
      </c>
    </row>
    <row r="478" spans="6:6">
      <c r="F478" s="2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4"/>
  <sheetViews>
    <sheetView topLeftCell="C107" workbookViewId="0">
      <selection activeCell="C7" sqref="C7"/>
    </sheetView>
  </sheetViews>
  <sheetFormatPr defaultColWidth="8.72727272727273" defaultRowHeight="14.5" outlineLevelCol="6"/>
  <cols>
    <col min="1" max="1" width="10.4545454545455" customWidth="1"/>
    <col min="2" max="2" width="15.5454545454545" customWidth="1"/>
    <col min="3" max="3" width="90.5454545454545" customWidth="1"/>
    <col min="4" max="4" width="21.8181818181818" customWidth="1"/>
    <col min="5" max="5" width="65.3636363636364" customWidth="1"/>
    <col min="6" max="6" width="14" customWidth="1"/>
    <col min="7" max="7" width="6.54545454545455" customWidth="1"/>
  </cols>
  <sheetData>
    <row r="1" spans="1:7">
      <c r="A1" t="s">
        <v>762</v>
      </c>
      <c r="B1" t="s">
        <v>763</v>
      </c>
      <c r="C1" t="s">
        <v>766</v>
      </c>
      <c r="D1" t="s">
        <v>765</v>
      </c>
      <c r="E1" t="s">
        <v>163</v>
      </c>
      <c r="F1" t="s">
        <v>767</v>
      </c>
      <c r="G1" t="s">
        <v>768</v>
      </c>
    </row>
    <row r="2" spans="1:7">
      <c r="A2">
        <v>17171</v>
      </c>
      <c r="B2" t="s">
        <v>847</v>
      </c>
      <c r="C2" t="s">
        <v>30</v>
      </c>
      <c r="D2" t="s">
        <v>1458</v>
      </c>
      <c r="E2" t="s">
        <v>810</v>
      </c>
      <c r="F2">
        <v>-13588.88</v>
      </c>
      <c r="G2">
        <v>45832</v>
      </c>
    </row>
    <row r="3" spans="1:7">
      <c r="A3">
        <v>22719</v>
      </c>
      <c r="B3" t="s">
        <v>807</v>
      </c>
      <c r="C3" t="s">
        <v>47</v>
      </c>
      <c r="D3" t="s">
        <v>809</v>
      </c>
      <c r="E3" t="s">
        <v>810</v>
      </c>
      <c r="F3">
        <v>-2438437.5</v>
      </c>
      <c r="G3">
        <v>45810</v>
      </c>
    </row>
    <row r="4" spans="1:7">
      <c r="A4">
        <v>22720</v>
      </c>
      <c r="B4" t="s">
        <v>811</v>
      </c>
      <c r="C4" t="s">
        <v>47</v>
      </c>
      <c r="D4" t="s">
        <v>162</v>
      </c>
      <c r="E4" t="s">
        <v>810</v>
      </c>
      <c r="F4">
        <v>-69062.5</v>
      </c>
      <c r="G4">
        <v>45810</v>
      </c>
    </row>
    <row r="5" spans="1:7">
      <c r="A5">
        <v>22721</v>
      </c>
      <c r="B5" t="s">
        <v>807</v>
      </c>
      <c r="C5" t="s">
        <v>80</v>
      </c>
      <c r="D5" t="s">
        <v>814</v>
      </c>
      <c r="E5" t="s">
        <v>810</v>
      </c>
      <c r="F5">
        <v>-178367</v>
      </c>
      <c r="G5">
        <v>45810</v>
      </c>
    </row>
    <row r="6" spans="1:7">
      <c r="A6">
        <v>22722</v>
      </c>
      <c r="B6" t="s">
        <v>811</v>
      </c>
      <c r="C6" t="s">
        <v>80</v>
      </c>
      <c r="D6" t="s">
        <v>162</v>
      </c>
      <c r="E6" t="s">
        <v>810</v>
      </c>
      <c r="F6">
        <v>-16516</v>
      </c>
      <c r="G6">
        <v>45810</v>
      </c>
    </row>
    <row r="7" spans="1:7">
      <c r="A7">
        <v>22724</v>
      </c>
      <c r="B7" t="s">
        <v>807</v>
      </c>
      <c r="C7" t="s">
        <v>102</v>
      </c>
      <c r="D7" t="s">
        <v>820</v>
      </c>
      <c r="E7" t="s">
        <v>810</v>
      </c>
      <c r="F7">
        <v>-12760</v>
      </c>
      <c r="G7">
        <v>45810</v>
      </c>
    </row>
    <row r="8" spans="1:7">
      <c r="A8">
        <v>22725</v>
      </c>
      <c r="B8" t="s">
        <v>811</v>
      </c>
      <c r="C8" t="s">
        <v>102</v>
      </c>
      <c r="D8" t="s">
        <v>162</v>
      </c>
      <c r="E8" t="s">
        <v>810</v>
      </c>
      <c r="F8">
        <v>-220</v>
      </c>
      <c r="G8">
        <v>45810</v>
      </c>
    </row>
    <row r="9" spans="1:7">
      <c r="A9">
        <v>22899</v>
      </c>
      <c r="B9" t="s">
        <v>807</v>
      </c>
      <c r="C9" t="s">
        <v>842</v>
      </c>
      <c r="D9" t="s">
        <v>841</v>
      </c>
      <c r="E9" t="s">
        <v>810</v>
      </c>
      <c r="F9">
        <v>-134956.8</v>
      </c>
      <c r="G9">
        <v>45811</v>
      </c>
    </row>
    <row r="10" spans="1:7">
      <c r="A10">
        <v>22904</v>
      </c>
      <c r="B10" t="s">
        <v>807</v>
      </c>
      <c r="C10" t="s">
        <v>79</v>
      </c>
      <c r="D10" t="s">
        <v>844</v>
      </c>
      <c r="E10" t="s">
        <v>810</v>
      </c>
      <c r="F10">
        <v>-17794927</v>
      </c>
      <c r="G10">
        <v>45811</v>
      </c>
    </row>
    <row r="11" spans="1:7">
      <c r="A11">
        <v>22919</v>
      </c>
      <c r="B11" t="s">
        <v>807</v>
      </c>
      <c r="C11" t="s">
        <v>65</v>
      </c>
      <c r="D11" t="s">
        <v>878</v>
      </c>
      <c r="E11" t="s">
        <v>810</v>
      </c>
      <c r="F11">
        <v>-407644.28</v>
      </c>
      <c r="G11">
        <v>45812</v>
      </c>
    </row>
    <row r="12" spans="1:7">
      <c r="A12">
        <v>22923</v>
      </c>
      <c r="B12" t="s">
        <v>807</v>
      </c>
      <c r="C12" t="s">
        <v>62</v>
      </c>
      <c r="D12" t="s">
        <v>880</v>
      </c>
      <c r="E12" t="s">
        <v>810</v>
      </c>
      <c r="F12">
        <v>-144918.8</v>
      </c>
      <c r="G12">
        <v>45812</v>
      </c>
    </row>
    <row r="13" spans="1:7">
      <c r="A13">
        <v>22941</v>
      </c>
      <c r="B13" t="s">
        <v>807</v>
      </c>
      <c r="C13" t="s">
        <v>86</v>
      </c>
      <c r="D13" t="s">
        <v>882</v>
      </c>
      <c r="E13" t="s">
        <v>810</v>
      </c>
      <c r="F13">
        <v>-7015.68</v>
      </c>
      <c r="G13">
        <v>45812</v>
      </c>
    </row>
    <row r="14" spans="1:7">
      <c r="A14">
        <v>22944</v>
      </c>
      <c r="B14" t="s">
        <v>807</v>
      </c>
      <c r="C14" t="s">
        <v>910</v>
      </c>
      <c r="D14" t="s">
        <v>909</v>
      </c>
      <c r="E14" t="s">
        <v>810</v>
      </c>
      <c r="F14">
        <v>-530646</v>
      </c>
      <c r="G14">
        <v>45813</v>
      </c>
    </row>
    <row r="15" spans="1:7">
      <c r="A15">
        <v>22949</v>
      </c>
      <c r="B15" t="s">
        <v>807</v>
      </c>
      <c r="C15" t="s">
        <v>53</v>
      </c>
      <c r="D15" t="s">
        <v>912</v>
      </c>
      <c r="E15" t="s">
        <v>810</v>
      </c>
      <c r="F15">
        <v>-70876</v>
      </c>
      <c r="G15">
        <v>45813</v>
      </c>
    </row>
    <row r="16" spans="1:7">
      <c r="A16">
        <v>23054</v>
      </c>
      <c r="B16" t="s">
        <v>807</v>
      </c>
      <c r="C16" t="s">
        <v>910</v>
      </c>
      <c r="D16" t="s">
        <v>916</v>
      </c>
      <c r="E16" t="s">
        <v>810</v>
      </c>
      <c r="F16">
        <v>-548319.87</v>
      </c>
      <c r="G16">
        <v>45813</v>
      </c>
    </row>
    <row r="17" spans="1:7">
      <c r="A17">
        <v>23056</v>
      </c>
      <c r="B17" t="s">
        <v>807</v>
      </c>
      <c r="C17" t="s">
        <v>66</v>
      </c>
      <c r="D17" t="s">
        <v>918</v>
      </c>
      <c r="E17" t="s">
        <v>810</v>
      </c>
      <c r="F17">
        <v>-36209.48</v>
      </c>
      <c r="G17">
        <v>45813</v>
      </c>
    </row>
    <row r="18" spans="1:7">
      <c r="A18">
        <v>23118</v>
      </c>
      <c r="B18" t="s">
        <v>807</v>
      </c>
      <c r="C18" t="s">
        <v>54</v>
      </c>
      <c r="D18" t="s">
        <v>939</v>
      </c>
      <c r="E18" t="s">
        <v>810</v>
      </c>
      <c r="F18">
        <v>-308157.82</v>
      </c>
      <c r="G18">
        <v>45814</v>
      </c>
    </row>
    <row r="19" spans="1:7">
      <c r="A19">
        <v>23125</v>
      </c>
      <c r="B19" t="s">
        <v>807</v>
      </c>
      <c r="C19" t="s">
        <v>942</v>
      </c>
      <c r="D19" t="s">
        <v>941</v>
      </c>
      <c r="E19" t="s">
        <v>810</v>
      </c>
      <c r="F19">
        <v>-9002125.54</v>
      </c>
      <c r="G19">
        <v>45814</v>
      </c>
    </row>
    <row r="20" spans="1:7">
      <c r="A20">
        <v>23129</v>
      </c>
      <c r="B20" t="s">
        <v>807</v>
      </c>
      <c r="C20" t="s">
        <v>842</v>
      </c>
      <c r="D20" t="s">
        <v>944</v>
      </c>
      <c r="E20" t="s">
        <v>810</v>
      </c>
      <c r="F20">
        <v>-116121.01</v>
      </c>
      <c r="G20">
        <v>45814</v>
      </c>
    </row>
    <row r="21" spans="1:7">
      <c r="A21">
        <v>23130</v>
      </c>
      <c r="B21" t="s">
        <v>811</v>
      </c>
      <c r="C21" t="s">
        <v>842</v>
      </c>
      <c r="D21" t="s">
        <v>162</v>
      </c>
      <c r="E21" t="s">
        <v>810</v>
      </c>
      <c r="F21">
        <v>-10751.99</v>
      </c>
      <c r="G21">
        <v>45814</v>
      </c>
    </row>
    <row r="22" spans="1:7">
      <c r="A22">
        <v>23133</v>
      </c>
      <c r="B22" t="s">
        <v>807</v>
      </c>
      <c r="C22" t="s">
        <v>842</v>
      </c>
      <c r="D22" t="s">
        <v>947</v>
      </c>
      <c r="E22" t="s">
        <v>810</v>
      </c>
      <c r="F22">
        <v>-1101382.82</v>
      </c>
      <c r="G22">
        <v>45814</v>
      </c>
    </row>
    <row r="23" spans="1:7">
      <c r="A23">
        <v>23134</v>
      </c>
      <c r="B23" t="s">
        <v>811</v>
      </c>
      <c r="C23" t="s">
        <v>842</v>
      </c>
      <c r="D23" t="s">
        <v>162</v>
      </c>
      <c r="E23" t="s">
        <v>810</v>
      </c>
      <c r="F23">
        <v>-101980.18</v>
      </c>
      <c r="G23">
        <v>45814</v>
      </c>
    </row>
    <row r="24" spans="1:7">
      <c r="A24">
        <v>23146</v>
      </c>
      <c r="B24" t="s">
        <v>807</v>
      </c>
      <c r="C24" t="s">
        <v>842</v>
      </c>
      <c r="D24" t="s">
        <v>950</v>
      </c>
      <c r="E24" t="s">
        <v>810</v>
      </c>
      <c r="F24">
        <v>-116121.01</v>
      </c>
      <c r="G24">
        <v>45814</v>
      </c>
    </row>
    <row r="25" spans="1:7">
      <c r="A25">
        <v>23149</v>
      </c>
      <c r="B25" t="s">
        <v>807</v>
      </c>
      <c r="C25" t="s">
        <v>842</v>
      </c>
      <c r="D25" t="s">
        <v>952</v>
      </c>
      <c r="E25" t="s">
        <v>810</v>
      </c>
      <c r="F25">
        <v>-116121.01</v>
      </c>
      <c r="G25">
        <v>45814</v>
      </c>
    </row>
    <row r="26" spans="1:7">
      <c r="A26">
        <v>23158</v>
      </c>
      <c r="B26" t="s">
        <v>807</v>
      </c>
      <c r="C26" t="s">
        <v>842</v>
      </c>
      <c r="D26" t="s">
        <v>954</v>
      </c>
      <c r="E26" t="s">
        <v>810</v>
      </c>
      <c r="F26">
        <v>-271268.5</v>
      </c>
      <c r="G26">
        <v>45814</v>
      </c>
    </row>
    <row r="27" spans="1:7">
      <c r="A27">
        <v>23159</v>
      </c>
      <c r="B27" t="s">
        <v>811</v>
      </c>
      <c r="C27" t="s">
        <v>842</v>
      </c>
      <c r="D27" t="s">
        <v>162</v>
      </c>
      <c r="E27" t="s">
        <v>810</v>
      </c>
      <c r="F27">
        <v>-25117.5</v>
      </c>
      <c r="G27">
        <v>45814</v>
      </c>
    </row>
    <row r="28" spans="1:7">
      <c r="A28">
        <v>23165</v>
      </c>
      <c r="B28" t="s">
        <v>807</v>
      </c>
      <c r="C28" t="s">
        <v>842</v>
      </c>
      <c r="D28" t="s">
        <v>957</v>
      </c>
      <c r="E28" t="s">
        <v>810</v>
      </c>
      <c r="F28">
        <v>-8575138.12</v>
      </c>
      <c r="G28">
        <v>45814</v>
      </c>
    </row>
    <row r="29" spans="1:7">
      <c r="A29">
        <v>23166</v>
      </c>
      <c r="B29" t="s">
        <v>811</v>
      </c>
      <c r="C29" t="s">
        <v>842</v>
      </c>
      <c r="D29" t="s">
        <v>162</v>
      </c>
      <c r="E29" t="s">
        <v>810</v>
      </c>
      <c r="F29">
        <v>-798682.88</v>
      </c>
      <c r="G29">
        <v>45814</v>
      </c>
    </row>
    <row r="30" spans="1:7">
      <c r="A30">
        <v>23179</v>
      </c>
      <c r="B30" t="s">
        <v>807</v>
      </c>
      <c r="C30" t="s">
        <v>44</v>
      </c>
      <c r="D30" t="s">
        <v>1004</v>
      </c>
      <c r="E30" t="s">
        <v>810</v>
      </c>
      <c r="F30">
        <v>-163446.86</v>
      </c>
      <c r="G30">
        <v>45817</v>
      </c>
    </row>
    <row r="31" spans="1:7">
      <c r="A31">
        <v>23179</v>
      </c>
      <c r="B31" t="s">
        <v>807</v>
      </c>
      <c r="C31" t="s">
        <v>44</v>
      </c>
      <c r="D31" t="s">
        <v>1004</v>
      </c>
      <c r="E31" t="s">
        <v>810</v>
      </c>
      <c r="F31">
        <v>-6449.85</v>
      </c>
      <c r="G31">
        <v>45817</v>
      </c>
    </row>
    <row r="32" spans="1:7">
      <c r="A32">
        <v>23239</v>
      </c>
      <c r="B32" t="s">
        <v>807</v>
      </c>
      <c r="C32" t="s">
        <v>80</v>
      </c>
      <c r="D32" t="s">
        <v>1029</v>
      </c>
      <c r="E32" t="s">
        <v>810</v>
      </c>
      <c r="F32">
        <v>-315862</v>
      </c>
      <c r="G32">
        <v>45818</v>
      </c>
    </row>
    <row r="33" spans="1:7">
      <c r="A33">
        <v>23240</v>
      </c>
      <c r="B33" t="s">
        <v>811</v>
      </c>
      <c r="C33" t="s">
        <v>80</v>
      </c>
      <c r="D33" t="s">
        <v>162</v>
      </c>
      <c r="E33" t="s">
        <v>810</v>
      </c>
      <c r="F33">
        <v>-29246</v>
      </c>
      <c r="G33">
        <v>45818</v>
      </c>
    </row>
    <row r="34" spans="1:7">
      <c r="A34">
        <v>23247</v>
      </c>
      <c r="B34" t="s">
        <v>807</v>
      </c>
      <c r="C34" t="s">
        <v>910</v>
      </c>
      <c r="D34" t="s">
        <v>1055</v>
      </c>
      <c r="E34" t="s">
        <v>810</v>
      </c>
      <c r="F34">
        <v>-634659</v>
      </c>
      <c r="G34">
        <v>45819</v>
      </c>
    </row>
    <row r="35" spans="1:7">
      <c r="A35">
        <v>23248</v>
      </c>
      <c r="B35" t="s">
        <v>811</v>
      </c>
      <c r="C35" t="s">
        <v>910</v>
      </c>
      <c r="D35" t="s">
        <v>162</v>
      </c>
      <c r="E35" t="s">
        <v>810</v>
      </c>
      <c r="F35">
        <v>-17975</v>
      </c>
      <c r="G35">
        <v>45819</v>
      </c>
    </row>
    <row r="36" spans="1:7">
      <c r="A36">
        <v>23256</v>
      </c>
      <c r="B36" t="s">
        <v>807</v>
      </c>
      <c r="C36" t="s">
        <v>842</v>
      </c>
      <c r="D36" t="s">
        <v>1060</v>
      </c>
      <c r="E36" t="s">
        <v>810</v>
      </c>
      <c r="F36">
        <v>-28036.8</v>
      </c>
      <c r="G36">
        <v>45819</v>
      </c>
    </row>
    <row r="37" spans="1:7">
      <c r="A37">
        <v>23257</v>
      </c>
      <c r="B37" t="s">
        <v>811</v>
      </c>
      <c r="C37" t="s">
        <v>842</v>
      </c>
      <c r="D37" t="s">
        <v>162</v>
      </c>
      <c r="E37" t="s">
        <v>810</v>
      </c>
      <c r="F37">
        <v>-2596.2</v>
      </c>
      <c r="G37">
        <v>45819</v>
      </c>
    </row>
    <row r="38" spans="1:7">
      <c r="A38">
        <v>23260</v>
      </c>
      <c r="B38" t="s">
        <v>807</v>
      </c>
      <c r="C38" t="s">
        <v>842</v>
      </c>
      <c r="D38" t="s">
        <v>1063</v>
      </c>
      <c r="E38" t="s">
        <v>810</v>
      </c>
      <c r="F38">
        <v>-519125.55</v>
      </c>
      <c r="G38">
        <v>45819</v>
      </c>
    </row>
    <row r="39" spans="1:7">
      <c r="A39">
        <v>23261</v>
      </c>
      <c r="B39" t="s">
        <v>811</v>
      </c>
      <c r="C39" t="s">
        <v>842</v>
      </c>
      <c r="D39" t="s">
        <v>162</v>
      </c>
      <c r="E39" t="s">
        <v>810</v>
      </c>
      <c r="F39">
        <v>-48068.45</v>
      </c>
      <c r="G39">
        <v>45819</v>
      </c>
    </row>
    <row r="40" spans="1:7">
      <c r="A40">
        <v>23265</v>
      </c>
      <c r="B40" t="s">
        <v>807</v>
      </c>
      <c r="C40" t="s">
        <v>842</v>
      </c>
      <c r="D40" t="s">
        <v>1066</v>
      </c>
      <c r="E40" t="s">
        <v>810</v>
      </c>
      <c r="F40">
        <v>-983222.58</v>
      </c>
      <c r="G40">
        <v>45819</v>
      </c>
    </row>
    <row r="41" spans="1:7">
      <c r="A41">
        <v>23266</v>
      </c>
      <c r="B41" t="s">
        <v>811</v>
      </c>
      <c r="C41" t="s">
        <v>842</v>
      </c>
      <c r="D41" t="s">
        <v>162</v>
      </c>
      <c r="E41" t="s">
        <v>810</v>
      </c>
      <c r="F41">
        <v>-81140.42</v>
      </c>
      <c r="G41">
        <v>45819</v>
      </c>
    </row>
    <row r="42" spans="1:7">
      <c r="A42">
        <v>23268</v>
      </c>
      <c r="B42" t="s">
        <v>807</v>
      </c>
      <c r="C42" t="s">
        <v>842</v>
      </c>
      <c r="D42" t="s">
        <v>1069</v>
      </c>
      <c r="E42" t="s">
        <v>810</v>
      </c>
      <c r="F42">
        <v>-2053308.84</v>
      </c>
      <c r="G42">
        <v>45819</v>
      </c>
    </row>
    <row r="43" spans="1:7">
      <c r="A43">
        <v>23269</v>
      </c>
      <c r="B43" t="s">
        <v>811</v>
      </c>
      <c r="C43" t="s">
        <v>842</v>
      </c>
      <c r="D43" t="s">
        <v>162</v>
      </c>
      <c r="E43" t="s">
        <v>810</v>
      </c>
      <c r="F43">
        <v>-190122.16</v>
      </c>
      <c r="G43">
        <v>45819</v>
      </c>
    </row>
    <row r="44" spans="1:7">
      <c r="A44">
        <v>23272</v>
      </c>
      <c r="B44" t="s">
        <v>807</v>
      </c>
      <c r="C44" t="s">
        <v>842</v>
      </c>
      <c r="D44" t="s">
        <v>1072</v>
      </c>
      <c r="E44" t="s">
        <v>810</v>
      </c>
      <c r="F44">
        <v>-112251.42</v>
      </c>
      <c r="G44">
        <v>45819</v>
      </c>
    </row>
    <row r="45" spans="1:7">
      <c r="A45">
        <v>23273</v>
      </c>
      <c r="B45" t="s">
        <v>811</v>
      </c>
      <c r="C45" t="s">
        <v>842</v>
      </c>
      <c r="D45" t="s">
        <v>162</v>
      </c>
      <c r="E45" t="s">
        <v>810</v>
      </c>
      <c r="F45">
        <v>-10393.58</v>
      </c>
      <c r="G45">
        <v>45819</v>
      </c>
    </row>
    <row r="46" spans="1:7">
      <c r="A46">
        <v>23277</v>
      </c>
      <c r="B46" t="s">
        <v>807</v>
      </c>
      <c r="C46" t="s">
        <v>842</v>
      </c>
      <c r="D46" t="s">
        <v>1075</v>
      </c>
      <c r="E46" t="s">
        <v>810</v>
      </c>
      <c r="F46">
        <v>-596859.58</v>
      </c>
      <c r="G46">
        <v>45819</v>
      </c>
    </row>
    <row r="47" spans="1:7">
      <c r="A47">
        <v>23278</v>
      </c>
      <c r="B47" t="s">
        <v>811</v>
      </c>
      <c r="C47" t="s">
        <v>842</v>
      </c>
      <c r="D47" t="s">
        <v>162</v>
      </c>
      <c r="E47" t="s">
        <v>810</v>
      </c>
      <c r="F47">
        <v>-55265.42</v>
      </c>
      <c r="G47">
        <v>45819</v>
      </c>
    </row>
    <row r="48" spans="1:7">
      <c r="A48">
        <v>23282</v>
      </c>
      <c r="B48" t="s">
        <v>807</v>
      </c>
      <c r="C48" t="s">
        <v>80</v>
      </c>
      <c r="D48" t="s">
        <v>1080</v>
      </c>
      <c r="E48" t="s">
        <v>810</v>
      </c>
      <c r="F48">
        <v>-61035</v>
      </c>
      <c r="G48">
        <v>45819</v>
      </c>
    </row>
    <row r="49" spans="1:7">
      <c r="A49">
        <v>23283</v>
      </c>
      <c r="B49" t="s">
        <v>811</v>
      </c>
      <c r="C49" t="s">
        <v>80</v>
      </c>
      <c r="D49" t="s">
        <v>162</v>
      </c>
      <c r="E49" t="s">
        <v>810</v>
      </c>
      <c r="F49">
        <v>-5651</v>
      </c>
      <c r="G49">
        <v>45819</v>
      </c>
    </row>
    <row r="50" spans="1:7">
      <c r="A50">
        <v>23285</v>
      </c>
      <c r="B50" t="s">
        <v>807</v>
      </c>
      <c r="C50" t="s">
        <v>71</v>
      </c>
      <c r="D50" t="s">
        <v>1083</v>
      </c>
      <c r="E50" t="s">
        <v>810</v>
      </c>
      <c r="F50">
        <v>-4158000</v>
      </c>
      <c r="G50">
        <v>45819</v>
      </c>
    </row>
    <row r="51" spans="1:7">
      <c r="A51">
        <v>23286</v>
      </c>
      <c r="B51" t="s">
        <v>811</v>
      </c>
      <c r="C51" t="s">
        <v>71</v>
      </c>
      <c r="D51" t="s">
        <v>162</v>
      </c>
      <c r="E51" t="s">
        <v>810</v>
      </c>
      <c r="F51">
        <v>-385000</v>
      </c>
      <c r="G51">
        <v>45819</v>
      </c>
    </row>
    <row r="52" spans="1:7">
      <c r="A52">
        <v>23298</v>
      </c>
      <c r="B52" t="s">
        <v>807</v>
      </c>
      <c r="C52" t="s">
        <v>1130</v>
      </c>
      <c r="D52" t="s">
        <v>1129</v>
      </c>
      <c r="E52" t="s">
        <v>810</v>
      </c>
      <c r="F52">
        <v>-7656000</v>
      </c>
      <c r="G52">
        <v>45820</v>
      </c>
    </row>
    <row r="53" spans="1:7">
      <c r="A53">
        <v>23299</v>
      </c>
      <c r="B53" t="s">
        <v>811</v>
      </c>
      <c r="C53" t="s">
        <v>1130</v>
      </c>
      <c r="D53" t="s">
        <v>162</v>
      </c>
      <c r="E53" t="s">
        <v>810</v>
      </c>
      <c r="F53">
        <v>-132000</v>
      </c>
      <c r="G53">
        <v>45820</v>
      </c>
    </row>
    <row r="54" spans="1:7">
      <c r="A54">
        <v>23415</v>
      </c>
      <c r="B54" t="s">
        <v>807</v>
      </c>
      <c r="C54" t="s">
        <v>73</v>
      </c>
      <c r="D54" t="s">
        <v>1133</v>
      </c>
      <c r="E54" t="s">
        <v>810</v>
      </c>
      <c r="F54">
        <v>-962945.2</v>
      </c>
      <c r="G54">
        <v>45820</v>
      </c>
    </row>
    <row r="55" spans="1:7">
      <c r="A55">
        <v>23426</v>
      </c>
      <c r="B55" t="s">
        <v>807</v>
      </c>
      <c r="C55" t="s">
        <v>787</v>
      </c>
      <c r="D55" t="s">
        <v>1137</v>
      </c>
      <c r="E55" t="s">
        <v>810</v>
      </c>
      <c r="F55">
        <v>-3780022.4</v>
      </c>
      <c r="G55">
        <v>45820</v>
      </c>
    </row>
    <row r="56" spans="1:7">
      <c r="A56">
        <v>23453</v>
      </c>
      <c r="B56" t="s">
        <v>807</v>
      </c>
      <c r="C56" t="s">
        <v>1130</v>
      </c>
      <c r="D56" t="s">
        <v>1189</v>
      </c>
      <c r="E56" t="s">
        <v>810</v>
      </c>
      <c r="F56">
        <v>-7076000</v>
      </c>
      <c r="G56">
        <v>45821</v>
      </c>
    </row>
    <row r="57" spans="1:7">
      <c r="A57">
        <v>23454</v>
      </c>
      <c r="B57" t="s">
        <v>811</v>
      </c>
      <c r="C57" t="s">
        <v>1130</v>
      </c>
      <c r="D57" t="s">
        <v>162</v>
      </c>
      <c r="E57" t="s">
        <v>810</v>
      </c>
      <c r="F57">
        <v>-122000</v>
      </c>
      <c r="G57">
        <v>45821</v>
      </c>
    </row>
    <row r="58" spans="1:7">
      <c r="A58">
        <v>23457</v>
      </c>
      <c r="B58" t="s">
        <v>807</v>
      </c>
      <c r="C58" t="s">
        <v>842</v>
      </c>
      <c r="D58" t="s">
        <v>1196</v>
      </c>
      <c r="E58" t="s">
        <v>810</v>
      </c>
      <c r="F58">
        <v>-141951.42</v>
      </c>
      <c r="G58">
        <v>45821</v>
      </c>
    </row>
    <row r="59" spans="1:7">
      <c r="A59">
        <v>23458</v>
      </c>
      <c r="B59" t="s">
        <v>811</v>
      </c>
      <c r="C59" t="s">
        <v>842</v>
      </c>
      <c r="D59" t="s">
        <v>162</v>
      </c>
      <c r="E59" t="s">
        <v>810</v>
      </c>
      <c r="F59">
        <v>-13143.58</v>
      </c>
      <c r="G59">
        <v>45821</v>
      </c>
    </row>
    <row r="60" spans="1:7">
      <c r="A60">
        <v>23459</v>
      </c>
      <c r="B60" t="s">
        <v>807</v>
      </c>
      <c r="C60" t="s">
        <v>842</v>
      </c>
      <c r="D60" t="s">
        <v>1199</v>
      </c>
      <c r="E60" t="s">
        <v>810</v>
      </c>
      <c r="F60">
        <v>-112251.42</v>
      </c>
      <c r="G60">
        <v>45821</v>
      </c>
    </row>
    <row r="61" spans="1:7">
      <c r="A61">
        <v>23460</v>
      </c>
      <c r="B61" t="s">
        <v>811</v>
      </c>
      <c r="C61" t="s">
        <v>842</v>
      </c>
      <c r="D61" t="s">
        <v>162</v>
      </c>
      <c r="E61" t="s">
        <v>810</v>
      </c>
      <c r="F61">
        <v>-10393.58</v>
      </c>
      <c r="G61">
        <v>45821</v>
      </c>
    </row>
    <row r="62" spans="1:7">
      <c r="A62">
        <v>23462</v>
      </c>
      <c r="B62" t="s">
        <v>807</v>
      </c>
      <c r="C62" t="s">
        <v>842</v>
      </c>
      <c r="D62" t="s">
        <v>1202</v>
      </c>
      <c r="E62" t="s">
        <v>810</v>
      </c>
      <c r="F62">
        <v>-143961.64</v>
      </c>
      <c r="G62">
        <v>45821</v>
      </c>
    </row>
    <row r="63" spans="1:7">
      <c r="A63">
        <v>23463</v>
      </c>
      <c r="B63" t="s">
        <v>811</v>
      </c>
      <c r="C63" t="s">
        <v>842</v>
      </c>
      <c r="D63" t="s">
        <v>162</v>
      </c>
      <c r="E63" t="s">
        <v>810</v>
      </c>
      <c r="F63">
        <v>-13330.36</v>
      </c>
      <c r="G63">
        <v>45821</v>
      </c>
    </row>
    <row r="64" spans="1:7">
      <c r="A64">
        <v>23465</v>
      </c>
      <c r="B64" t="s">
        <v>807</v>
      </c>
      <c r="C64" t="s">
        <v>842</v>
      </c>
      <c r="D64" t="s">
        <v>1205</v>
      </c>
      <c r="E64" t="s">
        <v>810</v>
      </c>
      <c r="F64">
        <v>-112251.42</v>
      </c>
      <c r="G64">
        <v>45821</v>
      </c>
    </row>
    <row r="65" spans="1:7">
      <c r="A65">
        <v>23466</v>
      </c>
      <c r="B65" t="s">
        <v>811</v>
      </c>
      <c r="C65" t="s">
        <v>842</v>
      </c>
      <c r="D65" t="s">
        <v>162</v>
      </c>
      <c r="E65" t="s">
        <v>810</v>
      </c>
      <c r="F65">
        <v>-10393.58</v>
      </c>
      <c r="G65">
        <v>45821</v>
      </c>
    </row>
    <row r="66" spans="1:7">
      <c r="A66">
        <v>23467</v>
      </c>
      <c r="B66" t="s">
        <v>807</v>
      </c>
      <c r="C66" t="s">
        <v>842</v>
      </c>
      <c r="D66" t="s">
        <v>1208</v>
      </c>
      <c r="E66" t="s">
        <v>810</v>
      </c>
      <c r="F66">
        <v>-112251.42</v>
      </c>
      <c r="G66">
        <v>45821</v>
      </c>
    </row>
    <row r="67" spans="1:7">
      <c r="A67">
        <v>23468</v>
      </c>
      <c r="B67" t="s">
        <v>811</v>
      </c>
      <c r="C67" t="s">
        <v>842</v>
      </c>
      <c r="D67" t="s">
        <v>162</v>
      </c>
      <c r="E67" t="s">
        <v>810</v>
      </c>
      <c r="F67">
        <v>-10393.58</v>
      </c>
      <c r="G67">
        <v>45821</v>
      </c>
    </row>
    <row r="68" spans="1:7">
      <c r="A68">
        <v>23471</v>
      </c>
      <c r="B68" t="s">
        <v>807</v>
      </c>
      <c r="C68" t="s">
        <v>842</v>
      </c>
      <c r="D68" t="s">
        <v>1211</v>
      </c>
      <c r="E68" t="s">
        <v>810</v>
      </c>
      <c r="F68">
        <v>-114261.64</v>
      </c>
      <c r="G68">
        <v>45821</v>
      </c>
    </row>
    <row r="69" spans="1:7">
      <c r="A69">
        <v>23472</v>
      </c>
      <c r="B69" t="s">
        <v>811</v>
      </c>
      <c r="C69" t="s">
        <v>842</v>
      </c>
      <c r="D69" t="s">
        <v>162</v>
      </c>
      <c r="E69" t="s">
        <v>810</v>
      </c>
      <c r="F69">
        <v>-10580.36</v>
      </c>
      <c r="G69">
        <v>45821</v>
      </c>
    </row>
    <row r="70" spans="1:7">
      <c r="A70">
        <v>23474</v>
      </c>
      <c r="B70" t="s">
        <v>807</v>
      </c>
      <c r="C70" t="s">
        <v>842</v>
      </c>
      <c r="D70" t="s">
        <v>1214</v>
      </c>
      <c r="E70" t="s">
        <v>810</v>
      </c>
      <c r="F70">
        <v>-112251.42</v>
      </c>
      <c r="G70">
        <v>45821</v>
      </c>
    </row>
    <row r="71" spans="1:7">
      <c r="A71">
        <v>23475</v>
      </c>
      <c r="B71" t="s">
        <v>811</v>
      </c>
      <c r="C71" t="s">
        <v>842</v>
      </c>
      <c r="D71" t="s">
        <v>162</v>
      </c>
      <c r="E71" t="s">
        <v>810</v>
      </c>
      <c r="F71">
        <v>-10393.58</v>
      </c>
      <c r="G71">
        <v>45821</v>
      </c>
    </row>
    <row r="72" spans="1:7">
      <c r="A72">
        <v>23478</v>
      </c>
      <c r="B72" t="s">
        <v>807</v>
      </c>
      <c r="C72" t="s">
        <v>130</v>
      </c>
      <c r="D72" t="s">
        <v>1217</v>
      </c>
      <c r="E72" t="s">
        <v>810</v>
      </c>
      <c r="F72">
        <v>-2635023</v>
      </c>
      <c r="G72">
        <v>45821</v>
      </c>
    </row>
    <row r="73" spans="1:7">
      <c r="A73">
        <v>23479</v>
      </c>
      <c r="B73" t="s">
        <v>807</v>
      </c>
      <c r="C73" t="s">
        <v>47</v>
      </c>
      <c r="D73" t="s">
        <v>1219</v>
      </c>
      <c r="E73" t="s">
        <v>810</v>
      </c>
      <c r="F73">
        <v>-558360</v>
      </c>
      <c r="G73">
        <v>45821</v>
      </c>
    </row>
    <row r="74" spans="1:7">
      <c r="A74">
        <v>23480</v>
      </c>
      <c r="B74" t="s">
        <v>811</v>
      </c>
      <c r="C74" t="s">
        <v>47</v>
      </c>
      <c r="D74" t="s">
        <v>162</v>
      </c>
      <c r="E74" t="s">
        <v>810</v>
      </c>
      <c r="F74">
        <v>-51700</v>
      </c>
      <c r="G74">
        <v>45821</v>
      </c>
    </row>
    <row r="75" spans="1:7">
      <c r="A75">
        <v>23485</v>
      </c>
      <c r="B75" t="s">
        <v>807</v>
      </c>
      <c r="C75" t="s">
        <v>80</v>
      </c>
      <c r="D75" t="s">
        <v>1224</v>
      </c>
      <c r="E75" t="s">
        <v>810</v>
      </c>
      <c r="F75">
        <v>-548640</v>
      </c>
      <c r="G75">
        <v>45821</v>
      </c>
    </row>
    <row r="76" spans="1:7">
      <c r="A76">
        <v>23486</v>
      </c>
      <c r="B76" t="s">
        <v>811</v>
      </c>
      <c r="C76" t="s">
        <v>80</v>
      </c>
      <c r="D76" t="s">
        <v>162</v>
      </c>
      <c r="E76" t="s">
        <v>810</v>
      </c>
      <c r="F76">
        <v>-50800</v>
      </c>
      <c r="G76">
        <v>45821</v>
      </c>
    </row>
    <row r="77" spans="1:7">
      <c r="A77">
        <v>23504</v>
      </c>
      <c r="B77" t="s">
        <v>807</v>
      </c>
      <c r="C77" t="s">
        <v>71</v>
      </c>
      <c r="D77" t="s">
        <v>1229</v>
      </c>
      <c r="E77" t="s">
        <v>810</v>
      </c>
      <c r="F77">
        <v>-220400</v>
      </c>
      <c r="G77">
        <v>45821</v>
      </c>
    </row>
    <row r="78" spans="1:7">
      <c r="A78">
        <v>23505</v>
      </c>
      <c r="B78" t="s">
        <v>811</v>
      </c>
      <c r="C78" t="s">
        <v>71</v>
      </c>
      <c r="D78" t="s">
        <v>162</v>
      </c>
      <c r="E78" t="s">
        <v>810</v>
      </c>
      <c r="F78">
        <v>-3800</v>
      </c>
      <c r="G78">
        <v>45821</v>
      </c>
    </row>
    <row r="79" spans="1:7">
      <c r="A79">
        <v>24546</v>
      </c>
      <c r="B79" t="s">
        <v>807</v>
      </c>
      <c r="C79" t="s">
        <v>47</v>
      </c>
      <c r="D79" t="s">
        <v>1258</v>
      </c>
      <c r="E79" t="s">
        <v>810</v>
      </c>
      <c r="F79">
        <v>-4198947.75</v>
      </c>
      <c r="G79">
        <v>45824</v>
      </c>
    </row>
    <row r="80" spans="1:7">
      <c r="A80">
        <v>24565</v>
      </c>
      <c r="B80" t="s">
        <v>807</v>
      </c>
      <c r="C80" t="s">
        <v>68</v>
      </c>
      <c r="D80" t="s">
        <v>1309</v>
      </c>
      <c r="E80" t="s">
        <v>810</v>
      </c>
      <c r="F80">
        <v>-2000000</v>
      </c>
      <c r="G80">
        <v>45826</v>
      </c>
    </row>
    <row r="81" spans="1:7">
      <c r="A81">
        <v>25359</v>
      </c>
      <c r="B81" t="s">
        <v>847</v>
      </c>
      <c r="C81" t="s">
        <v>857</v>
      </c>
      <c r="D81" t="s">
        <v>1143</v>
      </c>
      <c r="E81" t="s">
        <v>810</v>
      </c>
      <c r="F81">
        <v>-2920677</v>
      </c>
      <c r="G81">
        <v>45820</v>
      </c>
    </row>
    <row r="82" spans="1:7">
      <c r="A82">
        <v>25362</v>
      </c>
      <c r="B82" t="s">
        <v>847</v>
      </c>
      <c r="C82" t="s">
        <v>65</v>
      </c>
      <c r="D82" t="s">
        <v>1550</v>
      </c>
      <c r="E82" t="s">
        <v>810</v>
      </c>
      <c r="F82">
        <v>-825874.92</v>
      </c>
      <c r="G82">
        <v>45834</v>
      </c>
    </row>
    <row r="83" spans="1:7">
      <c r="A83">
        <v>25364</v>
      </c>
      <c r="B83" t="s">
        <v>847</v>
      </c>
      <c r="C83" t="s">
        <v>135</v>
      </c>
      <c r="D83" t="s">
        <v>848</v>
      </c>
      <c r="E83" t="s">
        <v>810</v>
      </c>
      <c r="F83">
        <v>-1413451.2</v>
      </c>
      <c r="G83">
        <v>45811</v>
      </c>
    </row>
    <row r="84" spans="1:7">
      <c r="A84">
        <v>25373</v>
      </c>
      <c r="B84" t="s">
        <v>847</v>
      </c>
      <c r="C84" t="s">
        <v>23</v>
      </c>
      <c r="D84" t="s">
        <v>965</v>
      </c>
      <c r="E84" t="s">
        <v>810</v>
      </c>
      <c r="F84">
        <v>-178186.6</v>
      </c>
      <c r="G84">
        <v>45814</v>
      </c>
    </row>
    <row r="85" spans="1:7">
      <c r="A85">
        <v>25379</v>
      </c>
      <c r="B85" t="s">
        <v>847</v>
      </c>
      <c r="C85" t="s">
        <v>48</v>
      </c>
      <c r="D85" t="s">
        <v>1334</v>
      </c>
      <c r="E85" t="s">
        <v>810</v>
      </c>
      <c r="F85">
        <v>-1180000</v>
      </c>
      <c r="G85">
        <v>45827</v>
      </c>
    </row>
    <row r="86" spans="1:7">
      <c r="A86">
        <v>25381</v>
      </c>
      <c r="B86" t="s">
        <v>847</v>
      </c>
      <c r="C86" t="s">
        <v>48</v>
      </c>
      <c r="D86" t="s">
        <v>1335</v>
      </c>
      <c r="E86" t="s">
        <v>810</v>
      </c>
      <c r="F86">
        <v>-590000</v>
      </c>
      <c r="G86">
        <v>45827</v>
      </c>
    </row>
    <row r="87" spans="1:7">
      <c r="A87">
        <v>25383</v>
      </c>
      <c r="B87" t="s">
        <v>847</v>
      </c>
      <c r="C87" t="s">
        <v>942</v>
      </c>
      <c r="D87" t="s">
        <v>1603</v>
      </c>
      <c r="E87" t="s">
        <v>810</v>
      </c>
      <c r="F87">
        <v>-36423839.98</v>
      </c>
      <c r="G87">
        <v>45835</v>
      </c>
    </row>
    <row r="88" spans="1:7">
      <c r="A88">
        <v>34056</v>
      </c>
      <c r="B88" t="s">
        <v>807</v>
      </c>
      <c r="C88" t="s">
        <v>120</v>
      </c>
      <c r="D88" t="s">
        <v>1148</v>
      </c>
      <c r="E88" t="s">
        <v>810</v>
      </c>
      <c r="F88">
        <v>-873493.2</v>
      </c>
      <c r="G88">
        <v>45820</v>
      </c>
    </row>
    <row r="89" spans="1:7">
      <c r="A89">
        <v>34057</v>
      </c>
      <c r="B89" t="s">
        <v>811</v>
      </c>
      <c r="C89" t="s">
        <v>120</v>
      </c>
      <c r="D89" t="s">
        <v>162</v>
      </c>
      <c r="E89" t="s">
        <v>810</v>
      </c>
      <c r="F89">
        <v>-25096.4</v>
      </c>
      <c r="G89">
        <v>45820</v>
      </c>
    </row>
    <row r="90" spans="1:7">
      <c r="A90">
        <v>34062</v>
      </c>
      <c r="B90" t="s">
        <v>807</v>
      </c>
      <c r="C90" t="s">
        <v>47</v>
      </c>
      <c r="D90" t="s">
        <v>1313</v>
      </c>
      <c r="E90" t="s">
        <v>810</v>
      </c>
      <c r="F90">
        <v>-1067572.3</v>
      </c>
      <c r="G90">
        <v>45826</v>
      </c>
    </row>
    <row r="91" spans="1:7">
      <c r="A91">
        <v>34063</v>
      </c>
      <c r="B91" t="s">
        <v>811</v>
      </c>
      <c r="C91" t="s">
        <v>47</v>
      </c>
      <c r="D91" t="s">
        <v>162</v>
      </c>
      <c r="E91" t="s">
        <v>810</v>
      </c>
      <c r="F91">
        <v>-29214.7</v>
      </c>
      <c r="G91">
        <v>45826</v>
      </c>
    </row>
    <row r="92" spans="1:7">
      <c r="A92">
        <v>34096</v>
      </c>
      <c r="B92" t="s">
        <v>807</v>
      </c>
      <c r="C92" t="s">
        <v>41</v>
      </c>
      <c r="D92" t="s">
        <v>1397</v>
      </c>
      <c r="E92" t="s">
        <v>810</v>
      </c>
      <c r="F92">
        <v>-289466</v>
      </c>
      <c r="G92">
        <v>45828</v>
      </c>
    </row>
    <row r="93" spans="1:7">
      <c r="A93">
        <v>34107</v>
      </c>
      <c r="B93" t="s">
        <v>807</v>
      </c>
      <c r="C93" t="s">
        <v>842</v>
      </c>
      <c r="D93" t="s">
        <v>1507</v>
      </c>
      <c r="E93" t="s">
        <v>810</v>
      </c>
      <c r="F93">
        <v>-75295.24</v>
      </c>
      <c r="G93">
        <v>45833</v>
      </c>
    </row>
    <row r="94" spans="1:7">
      <c r="A94">
        <v>34108</v>
      </c>
      <c r="B94" t="s">
        <v>811</v>
      </c>
      <c r="C94" t="s">
        <v>842</v>
      </c>
      <c r="D94" t="s">
        <v>162</v>
      </c>
      <c r="E94" t="s">
        <v>810</v>
      </c>
      <c r="F94">
        <v>-6971.76</v>
      </c>
      <c r="G94">
        <v>45833</v>
      </c>
    </row>
    <row r="95" spans="1:7">
      <c r="A95">
        <v>34141</v>
      </c>
      <c r="B95" t="s">
        <v>807</v>
      </c>
      <c r="C95" t="s">
        <v>76</v>
      </c>
      <c r="D95" t="s">
        <v>1480</v>
      </c>
      <c r="E95" t="s">
        <v>810</v>
      </c>
      <c r="F95">
        <v>-1398304</v>
      </c>
      <c r="G95">
        <v>45832</v>
      </c>
    </row>
    <row r="96" spans="1:7">
      <c r="A96">
        <v>34142</v>
      </c>
      <c r="B96" t="s">
        <v>811</v>
      </c>
      <c r="C96" t="s">
        <v>76</v>
      </c>
      <c r="D96" t="s">
        <v>162</v>
      </c>
      <c r="E96" t="s">
        <v>810</v>
      </c>
      <c r="F96">
        <v>-24109</v>
      </c>
      <c r="G96">
        <v>45832</v>
      </c>
    </row>
    <row r="97" spans="1:7">
      <c r="A97">
        <v>34147</v>
      </c>
      <c r="B97" t="s">
        <v>807</v>
      </c>
      <c r="C97" t="s">
        <v>80</v>
      </c>
      <c r="D97" t="s">
        <v>1439</v>
      </c>
      <c r="E97" t="s">
        <v>810</v>
      </c>
      <c r="F97">
        <v>-331539</v>
      </c>
      <c r="G97">
        <v>45831</v>
      </c>
    </row>
    <row r="98" spans="1:7">
      <c r="A98">
        <v>34148</v>
      </c>
      <c r="B98" t="s">
        <v>811</v>
      </c>
      <c r="C98" t="s">
        <v>80</v>
      </c>
      <c r="D98" t="s">
        <v>162</v>
      </c>
      <c r="E98" t="s">
        <v>810</v>
      </c>
      <c r="F98">
        <v>-30698</v>
      </c>
      <c r="G98">
        <v>45831</v>
      </c>
    </row>
    <row r="99" spans="1:7">
      <c r="A99">
        <v>34201</v>
      </c>
      <c r="B99" t="s">
        <v>807</v>
      </c>
      <c r="C99" t="s">
        <v>910</v>
      </c>
      <c r="D99" t="s">
        <v>1556</v>
      </c>
      <c r="E99" t="s">
        <v>810</v>
      </c>
      <c r="F99">
        <v>-23352</v>
      </c>
      <c r="G99">
        <v>45834</v>
      </c>
    </row>
    <row r="100" spans="1:7">
      <c r="A100">
        <v>34202</v>
      </c>
      <c r="B100" t="s">
        <v>811</v>
      </c>
      <c r="C100" t="s">
        <v>910</v>
      </c>
      <c r="D100" t="s">
        <v>162</v>
      </c>
      <c r="E100" t="s">
        <v>810</v>
      </c>
      <c r="F100">
        <v>-661</v>
      </c>
      <c r="G100">
        <v>45834</v>
      </c>
    </row>
    <row r="101" spans="1:7">
      <c r="A101">
        <v>34204</v>
      </c>
      <c r="B101" t="s">
        <v>807</v>
      </c>
      <c r="C101" t="s">
        <v>121</v>
      </c>
      <c r="D101" t="s">
        <v>1515</v>
      </c>
      <c r="E101" t="s">
        <v>810</v>
      </c>
      <c r="F101">
        <v>-712800</v>
      </c>
      <c r="G101">
        <v>45833</v>
      </c>
    </row>
    <row r="102" spans="1:7">
      <c r="A102">
        <v>34205</v>
      </c>
      <c r="B102" t="s">
        <v>811</v>
      </c>
      <c r="C102" t="s">
        <v>121</v>
      </c>
      <c r="D102" t="s">
        <v>162</v>
      </c>
      <c r="E102" t="s">
        <v>810</v>
      </c>
      <c r="F102">
        <v>-66000</v>
      </c>
      <c r="G102">
        <v>45833</v>
      </c>
    </row>
    <row r="103" spans="1:7">
      <c r="A103">
        <v>34314</v>
      </c>
      <c r="B103" t="s">
        <v>807</v>
      </c>
      <c r="C103" t="s">
        <v>80</v>
      </c>
      <c r="D103" t="s">
        <v>1607</v>
      </c>
      <c r="E103" t="s">
        <v>810</v>
      </c>
      <c r="F103">
        <v>-5760651</v>
      </c>
      <c r="G103">
        <v>45835</v>
      </c>
    </row>
    <row r="104" spans="1:7">
      <c r="A104">
        <v>34315</v>
      </c>
      <c r="B104" t="s">
        <v>811</v>
      </c>
      <c r="C104" t="s">
        <v>80</v>
      </c>
      <c r="D104" t="s">
        <v>162</v>
      </c>
      <c r="E104" t="s">
        <v>810</v>
      </c>
      <c r="F104">
        <v>-533394</v>
      </c>
      <c r="G104">
        <v>45835</v>
      </c>
    </row>
    <row r="105" spans="1:7">
      <c r="A105">
        <v>34319</v>
      </c>
      <c r="B105" t="s">
        <v>807</v>
      </c>
      <c r="C105" t="s">
        <v>128</v>
      </c>
      <c r="D105" t="s">
        <v>1640</v>
      </c>
      <c r="E105" t="s">
        <v>810</v>
      </c>
      <c r="F105">
        <v>-2233000</v>
      </c>
      <c r="G105">
        <v>45838</v>
      </c>
    </row>
    <row r="106" spans="1:7">
      <c r="A106">
        <v>34320</v>
      </c>
      <c r="B106" t="s">
        <v>811</v>
      </c>
      <c r="C106" t="s">
        <v>128</v>
      </c>
      <c r="D106" t="s">
        <v>162</v>
      </c>
      <c r="E106" t="s">
        <v>810</v>
      </c>
      <c r="F106">
        <v>-38500</v>
      </c>
      <c r="G106">
        <v>45838</v>
      </c>
    </row>
    <row r="107" spans="1:7">
      <c r="A107">
        <v>34325</v>
      </c>
      <c r="B107" t="s">
        <v>807</v>
      </c>
      <c r="C107" t="s">
        <v>80</v>
      </c>
      <c r="D107" t="s">
        <v>1643</v>
      </c>
      <c r="E107" t="s">
        <v>810</v>
      </c>
      <c r="F107">
        <v>-309809</v>
      </c>
      <c r="G107">
        <v>45838</v>
      </c>
    </row>
    <row r="108" spans="1:7">
      <c r="A108">
        <v>34326</v>
      </c>
      <c r="B108" t="s">
        <v>811</v>
      </c>
      <c r="C108" t="s">
        <v>80</v>
      </c>
      <c r="D108" t="s">
        <v>162</v>
      </c>
      <c r="E108" t="s">
        <v>810</v>
      </c>
      <c r="F108">
        <v>-28686</v>
      </c>
      <c r="G108">
        <v>45838</v>
      </c>
    </row>
    <row r="109" spans="1:7">
      <c r="A109">
        <v>34331</v>
      </c>
      <c r="B109" t="s">
        <v>807</v>
      </c>
      <c r="C109" t="s">
        <v>61</v>
      </c>
      <c r="D109" t="s">
        <v>1651</v>
      </c>
      <c r="E109" t="s">
        <v>810</v>
      </c>
      <c r="F109">
        <v>-61776</v>
      </c>
      <c r="G109">
        <v>45838</v>
      </c>
    </row>
    <row r="110" spans="1:7">
      <c r="A110">
        <v>34332</v>
      </c>
      <c r="B110" t="s">
        <v>811</v>
      </c>
      <c r="C110" t="s">
        <v>61</v>
      </c>
      <c r="D110" t="s">
        <v>162</v>
      </c>
      <c r="E110" t="s">
        <v>810</v>
      </c>
      <c r="F110">
        <v>-5720</v>
      </c>
      <c r="G110">
        <v>45838</v>
      </c>
    </row>
    <row r="111" spans="1:7">
      <c r="A111">
        <v>34334</v>
      </c>
      <c r="B111" t="s">
        <v>807</v>
      </c>
      <c r="C111" t="s">
        <v>61</v>
      </c>
      <c r="D111" t="s">
        <v>1654</v>
      </c>
      <c r="E111" t="s">
        <v>810</v>
      </c>
      <c r="F111">
        <v>-893321</v>
      </c>
      <c r="G111">
        <v>45838</v>
      </c>
    </row>
    <row r="112" spans="1:7">
      <c r="A112">
        <v>34335</v>
      </c>
      <c r="B112" t="s">
        <v>811</v>
      </c>
      <c r="C112" t="s">
        <v>61</v>
      </c>
      <c r="D112" t="s">
        <v>162</v>
      </c>
      <c r="E112" t="s">
        <v>810</v>
      </c>
      <c r="F112">
        <v>-82715</v>
      </c>
      <c r="G112">
        <v>45838</v>
      </c>
    </row>
    <row r="113" spans="1:7">
      <c r="A113">
        <v>38586</v>
      </c>
      <c r="B113" t="s">
        <v>807</v>
      </c>
      <c r="C113" t="s">
        <v>82</v>
      </c>
      <c r="D113" t="s">
        <v>1570</v>
      </c>
      <c r="E113" t="s">
        <v>810</v>
      </c>
      <c r="F113">
        <v>-342553</v>
      </c>
      <c r="G113">
        <v>45834</v>
      </c>
    </row>
    <row r="114" spans="1:7">
      <c r="A114">
        <v>38587</v>
      </c>
      <c r="B114" t="s">
        <v>811</v>
      </c>
      <c r="C114" t="s">
        <v>82</v>
      </c>
      <c r="D114" t="s">
        <v>162</v>
      </c>
      <c r="E114" t="s">
        <v>810</v>
      </c>
      <c r="F114">
        <v>-31718</v>
      </c>
      <c r="G114">
        <v>45834</v>
      </c>
    </row>
    <row r="115" spans="1:7">
      <c r="A115">
        <v>38888</v>
      </c>
      <c r="B115" t="s">
        <v>807</v>
      </c>
      <c r="C115" t="s">
        <v>68</v>
      </c>
      <c r="D115" t="s">
        <v>1448</v>
      </c>
      <c r="E115" t="s">
        <v>810</v>
      </c>
      <c r="F115">
        <v>-1046000</v>
      </c>
      <c r="G115">
        <v>45831</v>
      </c>
    </row>
    <row r="116" spans="1:7">
      <c r="A116">
        <v>38891</v>
      </c>
      <c r="B116" t="s">
        <v>807</v>
      </c>
      <c r="C116" t="s">
        <v>136</v>
      </c>
      <c r="D116" t="s">
        <v>1615</v>
      </c>
      <c r="E116" t="s">
        <v>810</v>
      </c>
      <c r="F116">
        <v>-1819754</v>
      </c>
      <c r="G116">
        <v>45835</v>
      </c>
    </row>
    <row r="117" spans="1:7">
      <c r="A117">
        <v>38892</v>
      </c>
      <c r="B117" t="s">
        <v>811</v>
      </c>
      <c r="C117" t="s">
        <v>136</v>
      </c>
      <c r="D117" t="s">
        <v>162</v>
      </c>
      <c r="E117" t="s">
        <v>810</v>
      </c>
      <c r="F117">
        <v>-31375</v>
      </c>
      <c r="G117">
        <v>45835</v>
      </c>
    </row>
    <row r="118" spans="1:7">
      <c r="A118">
        <v>38896</v>
      </c>
      <c r="B118" t="s">
        <v>807</v>
      </c>
      <c r="C118" t="s">
        <v>1130</v>
      </c>
      <c r="D118" t="s">
        <v>1621</v>
      </c>
      <c r="E118" t="s">
        <v>810</v>
      </c>
      <c r="F118">
        <v>-8468000</v>
      </c>
      <c r="G118">
        <v>45835</v>
      </c>
    </row>
    <row r="119" spans="1:7">
      <c r="A119">
        <v>38897</v>
      </c>
      <c r="B119" t="s">
        <v>811</v>
      </c>
      <c r="C119" t="s">
        <v>1130</v>
      </c>
      <c r="D119" t="s">
        <v>162</v>
      </c>
      <c r="E119" t="s">
        <v>810</v>
      </c>
      <c r="F119">
        <v>-146000</v>
      </c>
      <c r="G119">
        <v>45835</v>
      </c>
    </row>
    <row r="120" spans="1:7">
      <c r="A120">
        <v>54640</v>
      </c>
      <c r="B120" t="s">
        <v>807</v>
      </c>
      <c r="C120" t="s">
        <v>48</v>
      </c>
      <c r="D120" t="s">
        <v>854</v>
      </c>
      <c r="E120" t="s">
        <v>810</v>
      </c>
      <c r="F120">
        <v>-3977904.83</v>
      </c>
      <c r="G120">
        <v>45811</v>
      </c>
    </row>
    <row r="121" spans="1:7">
      <c r="A121">
        <v>54641</v>
      </c>
      <c r="B121" t="s">
        <v>811</v>
      </c>
      <c r="C121" t="s">
        <v>48</v>
      </c>
      <c r="D121" t="s">
        <v>162</v>
      </c>
      <c r="E121" t="s">
        <v>810</v>
      </c>
      <c r="F121">
        <v>-66223.17</v>
      </c>
      <c r="G121">
        <v>45811</v>
      </c>
    </row>
    <row r="122" spans="1:7">
      <c r="A122">
        <v>55858</v>
      </c>
      <c r="B122" t="s">
        <v>807</v>
      </c>
      <c r="C122" t="s">
        <v>47</v>
      </c>
      <c r="D122" t="s">
        <v>1157</v>
      </c>
      <c r="E122" t="s">
        <v>810</v>
      </c>
      <c r="F122">
        <v>-557172</v>
      </c>
      <c r="G122">
        <v>45820</v>
      </c>
    </row>
    <row r="123" spans="1:7">
      <c r="A123">
        <v>55859</v>
      </c>
      <c r="B123" t="s">
        <v>811</v>
      </c>
      <c r="C123" t="s">
        <v>47</v>
      </c>
      <c r="D123" t="s">
        <v>162</v>
      </c>
      <c r="E123" t="s">
        <v>810</v>
      </c>
      <c r="F123">
        <v>-51590</v>
      </c>
      <c r="G123">
        <v>45820</v>
      </c>
    </row>
    <row r="124" spans="1:7">
      <c r="A124" t="s">
        <v>162</v>
      </c>
      <c r="B124" t="s">
        <v>1668</v>
      </c>
      <c r="C124" t="s">
        <v>162</v>
      </c>
      <c r="D124" t="s">
        <v>162</v>
      </c>
      <c r="E124" t="s">
        <v>162</v>
      </c>
      <c r="F124">
        <v>-159302061.53</v>
      </c>
      <c r="G124" t="s">
        <v>162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workbookViewId="0">
      <selection activeCell="I46" sqref="I46"/>
    </sheetView>
  </sheetViews>
  <sheetFormatPr defaultColWidth="8.72727272727273" defaultRowHeight="14.5" outlineLevelCol="6"/>
  <cols>
    <col min="1" max="1" width="10.4545454545455" customWidth="1"/>
    <col min="2" max="2" width="21.6363636363636" customWidth="1"/>
    <col min="3" max="3" width="101.090909090909" customWidth="1"/>
    <col min="4" max="4" width="21.8181818181818" customWidth="1"/>
    <col min="5" max="5" width="29.8181818181818" customWidth="1"/>
    <col min="6" max="6" width="12.8181818181818" customWidth="1"/>
    <col min="7" max="7" width="6.54545454545455" customWidth="1"/>
  </cols>
  <sheetData>
    <row r="1" spans="1:7">
      <c r="A1" t="s">
        <v>762</v>
      </c>
      <c r="B1" t="s">
        <v>763</v>
      </c>
      <c r="C1" t="s">
        <v>766</v>
      </c>
      <c r="D1" t="s">
        <v>765</v>
      </c>
      <c r="E1" t="s">
        <v>163</v>
      </c>
      <c r="F1" t="s">
        <v>767</v>
      </c>
      <c r="G1" t="s">
        <v>768</v>
      </c>
    </row>
    <row r="2" spans="1:7">
      <c r="A2">
        <v>22723</v>
      </c>
      <c r="B2" t="s">
        <v>816</v>
      </c>
      <c r="C2" t="s">
        <v>776</v>
      </c>
      <c r="D2" t="s">
        <v>818</v>
      </c>
      <c r="E2" t="s">
        <v>170</v>
      </c>
      <c r="F2">
        <v>15936.17</v>
      </c>
      <c r="G2">
        <v>45810</v>
      </c>
    </row>
    <row r="3" spans="1:7">
      <c r="A3">
        <v>22726</v>
      </c>
      <c r="B3" t="s">
        <v>816</v>
      </c>
      <c r="C3" t="s">
        <v>13</v>
      </c>
      <c r="D3" t="s">
        <v>823</v>
      </c>
      <c r="E3" t="s">
        <v>170</v>
      </c>
      <c r="F3">
        <v>1</v>
      </c>
      <c r="G3">
        <v>45810</v>
      </c>
    </row>
    <row r="4" spans="1:7">
      <c r="A4">
        <v>22914</v>
      </c>
      <c r="B4" t="s">
        <v>816</v>
      </c>
      <c r="C4" t="s">
        <v>776</v>
      </c>
      <c r="D4" t="s">
        <v>846</v>
      </c>
      <c r="E4" t="s">
        <v>170</v>
      </c>
      <c r="F4">
        <v>16159.37</v>
      </c>
      <c r="G4">
        <v>45811</v>
      </c>
    </row>
    <row r="5" spans="1:7">
      <c r="A5">
        <v>22951</v>
      </c>
      <c r="B5" t="s">
        <v>816</v>
      </c>
      <c r="C5" t="s">
        <v>776</v>
      </c>
      <c r="D5" t="s">
        <v>914</v>
      </c>
      <c r="E5" t="s">
        <v>170</v>
      </c>
      <c r="F5">
        <v>64578.99</v>
      </c>
      <c r="G5">
        <v>45813</v>
      </c>
    </row>
    <row r="6" spans="1:7">
      <c r="A6">
        <v>23060</v>
      </c>
      <c r="B6" t="s">
        <v>816</v>
      </c>
      <c r="C6" t="s">
        <v>937</v>
      </c>
      <c r="D6" t="s">
        <v>936</v>
      </c>
      <c r="E6" t="s">
        <v>170</v>
      </c>
      <c r="F6">
        <v>2183074</v>
      </c>
      <c r="G6">
        <v>45814</v>
      </c>
    </row>
    <row r="7" spans="1:7">
      <c r="A7">
        <v>23171</v>
      </c>
      <c r="B7" t="s">
        <v>816</v>
      </c>
      <c r="C7" t="s">
        <v>776</v>
      </c>
      <c r="D7" t="s">
        <v>963</v>
      </c>
      <c r="E7" t="s">
        <v>170</v>
      </c>
      <c r="F7">
        <v>24122.09</v>
      </c>
      <c r="G7">
        <v>45814</v>
      </c>
    </row>
    <row r="8" spans="1:7">
      <c r="A8">
        <v>23172</v>
      </c>
      <c r="B8" t="s">
        <v>816</v>
      </c>
      <c r="C8" t="s">
        <v>776</v>
      </c>
      <c r="D8" t="s">
        <v>974</v>
      </c>
      <c r="E8" t="s">
        <v>170</v>
      </c>
      <c r="F8">
        <v>72251.27</v>
      </c>
      <c r="G8">
        <v>45815</v>
      </c>
    </row>
    <row r="9" spans="1:7">
      <c r="A9">
        <v>23174</v>
      </c>
      <c r="B9" t="s">
        <v>816</v>
      </c>
      <c r="C9" t="s">
        <v>772</v>
      </c>
      <c r="D9" t="s">
        <v>976</v>
      </c>
      <c r="E9" t="s">
        <v>170</v>
      </c>
      <c r="F9">
        <v>1213494.8</v>
      </c>
      <c r="G9">
        <v>45815</v>
      </c>
    </row>
    <row r="10" spans="1:7">
      <c r="A10">
        <v>23175</v>
      </c>
      <c r="B10" t="s">
        <v>816</v>
      </c>
      <c r="C10" t="s">
        <v>922</v>
      </c>
      <c r="D10" t="s">
        <v>978</v>
      </c>
      <c r="E10" t="s">
        <v>170</v>
      </c>
      <c r="F10">
        <v>171525</v>
      </c>
      <c r="G10">
        <v>45815</v>
      </c>
    </row>
    <row r="11" spans="1:7">
      <c r="A11">
        <v>23183</v>
      </c>
      <c r="B11" t="s">
        <v>816</v>
      </c>
      <c r="C11" t="s">
        <v>776</v>
      </c>
      <c r="D11" t="s">
        <v>1008</v>
      </c>
      <c r="E11" t="s">
        <v>170</v>
      </c>
      <c r="F11">
        <v>40266.84</v>
      </c>
      <c r="G11">
        <v>45817</v>
      </c>
    </row>
    <row r="12" spans="1:7">
      <c r="A12">
        <v>23279</v>
      </c>
      <c r="B12" t="s">
        <v>816</v>
      </c>
      <c r="C12" t="s">
        <v>776</v>
      </c>
      <c r="D12" t="s">
        <v>1078</v>
      </c>
      <c r="E12" t="s">
        <v>170</v>
      </c>
      <c r="F12">
        <v>24107.47</v>
      </c>
      <c r="G12">
        <v>45819</v>
      </c>
    </row>
    <row r="13" spans="1:7">
      <c r="A13">
        <v>23421</v>
      </c>
      <c r="B13" t="s">
        <v>816</v>
      </c>
      <c r="C13" t="s">
        <v>776</v>
      </c>
      <c r="D13" t="s">
        <v>1135</v>
      </c>
      <c r="E13" t="s">
        <v>170</v>
      </c>
      <c r="F13">
        <v>48361.14</v>
      </c>
      <c r="G13">
        <v>45820</v>
      </c>
    </row>
    <row r="14" spans="1:7">
      <c r="A14">
        <v>23455</v>
      </c>
      <c r="B14" t="s">
        <v>816</v>
      </c>
      <c r="C14" t="s">
        <v>1193</v>
      </c>
      <c r="D14" t="s">
        <v>1192</v>
      </c>
      <c r="E14" t="s">
        <v>170</v>
      </c>
      <c r="F14">
        <v>2170360.8</v>
      </c>
      <c r="G14">
        <v>45821</v>
      </c>
    </row>
    <row r="15" spans="1:7">
      <c r="A15">
        <v>23482</v>
      </c>
      <c r="B15" t="s">
        <v>816</v>
      </c>
      <c r="C15" t="s">
        <v>776</v>
      </c>
      <c r="D15" t="s">
        <v>1222</v>
      </c>
      <c r="E15" t="s">
        <v>170</v>
      </c>
      <c r="F15">
        <v>106185.05</v>
      </c>
      <c r="G15">
        <v>45821</v>
      </c>
    </row>
    <row r="16" spans="1:7">
      <c r="A16">
        <v>24551</v>
      </c>
      <c r="B16" t="s">
        <v>816</v>
      </c>
      <c r="C16" t="s">
        <v>776</v>
      </c>
      <c r="D16" t="s">
        <v>1260</v>
      </c>
      <c r="E16" t="s">
        <v>170</v>
      </c>
      <c r="F16">
        <v>128832.45</v>
      </c>
      <c r="G16">
        <v>45824</v>
      </c>
    </row>
    <row r="17" spans="1:7">
      <c r="A17">
        <v>24555</v>
      </c>
      <c r="B17" t="s">
        <v>816</v>
      </c>
      <c r="C17" t="s">
        <v>22</v>
      </c>
      <c r="D17" t="s">
        <v>1265</v>
      </c>
      <c r="E17" t="s">
        <v>170</v>
      </c>
      <c r="F17">
        <v>211643</v>
      </c>
      <c r="G17">
        <v>45824</v>
      </c>
    </row>
    <row r="18" spans="1:7">
      <c r="A18">
        <v>24750</v>
      </c>
      <c r="B18" t="s">
        <v>816</v>
      </c>
      <c r="C18" t="s">
        <v>776</v>
      </c>
      <c r="D18" t="s">
        <v>1311</v>
      </c>
      <c r="E18" t="s">
        <v>170</v>
      </c>
      <c r="F18">
        <v>8065.06</v>
      </c>
      <c r="G18">
        <v>45826</v>
      </c>
    </row>
    <row r="19" spans="1:7">
      <c r="A19">
        <v>33912</v>
      </c>
      <c r="B19" t="s">
        <v>816</v>
      </c>
      <c r="C19" t="s">
        <v>776</v>
      </c>
      <c r="D19" t="s">
        <v>892</v>
      </c>
      <c r="E19" t="s">
        <v>170</v>
      </c>
      <c r="F19">
        <v>16100.89</v>
      </c>
      <c r="G19">
        <v>45812</v>
      </c>
    </row>
    <row r="20" spans="1:7">
      <c r="A20">
        <v>34059</v>
      </c>
      <c r="B20" t="s">
        <v>816</v>
      </c>
      <c r="C20" t="s">
        <v>133</v>
      </c>
      <c r="D20" t="s">
        <v>1236</v>
      </c>
      <c r="E20" t="s">
        <v>170</v>
      </c>
      <c r="F20">
        <v>464270.24</v>
      </c>
      <c r="G20">
        <v>45821</v>
      </c>
    </row>
    <row r="21" spans="1:7">
      <c r="A21">
        <v>34071</v>
      </c>
      <c r="B21" t="s">
        <v>816</v>
      </c>
      <c r="C21" t="s">
        <v>1354</v>
      </c>
      <c r="D21" t="s">
        <v>1353</v>
      </c>
      <c r="E21" t="s">
        <v>170</v>
      </c>
      <c r="F21">
        <v>10605327.47</v>
      </c>
      <c r="G21">
        <v>45827</v>
      </c>
    </row>
    <row r="22" spans="1:7">
      <c r="A22">
        <v>34088</v>
      </c>
      <c r="B22" t="s">
        <v>816</v>
      </c>
      <c r="C22" t="s">
        <v>776</v>
      </c>
      <c r="D22" t="s">
        <v>1362</v>
      </c>
      <c r="E22" t="s">
        <v>170</v>
      </c>
      <c r="F22">
        <v>40258.07</v>
      </c>
      <c r="G22">
        <v>45827</v>
      </c>
    </row>
    <row r="23" spans="1:7">
      <c r="A23">
        <v>34099</v>
      </c>
      <c r="B23" t="s">
        <v>816</v>
      </c>
      <c r="C23" t="s">
        <v>776</v>
      </c>
      <c r="D23" t="s">
        <v>1416</v>
      </c>
      <c r="E23" t="s">
        <v>170</v>
      </c>
      <c r="F23">
        <v>64418.17</v>
      </c>
      <c r="G23">
        <v>45829</v>
      </c>
    </row>
    <row r="24" spans="1:7">
      <c r="A24">
        <v>34100</v>
      </c>
      <c r="B24" t="s">
        <v>816</v>
      </c>
      <c r="C24" t="s">
        <v>104</v>
      </c>
      <c r="D24" t="s">
        <v>1469</v>
      </c>
      <c r="E24" t="s">
        <v>170</v>
      </c>
      <c r="F24">
        <v>287311.83</v>
      </c>
      <c r="G24">
        <v>45832</v>
      </c>
    </row>
    <row r="25" spans="1:7">
      <c r="A25">
        <v>34149</v>
      </c>
      <c r="B25" t="s">
        <v>816</v>
      </c>
      <c r="C25" t="s">
        <v>776</v>
      </c>
      <c r="D25" t="s">
        <v>1399</v>
      </c>
      <c r="E25" t="s">
        <v>170</v>
      </c>
      <c r="F25">
        <v>24209.81</v>
      </c>
      <c r="G25">
        <v>45828</v>
      </c>
    </row>
    <row r="26" spans="1:7">
      <c r="A26">
        <v>34154</v>
      </c>
      <c r="B26" t="s">
        <v>816</v>
      </c>
      <c r="C26" t="s">
        <v>776</v>
      </c>
      <c r="D26" t="s">
        <v>1442</v>
      </c>
      <c r="E26" t="s">
        <v>170</v>
      </c>
      <c r="F26">
        <v>56533.42</v>
      </c>
      <c r="G26">
        <v>45831</v>
      </c>
    </row>
    <row r="27" spans="1:7">
      <c r="A27">
        <v>34157</v>
      </c>
      <c r="B27" t="s">
        <v>816</v>
      </c>
      <c r="C27" t="s">
        <v>1484</v>
      </c>
      <c r="D27" t="s">
        <v>1483</v>
      </c>
      <c r="E27" t="s">
        <v>170</v>
      </c>
      <c r="F27">
        <v>945135</v>
      </c>
      <c r="G27">
        <v>45832</v>
      </c>
    </row>
    <row r="28" spans="1:7">
      <c r="A28">
        <v>34160</v>
      </c>
      <c r="B28" t="s">
        <v>816</v>
      </c>
      <c r="C28" t="s">
        <v>22</v>
      </c>
      <c r="D28" t="s">
        <v>1510</v>
      </c>
      <c r="E28" t="s">
        <v>170</v>
      </c>
      <c r="F28">
        <v>423286</v>
      </c>
      <c r="G28">
        <v>45833</v>
      </c>
    </row>
    <row r="29" spans="1:7">
      <c r="A29">
        <v>34195</v>
      </c>
      <c r="B29" t="s">
        <v>816</v>
      </c>
      <c r="C29" t="s">
        <v>1487</v>
      </c>
      <c r="D29" t="s">
        <v>1486</v>
      </c>
      <c r="E29" t="s">
        <v>170</v>
      </c>
      <c r="F29">
        <v>2928752.5</v>
      </c>
      <c r="G29">
        <v>45832</v>
      </c>
    </row>
    <row r="30" spans="1:7">
      <c r="A30">
        <v>34196</v>
      </c>
      <c r="B30" t="s">
        <v>816</v>
      </c>
      <c r="C30" t="s">
        <v>1513</v>
      </c>
      <c r="D30" t="s">
        <v>1512</v>
      </c>
      <c r="E30" t="s">
        <v>170</v>
      </c>
      <c r="F30">
        <v>340409</v>
      </c>
      <c r="G30">
        <v>45833</v>
      </c>
    </row>
    <row r="31" spans="1:7">
      <c r="A31">
        <v>34207</v>
      </c>
      <c r="B31" t="s">
        <v>816</v>
      </c>
      <c r="C31" t="s">
        <v>776</v>
      </c>
      <c r="D31" t="s">
        <v>1518</v>
      </c>
      <c r="E31" t="s">
        <v>170</v>
      </c>
      <c r="F31">
        <v>48229.56</v>
      </c>
      <c r="G31">
        <v>45833</v>
      </c>
    </row>
    <row r="32" spans="1:7">
      <c r="A32">
        <v>34208</v>
      </c>
      <c r="B32" t="s">
        <v>816</v>
      </c>
      <c r="C32" t="s">
        <v>776</v>
      </c>
      <c r="D32" t="s">
        <v>1559</v>
      </c>
      <c r="E32" t="s">
        <v>170</v>
      </c>
      <c r="F32">
        <v>72620.67</v>
      </c>
      <c r="G32">
        <v>45834</v>
      </c>
    </row>
    <row r="33" spans="1:7">
      <c r="A33">
        <v>34313</v>
      </c>
      <c r="B33" t="s">
        <v>816</v>
      </c>
      <c r="C33" t="s">
        <v>776</v>
      </c>
      <c r="D33" t="s">
        <v>1605</v>
      </c>
      <c r="E33" t="s">
        <v>170</v>
      </c>
      <c r="F33">
        <v>99857.94</v>
      </c>
      <c r="G33">
        <v>45835</v>
      </c>
    </row>
    <row r="34" spans="1:7">
      <c r="A34">
        <v>34317</v>
      </c>
      <c r="B34" t="s">
        <v>816</v>
      </c>
      <c r="C34" t="s">
        <v>63</v>
      </c>
      <c r="D34" t="s">
        <v>1610</v>
      </c>
      <c r="E34" t="s">
        <v>170</v>
      </c>
      <c r="F34">
        <v>12135738</v>
      </c>
      <c r="G34">
        <v>45835</v>
      </c>
    </row>
    <row r="35" spans="1:7">
      <c r="A35">
        <v>34327</v>
      </c>
      <c r="B35" t="s">
        <v>816</v>
      </c>
      <c r="C35" t="s">
        <v>776</v>
      </c>
      <c r="D35" t="s">
        <v>1646</v>
      </c>
      <c r="E35" t="s">
        <v>170</v>
      </c>
      <c r="F35">
        <v>136849.76</v>
      </c>
      <c r="G35">
        <v>45838</v>
      </c>
    </row>
    <row r="36" spans="1:7">
      <c r="A36">
        <v>38882</v>
      </c>
      <c r="B36" t="s">
        <v>816</v>
      </c>
      <c r="C36" t="s">
        <v>1368</v>
      </c>
      <c r="D36" t="s">
        <v>1367</v>
      </c>
      <c r="E36" t="s">
        <v>170</v>
      </c>
      <c r="F36">
        <v>14127804</v>
      </c>
      <c r="G36">
        <v>45827</v>
      </c>
    </row>
    <row r="37" spans="1:7">
      <c r="A37">
        <v>51778</v>
      </c>
      <c r="B37" t="s">
        <v>1667</v>
      </c>
      <c r="C37" t="s">
        <v>53</v>
      </c>
      <c r="D37" t="s">
        <v>162</v>
      </c>
      <c r="E37" t="s">
        <v>170</v>
      </c>
      <c r="F37">
        <v>-1456500</v>
      </c>
      <c r="G37">
        <v>45828</v>
      </c>
    </row>
    <row r="38" spans="1:7">
      <c r="A38">
        <v>51779</v>
      </c>
      <c r="B38" t="s">
        <v>1667</v>
      </c>
      <c r="C38" t="s">
        <v>53</v>
      </c>
      <c r="D38" t="s">
        <v>162</v>
      </c>
      <c r="E38" t="s">
        <v>170</v>
      </c>
      <c r="F38">
        <v>-11025000</v>
      </c>
      <c r="G38">
        <v>45818</v>
      </c>
    </row>
    <row r="39" spans="1:7">
      <c r="A39">
        <v>52111</v>
      </c>
      <c r="B39" t="s">
        <v>1667</v>
      </c>
      <c r="C39" t="s">
        <v>48</v>
      </c>
      <c r="D39" t="s">
        <v>162</v>
      </c>
      <c r="E39" t="s">
        <v>170</v>
      </c>
      <c r="F39">
        <v>-14570.89</v>
      </c>
      <c r="G39">
        <v>45820</v>
      </c>
    </row>
    <row r="40" spans="1:7">
      <c r="A40">
        <v>55363</v>
      </c>
      <c r="B40" t="s">
        <v>1667</v>
      </c>
      <c r="C40" t="s">
        <v>1193</v>
      </c>
      <c r="D40" t="s">
        <v>162</v>
      </c>
      <c r="E40" t="s">
        <v>170</v>
      </c>
      <c r="F40">
        <v>-2170360.8</v>
      </c>
      <c r="G40">
        <v>45825</v>
      </c>
    </row>
    <row r="41" spans="1:7">
      <c r="A41">
        <v>56043</v>
      </c>
      <c r="B41" t="s">
        <v>1667</v>
      </c>
      <c r="C41" t="s">
        <v>772</v>
      </c>
      <c r="D41" t="s">
        <v>162</v>
      </c>
      <c r="E41" t="s">
        <v>170</v>
      </c>
      <c r="F41">
        <v>-1213494.8</v>
      </c>
      <c r="G41">
        <v>45835</v>
      </c>
    </row>
    <row r="42" spans="1:7">
      <c r="A42">
        <v>56044</v>
      </c>
      <c r="B42" t="s">
        <v>1667</v>
      </c>
      <c r="C42" t="s">
        <v>772</v>
      </c>
      <c r="D42" t="s">
        <v>162</v>
      </c>
      <c r="E42" t="s">
        <v>170</v>
      </c>
      <c r="F42">
        <v>-1610447.16</v>
      </c>
      <c r="G42">
        <v>45835</v>
      </c>
    </row>
    <row r="43" spans="1:7">
      <c r="A43" t="s">
        <v>162</v>
      </c>
      <c r="B43" t="s">
        <v>157</v>
      </c>
      <c r="C43" t="s">
        <v>162</v>
      </c>
      <c r="D43" t="s">
        <v>162</v>
      </c>
      <c r="E43" t="s">
        <v>162</v>
      </c>
      <c r="F43">
        <v>31825703.18</v>
      </c>
      <c r="G43" t="s">
        <v>162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Customer statement June</vt:lpstr>
      <vt:lpstr>TB June</vt:lpstr>
      <vt:lpstr>Summary June</vt:lpstr>
      <vt:lpstr>Customer Statment Transaction</vt:lpstr>
      <vt:lpstr>Account Receivable Transaction</vt:lpstr>
      <vt:lpstr>Sundry Debtors Transaction</vt:lpstr>
      <vt:lpstr>Advance from Debtors Transactio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KalyaniChaudhari</dc:creator>
  <cp:lastModifiedBy>Kalyani Chaudhari</cp:lastModifiedBy>
  <dcterms:created xsi:type="dcterms:W3CDTF">2025-11-18T08:59:00Z</dcterms:created>
  <dcterms:modified xsi:type="dcterms:W3CDTF">2025-11-18T14:29:45Z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75E3277B7C19437899E63982E34165FD_11</vt:lpwstr>
  </property>
  <property fmtid="{D5CDD505-2E9C-101B-9397-08002B2CF9AE}" pid="3" name="KSOProductBuildVer">
    <vt:lpwstr>1033-12.2.0.23155</vt:lpwstr>
  </property>
</Properties>
</file>