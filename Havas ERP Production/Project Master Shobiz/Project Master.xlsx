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  <sheet name="queries" sheetId="3" r:id="rId2"/>
    <sheet name="Sheet2" sheetId="4" r:id="rId3"/>
  </sheets>
  <externalReferences>
    <externalReference r:id="rId4"/>
    <externalReference r:id="rId5"/>
    <externalReference r:id="rId6"/>
  </externalReferences>
  <definedNames>
    <definedName name="_xlnm._FilterDatabase" localSheetId="0" hidden="1">Sheet1!$A$1:$W$658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<sst xmlns="http://schemas.openxmlformats.org/spreadsheetml/2006/main" count="8637" uniqueCount="1666">
  <si>
    <t>ProjectID</t>
  </si>
  <si>
    <t>Prod Id</t>
  </si>
  <si>
    <t>Sandbox Id</t>
  </si>
  <si>
    <t>BBudget</t>
  </si>
  <si>
    <t>Project Type</t>
  </si>
  <si>
    <t>Project Name</t>
  </si>
  <si>
    <t xml:space="preserve">Customer </t>
  </si>
  <si>
    <t>Subsidary</t>
  </si>
  <si>
    <t>Project Owner</t>
  </si>
  <si>
    <t>Project Manager</t>
  </si>
  <si>
    <t>Project Status</t>
  </si>
  <si>
    <t>Planned Hours</t>
  </si>
  <si>
    <t>Remaining Hours</t>
  </si>
  <si>
    <t>Scheduling Method</t>
  </si>
  <si>
    <t>Start Date</t>
  </si>
  <si>
    <t>End Date</t>
  </si>
  <si>
    <t>Billing Type</t>
  </si>
  <si>
    <t>Project Creator</t>
  </si>
  <si>
    <t>Department</t>
  </si>
  <si>
    <t>Line of business</t>
  </si>
  <si>
    <t>Subsidiary Location</t>
  </si>
  <si>
    <t>Budget notification</t>
  </si>
  <si>
    <t>SB21466</t>
  </si>
  <si>
    <t>TVS Event at Sheraton Grand White field</t>
  </si>
  <si>
    <t>Sai Chakra Hotels Pvt Ltd</t>
  </si>
  <si>
    <t>Havas India : Havas Creative Network : Shobiz</t>
  </si>
  <si>
    <t>Sagar Khedekar</t>
  </si>
  <si>
    <t>Nitesh Tembkar</t>
  </si>
  <si>
    <t>Awarded</t>
  </si>
  <si>
    <t>Charge-Based</t>
  </si>
  <si>
    <t>Jay Parkar</t>
  </si>
  <si>
    <t>BU West</t>
  </si>
  <si>
    <t>Event Management</t>
  </si>
  <si>
    <t>Mumbai</t>
  </si>
  <si>
    <t>salesinvoice@shobizhavas.com</t>
  </si>
  <si>
    <t>SB21528</t>
  </si>
  <si>
    <t>BFSI Techtalks Mumbai</t>
  </si>
  <si>
    <t>Red Hat India Pvt Ltd</t>
  </si>
  <si>
    <t>Sohan Darekar</t>
  </si>
  <si>
    <t>SB21697</t>
  </si>
  <si>
    <t>Castrol India Stall - IMTEX (Tool Tech)</t>
  </si>
  <si>
    <t>Castrol India Ltd</t>
  </si>
  <si>
    <t>Mayur Thakkar</t>
  </si>
  <si>
    <t>Ashwin Mishra</t>
  </si>
  <si>
    <t>SB21700</t>
  </si>
  <si>
    <t>Amazon SPS</t>
  </si>
  <si>
    <t>Amazon Development Centre (India) Pvt Ltd</t>
  </si>
  <si>
    <t>Amrita Sawhney</t>
  </si>
  <si>
    <t>Kapeel Parmekar</t>
  </si>
  <si>
    <t>BU South</t>
  </si>
  <si>
    <t>Bangalore</t>
  </si>
  <si>
    <t>SB21703</t>
  </si>
  <si>
    <t>BFSI VCF Workshops</t>
  </si>
  <si>
    <t>VMware Software India Pvt Ltd</t>
  </si>
  <si>
    <t>SB21704</t>
  </si>
  <si>
    <t>Castrol India TUBE India Expo November</t>
  </si>
  <si>
    <t>SB21733</t>
  </si>
  <si>
    <t>Amazon ring devices event</t>
  </si>
  <si>
    <t>Amazon Seller Services India Pvt Ltd</t>
  </si>
  <si>
    <t>SB21770</t>
  </si>
  <si>
    <t>Mangalam Leasing Channel Partners Meet</t>
  </si>
  <si>
    <t>Manglam Multiplex Pvt Ltd</t>
  </si>
  <si>
    <t>Rashmi Khanna</t>
  </si>
  <si>
    <t>SB21797</t>
  </si>
  <si>
    <t xml:space="preserve"> Intel stall at Data Hack Summit 2024 at Nimhans</t>
  </si>
  <si>
    <t>Intel Technology India Pvt Ltd</t>
  </si>
  <si>
    <t>Nandini Nair</t>
  </si>
  <si>
    <t>SB21800</t>
  </si>
  <si>
    <t>Towards Tanzu Activities</t>
  </si>
  <si>
    <t>SB21804</t>
  </si>
  <si>
    <t>Dell CSG event</t>
  </si>
  <si>
    <t>The Indian Express Pvt Ltd</t>
  </si>
  <si>
    <t>Kundan Badiwal</t>
  </si>
  <si>
    <t>Varun Sodhi</t>
  </si>
  <si>
    <t>BU North</t>
  </si>
  <si>
    <t>Delhi</t>
  </si>
  <si>
    <t>SB21807</t>
  </si>
  <si>
    <t>Red Hat Summit Connect</t>
  </si>
  <si>
    <t>SB21814</t>
  </si>
  <si>
    <t>Booth Participation @Gartner Symposium 2024</t>
  </si>
  <si>
    <t>SB21829</t>
  </si>
  <si>
    <t>Adobe Day @ Corporates</t>
  </si>
  <si>
    <t>Adobe Systems India Pvt Ltd</t>
  </si>
  <si>
    <t>Deepika Sharma</t>
  </si>
  <si>
    <t>SB21847</t>
  </si>
  <si>
    <t>Siemens Ahmedabad Townhall event</t>
  </si>
  <si>
    <t>Siemens Ltd</t>
  </si>
  <si>
    <t>Harshal Ghadigaonkar</t>
  </si>
  <si>
    <t>SB21859</t>
  </si>
  <si>
    <t>NVIDIA - AI Summit at  23rd to 25th Oct 2024</t>
  </si>
  <si>
    <t>Nvidia Graphics Pvt Ltd</t>
  </si>
  <si>
    <t>Pravin Mahajan</t>
  </si>
  <si>
    <t>Melanie Teles</t>
  </si>
  <si>
    <t>SB21861</t>
  </si>
  <si>
    <t>HPE Discover More AI</t>
  </si>
  <si>
    <t>Hewlett Packard Enterprise India Pvt Ltd</t>
  </si>
  <si>
    <t>Rahul Luthra</t>
  </si>
  <si>
    <t>SB21873</t>
  </si>
  <si>
    <t> INGKA - Mapic Stall 2024 at Jio</t>
  </si>
  <si>
    <t>Ingka Services LLP</t>
  </si>
  <si>
    <t>SB21888</t>
  </si>
  <si>
    <t>Hitachi Gartner Symposium 2024</t>
  </si>
  <si>
    <t>Hitachi Vantara India Pvt Ltd</t>
  </si>
  <si>
    <t>SB21911</t>
  </si>
  <si>
    <t>IKEA - Festive Lighting 2024</t>
  </si>
  <si>
    <t>IKEA India Pvt Ltd</t>
  </si>
  <si>
    <t>SB21914</t>
  </si>
  <si>
    <t>Amazon Ace Awards</t>
  </si>
  <si>
    <t>SB21917</t>
  </si>
  <si>
    <t>Towards VSP One pipeline acceleration campaign</t>
  </si>
  <si>
    <t>SB21920</t>
  </si>
  <si>
    <t>Sustainability Campaign</t>
  </si>
  <si>
    <t>SB21930</t>
  </si>
  <si>
    <t>Cognizant - CIO 100 SYMPOSIUM &amp; AWARDS</t>
  </si>
  <si>
    <t>Cognizant Technology Solutions India Pvt Ltd</t>
  </si>
  <si>
    <t>Aravind Kumar.S</t>
  </si>
  <si>
    <t>Paulraj S</t>
  </si>
  <si>
    <t>Chennai</t>
  </si>
  <si>
    <t>SB21931</t>
  </si>
  <si>
    <t>IKEA - Influencer Activity</t>
  </si>
  <si>
    <t>SB21935</t>
  </si>
  <si>
    <t>Siemens Mobility Tactical Table</t>
  </si>
  <si>
    <t>SB21939</t>
  </si>
  <si>
    <t>Towards Booth set up at DevOpsDays Kerela 2024.</t>
  </si>
  <si>
    <t>SB21940</t>
  </si>
  <si>
    <t>HPE Booth at NVIDIA AI Summit</t>
  </si>
  <si>
    <t>SB21942</t>
  </si>
  <si>
    <t>Regency AV Production</t>
  </si>
  <si>
    <t>Regency Ceramics Ltd</t>
  </si>
  <si>
    <t>Raj Latotra</t>
  </si>
  <si>
    <t>SB21944</t>
  </si>
  <si>
    <t>SB21945</t>
  </si>
  <si>
    <t>Lenovo R&amp;D Lab Innaugration</t>
  </si>
  <si>
    <t>Lenovo Global Technology (India) Pvt Ltd</t>
  </si>
  <si>
    <t>Ravish Nair</t>
  </si>
  <si>
    <t>SB21947</t>
  </si>
  <si>
    <t>NetApp Targus Roundtable Conference </t>
  </si>
  <si>
    <t>Redington Ltd</t>
  </si>
  <si>
    <t>SB21954</t>
  </si>
  <si>
    <t>Github Reconnect Series, Sep to Nov 2024</t>
  </si>
  <si>
    <t>GitHub India Pvt Ltd</t>
  </si>
  <si>
    <t>Tribhuvan Kapoor</t>
  </si>
  <si>
    <t>SB21960</t>
  </si>
  <si>
    <t>Futureworks India 2024</t>
  </si>
  <si>
    <t>Paul Writer Strategic Services Pvt Ltd</t>
  </si>
  <si>
    <t>SB21961</t>
  </si>
  <si>
    <t>Towards Webinar Promotion Services</t>
  </si>
  <si>
    <t>SB21975</t>
  </si>
  <si>
    <t>Siemens R2R Townhall </t>
  </si>
  <si>
    <t>Harsh Mudliyar</t>
  </si>
  <si>
    <t>SB21981</t>
  </si>
  <si>
    <t>Adobe ALM booth set-up, hotel Taj </t>
  </si>
  <si>
    <t>SB21982</t>
  </si>
  <si>
    <t>Kia Inspiration Day, </t>
  </si>
  <si>
    <t>Innocean Worldwide Communication Pvt Ltd</t>
  </si>
  <si>
    <t>Nikhil Sharma</t>
  </si>
  <si>
    <t>Raghav Bhardwaj</t>
  </si>
  <si>
    <t>SB21983</t>
  </si>
  <si>
    <t>TVS Srichakra Eurogrip No Parking board</t>
  </si>
  <si>
    <t>Tvs Srichakra Ltd</t>
  </si>
  <si>
    <t>M Praveen Raj</t>
  </si>
  <si>
    <t>SB21984</t>
  </si>
  <si>
    <t>NatWest Signature Borad Campaign</t>
  </si>
  <si>
    <t>NatWest Digital Services India Pvt Ltd (RBS Services India Pvt Ltd)</t>
  </si>
  <si>
    <t>Ashwath Rao</t>
  </si>
  <si>
    <t>SB21985</t>
  </si>
  <si>
    <t>Havas Apparelre Sources - ASW 2024</t>
  </si>
  <si>
    <t>Havas Media India Pvt Ltd</t>
  </si>
  <si>
    <t>Rahul Deherkar</t>
  </si>
  <si>
    <t>Chahek Poddar</t>
  </si>
  <si>
    <t>SB21986</t>
  </si>
  <si>
    <t>Cognizant TD Bank Client Visit</t>
  </si>
  <si>
    <t>SB21987</t>
  </si>
  <si>
    <t>TVS Srichakra RRC/MMC/CPC Activity</t>
  </si>
  <si>
    <t>SB21988</t>
  </si>
  <si>
    <t xml:space="preserve">Cognzinat Cr3own client Visit </t>
  </si>
  <si>
    <t>SB21989</t>
  </si>
  <si>
    <t>BP Townhall</t>
  </si>
  <si>
    <t>BP Business Solutions India Pvt Ltd</t>
  </si>
  <si>
    <t>Tapish Gupta</t>
  </si>
  <si>
    <t>SB21990</t>
  </si>
  <si>
    <t>Intel Altera Innovation Day</t>
  </si>
  <si>
    <t>Hari Bailwal</t>
  </si>
  <si>
    <t>Pinky Sharma</t>
  </si>
  <si>
    <t>SB21991</t>
  </si>
  <si>
    <t xml:space="preserve">Intel  ConnectiON 2024 - Phase 1 </t>
  </si>
  <si>
    <t>SB21993</t>
  </si>
  <si>
    <t>Brookfield Properties Gallery Set-up,</t>
  </si>
  <si>
    <t>Brookprop Property Management Services Pvt Ltd</t>
  </si>
  <si>
    <t>Praveen Kumar</t>
  </si>
  <si>
    <t>Umesh Sharma</t>
  </si>
  <si>
    <t>SB21995</t>
  </si>
  <si>
    <t>Ikea - Durga Utsav Event</t>
  </si>
  <si>
    <t>SB21996</t>
  </si>
  <si>
    <t>Tech Data VEGAS Fest 2024</t>
  </si>
  <si>
    <t>Tech Data Advanced Solutions India Pvt Ltd</t>
  </si>
  <si>
    <t>Ashwini D</t>
  </si>
  <si>
    <t>SB21997</t>
  </si>
  <si>
    <t>Redington CIO KLUB 2024</t>
  </si>
  <si>
    <t>SB21998</t>
  </si>
  <si>
    <t>Novo Development All Leaders Meet 2024</t>
  </si>
  <si>
    <t>Novo Nordisk Service Centre (India) Pvt Ltd</t>
  </si>
  <si>
    <t>SB21999</t>
  </si>
  <si>
    <t>Nikon booth set-up</t>
  </si>
  <si>
    <t>Nikon India Pvt Ltd</t>
  </si>
  <si>
    <t>Himanshi Sharma</t>
  </si>
  <si>
    <t>SB22000</t>
  </si>
  <si>
    <t>stall in Didac India Expo</t>
  </si>
  <si>
    <t>Floydwiz Technologies Pvt Ltd</t>
  </si>
  <si>
    <t>Tejindersingh Nagi</t>
  </si>
  <si>
    <t>Ashutosh Sapkal</t>
  </si>
  <si>
    <t>Event Management : Exhibitions</t>
  </si>
  <si>
    <t>SB22001</t>
  </si>
  <si>
    <t> Intel Altera IMC Meeting </t>
  </si>
  <si>
    <t>SB22002</t>
  </si>
  <si>
    <t> IKEA  - Influencer Meet</t>
  </si>
  <si>
    <t>SB22003</t>
  </si>
  <si>
    <t>Siemens - EHS Stall at CII</t>
  </si>
  <si>
    <t>Rutika Dhotre</t>
  </si>
  <si>
    <t>SB22004</t>
  </si>
  <si>
    <t>NetApp Ahmedabad</t>
  </si>
  <si>
    <t>SB22005</t>
  </si>
  <si>
    <t>Schneider Retailers Meet, </t>
  </si>
  <si>
    <t>Schneider Electric India Pvt Ltd</t>
  </si>
  <si>
    <t>SB22007</t>
  </si>
  <si>
    <t>Linkedin Creator’s Event</t>
  </si>
  <si>
    <t>LinkedIn Technology Information Pvt Ltd</t>
  </si>
  <si>
    <t>Akash Kumar</t>
  </si>
  <si>
    <t>SB22008</t>
  </si>
  <si>
    <t>Amazon Big Bets Paper Inserts</t>
  </si>
  <si>
    <t>SB22009</t>
  </si>
  <si>
    <t>RNTBCI Team Outing 2024</t>
  </si>
  <si>
    <t>Renault Nissan Technology &amp; Business Centre India Pvt Ltd</t>
  </si>
  <si>
    <t>SB22010</t>
  </si>
  <si>
    <t>Veeva Systems Summit 2023</t>
  </si>
  <si>
    <t>Veeva Software Systems India Pvt Ltd</t>
  </si>
  <si>
    <t>SB22011</t>
  </si>
  <si>
    <t>Siemens Healthineers_Pen branding</t>
  </si>
  <si>
    <t>Mangesh Waghmare</t>
  </si>
  <si>
    <t>SB22012</t>
  </si>
  <si>
    <t>NetApp Sify Corp</t>
  </si>
  <si>
    <t>Sify Technologies Ltd</t>
  </si>
  <si>
    <t>Shailendra Warrior</t>
  </si>
  <si>
    <t>SB22013</t>
  </si>
  <si>
    <t>Amazon Box Installation</t>
  </si>
  <si>
    <t>SB22015</t>
  </si>
  <si>
    <t>Siemens Energy_ Crystal Memento &amp; Jute Bag</t>
  </si>
  <si>
    <t>SB22016</t>
  </si>
  <si>
    <t xml:space="preserve">Hindustan Lab Day with Lakme Sunexpert Event </t>
  </si>
  <si>
    <t>Hindustan Unilever Ltd</t>
  </si>
  <si>
    <t>Rohan Mane</t>
  </si>
  <si>
    <t>Aftab Mobin Shaikh</t>
  </si>
  <si>
    <t>SB22017</t>
  </si>
  <si>
    <t>HUL - FinAce Season 8 Finale Event</t>
  </si>
  <si>
    <t>Hemanshu Sawant</t>
  </si>
  <si>
    <t>SB22018</t>
  </si>
  <si>
    <t>Towards stock footage</t>
  </si>
  <si>
    <t>Now Comms Asia</t>
  </si>
  <si>
    <t>SB22019</t>
  </si>
  <si>
    <t xml:space="preserve">Hitachi ABM – Q3 tech workshops – multiple cities </t>
  </si>
  <si>
    <t>SB22020</t>
  </si>
  <si>
    <t>Mahindra LMM</t>
  </si>
  <si>
    <t>Mahindra &amp; Mahindra Ltd</t>
  </si>
  <si>
    <t>SB22021</t>
  </si>
  <si>
    <t>Danfoss IFAT Expo</t>
  </si>
  <si>
    <t>Danfoss Industries Pvt Ltd</t>
  </si>
  <si>
    <t>SB22022</t>
  </si>
  <si>
    <t xml:space="preserve">TVS Srichakra Easel Stand for Shiprocket </t>
  </si>
  <si>
    <t>SB22023</t>
  </si>
  <si>
    <t xml:space="preserve">VISTA 5 YEARS FOUNDATION DAY </t>
  </si>
  <si>
    <t>Vista Consoles Electronics Pvt Ltd</t>
  </si>
  <si>
    <t>Prerna Tandon</t>
  </si>
  <si>
    <t>Jayant Joy</t>
  </si>
  <si>
    <t>SB22024</t>
  </si>
  <si>
    <t>Amazone Smart Home Gym Banner</t>
  </si>
  <si>
    <t>SB22025</t>
  </si>
  <si>
    <t>Siemens Townhall at Transformer Factory</t>
  </si>
  <si>
    <t>SB22026</t>
  </si>
  <si>
    <t>Siemens Advanta D- Manager Conclave</t>
  </si>
  <si>
    <t>SB22027</t>
  </si>
  <si>
    <t xml:space="preserve">HUL Kedar's Farewell + HR All Stars 2024 </t>
  </si>
  <si>
    <t>Maitree Dang</t>
  </si>
  <si>
    <t>SB22028</t>
  </si>
  <si>
    <t>LSIP Diwali Party</t>
  </si>
  <si>
    <t>Lightspeed India Partners Advisors LLP</t>
  </si>
  <si>
    <t>Mandar Khedekar</t>
  </si>
  <si>
    <t>SB22029</t>
  </si>
  <si>
    <t>Cognizant - Loowis Client Visit</t>
  </si>
  <si>
    <t>SB22030</t>
  </si>
  <si>
    <t xml:space="preserve">Cognizant Novartis Client Visit </t>
  </si>
  <si>
    <t>SB22031</t>
  </si>
  <si>
    <t>HPE Storage TBM Tele Lead generation Program </t>
  </si>
  <si>
    <t>SB22034</t>
  </si>
  <si>
    <t>HPE Sales Enablement with Wipro</t>
  </si>
  <si>
    <t>SB22035</t>
  </si>
  <si>
    <t>Siemens -#OnTheMOon (5 cities)</t>
  </si>
  <si>
    <t>SB22036</t>
  </si>
  <si>
    <t>TVS Srichakra Backdrop setup</t>
  </si>
  <si>
    <t>SB22037</t>
  </si>
  <si>
    <t xml:space="preserve">TVS Srichakra Eurogrip Store Launch </t>
  </si>
  <si>
    <t>SB22038</t>
  </si>
  <si>
    <t>AiSensy event by RV Global</t>
  </si>
  <si>
    <t>RV Global</t>
  </si>
  <si>
    <t>SB22039</t>
  </si>
  <si>
    <t>TVS Srichakra for Shiprocket Recharge</t>
  </si>
  <si>
    <t>SB22040</t>
  </si>
  <si>
    <t>NXP CEO Townhall</t>
  </si>
  <si>
    <t>NXP India Pvt Ltd</t>
  </si>
  <si>
    <t>SB22041</t>
  </si>
  <si>
    <t>HUL - LFW Delhi x TRESemme Stall</t>
  </si>
  <si>
    <t>Sumit Sangle</t>
  </si>
  <si>
    <t>SB22042</t>
  </si>
  <si>
    <t xml:space="preserve">Accenture Townhall </t>
  </si>
  <si>
    <t>Accenture Solutions Pvt Ltd</t>
  </si>
  <si>
    <t>Hazarat Ansari</t>
  </si>
  <si>
    <t>SB22043</t>
  </si>
  <si>
    <t>Google YT Shopping accelerator </t>
  </si>
  <si>
    <t>Google India Pvt Ltd</t>
  </si>
  <si>
    <t>Disha Jindal</t>
  </si>
  <si>
    <t>SB22044</t>
  </si>
  <si>
    <t>Google YT Creator Collective with Lakme</t>
  </si>
  <si>
    <t>SB22045</t>
  </si>
  <si>
    <t>Adobe Elite Circle Mumbai &amp; Bangalore</t>
  </si>
  <si>
    <t>SB22046</t>
  </si>
  <si>
    <t>HPE CIC Visit arrangements</t>
  </si>
  <si>
    <t>SB22047</t>
  </si>
  <si>
    <t>IGC 2024 - Taj Palace Delhi</t>
  </si>
  <si>
    <t>Internet and Mobile Association of India</t>
  </si>
  <si>
    <t>Farizuddin Shaikh</t>
  </si>
  <si>
    <t>SB22048</t>
  </si>
  <si>
    <t>OnePlus OEF in Bangkok</t>
  </si>
  <si>
    <t>OnePlus Technology India Pvt Ltd</t>
  </si>
  <si>
    <t>SB22049</t>
  </si>
  <si>
    <t>Tata Ethics Case Study Competition 2024</t>
  </si>
  <si>
    <t>Tata Sons Pvt Ltd</t>
  </si>
  <si>
    <t>SB22050</t>
  </si>
  <si>
    <t>Amazon Devices OS Townhall</t>
  </si>
  <si>
    <t>Anu Kumar S</t>
  </si>
  <si>
    <t>SB22051</t>
  </si>
  <si>
    <t>Hyderabad Developer Workshop </t>
  </si>
  <si>
    <t>SB22052</t>
  </si>
  <si>
    <t>Siemens In Collabration with Snap Logic Event</t>
  </si>
  <si>
    <t>SB22053</t>
  </si>
  <si>
    <t>SB22054</t>
  </si>
  <si>
    <t xml:space="preserve">Microsoft Ai Mixer 2024 </t>
  </si>
  <si>
    <t>Microsoft Corporation (I) Pvt Ltd</t>
  </si>
  <si>
    <t>SB22055</t>
  </si>
  <si>
    <t>SAP Innovation Day</t>
  </si>
  <si>
    <t>SAP India Pvt Ltd</t>
  </si>
  <si>
    <t>SB22056</t>
  </si>
  <si>
    <t xml:space="preserve">Panasonic Broadcast India </t>
  </si>
  <si>
    <t>Panasonic Life Solutions India Pvt Ltd</t>
  </si>
  <si>
    <t>Sonia Thakur</t>
  </si>
  <si>
    <t>SB22057</t>
  </si>
  <si>
    <t>VST Diwali Family Day</t>
  </si>
  <si>
    <t>VST Industries Ltd</t>
  </si>
  <si>
    <t>Beena Joseph</t>
  </si>
  <si>
    <t>SB22058</t>
  </si>
  <si>
    <t>TRESemme Lamellar Launch</t>
  </si>
  <si>
    <t>SB22059</t>
  </si>
  <si>
    <t>Aditya Birla Sunlife Insurance Agency Meet 2024</t>
  </si>
  <si>
    <t>Aditya Birla Sun Life Insurance Company Ltd</t>
  </si>
  <si>
    <t>SB22060</t>
  </si>
  <si>
    <t>Novo Nordisk Apac Townhall</t>
  </si>
  <si>
    <t>Novo Nordisk Pharma Gulf FZE</t>
  </si>
  <si>
    <t>Tanisha Agarwala</t>
  </si>
  <si>
    <t>SB22061</t>
  </si>
  <si>
    <t xml:space="preserve">OnePlus HUFT Donation Boxes </t>
  </si>
  <si>
    <t>SB22062</t>
  </si>
  <si>
    <t>Siemens Switchboard 50 Years Celebration</t>
  </si>
  <si>
    <t>SB22063</t>
  </si>
  <si>
    <t>Disney Hotstar - EPL Screening</t>
  </si>
  <si>
    <t>Star India Pvt Ltd</t>
  </si>
  <si>
    <t>Venkatesh Chikka</t>
  </si>
  <si>
    <t>SB22064</t>
  </si>
  <si>
    <t>IKEA - Societies Voucher Distribution</t>
  </si>
  <si>
    <t>SB22065</t>
  </si>
  <si>
    <t>Blue Grass - Family Day</t>
  </si>
  <si>
    <t>SB22066</t>
  </si>
  <si>
    <t>Edward Jones Client Visit</t>
  </si>
  <si>
    <t>SB22067</t>
  </si>
  <si>
    <t>Hartford Client Visit </t>
  </si>
  <si>
    <t>SB22068</t>
  </si>
  <si>
    <t>Expo Booth Nvidia AI Summit</t>
  </si>
  <si>
    <t>NMDC Data Centre Pvt ltd</t>
  </si>
  <si>
    <t>SB22069</t>
  </si>
  <si>
    <t xml:space="preserve">HUL - October Events 2024 </t>
  </si>
  <si>
    <t>SB22070</t>
  </si>
  <si>
    <t>Redington NetApp event with Velocis</t>
  </si>
  <si>
    <t>SB22071</t>
  </si>
  <si>
    <t>Accenture Sanjay Dawar's Farewell</t>
  </si>
  <si>
    <t>SB22072</t>
  </si>
  <si>
    <t>NVIDIA AI Summit India at Jio World Center, Mumbai</t>
  </si>
  <si>
    <t>TATA Consultancy Services Ltd</t>
  </si>
  <si>
    <t>SB22073</t>
  </si>
  <si>
    <t>Sucess Gala  at Grand Sheraton, Chennai</t>
  </si>
  <si>
    <t>Astrazeneca India Pvt Ltd</t>
  </si>
  <si>
    <t>SB22074</t>
  </si>
  <si>
    <t>TVS Sub Dealer Meet At Ghaziabad</t>
  </si>
  <si>
    <t>SB22075</t>
  </si>
  <si>
    <t>Siemens GBS APS Townhall</t>
  </si>
  <si>
    <t>SB22076</t>
  </si>
  <si>
    <t>Kotak Townhall with the CEO</t>
  </si>
  <si>
    <t>Kotak Mahindra Bank Ltd</t>
  </si>
  <si>
    <t>SB22077</t>
  </si>
  <si>
    <t>SAFETY CONCLAVE 2024</t>
  </si>
  <si>
    <t>Godrej Properties Ltd</t>
  </si>
  <si>
    <t>Keval Rajyaguru</t>
  </si>
  <si>
    <t>SB22078</t>
  </si>
  <si>
    <t xml:space="preserve">COGNIZANT Blackstone visit - Hyderabad H04 </t>
  </si>
  <si>
    <t>SB22079</t>
  </si>
  <si>
    <t>Cognizant Pega Symposia 2024 Event</t>
  </si>
  <si>
    <t>SB22080</t>
  </si>
  <si>
    <t>Brookfield Properties Diwali Celebration  @ 5 locations</t>
  </si>
  <si>
    <t>SB22081</t>
  </si>
  <si>
    <t>HUL -  LAKME x Nykaaland</t>
  </si>
  <si>
    <t>SB22082</t>
  </si>
  <si>
    <t>NXP German Delegate event 2024</t>
  </si>
  <si>
    <t>SB22083</t>
  </si>
  <si>
    <t>SAP Come Alive</t>
  </si>
  <si>
    <t>SAP Labs India Pvt Ltd</t>
  </si>
  <si>
    <t>SB22084</t>
  </si>
  <si>
    <t> Lotus Car Display @ 4 seasons</t>
  </si>
  <si>
    <t>Exclusive Motors Pvt Ltd</t>
  </si>
  <si>
    <t>SB22085</t>
  </si>
  <si>
    <t>Amazone Transcend</t>
  </si>
  <si>
    <t>SB22086</t>
  </si>
  <si>
    <t xml:space="preserve">Cogizant BAT Client visit </t>
  </si>
  <si>
    <t>SB22087</t>
  </si>
  <si>
    <t xml:space="preserve">Dell IE Multicity events </t>
  </si>
  <si>
    <t>Alok Khanna</t>
  </si>
  <si>
    <t>SB22088</t>
  </si>
  <si>
    <t>Dell Qualcomm Launch</t>
  </si>
  <si>
    <t>Dell International Services India Pvt Ltd</t>
  </si>
  <si>
    <t>SB22089</t>
  </si>
  <si>
    <t>SB22090</t>
  </si>
  <si>
    <t>Vivo X200 immersion and Launch event</t>
  </si>
  <si>
    <t>Vivo Mobile India Pvt Ltd</t>
  </si>
  <si>
    <t>Ishan Chhabra</t>
  </si>
  <si>
    <t>SB22091</t>
  </si>
  <si>
    <t>Booth Management at NVIDIA AI Summit</t>
  </si>
  <si>
    <t>SB22092</t>
  </si>
  <si>
    <t>Cloudodyssey Diwali Gifting</t>
  </si>
  <si>
    <t>Cloudodyssey It Solutions Pvt Ltd</t>
  </si>
  <si>
    <t>SB22093</t>
  </si>
  <si>
    <t>Accenture AQA Education_Offsite</t>
  </si>
  <si>
    <t>Sagar Dixit</t>
  </si>
  <si>
    <t>SB22094</t>
  </si>
  <si>
    <t>HPE Discover Booth Activation</t>
  </si>
  <si>
    <t>SB22095</t>
  </si>
  <si>
    <t>Adobe ALM booth set up</t>
  </si>
  <si>
    <t>SB22096</t>
  </si>
  <si>
    <t>DBS India Townhall Q4</t>
  </si>
  <si>
    <t>DBS Bank India Ltd</t>
  </si>
  <si>
    <t>Rohan Gurav</t>
  </si>
  <si>
    <t>SB22097</t>
  </si>
  <si>
    <t>Siemens Transform Innovation Day 2024</t>
  </si>
  <si>
    <t>SB22098</t>
  </si>
  <si>
    <t>SAP Statutory Board Meeting</t>
  </si>
  <si>
    <t>SB22099</t>
  </si>
  <si>
    <t>Greenlam Design Nxt, Prague, Czech Republic</t>
  </si>
  <si>
    <t>Greenlam Industries Ltd</t>
  </si>
  <si>
    <t>Shruti Gupta</t>
  </si>
  <si>
    <t>SB22100</t>
  </si>
  <si>
    <t>Amazone  GIF event</t>
  </si>
  <si>
    <t>SB22101</t>
  </si>
  <si>
    <t>Meta x Lakme Rouge Bloom at Meta</t>
  </si>
  <si>
    <t>SB22102</t>
  </si>
  <si>
    <t>RWA Activity - Prestige St. Johnswood</t>
  </si>
  <si>
    <t>Century Prime Properties Pvt Ltd</t>
  </si>
  <si>
    <t>SB22103</t>
  </si>
  <si>
    <t>PhonePe Diwali Booth - Pune</t>
  </si>
  <si>
    <t>Phonepe Pvt Ltd</t>
  </si>
  <si>
    <t>Srinivasa Dasari</t>
  </si>
  <si>
    <t>SB22104</t>
  </si>
  <si>
    <t>TVS Srichakra for Kari Motors</t>
  </si>
  <si>
    <t>SB22105</t>
  </si>
  <si>
    <t xml:space="preserve"> SAP Golf Clinic for Customers</t>
  </si>
  <si>
    <t>SB22106</t>
  </si>
  <si>
    <t>RRC &amp; MMC FOR PAN IND SEP24</t>
  </si>
  <si>
    <t>SB22107</t>
  </si>
  <si>
    <t>Graphifiers Clean India Expo</t>
  </si>
  <si>
    <t>Graphifiers</t>
  </si>
  <si>
    <t>SB22108</t>
  </si>
  <si>
    <t>DBS Bank Conference - Meet &amp; Greet</t>
  </si>
  <si>
    <t>SB22109</t>
  </si>
  <si>
    <t xml:space="preserve">DBS Bank - Filming Podcast </t>
  </si>
  <si>
    <t>SB22110</t>
  </si>
  <si>
    <t>DBS Dinner &amp; Dance Event</t>
  </si>
  <si>
    <t>SB22111</t>
  </si>
  <si>
    <t>Red Hat Govt / PSU Event– Re invent the Future- Tech Talks</t>
  </si>
  <si>
    <t>SB22112</t>
  </si>
  <si>
    <t>THOUGHTWORKS X-Interview Shoot</t>
  </si>
  <si>
    <t>Thoughtworks Technologies India Pvt Ltd</t>
  </si>
  <si>
    <t>Sunil Sawant</t>
  </si>
  <si>
    <t>SB22113</t>
  </si>
  <si>
    <t>Panasonic office brandings</t>
  </si>
  <si>
    <t>SB22114</t>
  </si>
  <si>
    <t>VFS Global Dinner Event at the Hotel</t>
  </si>
  <si>
    <t>VFS Global Services Pvt Ltd</t>
  </si>
  <si>
    <t>SB22115</t>
  </si>
  <si>
    <t xml:space="preserve">Orient Electric Dealer Meet </t>
  </si>
  <si>
    <t>Orient Electric Ltd</t>
  </si>
  <si>
    <t>SB22116</t>
  </si>
  <si>
    <t>Red Hat-TCS lending as a service event</t>
  </si>
  <si>
    <t>SB22117</t>
  </si>
  <si>
    <t>Towards Japan EBC eDM &amp; RSVP</t>
  </si>
  <si>
    <t>SB22118</t>
  </si>
  <si>
    <t>SAP Grand Prix Jute Bags, Trophies</t>
  </si>
  <si>
    <t>SB22119</t>
  </si>
  <si>
    <t>Siemens Mobility Townhall 2024</t>
  </si>
  <si>
    <t>SB22120</t>
  </si>
  <si>
    <t>Dell Multicity events</t>
  </si>
  <si>
    <t>SB22121</t>
  </si>
  <si>
    <t>HUL - B&amp;W Global Visit</t>
  </si>
  <si>
    <t>SB22122</t>
  </si>
  <si>
    <t xml:space="preserve">HUL - R&amp;D Global Visit </t>
  </si>
  <si>
    <t>SB22123</t>
  </si>
  <si>
    <t>IKEA - Nov &amp; Dec Activity</t>
  </si>
  <si>
    <t>SB22124</t>
  </si>
  <si>
    <t>Winner &amp; Partner Trophies for INDUS Conclave &amp; SAP ACE Awards</t>
  </si>
  <si>
    <t>SB22125</t>
  </si>
  <si>
    <t>Thoughtworks - Xconf 2024</t>
  </si>
  <si>
    <t>SB22126</t>
  </si>
  <si>
    <t xml:space="preserve">HUL Women in STEM 2024 </t>
  </si>
  <si>
    <t>Lokesh Sonar</t>
  </si>
  <si>
    <t>SB22127</t>
  </si>
  <si>
    <t>India ELT Customer Roadshow</t>
  </si>
  <si>
    <t>AirWatch Softsync Solutions Pvt Ltd</t>
  </si>
  <si>
    <t>SB22128</t>
  </si>
  <si>
    <t>DBS India Singapore Connect Envelope printing</t>
  </si>
  <si>
    <t>SB22129</t>
  </si>
  <si>
    <t>DBS Tech Roadshow</t>
  </si>
  <si>
    <t>SB22130</t>
  </si>
  <si>
    <t>OnePlus Jam Night</t>
  </si>
  <si>
    <t>SB22131</t>
  </si>
  <si>
    <t>Microsoft Manager's day at Jodhpur</t>
  </si>
  <si>
    <t>Garv Aggarwal</t>
  </si>
  <si>
    <t>SB22132</t>
  </si>
  <si>
    <t>My TVS Showroom Inauguration</t>
  </si>
  <si>
    <t>Ki Mobility Solutions Pvt Ltd</t>
  </si>
  <si>
    <t>SB22133</t>
  </si>
  <si>
    <t>TVS CERTIFIED Sign Board</t>
  </si>
  <si>
    <t>Tvs Certified Pvt Ltd</t>
  </si>
  <si>
    <t>SB22134</t>
  </si>
  <si>
    <t>Haleon Office Inauguration - Phase 2</t>
  </si>
  <si>
    <t>GlaxoSmithKline Consumer Pvt Ltd</t>
  </si>
  <si>
    <t>SB22135</t>
  </si>
  <si>
    <t>TVS Eurogrip stall in Krishithon</t>
  </si>
  <si>
    <t>SB22136</t>
  </si>
  <si>
    <t>GOC Infinity 2024</t>
  </si>
  <si>
    <t>Goc Services India Pvt Ltd</t>
  </si>
  <si>
    <t>SB22137</t>
  </si>
  <si>
    <t xml:space="preserve">HUL Lux - Meet &amp; Greet </t>
  </si>
  <si>
    <t>SB22138</t>
  </si>
  <si>
    <t xml:space="preserve">STT CIO CLUB Giveway </t>
  </si>
  <si>
    <t>STT Global Data Centres India Pvt Ltd</t>
  </si>
  <si>
    <t>Shiva Shankar</t>
  </si>
  <si>
    <t>SB22139</t>
  </si>
  <si>
    <t>HPE QBR 2024</t>
  </si>
  <si>
    <t>SB22140</t>
  </si>
  <si>
    <t>Amazon - Leadership Offsite</t>
  </si>
  <si>
    <t>SB22141</t>
  </si>
  <si>
    <t>Cognizant Nationwide Client Visit</t>
  </si>
  <si>
    <t>SB22142</t>
  </si>
  <si>
    <t>ABG 15th Mission Happiness Leaders Meet 2024</t>
  </si>
  <si>
    <t>Aditya Birla Management Corporation Pvt Ltd</t>
  </si>
  <si>
    <t>SB22143</t>
  </si>
  <si>
    <t>Cognizant Beyond Boundaries Event </t>
  </si>
  <si>
    <t>SB22144</t>
  </si>
  <si>
    <t>Sap Innovation Days &amp; Invent Finale</t>
  </si>
  <si>
    <t>SB22145</t>
  </si>
  <si>
    <t>India Fastener Show, 22-24 Nov 2024, PIEMC,</t>
  </si>
  <si>
    <t>Accropoly Metal Industries Pvt Ltd</t>
  </si>
  <si>
    <t>SB22146</t>
  </si>
  <si>
    <t>Cognizant India Team Connect</t>
  </si>
  <si>
    <t>SB22147</t>
  </si>
  <si>
    <t>INTEL  Global AI Conclave CNBC</t>
  </si>
  <si>
    <t>SB22148</t>
  </si>
  <si>
    <t>Accenture Natwest Event</t>
  </si>
  <si>
    <t>SB22149</t>
  </si>
  <si>
    <t>HPE Secure AI-Ready Data Centers</t>
  </si>
  <si>
    <t>SB22150</t>
  </si>
  <si>
    <t>Accenture Marriott Virtual Visit Broadcast</t>
  </si>
  <si>
    <t>SB22151</t>
  </si>
  <si>
    <t>NatWest Video Shoot</t>
  </si>
  <si>
    <t>SB22152</t>
  </si>
  <si>
    <t xml:space="preserve">Now Comms Asia of materials / resources </t>
  </si>
  <si>
    <t>Divya Bauva</t>
  </si>
  <si>
    <t>SB22153</t>
  </si>
  <si>
    <t>TVS Eurogrip Store Launch @ Patna</t>
  </si>
  <si>
    <t>Anandan R</t>
  </si>
  <si>
    <t>SB22154</t>
  </si>
  <si>
    <t>Mahindra eSUV Launch Event</t>
  </si>
  <si>
    <t>SB22155</t>
  </si>
  <si>
    <t>BYD Anniversary Celebration 20204</t>
  </si>
  <si>
    <t>BYD India Pvt Ltd</t>
  </si>
  <si>
    <t>SB22156</t>
  </si>
  <si>
    <t xml:space="preserve">STT Pune Ai Lab Branding </t>
  </si>
  <si>
    <t>SB22157</t>
  </si>
  <si>
    <t xml:space="preserve">Talk in Graph Talk in Delhi </t>
  </si>
  <si>
    <t>Neo4j Inc</t>
  </si>
  <si>
    <t>SB22158</t>
  </si>
  <si>
    <t>Spark Minda Auto Expo 2025,</t>
  </si>
  <si>
    <t>Minda Corporation Ltd</t>
  </si>
  <si>
    <t>Vanshika Malhotra</t>
  </si>
  <si>
    <t>SB22159</t>
  </si>
  <si>
    <t>VinFast Auto Expo 2025,</t>
  </si>
  <si>
    <t>Vinfast Auto India Pvt Ltd</t>
  </si>
  <si>
    <t>SB22160</t>
  </si>
  <si>
    <t>CIO ASSOCIATION</t>
  </si>
  <si>
    <t>Embee Software Pvt Ltd</t>
  </si>
  <si>
    <t>SB22161</t>
  </si>
  <si>
    <t>HUL - LAKME x MYNTRA</t>
  </si>
  <si>
    <t>SB22162</t>
  </si>
  <si>
    <t>Sify Zscaler Customer Event.</t>
  </si>
  <si>
    <t>SB22163</t>
  </si>
  <si>
    <t>Accenture Mondelez Client Visit</t>
  </si>
  <si>
    <t>SB22164</t>
  </si>
  <si>
    <t>Metal Chest Badge</t>
  </si>
  <si>
    <t>Renault India Pvt Ltd</t>
  </si>
  <si>
    <t>Clinton j</t>
  </si>
  <si>
    <t>SB22166</t>
  </si>
  <si>
    <t>DBS Bank CBG Townhall</t>
  </si>
  <si>
    <t>SB22167</t>
  </si>
  <si>
    <t>Glaxo Haleon Branded Merchandise</t>
  </si>
  <si>
    <t>SB22168</t>
  </si>
  <si>
    <t>SB22169</t>
  </si>
  <si>
    <t xml:space="preserve">Industry Participation : Digital Bharat Summit </t>
  </si>
  <si>
    <t>SB22170</t>
  </si>
  <si>
    <t>Accenture Leadership Accelerator Program</t>
  </si>
  <si>
    <t>SB22171</t>
  </si>
  <si>
    <t>Sahamati Samvaad 2024</t>
  </si>
  <si>
    <t>DigiSahamati Foundation</t>
  </si>
  <si>
    <t>SB22172</t>
  </si>
  <si>
    <t xml:space="preserve">Siemens _Channel Partner Certificates and Trophy </t>
  </si>
  <si>
    <t>SB22173</t>
  </si>
  <si>
    <t xml:space="preserve">3One4 Capital CUSTOMERS MEET
</t>
  </si>
  <si>
    <t>3One4 Capital Mangement LLP</t>
  </si>
  <si>
    <t>Dhanush Prashanth</t>
  </si>
  <si>
    <t>SB22174</t>
  </si>
  <si>
    <t>Cognizant Writing Board Setup </t>
  </si>
  <si>
    <t>SB22175</t>
  </si>
  <si>
    <t>Hul B&amp;W Workshop 2024</t>
  </si>
  <si>
    <t>SB22176</t>
  </si>
  <si>
    <t>Godrej agrovet booth at PepsiCo Expo 2024</t>
  </si>
  <si>
    <t>Godrej Agrovet Ltd</t>
  </si>
  <si>
    <t>SB22177</t>
  </si>
  <si>
    <t>Amazon INOPS P - XTraordinaire 2024</t>
  </si>
  <si>
    <t>SB22178</t>
  </si>
  <si>
    <t>HUL - Capital Markets Day 2024</t>
  </si>
  <si>
    <t>SB22179</t>
  </si>
  <si>
    <t>Blue Star India Food Forum</t>
  </si>
  <si>
    <t>Blue Star Ltd</t>
  </si>
  <si>
    <t>SB22180</t>
  </si>
  <si>
    <t>PhonePe booth BIC Indiranagar</t>
  </si>
  <si>
    <t>SB22181</t>
  </si>
  <si>
    <t xml:space="preserve">STT GE Colocation </t>
  </si>
  <si>
    <t>SB22182</t>
  </si>
  <si>
    <t>Danfoss Data Center Stall 2024</t>
  </si>
  <si>
    <t>SB22183</t>
  </si>
  <si>
    <t>Towards Idea Café Roundtable</t>
  </si>
  <si>
    <t>SB22184</t>
  </si>
  <si>
    <t>Towards Webinar Promotions &amp; Registrations</t>
  </si>
  <si>
    <t>SB22185</t>
  </si>
  <si>
    <t>LTF Raise'24</t>
  </si>
  <si>
    <t>L &amp; T Finance Ltd</t>
  </si>
  <si>
    <t>SB22186</t>
  </si>
  <si>
    <t>Hero IBU Meet at  JW Marriott, Vagator, Goa</t>
  </si>
  <si>
    <t>Hero Motocorp Ltd</t>
  </si>
  <si>
    <t>Rinku Kumar</t>
  </si>
  <si>
    <t>SB22187</t>
  </si>
  <si>
    <t xml:space="preserve">Siemens Inno Rail Exbhition </t>
  </si>
  <si>
    <t>SB22188</t>
  </si>
  <si>
    <t xml:space="preserve">Metro Activation for Meta </t>
  </si>
  <si>
    <t>Facebook India Online Services Pvt Ltd</t>
  </si>
  <si>
    <t>SB22189</t>
  </si>
  <si>
    <t>Amway NPF 3.0</t>
  </si>
  <si>
    <t>Amway India Enterprises Pvt Ltd</t>
  </si>
  <si>
    <t>Mahima Mathur</t>
  </si>
  <si>
    <t>SB22190</t>
  </si>
  <si>
    <t>Season of Smiles</t>
  </si>
  <si>
    <t>Bangalore International Airport Ltd</t>
  </si>
  <si>
    <t>Neha Khemka</t>
  </si>
  <si>
    <t>SB22191</t>
  </si>
  <si>
    <t>Honda Amaze car launch</t>
  </si>
  <si>
    <t>Honda Cars India Ltd</t>
  </si>
  <si>
    <t>SB22192</t>
  </si>
  <si>
    <t xml:space="preserve"> Stall in Cosmoprof India 2024 at Jio World Convention Centre</t>
  </si>
  <si>
    <t>Estetica Magazines Pvt Ltd</t>
  </si>
  <si>
    <t>SB22193</t>
  </si>
  <si>
    <t>TS Rajam Awards</t>
  </si>
  <si>
    <t>TVS Supply Chain Solutions Ltd</t>
  </si>
  <si>
    <t>SB22194</t>
  </si>
  <si>
    <t>Hul F&amp;R Booth at India Food Forum</t>
  </si>
  <si>
    <t>SB22195</t>
  </si>
  <si>
    <t>SB22196</t>
  </si>
  <si>
    <t xml:space="preserve">Hilti Annual Kickoff 2025 </t>
  </si>
  <si>
    <t>Hilti India Pvt Ltd</t>
  </si>
  <si>
    <t>SB22197</t>
  </si>
  <si>
    <t>Citi Bank - Digital Leadership Summit</t>
  </si>
  <si>
    <t>Citi Bank</t>
  </si>
  <si>
    <t>SB22198</t>
  </si>
  <si>
    <t xml:space="preserve">GitHub Universe Recap </t>
  </si>
  <si>
    <t>SB22199</t>
  </si>
  <si>
    <t>Gulf Air Dealer Meet</t>
  </si>
  <si>
    <t>Gulf Air B SC ©</t>
  </si>
  <si>
    <t>SB22200</t>
  </si>
  <si>
    <t>Amazon Auperstars event</t>
  </si>
  <si>
    <t>SB22201</t>
  </si>
  <si>
    <t xml:space="preserve">TVS Srichakra  RRC/MMC/CPC Activity </t>
  </si>
  <si>
    <t>SB22202</t>
  </si>
  <si>
    <t>Intel CS Day outing</t>
  </si>
  <si>
    <t>SB22203</t>
  </si>
  <si>
    <t>stall International Indo Africa B2B trade show</t>
  </si>
  <si>
    <t>Utex Industries Pvt Ltd</t>
  </si>
  <si>
    <t>SB22204</t>
  </si>
  <si>
    <t xml:space="preserve">Kia Syros Content making </t>
  </si>
  <si>
    <t>SB22205</t>
  </si>
  <si>
    <t>amazon Sambhav Collateral Decor</t>
  </si>
  <si>
    <t>SB22206</t>
  </si>
  <si>
    <t>EPS Leadership meeting Bhubaneswar</t>
  </si>
  <si>
    <t>SB22207</t>
  </si>
  <si>
    <t>IRIS Biz by YES BANK</t>
  </si>
  <si>
    <t>Yes Bank Ltd</t>
  </si>
  <si>
    <t>SB22208</t>
  </si>
  <si>
    <t>Google GCS @ Google office,</t>
  </si>
  <si>
    <t>SB22209</t>
  </si>
  <si>
    <t>SB22210</t>
  </si>
  <si>
    <t>Intel  Laptop storage space for Q1 FY 2025</t>
  </si>
  <si>
    <t>SB22211</t>
  </si>
  <si>
    <t>Uniops GSA Awards</t>
  </si>
  <si>
    <t>Unilever Industries Pvt Ltd</t>
  </si>
  <si>
    <t>SB22212</t>
  </si>
  <si>
    <t>Hul B&amp;W Global Investors Meet</t>
  </si>
  <si>
    <t>SB22213</t>
  </si>
  <si>
    <t>Tvs Shiprocket recharge-Dec 2024</t>
  </si>
  <si>
    <t>SB22214</t>
  </si>
  <si>
    <t>Google cloud family day</t>
  </si>
  <si>
    <t>SB22215</t>
  </si>
  <si>
    <t>First Basis Rupee Money Conference</t>
  </si>
  <si>
    <t>Fx First Basis Risk Consulting LLP</t>
  </si>
  <si>
    <t>SB22216</t>
  </si>
  <si>
    <t>SAP Signavio Webinar</t>
  </si>
  <si>
    <t>SB22217</t>
  </si>
  <si>
    <t>Renault Step Up 2024</t>
  </si>
  <si>
    <t>SB22218</t>
  </si>
  <si>
    <t>Super Star Product Launch</t>
  </si>
  <si>
    <t>Star Health And Allied Insurance Co Ltd</t>
  </si>
  <si>
    <t>SB22219</t>
  </si>
  <si>
    <t>Pinnacle CXO Dialogue Event</t>
  </si>
  <si>
    <t>Inpg Workforce Solutions Pvt Ltd</t>
  </si>
  <si>
    <t>SB22220</t>
  </si>
  <si>
    <t>Amazone Year End Party</t>
  </si>
  <si>
    <t>SB22221</t>
  </si>
  <si>
    <t>AstraZeneca Team Outing</t>
  </si>
  <si>
    <t>SB22222</t>
  </si>
  <si>
    <t>Towards Demand Generation Campaign</t>
  </si>
  <si>
    <t>SB22223</t>
  </si>
  <si>
    <t>Towards Webinar Registrations</t>
  </si>
  <si>
    <t>SB22224</t>
  </si>
  <si>
    <t xml:space="preserve">SAP Come Alive </t>
  </si>
  <si>
    <t>SB22225</t>
  </si>
  <si>
    <t>Loreal Kios Setup</t>
  </si>
  <si>
    <t>Triangular Marketing Services</t>
  </si>
  <si>
    <t>SB22226</t>
  </si>
  <si>
    <t>Tvs Dealer Meet</t>
  </si>
  <si>
    <t>SB22227</t>
  </si>
  <si>
    <t>SAP Annual Day Hyderabad 2024</t>
  </si>
  <si>
    <t>Calliduscloud India Pvt Ltd</t>
  </si>
  <si>
    <t>SB22228</t>
  </si>
  <si>
    <t>CIO Association Family Day</t>
  </si>
  <si>
    <t>CIO Association</t>
  </si>
  <si>
    <t>SB22229</t>
  </si>
  <si>
    <t>amazon- tech event</t>
  </si>
  <si>
    <t>SB22230</t>
  </si>
  <si>
    <t>Cognizant Nationwide Client Visit </t>
  </si>
  <si>
    <t>SB22231</t>
  </si>
  <si>
    <t>GitHub India Icons</t>
  </si>
  <si>
    <t>SB22232</t>
  </si>
  <si>
    <t>Amazon TGIF</t>
  </si>
  <si>
    <t>Amazon Pay (India) Pvt Ltd</t>
  </si>
  <si>
    <t>SB22233</t>
  </si>
  <si>
    <t>Zomato Sustainability and Policy Conference</t>
  </si>
  <si>
    <t>Zomato Ltd</t>
  </si>
  <si>
    <t>SB22234</t>
  </si>
  <si>
    <t>Tata Giveaways</t>
  </si>
  <si>
    <t>TATA Business Excellence Group</t>
  </si>
  <si>
    <t>SB22235</t>
  </si>
  <si>
    <t>LK Big announcement,</t>
  </si>
  <si>
    <t>Sadhika Madaan</t>
  </si>
  <si>
    <t>SB22236</t>
  </si>
  <si>
    <t>Havmor AOP meet 2025</t>
  </si>
  <si>
    <t>Havmor Ice Cream Pvt Ltd</t>
  </si>
  <si>
    <t>SB22237</t>
  </si>
  <si>
    <t>Accenture Smart Mining &amp; Chemical Model</t>
  </si>
  <si>
    <t>SB22238</t>
  </si>
  <si>
    <t>SAP build day 2024</t>
  </si>
  <si>
    <t>SB22239</t>
  </si>
  <si>
    <t>Brookprpo IPC Brookfield</t>
  </si>
  <si>
    <t>Thirtha Patil</t>
  </si>
  <si>
    <t>SB22240</t>
  </si>
  <si>
    <t>Google App Dev event</t>
  </si>
  <si>
    <t>Maher Rustomji</t>
  </si>
  <si>
    <t>SB22241</t>
  </si>
  <si>
    <t>Siemens mobility Branding</t>
  </si>
  <si>
    <t>SB22242</t>
  </si>
  <si>
    <t>Executive Breifing Forum</t>
  </si>
  <si>
    <t>SB22243</t>
  </si>
  <si>
    <t>PhonePe BMM</t>
  </si>
  <si>
    <t>SB22244</t>
  </si>
  <si>
    <t>Star Health Press Meet 2024</t>
  </si>
  <si>
    <t>Brijesh Cl</t>
  </si>
  <si>
    <t>SB22245</t>
  </si>
  <si>
    <t>Havas Stall at TIE Global Summit.</t>
  </si>
  <si>
    <t>SB22246</t>
  </si>
  <si>
    <t>Vast Data India Tour, Grand Hyatt Mumbai</t>
  </si>
  <si>
    <t>Vast Data UK Ltd</t>
  </si>
  <si>
    <t>Kapoor Samarth</t>
  </si>
  <si>
    <t>SB22247</t>
  </si>
  <si>
    <t>Cognizant AKSO Visit Booth</t>
  </si>
  <si>
    <t>SB22248</t>
  </si>
  <si>
    <t>Ivalue Infosolutions Ltd</t>
  </si>
  <si>
    <t>Libreta D'mello</t>
  </si>
  <si>
    <t>SB22249</t>
  </si>
  <si>
    <t>Hero Nakshatra in Baku</t>
  </si>
  <si>
    <t>Tulika Ganguly</t>
  </si>
  <si>
    <t>SB22250</t>
  </si>
  <si>
    <t>Cognizant Leadership Summit Udaipur</t>
  </si>
  <si>
    <t>SB22251</t>
  </si>
  <si>
    <t>Dell Gift delivery for PTC Door Openers India</t>
  </si>
  <si>
    <t>SB22252</t>
  </si>
  <si>
    <t>HUL - Prabhat Turns 11 2024</t>
  </si>
  <si>
    <t>SB22253</t>
  </si>
  <si>
    <t>OnePlus Media Drive in Sri Lanka</t>
  </si>
  <si>
    <t>SB22254</t>
  </si>
  <si>
    <t>HPE Ignite in Athens, Greece</t>
  </si>
  <si>
    <t>SB22255</t>
  </si>
  <si>
    <t>cognizant AIA Event logistic</t>
  </si>
  <si>
    <t>SB22256</t>
  </si>
  <si>
    <t>Cognizant Musical evening - Hyderabad</t>
  </si>
  <si>
    <t>SB22257</t>
  </si>
  <si>
    <t>Adobe ABM activities</t>
  </si>
  <si>
    <t>SB22258</t>
  </si>
  <si>
    <t>Amazon SX-FCGT Meeting</t>
  </si>
  <si>
    <t>SB22259</t>
  </si>
  <si>
    <t>Cognizant FSI Strategy Meet </t>
  </si>
  <si>
    <t>SB22260</t>
  </si>
  <si>
    <t>Christmas Decor - Multiple Sites</t>
  </si>
  <si>
    <t>SB22261</t>
  </si>
  <si>
    <t>Cognizant Namma Mangaluru Beats</t>
  </si>
  <si>
    <t>SB22262</t>
  </si>
  <si>
    <t xml:space="preserve">DBS Bank - Future of Ops Festival </t>
  </si>
  <si>
    <t>SB22263</t>
  </si>
  <si>
    <t>Google YT Creator Collective Q1 &amp; Q2 2025</t>
  </si>
  <si>
    <t>SB22264</t>
  </si>
  <si>
    <t>Red Hat Summit Connect 2024</t>
  </si>
  <si>
    <t>Hitachi Systems India Pvt Ltd</t>
  </si>
  <si>
    <t>SB22265</t>
  </si>
  <si>
    <t>Nordisk EDM</t>
  </si>
  <si>
    <t>SB22266</t>
  </si>
  <si>
    <t>GitHub Tech after dark Marquis</t>
  </si>
  <si>
    <t>SB22267</t>
  </si>
  <si>
    <t xml:space="preserve">OnePlus Dealer Meet </t>
  </si>
  <si>
    <t>SB22268</t>
  </si>
  <si>
    <t>Hitachi Idea Cafe CIO events - Feb 2025</t>
  </si>
  <si>
    <t>SB22269</t>
  </si>
  <si>
    <t>Herbalife FIT FAMILIES FEST 2025</t>
  </si>
  <si>
    <t>Herbalife International India Pvt Ltd</t>
  </si>
  <si>
    <t>SB22270</t>
  </si>
  <si>
    <t>Brookfield Properties Powai Run At Powai</t>
  </si>
  <si>
    <t>SB22271</t>
  </si>
  <si>
    <t>NXP Stall at VLSID Conference At Bangalore</t>
  </si>
  <si>
    <t>SB22272</t>
  </si>
  <si>
    <t>BYD Auto Expo 2025 @ Pragti Maidan</t>
  </si>
  <si>
    <t>SB22273</t>
  </si>
  <si>
    <t>Towards India &amp; Saarc Partner Summit event Execution @ Mumbai</t>
  </si>
  <si>
    <t>Palo Alto Networks (India) Pvt Ltd</t>
  </si>
  <si>
    <t>SB22274</t>
  </si>
  <si>
    <t>Cognizant Permanent Setup @ Hyderabad</t>
  </si>
  <si>
    <t>SB22275</t>
  </si>
  <si>
    <t>Star Health - SS Launch @ Bangalore</t>
  </si>
  <si>
    <t>SB22276</t>
  </si>
  <si>
    <t>ITC Conquest Giveaway @ Bangalore</t>
  </si>
  <si>
    <t>ITC Ltd</t>
  </si>
  <si>
    <t>SB22277</t>
  </si>
  <si>
    <t>Adobe Elite Circle At Gurgaon</t>
  </si>
  <si>
    <t>SB22278</t>
  </si>
  <si>
    <t>Delta Elecrama 2025 at Noida</t>
  </si>
  <si>
    <t>Delta Electronics India Pvt Ltd</t>
  </si>
  <si>
    <t>SB22279</t>
  </si>
  <si>
    <t>OnePlus event &amp; SAP Giveaways at Delhi</t>
  </si>
  <si>
    <t>SB22280</t>
  </si>
  <si>
    <t>Cognizant Cultural Event @ Multicity</t>
  </si>
  <si>
    <t>SB22281</t>
  </si>
  <si>
    <t>Ki Mobility myTVS A@ Yashobhoomi</t>
  </si>
  <si>
    <t>SB22282</t>
  </si>
  <si>
    <t>Amazone  IESP</t>
  </si>
  <si>
    <t>SB22283</t>
  </si>
  <si>
    <t>TVS Supply Chain Solution - TS Rajam Award</t>
  </si>
  <si>
    <t>SB22284</t>
  </si>
  <si>
    <t xml:space="preserve">TVS Srichakra for Shiprocket </t>
  </si>
  <si>
    <t>SB22285</t>
  </si>
  <si>
    <t>Regency Ceramics Booth at Naredco Exhibition</t>
  </si>
  <si>
    <t>SB22286</t>
  </si>
  <si>
    <t>Siemens MO for T-shirt &amp; Acrylic badge</t>
  </si>
  <si>
    <t>SB22287</t>
  </si>
  <si>
    <t>Siemens_ Customer Visit - Inauguration At Airoli</t>
  </si>
  <si>
    <t>SB22288</t>
  </si>
  <si>
    <t>OnePlus Jam Night @ IIT Madras</t>
  </si>
  <si>
    <t>SB22289</t>
  </si>
  <si>
    <t>SAP ALM Summit 2025</t>
  </si>
  <si>
    <t>SB22290</t>
  </si>
  <si>
    <t>Redington Data Profiling</t>
  </si>
  <si>
    <t>SB22291</t>
  </si>
  <si>
    <t>Siemens Walkathon 2025</t>
  </si>
  <si>
    <t>SB22292</t>
  </si>
  <si>
    <t>Amazone Photographer Arrangemen</t>
  </si>
  <si>
    <t>SB22293</t>
  </si>
  <si>
    <t>Aisle Experience</t>
  </si>
  <si>
    <t>Aisle Network Pvt Ltd</t>
  </si>
  <si>
    <t>SB22294</t>
  </si>
  <si>
    <t>Cognizant Metal Badges</t>
  </si>
  <si>
    <t>SB22295</t>
  </si>
  <si>
    <t xml:space="preserve">Accenture  
CBRE Client visit 
</t>
  </si>
  <si>
    <t>SB22296</t>
  </si>
  <si>
    <t>Lakme Stall at Mithibai Fest</t>
  </si>
  <si>
    <t>SB22297</t>
  </si>
  <si>
    <t>YouTube Execs Meet up at Soho House Mumbai</t>
  </si>
  <si>
    <t>Ananya Mall</t>
  </si>
  <si>
    <t>SB22298</t>
  </si>
  <si>
    <t>LogiMAT India 2025</t>
  </si>
  <si>
    <t>Wagner Fire Safety India Pvt Ltd</t>
  </si>
  <si>
    <t>SB22299</t>
  </si>
  <si>
    <t>Cognizant Invesco Client Visit Badge</t>
  </si>
  <si>
    <t>SB22300</t>
  </si>
  <si>
    <t xml:space="preserve">Siemens Energy Townhall Event </t>
  </si>
  <si>
    <t>SB22301</t>
  </si>
  <si>
    <t>Redington NetApp Partner Roundtable</t>
  </si>
  <si>
    <t>SB22302</t>
  </si>
  <si>
    <t>Siemens SEIL : GST Registration</t>
  </si>
  <si>
    <t>SB22303</t>
  </si>
  <si>
    <t>Lenovo EBC Tour</t>
  </si>
  <si>
    <t>SB22304</t>
  </si>
  <si>
    <t xml:space="preserve">Siemens IMTEX 2025 </t>
  </si>
  <si>
    <t>SB22305</t>
  </si>
  <si>
    <t>Dell CSG Launch on 9th April in Andaz New Delhi</t>
  </si>
  <si>
    <t>SB22306</t>
  </si>
  <si>
    <t>Dell ISG Launch 13th to 19th March</t>
  </si>
  <si>
    <t>SB22307</t>
  </si>
  <si>
    <t>Vmware Tanzu Giveaways</t>
  </si>
  <si>
    <t>SB22308</t>
  </si>
  <si>
    <t>OnePlus Podium Delivery at 6 stores</t>
  </si>
  <si>
    <t>SB22309</t>
  </si>
  <si>
    <t>Ncpa Concert Delhi</t>
  </si>
  <si>
    <t>National Centre For The Performing Arts</t>
  </si>
  <si>
    <t>SB22310</t>
  </si>
  <si>
    <t>Cognizant Alkem Laboratories Client Visit</t>
  </si>
  <si>
    <t>SB22311</t>
  </si>
  <si>
    <t>Perno store promotion installation</t>
  </si>
  <si>
    <t>Pernod Ricard India Pvt Ltd</t>
  </si>
  <si>
    <t>SB22312</t>
  </si>
  <si>
    <t>Exclusive Lotus Showroom Launch</t>
  </si>
  <si>
    <t>Komal Vajpai</t>
  </si>
  <si>
    <t>SB22313</t>
  </si>
  <si>
    <t>Autodesk IMTEX 2025</t>
  </si>
  <si>
    <t>Autodesk India Pvt Ltd</t>
  </si>
  <si>
    <t>SB22314</t>
  </si>
  <si>
    <t>Siemens EA Awards 2025</t>
  </si>
  <si>
    <t>SB22315</t>
  </si>
  <si>
    <t>Adobe ALM Gifting in Feb 2025</t>
  </si>
  <si>
    <t>SB22316</t>
  </si>
  <si>
    <t>Infosys event &amp; Giveaways in Feb 2025</t>
  </si>
  <si>
    <t>Infosys Ltd</t>
  </si>
  <si>
    <t>SB22317</t>
  </si>
  <si>
    <t>VCF Experience Day</t>
  </si>
  <si>
    <t>CA (India)Technologies Pvt Ltd</t>
  </si>
  <si>
    <t>SB22318</t>
  </si>
  <si>
    <t>Dell WPC &amp; AI events in Feb 2025</t>
  </si>
  <si>
    <t>SB22319</t>
  </si>
  <si>
    <t>Dell WPC events in March 2025</t>
  </si>
  <si>
    <t>SB22320</t>
  </si>
  <si>
    <t>Dell AI &amp; Innovation Forum events</t>
  </si>
  <si>
    <t>SB22321</t>
  </si>
  <si>
    <t>Q4 Webinar Registration</t>
  </si>
  <si>
    <t>SB22322</t>
  </si>
  <si>
    <t>HPE Team Event – FY25 Planning</t>
  </si>
  <si>
    <t>SB22323</t>
  </si>
  <si>
    <t xml:space="preserve">Tele Lead Gen Campaign - Dragonfly accounts </t>
  </si>
  <si>
    <t>SB22324</t>
  </si>
  <si>
    <t>Hul Board Meeting 2025</t>
  </si>
  <si>
    <t>SB22325</t>
  </si>
  <si>
    <t>Infosys legal service delivery sessions</t>
  </si>
  <si>
    <t>ServiceNow Software Development India Pvt Ltd</t>
  </si>
  <si>
    <t>SB22326</t>
  </si>
  <si>
    <t>Red Hat Tech Talks Series</t>
  </si>
  <si>
    <t>SB22327</t>
  </si>
  <si>
    <t>Siemens Healthineers DC</t>
  </si>
  <si>
    <t>SB22328</t>
  </si>
  <si>
    <t>Next Leap CHRO event</t>
  </si>
  <si>
    <t>Next Leap Career Solutions Pvt Ltd</t>
  </si>
  <si>
    <t>SB22329</t>
  </si>
  <si>
    <t>Sleepwell's Founders Day</t>
  </si>
  <si>
    <t>Sheela Foam Ltd</t>
  </si>
  <si>
    <t>Vedika Kakarania</t>
  </si>
  <si>
    <t>SB22330</t>
  </si>
  <si>
    <t>OnePlus Snapshot masterclass</t>
  </si>
  <si>
    <t>SB22331</t>
  </si>
  <si>
    <t>Intel F2F Leadership meet 2025</t>
  </si>
  <si>
    <t>Intel Solutions &amp; Services India Pvt Ltd</t>
  </si>
  <si>
    <t>Justin Francis</t>
  </si>
  <si>
    <t>SB22332</t>
  </si>
  <si>
    <t>Singapore GIC 15th Anniversary Celebration</t>
  </si>
  <si>
    <t>Singapore Investcorp India Pvt Ltd</t>
  </si>
  <si>
    <t>SB22333</t>
  </si>
  <si>
    <t>DBS Podcast with Taimur Event</t>
  </si>
  <si>
    <t>SB22334</t>
  </si>
  <si>
    <t>HUL - Taj Tea Stall</t>
  </si>
  <si>
    <t>SB22335</t>
  </si>
  <si>
    <t>Brookfields Waterstones</t>
  </si>
  <si>
    <t>Kausik Bose</t>
  </si>
  <si>
    <t>SB22336</t>
  </si>
  <si>
    <t>Madras Music Academy</t>
  </si>
  <si>
    <t>SB22337</t>
  </si>
  <si>
    <t>Glaxo Farewell Video for Raj</t>
  </si>
  <si>
    <t>SB22338</t>
  </si>
  <si>
    <t>SAP Invent 3.0</t>
  </si>
  <si>
    <t>SB22339</t>
  </si>
  <si>
    <t>Accenture Legal Learning Lab</t>
  </si>
  <si>
    <t>SB22340</t>
  </si>
  <si>
    <t>KORA food Street Display Activity</t>
  </si>
  <si>
    <t>Eicher Motors Ltd</t>
  </si>
  <si>
    <t>SB22341</t>
  </si>
  <si>
    <t>Modiway Launch event</t>
  </si>
  <si>
    <t>Modicare Ltd</t>
  </si>
  <si>
    <t>SB22342</t>
  </si>
  <si>
    <t>Accenture Can Do Awards</t>
  </si>
  <si>
    <t>SB22343</t>
  </si>
  <si>
    <t>OnePlus Pop-up</t>
  </si>
  <si>
    <t>SB22344</t>
  </si>
  <si>
    <t xml:space="preserve">GitHub Galaxy 2025 </t>
  </si>
  <si>
    <t>SB22345</t>
  </si>
  <si>
    <t>IHCL STAR Awards 2024</t>
  </si>
  <si>
    <t>The Indian Hotels Company Ltd</t>
  </si>
  <si>
    <t>SB22346</t>
  </si>
  <si>
    <t>Platinum Sponsor for BTOPEX India</t>
  </si>
  <si>
    <t>Honey Lalwani</t>
  </si>
  <si>
    <t>SB22347</t>
  </si>
  <si>
    <t xml:space="preserve">Orica Kshitej </t>
  </si>
  <si>
    <t>Indian Explosives Pvt Ltd</t>
  </si>
  <si>
    <t>SB22348</t>
  </si>
  <si>
    <t>Accenture Manufacturing Futurecast</t>
  </si>
  <si>
    <t>SB22349</t>
  </si>
  <si>
    <t>Tata Advanced Systems - Memento Order</t>
  </si>
  <si>
    <t>Tata Advanced Systems Ltd</t>
  </si>
  <si>
    <t>SB22350</t>
  </si>
  <si>
    <t>HUL - Novology Booth at Dermacon 2025</t>
  </si>
  <si>
    <t>SB22351</t>
  </si>
  <si>
    <t>HUL - Growth Leaders Forum</t>
  </si>
  <si>
    <t>SB22352</t>
  </si>
  <si>
    <t>DBS Piyush Gupta Farewell</t>
  </si>
  <si>
    <t>SB22353</t>
  </si>
  <si>
    <t>HUL Kissan Meeting 2025</t>
  </si>
  <si>
    <t>SB22354</t>
  </si>
  <si>
    <t>HUL PC Summit</t>
  </si>
  <si>
    <t>SB22355</t>
  </si>
  <si>
    <t>Siemens Mobility Meet 2025</t>
  </si>
  <si>
    <t>SB22356</t>
  </si>
  <si>
    <t>RNTBCi Innovfest 25</t>
  </si>
  <si>
    <t>SB22357</t>
  </si>
  <si>
    <t>KNMA Legacy Series</t>
  </si>
  <si>
    <t>Kiran Nadar Museum of Art</t>
  </si>
  <si>
    <t>SB22358</t>
  </si>
  <si>
    <t>HPE Wipro partner day</t>
  </si>
  <si>
    <t>SB22359</t>
  </si>
  <si>
    <t>Amazon Brand Film Amplification Plan</t>
  </si>
  <si>
    <t>SB22360</t>
  </si>
  <si>
    <t xml:space="preserve">Citi Bank giveaways </t>
  </si>
  <si>
    <t>Anita Singh</t>
  </si>
  <si>
    <t>SB22361</t>
  </si>
  <si>
    <t> IKEA - Feb &amp; Mar Activity from 7th Feb to 30th March 2025,</t>
  </si>
  <si>
    <t>SB22362</t>
  </si>
  <si>
    <t>Amazon SPS Fire Side Chat</t>
  </si>
  <si>
    <t>SB22363</t>
  </si>
  <si>
    <t>BIAL V day installations</t>
  </si>
  <si>
    <t>SB22364</t>
  </si>
  <si>
    <t>Microsoft townhall @ MS Office Gurgaon</t>
  </si>
  <si>
    <t>SB22365</t>
  </si>
  <si>
    <t>Siemens CS Global Workshop</t>
  </si>
  <si>
    <t>SB22366</t>
  </si>
  <si>
    <t>NatWest Ruchika Panesar Town Hall Meet</t>
  </si>
  <si>
    <t>SB22367</t>
  </si>
  <si>
    <t>Hitachi Yes Bank Tech Workshop Nashik</t>
  </si>
  <si>
    <t>SB22368</t>
  </si>
  <si>
    <t>Hul R&amp;D Mumbai </t>
  </si>
  <si>
    <t>SB22369</t>
  </si>
  <si>
    <t>Siemens Energy Office branding</t>
  </si>
  <si>
    <t>SB22370</t>
  </si>
  <si>
    <t>Accenture  Navigating caregiving – Diverse journeys &amp; expert perspective</t>
  </si>
  <si>
    <t>SB22371</t>
  </si>
  <si>
    <t>Cognizant CMD Town Hall Meet 2025</t>
  </si>
  <si>
    <t>SB22372</t>
  </si>
  <si>
    <t>Itc Learnify Booth</t>
  </si>
  <si>
    <t>SB22373</t>
  </si>
  <si>
    <t>Audi RSQ8 Launch event</t>
  </si>
  <si>
    <t>Skoda Auto Volkswagen India Pvt Ltd</t>
  </si>
  <si>
    <t>SB22374</t>
  </si>
  <si>
    <t>Intel Laptop storage space</t>
  </si>
  <si>
    <t>SB22375</t>
  </si>
  <si>
    <t xml:space="preserve">Siemens locomotive model </t>
  </si>
  <si>
    <t>SB22376</t>
  </si>
  <si>
    <t>Ascension Health Client Visit</t>
  </si>
  <si>
    <t>SB22377</t>
  </si>
  <si>
    <t>INGKA - Hej Day</t>
  </si>
  <si>
    <t>SB22378</t>
  </si>
  <si>
    <t>Ola Roadster Launch</t>
  </si>
  <si>
    <t>Ola Electric Mobility Ltd</t>
  </si>
  <si>
    <t>SB22379</t>
  </si>
  <si>
    <t>TATA Ethics &amp; Affirmative Action Summit 2025</t>
  </si>
  <si>
    <t>SB22380</t>
  </si>
  <si>
    <t>Aisle Valentines Day</t>
  </si>
  <si>
    <t>SB22381</t>
  </si>
  <si>
    <t>Amway Star Awards</t>
  </si>
  <si>
    <t>SB22382</t>
  </si>
  <si>
    <t xml:space="preserve">TATA Legal Meet </t>
  </si>
  <si>
    <t>SB22383</t>
  </si>
  <si>
    <t>Hul Pukka event</t>
  </si>
  <si>
    <t>SB22384</t>
  </si>
  <si>
    <t>NTT Data - Transformation NOW</t>
  </si>
  <si>
    <t>Ntt Data Business Solutions Pvt Ltd</t>
  </si>
  <si>
    <t>SB22385</t>
  </si>
  <si>
    <t xml:space="preserve">GitHub Wipro Connect </t>
  </si>
  <si>
    <t>Kanupriya Aggarwal</t>
  </si>
  <si>
    <t>SB22386</t>
  </si>
  <si>
    <t>HUL West Branch Connect 2025</t>
  </si>
  <si>
    <t>SB22387</t>
  </si>
  <si>
    <t xml:space="preserve">Hul CD conference 2025 </t>
  </si>
  <si>
    <t>SB22388</t>
  </si>
  <si>
    <t>Siemens SSP Launch </t>
  </si>
  <si>
    <t>SB22389</t>
  </si>
  <si>
    <t>Cognizant Crescendo</t>
  </si>
  <si>
    <t>SB22390</t>
  </si>
  <si>
    <t>Captain fresh IPO kick-off event</t>
  </si>
  <si>
    <t>Infifresh Foods Pvt Ltd</t>
  </si>
  <si>
    <t>SB22391</t>
  </si>
  <si>
    <t>Siemens - SRE Event</t>
  </si>
  <si>
    <t>SB22392</t>
  </si>
  <si>
    <t>Lightspeed - Lift Off 2025</t>
  </si>
  <si>
    <t>SB22393</t>
  </si>
  <si>
    <t>Siemens GBS Townhall Event</t>
  </si>
  <si>
    <t>SB22394</t>
  </si>
  <si>
    <t>Siemens Veronika Townhall  2025</t>
  </si>
  <si>
    <t>SB22395</t>
  </si>
  <si>
    <t>Hul Cornetto Stall at Zomaland</t>
  </si>
  <si>
    <t>SB22396</t>
  </si>
  <si>
    <t>Dell CSG Launch event</t>
  </si>
  <si>
    <t>SB22397</t>
  </si>
  <si>
    <t>Intel Cab and Bus for GPTW</t>
  </si>
  <si>
    <t>SB22398</t>
  </si>
  <si>
    <t>HUL - B&amp;W Walkthrough</t>
  </si>
  <si>
    <t>SB22399</t>
  </si>
  <si>
    <t>Autodesk Design &amp; Manufacturing Summit 2025</t>
  </si>
  <si>
    <t>SB22400</t>
  </si>
  <si>
    <t>RHEL + Ansible Workshop</t>
  </si>
  <si>
    <t>SB22401</t>
  </si>
  <si>
    <t>Elecrama ieema, WUS Dinner,</t>
  </si>
  <si>
    <t>Indian Electrical &amp; Electronics</t>
  </si>
  <si>
    <t>SB22402</t>
  </si>
  <si>
    <t xml:space="preserve">Accenture Duke Energy Client Visit Pune </t>
  </si>
  <si>
    <t>SB22403</t>
  </si>
  <si>
    <t>Amazone Stamp Purchase</t>
  </si>
  <si>
    <t>Not Awarded</t>
  </si>
  <si>
    <t>SB22404</t>
  </si>
  <si>
    <t>GitHub Connect in Chennai</t>
  </si>
  <si>
    <t>SB22405</t>
  </si>
  <si>
    <t>Amway Diamond Forum</t>
  </si>
  <si>
    <t>SB22406</t>
  </si>
  <si>
    <t>siemens Advanta Rainer</t>
  </si>
  <si>
    <t>SB22407</t>
  </si>
  <si>
    <t>Tvs Sub Dealer Meet</t>
  </si>
  <si>
    <t>SB22408</t>
  </si>
  <si>
    <t>Cognizant Acrylic Name Badge</t>
  </si>
  <si>
    <t>SB22409</t>
  </si>
  <si>
    <t>Towards Workshop - Bangalore &amp; Mumbai</t>
  </si>
  <si>
    <t>Skyflow Labs India Pvt Ltd</t>
  </si>
  <si>
    <t>SB22410</t>
  </si>
  <si>
    <t>CNBC x HUL - Lime Season</t>
  </si>
  <si>
    <t>SB22411</t>
  </si>
  <si>
    <t>Amazon Insurgents &amp; EBE - Summit</t>
  </si>
  <si>
    <t>Arun Kumar M</t>
  </si>
  <si>
    <t>SB22412</t>
  </si>
  <si>
    <t>Amazon EBE Summit</t>
  </si>
  <si>
    <t>SB22413</t>
  </si>
  <si>
    <t>HUL advantage Assam 2.0</t>
  </si>
  <si>
    <t>SB22414</t>
  </si>
  <si>
    <t>Adobe MakeIT</t>
  </si>
  <si>
    <t>SB22415</t>
  </si>
  <si>
    <t>Adfactors Celebrating the Success of Initial Public Offer</t>
  </si>
  <si>
    <t>Adfactors Advertising LLP</t>
  </si>
  <si>
    <t>SB22416</t>
  </si>
  <si>
    <t>DBS Bank IBG Townhall 2025</t>
  </si>
  <si>
    <t>SB22417</t>
  </si>
  <si>
    <t xml:space="preserve">Brookprpo ESG REPORT LAUNCH </t>
  </si>
  <si>
    <t>SB22418</t>
  </si>
  <si>
    <t>Towards Graph Summit</t>
  </si>
  <si>
    <t>SB22419</t>
  </si>
  <si>
    <t> TVS Srichakra _Eurogrip Petrol Pump Activity &amp; IT Park Activity</t>
  </si>
  <si>
    <t>SB22420</t>
  </si>
  <si>
    <t>BIT Mesra 70 Years Platinum Jubilee Celebration</t>
  </si>
  <si>
    <t>Birla Institute Of Technology</t>
  </si>
  <si>
    <t>Puja Myne</t>
  </si>
  <si>
    <t>SB22421</t>
  </si>
  <si>
    <t>Accenture Moview Tickets</t>
  </si>
  <si>
    <t>SB22422</t>
  </si>
  <si>
    <t>Jubilant Investor Meet 2025</t>
  </si>
  <si>
    <t>Jubilant Foodworks Ltd</t>
  </si>
  <si>
    <t>SB22423</t>
  </si>
  <si>
    <t>HUL - Liquid IV Recovery Party</t>
  </si>
  <si>
    <t>SB22424</t>
  </si>
  <si>
    <t>Cognizant Impact Awards 2025</t>
  </si>
  <si>
    <t>SB22425</t>
  </si>
  <si>
    <t>Cognizant Hartford - Noida Facility</t>
  </si>
  <si>
    <t>SB22426</t>
  </si>
  <si>
    <t>Cognizant Townhall Setup</t>
  </si>
  <si>
    <t>SB22427</t>
  </si>
  <si>
    <t>Cognizant Suncorp Visit Pune</t>
  </si>
  <si>
    <t>SB22428</t>
  </si>
  <si>
    <t>SAP Industry Summit at Westin, Powai</t>
  </si>
  <si>
    <t>SB22429</t>
  </si>
  <si>
    <t>Intel 
Premium standee print</t>
  </si>
  <si>
    <t>SB22430</t>
  </si>
  <si>
    <t>Cellvest Launch </t>
  </si>
  <si>
    <t>Cellvest Energy Pvt Ltd</t>
  </si>
  <si>
    <t>SB22431</t>
  </si>
  <si>
    <t>Intel AIPC Workshop at ECO Training</t>
  </si>
  <si>
    <t>SB22432</t>
  </si>
  <si>
    <t>NCPA CONCERT</t>
  </si>
  <si>
    <t>SB22433</t>
  </si>
  <si>
    <t>SOFTCELL Netapp Event</t>
  </si>
  <si>
    <t>Softcell Technologies Global Pvt Ltd</t>
  </si>
  <si>
    <t>SB22434</t>
  </si>
  <si>
    <t>Amazon - LAT</t>
  </si>
  <si>
    <t>SB22435</t>
  </si>
  <si>
    <t>Tvs Shiprocket</t>
  </si>
  <si>
    <t>SB22436</t>
  </si>
  <si>
    <t>Adobe India Leadership Connect</t>
  </si>
  <si>
    <t>SB22437</t>
  </si>
  <si>
    <t>Aptra India Conference 2025</t>
  </si>
  <si>
    <t>Asia Pacific Travel Retail Association</t>
  </si>
  <si>
    <t>SB22438</t>
  </si>
  <si>
    <t>Netapp V5 Techsol Customer Event</t>
  </si>
  <si>
    <t>V5 TechSol India LLP</t>
  </si>
  <si>
    <t>SB22439</t>
  </si>
  <si>
    <t>Red Hat Q1 Tech Webinar Series</t>
  </si>
  <si>
    <t>SB22440</t>
  </si>
  <si>
    <t>Star India Kannada Screening</t>
  </si>
  <si>
    <t>Amir Ahmed</t>
  </si>
  <si>
    <t>Sagar Chandnani</t>
  </si>
  <si>
    <t>SB22441</t>
  </si>
  <si>
    <t>SAP Booth at NTLF 2025</t>
  </si>
  <si>
    <t>SB22442</t>
  </si>
  <si>
    <t>IKEA - RAI Stall</t>
  </si>
  <si>
    <t>SB22443</t>
  </si>
  <si>
    <t>THOUGHTWORKS BOOTH at the NASSCOM event</t>
  </si>
  <si>
    <t>SB22444</t>
  </si>
  <si>
    <t>CIO Netskope_CIOKlub event</t>
  </si>
  <si>
    <t>SB22445</t>
  </si>
  <si>
    <t>Tvs RRC &amp; MMC SOUTH</t>
  </si>
  <si>
    <t>SB22446</t>
  </si>
  <si>
    <t>Cognizant MACY'S Client Visit</t>
  </si>
  <si>
    <t>SB22447</t>
  </si>
  <si>
    <t>Neo4J Swags with arrangements</t>
  </si>
  <si>
    <t>SB22448</t>
  </si>
  <si>
    <t>Adobe Make it</t>
  </si>
  <si>
    <t>SB22449</t>
  </si>
  <si>
    <t xml:space="preserve">Siemens Digital Kiosk </t>
  </si>
  <si>
    <t>SB22450</t>
  </si>
  <si>
    <t>SAP Build Day</t>
  </si>
  <si>
    <t>Mahesh D</t>
  </si>
  <si>
    <t>SB22451</t>
  </si>
  <si>
    <t>Phonepe Converge</t>
  </si>
  <si>
    <t>SB22452</t>
  </si>
  <si>
    <t>INPG Pinnacle R&amp;R</t>
  </si>
  <si>
    <t>SB22453</t>
  </si>
  <si>
    <t>Indoor Showroom Inauguration</t>
  </si>
  <si>
    <t>SB22454</t>
  </si>
  <si>
    <t>Amazon - LML</t>
  </si>
  <si>
    <t>SB22455</t>
  </si>
  <si>
    <t>Vivo IQOO 10R Launch</t>
  </si>
  <si>
    <t>SB22456</t>
  </si>
  <si>
    <t>DBS Bank - DBS Technology Roadshow</t>
  </si>
  <si>
    <t>SB22457</t>
  </si>
  <si>
    <t>Cognizant Gurgaon Client Visit</t>
  </si>
  <si>
    <t>SB22458</t>
  </si>
  <si>
    <t>DBS CEO Give Away</t>
  </si>
  <si>
    <t>SB22459</t>
  </si>
  <si>
    <t>BCG Connect Day</t>
  </si>
  <si>
    <t>The Boston Consulting Group (India) Pvt Ltd</t>
  </si>
  <si>
    <t>nikhil Sharma</t>
  </si>
  <si>
    <t>SB22460</t>
  </si>
  <si>
    <t>HMI Townhall Event 2025</t>
  </si>
  <si>
    <t>SB22461</t>
  </si>
  <si>
    <t>Holi 2025 : Pan India Celebration</t>
  </si>
  <si>
    <t>SB22462</t>
  </si>
  <si>
    <t>Siemens DEI Tree Making</t>
  </si>
  <si>
    <t>SB22463</t>
  </si>
  <si>
    <t>Cognizant NLG Client Visit</t>
  </si>
  <si>
    <t>SB22464</t>
  </si>
  <si>
    <t xml:space="preserve">Natwest Nicola Town Hall Meet </t>
  </si>
  <si>
    <t>SB22465</t>
  </si>
  <si>
    <t xml:space="preserve">HUL CEO Review </t>
  </si>
  <si>
    <t>SB22466</t>
  </si>
  <si>
    <t>Shella Kurlon Business Meet</t>
  </si>
  <si>
    <t>SB22467</t>
  </si>
  <si>
    <t>Cognizant EDJ Client visit.</t>
  </si>
  <si>
    <t>SB22468</t>
  </si>
  <si>
    <t>Cognizant Nation Wide.</t>
  </si>
  <si>
    <t>SB22469</t>
  </si>
  <si>
    <t>Cognizant RBC Client Visit 2025</t>
  </si>
  <si>
    <t>SB22470</t>
  </si>
  <si>
    <t>Novo Nordisk Townhall</t>
  </si>
  <si>
    <t>Novo Nordisk India Pvt Ltd</t>
  </si>
  <si>
    <t>SB22471</t>
  </si>
  <si>
    <t>BIAL Partner Connect 6.0</t>
  </si>
  <si>
    <t>SB22472</t>
  </si>
  <si>
    <t>Wella Trendvision</t>
  </si>
  <si>
    <t>Wella India Pvt Ltd</t>
  </si>
  <si>
    <t>SB22473</t>
  </si>
  <si>
    <t>Embassy of Ireland on 17th March 2025</t>
  </si>
  <si>
    <t>Embassy of Ireland</t>
  </si>
  <si>
    <t>SB22474</t>
  </si>
  <si>
    <t xml:space="preserve">HPCL Women's Day celebration </t>
  </si>
  <si>
    <t>Hindustan Petroleum Corporation Ltd</t>
  </si>
  <si>
    <t>SB22475</t>
  </si>
  <si>
    <t>Hero International Women's Day</t>
  </si>
  <si>
    <t>SB22476</t>
  </si>
  <si>
    <t>Ducati Panigale V4 Launch</t>
  </si>
  <si>
    <t>Ducati India Pvt Ltd</t>
  </si>
  <si>
    <t>SB22477</t>
  </si>
  <si>
    <t>Google YT Shopping X Tech</t>
  </si>
  <si>
    <t>SB22478</t>
  </si>
  <si>
    <t>Signify Plaque and Certificates</t>
  </si>
  <si>
    <t>Signify Innovations India Ltd</t>
  </si>
  <si>
    <t>SB22479</t>
  </si>
  <si>
    <t>Brookfield IPC Event,</t>
  </si>
  <si>
    <t>Sneha Roy</t>
  </si>
  <si>
    <t>SB22480</t>
  </si>
  <si>
    <t>DBS Piyush Gupta Farewell Photographer</t>
  </si>
  <si>
    <t>SB22481</t>
  </si>
  <si>
    <t>Eicher Womens Day activation</t>
  </si>
  <si>
    <t>SB22482</t>
  </si>
  <si>
    <t>Eurogrip RRC Activity FEB 2025</t>
  </si>
  <si>
    <t>SB22483</t>
  </si>
  <si>
    <t>Hero Xoom Media Drive</t>
  </si>
  <si>
    <t>SB22484</t>
  </si>
  <si>
    <t>DBS T&amp;O Townhall</t>
  </si>
  <si>
    <t>SB22485</t>
  </si>
  <si>
    <t>Jamf CIO Summit event</t>
  </si>
  <si>
    <t>Jamf India Pvt Ltd</t>
  </si>
  <si>
    <t>SB22486</t>
  </si>
  <si>
    <t>Siemens Townhall</t>
  </si>
  <si>
    <t>SB22487</t>
  </si>
  <si>
    <t>Amazon Holi Event</t>
  </si>
  <si>
    <t>SB22488</t>
  </si>
  <si>
    <t>NetApp_CrossGen_RIL_Kochi_eventCustomer Event</t>
  </si>
  <si>
    <t>SB22489</t>
  </si>
  <si>
    <t>Amazon OTS Townhall Meeting.</t>
  </si>
  <si>
    <t>Bhuvana D</t>
  </si>
  <si>
    <t>SB22490</t>
  </si>
  <si>
    <t>DBS Sun board Printings</t>
  </si>
  <si>
    <t>SB22491</t>
  </si>
  <si>
    <t>Hul  Magnum x LFW</t>
  </si>
  <si>
    <t>SB22492</t>
  </si>
  <si>
    <t>DBS Badminton Players  Meet &amp; Greet</t>
  </si>
  <si>
    <t>SB22493</t>
  </si>
  <si>
    <t>DBS Virtual Photobooth</t>
  </si>
  <si>
    <t>SB22494</t>
  </si>
  <si>
    <t xml:space="preserve">Siemens GBS Townhall </t>
  </si>
  <si>
    <t>SB22495</t>
  </si>
  <si>
    <t>HUL SC Conference 2025</t>
  </si>
  <si>
    <t>SB22496</t>
  </si>
  <si>
    <t>HUL MacBook Purchas</t>
  </si>
  <si>
    <t>SB22497</t>
  </si>
  <si>
    <t>Hul JBP Meet 2025</t>
  </si>
  <si>
    <t>SB22498</t>
  </si>
  <si>
    <t>OnePlus SFS pop-up</t>
  </si>
  <si>
    <t>SB22499</t>
  </si>
  <si>
    <t>OnePlus Jamnight @ IIT DTU</t>
  </si>
  <si>
    <t>SB22500</t>
  </si>
  <si>
    <t>Tata Motors Stealth Mall Activation</t>
  </si>
  <si>
    <t>Tata Motors Ltd</t>
  </si>
  <si>
    <t>SB22501</t>
  </si>
  <si>
    <t>Siemens MO Townhall</t>
  </si>
  <si>
    <t>SB22502</t>
  </si>
  <si>
    <t xml:space="preserve">Siemens Elevate at Siemens Office </t>
  </si>
  <si>
    <t>SB22503</t>
  </si>
  <si>
    <t>HUL North Branch Meet 2025</t>
  </si>
  <si>
    <t>SB22504</t>
  </si>
  <si>
    <t xml:space="preserve">Amazon - AA Leadership Connect </t>
  </si>
  <si>
    <t>SB22505</t>
  </si>
  <si>
    <t>Jio with arrangements</t>
  </si>
  <si>
    <t>SB22506</t>
  </si>
  <si>
    <t>DBS India Townhall Q1 2025</t>
  </si>
  <si>
    <t>SB22507</t>
  </si>
  <si>
    <t>Intel Premium standee delivered</t>
  </si>
  <si>
    <t>SB22508</t>
  </si>
  <si>
    <t>Intel AIPC Workshop</t>
  </si>
  <si>
    <t>SB22509</t>
  </si>
  <si>
    <t>Aircraft launch</t>
  </si>
  <si>
    <t>Air India Express Ltd</t>
  </si>
  <si>
    <t>SB22510</t>
  </si>
  <si>
    <t>SB22511</t>
  </si>
  <si>
    <t>Accenture  Interns Welcome Networking Dinner</t>
  </si>
  <si>
    <t>SB22512</t>
  </si>
  <si>
    <t>Nvidia 2025</t>
  </si>
  <si>
    <t>SB22513</t>
  </si>
  <si>
    <t>VCF Experience Days and VMUG</t>
  </si>
  <si>
    <t>SB22514</t>
  </si>
  <si>
    <t>Accenture RSA Super Star Awards</t>
  </si>
  <si>
    <t>SB22515</t>
  </si>
  <si>
    <t>Acrylic Name Badge Pune Visit</t>
  </si>
  <si>
    <t>SB22516</t>
  </si>
  <si>
    <t>Accenture IHG Client Visit</t>
  </si>
  <si>
    <t>SB22517</t>
  </si>
  <si>
    <t>Hitachi CIO Klub Chennai chapter event</t>
  </si>
  <si>
    <t>SB22518</t>
  </si>
  <si>
    <t>TATA debossed diaries &amp; pens</t>
  </si>
  <si>
    <t>SB22519</t>
  </si>
  <si>
    <t>TATA debossed Logo Installation</t>
  </si>
  <si>
    <t>SB22520</t>
  </si>
  <si>
    <t>Towards Workshop - Delhi</t>
  </si>
  <si>
    <t>SB22521</t>
  </si>
  <si>
    <t>Hul Indulekha - Good Hair Day</t>
  </si>
  <si>
    <t>Krisha Chheda</t>
  </si>
  <si>
    <t>SB22522</t>
  </si>
  <si>
    <t>Maruti Flatbed Requirement</t>
  </si>
  <si>
    <t>Maruti Suzuki India Ltd</t>
  </si>
  <si>
    <t>SB22523</t>
  </si>
  <si>
    <t>RNTBCI Cohort 2 Start Up Pitch awards</t>
  </si>
  <si>
    <t>SB22524</t>
  </si>
  <si>
    <t xml:space="preserve">Amazon - eCF Leadership 2025 </t>
  </si>
  <si>
    <t>SB22525</t>
  </si>
  <si>
    <t>GlaxoSmithKline Certificates &amp; Trophies</t>
  </si>
  <si>
    <t>SB22526</t>
  </si>
  <si>
    <t>Accenture International Women's Day 2025</t>
  </si>
  <si>
    <t>SB22527</t>
  </si>
  <si>
    <t>GitHub connect - Razorpay in Bangalore</t>
  </si>
  <si>
    <t>SB22528</t>
  </si>
  <si>
    <t>Microsoft townhall</t>
  </si>
  <si>
    <t>SB22529</t>
  </si>
  <si>
    <t>Cognizant Allianz Client Visit </t>
  </si>
  <si>
    <t>SB22530</t>
  </si>
  <si>
    <t xml:space="preserve">Photographer requirement for Sonata Software - Meet </t>
  </si>
  <si>
    <t>Sonata Software LTD</t>
  </si>
  <si>
    <t>SB22531</t>
  </si>
  <si>
    <t>TVS VEHICLE MOBILITY Sign Board</t>
  </si>
  <si>
    <t>Tvs Vehicle Mobility Solution Pvt Ltd</t>
  </si>
  <si>
    <t>SB22532</t>
  </si>
  <si>
    <t>Natwest Logistics Town Hall Meet </t>
  </si>
  <si>
    <t>SB22533</t>
  </si>
  <si>
    <t>Amazon trifold Posters</t>
  </si>
  <si>
    <t>SB22534</t>
  </si>
  <si>
    <t>Cognizant US Bank Client Visit</t>
  </si>
  <si>
    <t>SB22535</t>
  </si>
  <si>
    <t>SB22536</t>
  </si>
  <si>
    <t>Citi Bank - Photographer</t>
  </si>
  <si>
    <t>SB22537</t>
  </si>
  <si>
    <t> Siemens Dahod Ministry Visit</t>
  </si>
  <si>
    <t>SB22538</t>
  </si>
  <si>
    <t>Mahindra GSO Offsite Decor</t>
  </si>
  <si>
    <t>SB22539</t>
  </si>
  <si>
    <t>Amway Doug DeVos India Leadership Summit</t>
  </si>
  <si>
    <t>SB22540</t>
  </si>
  <si>
    <t>SAP NOW 2025</t>
  </si>
  <si>
    <t>SB22541</t>
  </si>
  <si>
    <t>Networking Event @ IPL Chinnaswamy Stadium</t>
  </si>
  <si>
    <t>SB22542</t>
  </si>
  <si>
    <t>Confluent Booklet Printing</t>
  </si>
  <si>
    <t>Confluent India Pvt Ltd</t>
  </si>
  <si>
    <t>SB22543</t>
  </si>
  <si>
    <t>BROOKFIELD POWAI - CUSTOMER EXPERIENCE JOURNEY</t>
  </si>
  <si>
    <t>SB22544</t>
  </si>
  <si>
    <t>Intel GPTW activities</t>
  </si>
  <si>
    <t>SB22545</t>
  </si>
  <si>
    <t>Hitachi SKO 25</t>
  </si>
  <si>
    <t>SB22546</t>
  </si>
  <si>
    <t>Cognizant Computershare Client Visit</t>
  </si>
  <si>
    <t>SB22547</t>
  </si>
  <si>
    <t>Amazon Booth - Soul Sante</t>
  </si>
  <si>
    <t>SB22548</t>
  </si>
  <si>
    <t>LSIP - Pickleball Tournament</t>
  </si>
  <si>
    <t>SB22549</t>
  </si>
  <si>
    <t>Siemens CEO Townhall Event</t>
  </si>
  <si>
    <t>SB22550</t>
  </si>
  <si>
    <t>Metro Cash &amp; Carry - Annual Meet</t>
  </si>
  <si>
    <t>Metro Cash &amp; Carry India Pvt Ltd</t>
  </si>
  <si>
    <t>SB22551</t>
  </si>
  <si>
    <t>OnePlus pop-up</t>
  </si>
  <si>
    <t>SB22552</t>
  </si>
  <si>
    <t>Hul  Grat Fest 2025</t>
  </si>
  <si>
    <t>SB22553</t>
  </si>
  <si>
    <t>Siemens SRE Townhall</t>
  </si>
  <si>
    <t>SB22554</t>
  </si>
  <si>
    <t>GOC - Backdrop Installation</t>
  </si>
  <si>
    <t>SB22555</t>
  </si>
  <si>
    <t>Amazon AFBP Graduation Ceremony</t>
  </si>
  <si>
    <t>SB22556</t>
  </si>
  <si>
    <t>Amazon Smart Wallet Launch</t>
  </si>
  <si>
    <t>SB22557</t>
  </si>
  <si>
    <t>OnePlus Jam Night in Delhi</t>
  </si>
  <si>
    <t>SB22558</t>
  </si>
  <si>
    <t>SB22559</t>
  </si>
  <si>
    <t xml:space="preserve">HPE Cloud Connect </t>
  </si>
  <si>
    <t>SB22560</t>
  </si>
  <si>
    <t>HPE Aruba Networking Day</t>
  </si>
  <si>
    <t>SB22561</t>
  </si>
  <si>
    <t>Dell - Indian Express events in May - 21, 22, 28 &amp; 30th May</t>
  </si>
  <si>
    <t>SB22562</t>
  </si>
  <si>
    <t>Dell - Indian Express events in June - 4, 12 &amp; 18th June.</t>
  </si>
  <si>
    <t>SB22563</t>
  </si>
  <si>
    <t>Dell - Indian Express events in July - 2, 9 &amp; 16th July</t>
  </si>
  <si>
    <t>SB22564</t>
  </si>
  <si>
    <t>BP India LT Dinner</t>
  </si>
  <si>
    <t>SB22565</t>
  </si>
  <si>
    <t>Apparel Fashion Tech World</t>
  </si>
  <si>
    <t>Apparel Resources Pvt Ltd</t>
  </si>
  <si>
    <t>SB22566</t>
  </si>
  <si>
    <t>HUL MT Conference 2025</t>
  </si>
  <si>
    <t>SB22567</t>
  </si>
  <si>
    <t>DBS Plasma Installation</t>
  </si>
  <si>
    <t>SB22568</t>
  </si>
  <si>
    <t>Tata Motors Investor Day 2025</t>
  </si>
  <si>
    <t>SB22569</t>
  </si>
  <si>
    <t>Vivo V50e in Mumbai</t>
  </si>
  <si>
    <t>SB22570</t>
  </si>
  <si>
    <t>Accenture Photographer Requirement - Multi City</t>
  </si>
  <si>
    <t>SB22571</t>
  </si>
  <si>
    <t>Intel Booth at Start Up Mahakumbh</t>
  </si>
  <si>
    <t>SB22572</t>
  </si>
  <si>
    <t>Team Bonding - Astrazeneca</t>
  </si>
  <si>
    <t>SB22573</t>
  </si>
  <si>
    <t>Amazon Townhall Meeting</t>
  </si>
  <si>
    <t>SB22574</t>
  </si>
  <si>
    <t>OnePlus OEF</t>
  </si>
  <si>
    <t>SB22575</t>
  </si>
  <si>
    <t>BP All India Townhall 2025</t>
  </si>
  <si>
    <t>SB22576</t>
  </si>
  <si>
    <t>RNTBCI Gemba visit</t>
  </si>
  <si>
    <t>SB22577</t>
  </si>
  <si>
    <t>Hero DIC Zonal Meet</t>
  </si>
  <si>
    <t>Raghav bhardwaj</t>
  </si>
  <si>
    <t>SB22578</t>
  </si>
  <si>
    <t>Siemens Switch board Factory 50 years</t>
  </si>
  <si>
    <t>SB22579</t>
  </si>
  <si>
    <t>CIO Summit event</t>
  </si>
  <si>
    <t>SB22580</t>
  </si>
  <si>
    <t>Towards CIO Roundtable in Bangalore</t>
  </si>
  <si>
    <t>SB22581</t>
  </si>
  <si>
    <t xml:space="preserve">Booking the hotel Aloft New Delhi </t>
  </si>
  <si>
    <t>Clarivate Analytics India Pvt Ltd</t>
  </si>
  <si>
    <t>SB22582</t>
  </si>
  <si>
    <t>BP Exploration</t>
  </si>
  <si>
    <t>SB22583</t>
  </si>
  <si>
    <t>DBS Webinar session with Navneet Munot</t>
  </si>
  <si>
    <t>SB22584</t>
  </si>
  <si>
    <t>Asus P series Launch</t>
  </si>
  <si>
    <t>Asus Global Pte Ltd</t>
  </si>
  <si>
    <t>SB22585</t>
  </si>
  <si>
    <t>SB22586</t>
  </si>
  <si>
    <t>Hul R&amp;D Leadership Forum</t>
  </si>
  <si>
    <t>SB22587</t>
  </si>
  <si>
    <t>Towards Giveaway Production</t>
  </si>
  <si>
    <t>SB22588</t>
  </si>
  <si>
    <t>Superhealth Hospital Branding</t>
  </si>
  <si>
    <t>Superhealth Hospitals Pvt Ltd</t>
  </si>
  <si>
    <t>SB22589</t>
  </si>
  <si>
    <t xml:space="preserve">Amazon - L 7 Recognition </t>
  </si>
  <si>
    <t>SB22590</t>
  </si>
  <si>
    <t>Dell ISG Launch in Pune</t>
  </si>
  <si>
    <t>SB22591</t>
  </si>
  <si>
    <t>Dell CSG Launch in Hyderabad</t>
  </si>
  <si>
    <t>SB22592</t>
  </si>
  <si>
    <t>Adobe Director Summit</t>
  </si>
  <si>
    <t>SB22593</t>
  </si>
  <si>
    <t>Cognizant Client Visit Raheja</t>
  </si>
  <si>
    <t>SB22594</t>
  </si>
  <si>
    <t>Siemens 100 years traction: Bharat Mandapam Stall</t>
  </si>
  <si>
    <t>SB22595</t>
  </si>
  <si>
    <t>IKEA - May Activity</t>
  </si>
  <si>
    <t>SB22596</t>
  </si>
  <si>
    <t>Red Hat Tech Talk Event Series</t>
  </si>
  <si>
    <t>SB22597</t>
  </si>
  <si>
    <t>Tvs Shiprocket Recharge</t>
  </si>
  <si>
    <t>SB22599</t>
  </si>
  <si>
    <t>SAP Innovation Days</t>
  </si>
  <si>
    <t>SB22600</t>
  </si>
  <si>
    <t>Accenture Client event</t>
  </si>
  <si>
    <t>SB22601</t>
  </si>
  <si>
    <t xml:space="preserve">proposal for Novo Nordisk Q1 Digest </t>
  </si>
  <si>
    <t>Novo Nordisk Pharma (Singapore) Pte Ltd</t>
  </si>
  <si>
    <t>SB22602</t>
  </si>
  <si>
    <t>HUL - B&amp;W JBP Myntra Meet 2025</t>
  </si>
  <si>
    <t>SB22603</t>
  </si>
  <si>
    <t>Siemens Individual PVC card with QR code</t>
  </si>
  <si>
    <t>SB22604</t>
  </si>
  <si>
    <t>Amazon rockstars Gurgaon</t>
  </si>
  <si>
    <t>SB22605</t>
  </si>
  <si>
    <t>Intel Premium standee print</t>
  </si>
  <si>
    <t>SB22606</t>
  </si>
  <si>
    <t>TCS W10K 2025</t>
  </si>
  <si>
    <t>SB22607</t>
  </si>
  <si>
    <t>ServiceNow Giveaways</t>
  </si>
  <si>
    <t>SB22608</t>
  </si>
  <si>
    <t>Siemens Mobility Works</t>
  </si>
  <si>
    <t>SB22609</t>
  </si>
  <si>
    <t>IKEA - April Activity</t>
  </si>
  <si>
    <t xml:space="preserve">Red </t>
  </si>
  <si>
    <t>replaced with name present in NetSuite employee records</t>
  </si>
  <si>
    <t>Amrita Sawhney-Ok</t>
  </si>
  <si>
    <t>Prerna Tandon-Ok</t>
  </si>
  <si>
    <t>Varun Sodhi-Ok</t>
  </si>
  <si>
    <t>Paulraj S-Ok</t>
  </si>
  <si>
    <t>Aravind Kumar.S-Ok</t>
  </si>
  <si>
    <t>Ashutosh Sapkal-Ok</t>
  </si>
  <si>
    <t>Libreta D'mello-ok</t>
  </si>
  <si>
    <t>thirtha Patil-ok</t>
  </si>
  <si>
    <t>Kausik Bose-Ok</t>
  </si>
  <si>
    <t>Kapil parmarkar --&gt; changed to kapeel P-Pls keep full name-ok</t>
  </si>
  <si>
    <t>Justin Fracncis-ok</t>
  </si>
  <si>
    <t>Sagar chandnani-Ok</t>
  </si>
  <si>
    <t xml:space="preserve">Purple </t>
  </si>
  <si>
    <t>Not Present in netsuite</t>
  </si>
  <si>
    <t>Deepika Shrivastava</t>
  </si>
  <si>
    <t>Gulshan Sharma</t>
  </si>
  <si>
    <t>Kumar Akash (there is one Akash Kumar in netsuite, Are these two the same?)-One Person go head with Akash Kumar</t>
  </si>
  <si>
    <t>Anant Duggar</t>
  </si>
  <si>
    <t xml:space="preserve">Orance </t>
  </si>
  <si>
    <t>Similar Present in netsuite but not an exact match</t>
  </si>
  <si>
    <t>matches found for the names provided in netsuite are written in the same row</t>
  </si>
  <si>
    <t>M Praveen Raj-Ok</t>
  </si>
  <si>
    <t>Aftab Mobin Shaikh-ok</t>
  </si>
  <si>
    <t>Paulraj S-ok</t>
  </si>
  <si>
    <t>Vikas Kumar Vishwakarma</t>
  </si>
  <si>
    <t>Anu Kumar S-Ok</t>
  </si>
  <si>
    <t>Akash Kumarok</t>
  </si>
  <si>
    <t xml:space="preserve">green </t>
  </si>
  <si>
    <t xml:space="preserve"> no tijendar Nagi is present in netsuite, only tijendarSingh Nagi is present (Replaced Tijendar Nagi to Tijendarsingh Nagi)-Ok</t>
  </si>
  <si>
    <t>Gray</t>
  </si>
  <si>
    <t>Project manager name needed-Ok</t>
  </si>
  <si>
    <t>yellow</t>
  </si>
  <si>
    <t>Hemanshu Sawan is not present but Hemanshu Sawant is present in netsuite (replaced to Hemanshu Sawant)-Ok</t>
  </si>
  <si>
    <t>Blue</t>
  </si>
  <si>
    <t>Kapil parmarkar is not present but similar Kapeel Parmekar is present in netsuite-Ok</t>
  </si>
  <si>
    <t>slate Gray</t>
  </si>
  <si>
    <t>Data Not Present</t>
  </si>
  <si>
    <t>Left Organisation</t>
  </si>
  <si>
    <t>Can We go with the same Name</t>
  </si>
  <si>
    <t>Project ID</t>
  </si>
  <si>
    <t>SB 21999</t>
  </si>
  <si>
    <t>SB 22131</t>
  </si>
  <si>
    <t>Harshit Jain</t>
  </si>
  <si>
    <t>SB 22381</t>
  </si>
  <si>
    <t>Shailesh Singh</t>
  </si>
  <si>
    <t>Pls Suggest</t>
  </si>
  <si>
    <t>Sourabh Sanwal</t>
  </si>
  <si>
    <t>SB 22189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</si>
</sst>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/mm\/yyyy"/>
  </numFmts>
  <fonts count="27">
    <font>
      <sz val="11"/>
      <color theme="1"/>
      <name val="Calibri"/>
      <charset val="134"/>
      <scheme val="minor"/>
    </font>
    <font>
      <b/>
      <sz val="12"/>
      <color rgb="FFFF0000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sz val="11"/>
      <name val="Calibri"/>
      <charset val="134"/>
      <scheme val="minor"/>
    </font>
    <font>
      <sz val="11"/>
      <color rgb="FFFFFF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ont="1" applyFill="1" applyAlignment="1"/>
    <xf numFmtId="0" fontId="0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5" fillId="2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180" fontId="1" fillId="11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18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6" applyFont="1" applyAlignment="1">
      <alignment horizontal="left" vertical="center"/>
    </xf>
    <xf numFmtId="0" fontId="6" fillId="0" borderId="0" xfId="6" applyFont="1" applyFill="1" applyAlignment="1">
      <alignment horizontal="left" vertical="center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80" fontId="4" fillId="0" borderId="0" xfId="0" applyNumberFormat="1" applyFont="1" applyAlignment="1">
      <alignment horizontal="left" vertical="center"/>
    </xf>
    <xf numFmtId="0" fontId="7" fillId="0" borderId="0" xfId="6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KalyaniChaudhari\Downloads\ProjectsResults8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KalyaniChaudhari\Downloads\ProjectSearchResults99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lyaniChaudhari\Downloads\10%20Project%20Budget-Ok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jectsResults"/>
    </sheetNames>
    <sheetDataSet>
      <sheetData sheetId="0">
        <row r="1">
          <cell r="E1" t="str">
            <v>Internal ID</v>
          </cell>
        </row>
        <row r="2">
          <cell r="D2" t="str">
            <v>SB21466</v>
          </cell>
          <cell r="E2">
            <v>10619</v>
          </cell>
        </row>
        <row r="3">
          <cell r="D3" t="str">
            <v>SB21528</v>
          </cell>
          <cell r="E3">
            <v>9918</v>
          </cell>
        </row>
        <row r="4">
          <cell r="D4" t="str">
            <v>SB21697</v>
          </cell>
          <cell r="E4">
            <v>9919</v>
          </cell>
        </row>
        <row r="5">
          <cell r="D5" t="str">
            <v>SB21700</v>
          </cell>
          <cell r="E5">
            <v>9920</v>
          </cell>
        </row>
        <row r="6">
          <cell r="D6" t="str">
            <v>SB21703</v>
          </cell>
          <cell r="E6">
            <v>9921</v>
          </cell>
        </row>
        <row r="7">
          <cell r="D7" t="str">
            <v>SB21704</v>
          </cell>
          <cell r="E7">
            <v>9922</v>
          </cell>
        </row>
        <row r="8">
          <cell r="D8" t="str">
            <v>SB21733</v>
          </cell>
          <cell r="E8">
            <v>9923</v>
          </cell>
        </row>
        <row r="9">
          <cell r="D9" t="str">
            <v>SB21770</v>
          </cell>
          <cell r="E9">
            <v>9924</v>
          </cell>
        </row>
        <row r="10">
          <cell r="D10" t="str">
            <v>SB21797</v>
          </cell>
          <cell r="E10">
            <v>9925</v>
          </cell>
        </row>
        <row r="11">
          <cell r="D11" t="str">
            <v>SB21800</v>
          </cell>
          <cell r="E11">
            <v>9926</v>
          </cell>
        </row>
        <row r="12">
          <cell r="D12" t="str">
            <v>SB21804</v>
          </cell>
          <cell r="E12">
            <v>9927</v>
          </cell>
        </row>
        <row r="13">
          <cell r="D13" t="str">
            <v>SB21807</v>
          </cell>
          <cell r="E13">
            <v>9928</v>
          </cell>
        </row>
        <row r="14">
          <cell r="D14" t="str">
            <v>SB21814</v>
          </cell>
          <cell r="E14">
            <v>9929</v>
          </cell>
        </row>
        <row r="15">
          <cell r="D15" t="str">
            <v>SB21829</v>
          </cell>
          <cell r="E15">
            <v>9930</v>
          </cell>
        </row>
        <row r="16">
          <cell r="D16" t="str">
            <v>SB21847</v>
          </cell>
          <cell r="E16">
            <v>9931</v>
          </cell>
        </row>
        <row r="17">
          <cell r="D17" t="str">
            <v>SB21859</v>
          </cell>
          <cell r="E17">
            <v>9932</v>
          </cell>
        </row>
        <row r="18">
          <cell r="D18" t="str">
            <v>SB21861</v>
          </cell>
          <cell r="E18">
            <v>9933</v>
          </cell>
        </row>
        <row r="19">
          <cell r="D19" t="str">
            <v>SB21873</v>
          </cell>
          <cell r="E19">
            <v>9934</v>
          </cell>
        </row>
        <row r="20">
          <cell r="D20" t="str">
            <v>SB21888</v>
          </cell>
          <cell r="E20">
            <v>9935</v>
          </cell>
        </row>
        <row r="21">
          <cell r="D21" t="str">
            <v>SB21911</v>
          </cell>
          <cell r="E21">
            <v>9936</v>
          </cell>
        </row>
        <row r="22">
          <cell r="D22" t="str">
            <v>SB21914</v>
          </cell>
          <cell r="E22">
            <v>9937</v>
          </cell>
        </row>
        <row r="23">
          <cell r="D23" t="str">
            <v>SB21917</v>
          </cell>
          <cell r="E23">
            <v>9938</v>
          </cell>
        </row>
        <row r="24">
          <cell r="D24" t="str">
            <v>SB21920</v>
          </cell>
          <cell r="E24">
            <v>9939</v>
          </cell>
        </row>
        <row r="25">
          <cell r="D25" t="str">
            <v>SB21930</v>
          </cell>
          <cell r="E25">
            <v>9940</v>
          </cell>
        </row>
        <row r="26">
          <cell r="D26" t="str">
            <v>SB21931</v>
          </cell>
          <cell r="E26">
            <v>9941</v>
          </cell>
        </row>
        <row r="27">
          <cell r="D27" t="str">
            <v>SB21935</v>
          </cell>
          <cell r="E27">
            <v>9942</v>
          </cell>
        </row>
        <row r="28">
          <cell r="D28" t="str">
            <v>SB21939</v>
          </cell>
          <cell r="E28">
            <v>9943</v>
          </cell>
        </row>
        <row r="29">
          <cell r="D29" t="str">
            <v>SB21940</v>
          </cell>
          <cell r="E29">
            <v>9944</v>
          </cell>
        </row>
        <row r="30">
          <cell r="D30" t="str">
            <v>SB21942</v>
          </cell>
          <cell r="E30">
            <v>10620</v>
          </cell>
        </row>
        <row r="31">
          <cell r="D31" t="str">
            <v>SB21944</v>
          </cell>
          <cell r="E31">
            <v>9945</v>
          </cell>
        </row>
        <row r="32">
          <cell r="D32" t="str">
            <v>SB21945</v>
          </cell>
          <cell r="E32">
            <v>9946</v>
          </cell>
        </row>
        <row r="33">
          <cell r="D33" t="str">
            <v>SB21947</v>
          </cell>
          <cell r="E33">
            <v>9947</v>
          </cell>
        </row>
        <row r="34">
          <cell r="D34" t="str">
            <v>SB21954</v>
          </cell>
          <cell r="E34">
            <v>9948</v>
          </cell>
        </row>
        <row r="35">
          <cell r="D35" t="str">
            <v>SB21960</v>
          </cell>
          <cell r="E35">
            <v>9949</v>
          </cell>
        </row>
        <row r="36">
          <cell r="D36" t="str">
            <v>SB21961</v>
          </cell>
          <cell r="E36">
            <v>9950</v>
          </cell>
        </row>
        <row r="37">
          <cell r="D37" t="str">
            <v>SB21975</v>
          </cell>
          <cell r="E37">
            <v>9951</v>
          </cell>
        </row>
        <row r="38">
          <cell r="D38" t="str">
            <v>SB21981</v>
          </cell>
          <cell r="E38">
            <v>9952</v>
          </cell>
        </row>
        <row r="39">
          <cell r="D39" t="str">
            <v>SB21982</v>
          </cell>
          <cell r="E39">
            <v>9953</v>
          </cell>
        </row>
        <row r="40">
          <cell r="D40" t="str">
            <v>SB21983</v>
          </cell>
          <cell r="E40">
            <v>9954</v>
          </cell>
        </row>
        <row r="41">
          <cell r="D41" t="str">
            <v>SB21984</v>
          </cell>
          <cell r="E41">
            <v>9955</v>
          </cell>
        </row>
        <row r="42">
          <cell r="D42" t="str">
            <v>SB21985</v>
          </cell>
          <cell r="E42">
            <v>9956</v>
          </cell>
        </row>
        <row r="43">
          <cell r="D43" t="str">
            <v>SB21986</v>
          </cell>
          <cell r="E43">
            <v>9957</v>
          </cell>
        </row>
        <row r="44">
          <cell r="D44" t="str">
            <v>SB21987</v>
          </cell>
          <cell r="E44">
            <v>9958</v>
          </cell>
        </row>
        <row r="45">
          <cell r="D45" t="str">
            <v>SB21988</v>
          </cell>
          <cell r="E45">
            <v>9959</v>
          </cell>
        </row>
        <row r="46">
          <cell r="D46" t="str">
            <v>SB21989</v>
          </cell>
          <cell r="E46">
            <v>9960</v>
          </cell>
        </row>
        <row r="47">
          <cell r="D47" t="str">
            <v>SB21990</v>
          </cell>
          <cell r="E47">
            <v>9961</v>
          </cell>
        </row>
        <row r="48">
          <cell r="D48" t="str">
            <v>SB21991</v>
          </cell>
          <cell r="E48">
            <v>9962</v>
          </cell>
        </row>
        <row r="49">
          <cell r="D49" t="str">
            <v>SB21993</v>
          </cell>
          <cell r="E49">
            <v>9963</v>
          </cell>
        </row>
        <row r="50">
          <cell r="D50" t="str">
            <v>SB21995</v>
          </cell>
          <cell r="E50">
            <v>9964</v>
          </cell>
        </row>
        <row r="51">
          <cell r="D51" t="str">
            <v>SB21996</v>
          </cell>
          <cell r="E51">
            <v>9965</v>
          </cell>
        </row>
        <row r="52">
          <cell r="D52" t="str">
            <v>SB21997</v>
          </cell>
          <cell r="E52">
            <v>9966</v>
          </cell>
        </row>
        <row r="53">
          <cell r="D53" t="str">
            <v>SB21998</v>
          </cell>
          <cell r="E53">
            <v>9967</v>
          </cell>
        </row>
        <row r="54">
          <cell r="D54" t="str">
            <v>SB21999</v>
          </cell>
          <cell r="E54">
            <v>9968</v>
          </cell>
        </row>
        <row r="55">
          <cell r="D55" t="str">
            <v>SB22000</v>
          </cell>
          <cell r="E55">
            <v>9969</v>
          </cell>
        </row>
        <row r="56">
          <cell r="D56" t="str">
            <v>SB22001</v>
          </cell>
          <cell r="E56">
            <v>9970</v>
          </cell>
        </row>
        <row r="57">
          <cell r="D57" t="str">
            <v>SB22002</v>
          </cell>
          <cell r="E57">
            <v>9971</v>
          </cell>
        </row>
        <row r="58">
          <cell r="D58" t="str">
            <v>SB22003</v>
          </cell>
          <cell r="E58">
            <v>9972</v>
          </cell>
        </row>
        <row r="59">
          <cell r="D59" t="str">
            <v>SB22004</v>
          </cell>
          <cell r="E59">
            <v>9973</v>
          </cell>
        </row>
        <row r="60">
          <cell r="D60" t="str">
            <v>SB22005</v>
          </cell>
          <cell r="E60">
            <v>9974</v>
          </cell>
        </row>
        <row r="61">
          <cell r="D61" t="str">
            <v>SB22007</v>
          </cell>
          <cell r="E61">
            <v>9975</v>
          </cell>
        </row>
        <row r="62">
          <cell r="D62" t="str">
            <v>SB22008</v>
          </cell>
          <cell r="E62">
            <v>9976</v>
          </cell>
        </row>
        <row r="63">
          <cell r="D63" t="str">
            <v>SB22009</v>
          </cell>
          <cell r="E63">
            <v>9977</v>
          </cell>
        </row>
        <row r="64">
          <cell r="D64" t="str">
            <v>SB22010</v>
          </cell>
          <cell r="E64">
            <v>9978</v>
          </cell>
        </row>
        <row r="65">
          <cell r="D65" t="str">
            <v>SB22011</v>
          </cell>
          <cell r="E65">
            <v>9979</v>
          </cell>
        </row>
        <row r="66">
          <cell r="D66" t="str">
            <v>SB22012</v>
          </cell>
          <cell r="E66">
            <v>9980</v>
          </cell>
        </row>
        <row r="67">
          <cell r="D67" t="str">
            <v>SB22013</v>
          </cell>
          <cell r="E67">
            <v>9981</v>
          </cell>
        </row>
        <row r="68">
          <cell r="D68" t="str">
            <v>SB22015</v>
          </cell>
          <cell r="E68">
            <v>9982</v>
          </cell>
        </row>
        <row r="69">
          <cell r="D69" t="str">
            <v>SB22016</v>
          </cell>
          <cell r="E69">
            <v>9983</v>
          </cell>
        </row>
        <row r="70">
          <cell r="D70" t="str">
            <v>SB22017</v>
          </cell>
          <cell r="E70">
            <v>9984</v>
          </cell>
        </row>
        <row r="71">
          <cell r="D71" t="str">
            <v>SB22018</v>
          </cell>
          <cell r="E71">
            <v>9985</v>
          </cell>
        </row>
        <row r="72">
          <cell r="D72" t="str">
            <v>SB22019</v>
          </cell>
          <cell r="E72">
            <v>9986</v>
          </cell>
        </row>
        <row r="73">
          <cell r="D73" t="str">
            <v>SB22020</v>
          </cell>
          <cell r="E73">
            <v>9987</v>
          </cell>
        </row>
        <row r="74">
          <cell r="D74" t="str">
            <v>SB22021</v>
          </cell>
          <cell r="E74">
            <v>9988</v>
          </cell>
        </row>
        <row r="75">
          <cell r="D75" t="str">
            <v>SB22022</v>
          </cell>
          <cell r="E75">
            <v>9989</v>
          </cell>
        </row>
        <row r="76">
          <cell r="D76" t="str">
            <v>SB22023</v>
          </cell>
          <cell r="E76">
            <v>9990</v>
          </cell>
        </row>
        <row r="77">
          <cell r="D77" t="str">
            <v>SB22024</v>
          </cell>
          <cell r="E77">
            <v>9991</v>
          </cell>
        </row>
        <row r="78">
          <cell r="D78" t="str">
            <v>SB22025</v>
          </cell>
          <cell r="E78">
            <v>9992</v>
          </cell>
        </row>
        <row r="79">
          <cell r="D79" t="str">
            <v>SB22026</v>
          </cell>
          <cell r="E79">
            <v>9993</v>
          </cell>
        </row>
        <row r="80">
          <cell r="D80" t="str">
            <v>SB22027</v>
          </cell>
          <cell r="E80">
            <v>9994</v>
          </cell>
        </row>
        <row r="81">
          <cell r="D81" t="str">
            <v>SB22028</v>
          </cell>
          <cell r="E81">
            <v>9995</v>
          </cell>
        </row>
        <row r="82">
          <cell r="D82" t="str">
            <v>SB22029</v>
          </cell>
          <cell r="E82">
            <v>9996</v>
          </cell>
        </row>
        <row r="83">
          <cell r="D83" t="str">
            <v>SB22030</v>
          </cell>
          <cell r="E83">
            <v>9997</v>
          </cell>
        </row>
        <row r="84">
          <cell r="D84" t="str">
            <v>SB22031</v>
          </cell>
          <cell r="E84">
            <v>9998</v>
          </cell>
        </row>
        <row r="85">
          <cell r="D85" t="str">
            <v>SB22034</v>
          </cell>
          <cell r="E85">
            <v>9999</v>
          </cell>
        </row>
        <row r="86">
          <cell r="D86" t="str">
            <v>SB22035</v>
          </cell>
          <cell r="E86">
            <v>10000</v>
          </cell>
        </row>
        <row r="87">
          <cell r="D87" t="str">
            <v>SB22036</v>
          </cell>
          <cell r="E87">
            <v>10001</v>
          </cell>
        </row>
        <row r="88">
          <cell r="D88" t="str">
            <v>SB22037</v>
          </cell>
          <cell r="E88">
            <v>10002</v>
          </cell>
        </row>
        <row r="89">
          <cell r="D89" t="str">
            <v>SB22038</v>
          </cell>
          <cell r="E89">
            <v>10003</v>
          </cell>
        </row>
        <row r="90">
          <cell r="D90" t="str">
            <v>SB22039</v>
          </cell>
          <cell r="E90">
            <v>10004</v>
          </cell>
        </row>
        <row r="91">
          <cell r="D91" t="str">
            <v>SB22040</v>
          </cell>
          <cell r="E91">
            <v>10005</v>
          </cell>
        </row>
        <row r="92">
          <cell r="D92" t="str">
            <v>SB22041</v>
          </cell>
          <cell r="E92">
            <v>10006</v>
          </cell>
        </row>
        <row r="93">
          <cell r="D93" t="str">
            <v>SB22042</v>
          </cell>
          <cell r="E93">
            <v>10007</v>
          </cell>
        </row>
        <row r="94">
          <cell r="D94" t="str">
            <v>SB22043</v>
          </cell>
          <cell r="E94">
            <v>10008</v>
          </cell>
        </row>
        <row r="95">
          <cell r="D95" t="str">
            <v>SB22044</v>
          </cell>
          <cell r="E95">
            <v>10009</v>
          </cell>
        </row>
        <row r="96">
          <cell r="D96" t="str">
            <v>SB22045</v>
          </cell>
          <cell r="E96">
            <v>10010</v>
          </cell>
        </row>
        <row r="97">
          <cell r="D97" t="str">
            <v>SB22046</v>
          </cell>
          <cell r="E97">
            <v>10011</v>
          </cell>
        </row>
        <row r="98">
          <cell r="D98" t="str">
            <v>SB22047</v>
          </cell>
          <cell r="E98">
            <v>10012</v>
          </cell>
        </row>
        <row r="99">
          <cell r="D99" t="str">
            <v>SB22048</v>
          </cell>
          <cell r="E99">
            <v>10013</v>
          </cell>
        </row>
        <row r="100">
          <cell r="D100" t="str">
            <v>SB22049</v>
          </cell>
          <cell r="E100">
            <v>10014</v>
          </cell>
        </row>
        <row r="101">
          <cell r="D101" t="str">
            <v>SB22050</v>
          </cell>
          <cell r="E101">
            <v>10015</v>
          </cell>
        </row>
        <row r="102">
          <cell r="D102" t="str">
            <v>SB22051</v>
          </cell>
          <cell r="E102">
            <v>10016</v>
          </cell>
        </row>
        <row r="103">
          <cell r="D103" t="str">
            <v>SB22052</v>
          </cell>
          <cell r="E103">
            <v>10017</v>
          </cell>
        </row>
        <row r="104">
          <cell r="D104" t="str">
            <v>SB22053</v>
          </cell>
          <cell r="E104">
            <v>10018</v>
          </cell>
        </row>
        <row r="105">
          <cell r="D105" t="str">
            <v>SB22054</v>
          </cell>
          <cell r="E105">
            <v>10019</v>
          </cell>
        </row>
        <row r="106">
          <cell r="D106" t="str">
            <v>SB22055</v>
          </cell>
          <cell r="E106">
            <v>10020</v>
          </cell>
        </row>
        <row r="107">
          <cell r="D107" t="str">
            <v>SB22056</v>
          </cell>
          <cell r="E107">
            <v>10021</v>
          </cell>
        </row>
        <row r="108">
          <cell r="D108" t="str">
            <v>SB22057</v>
          </cell>
          <cell r="E108">
            <v>10022</v>
          </cell>
        </row>
        <row r="109">
          <cell r="D109" t="str">
            <v>SB22058</v>
          </cell>
          <cell r="E109">
            <v>10023</v>
          </cell>
        </row>
        <row r="110">
          <cell r="D110" t="str">
            <v>SB22059</v>
          </cell>
          <cell r="E110">
            <v>10024</v>
          </cell>
        </row>
        <row r="111">
          <cell r="D111" t="str">
            <v>SB22060</v>
          </cell>
          <cell r="E111">
            <v>10025</v>
          </cell>
        </row>
        <row r="112">
          <cell r="D112" t="str">
            <v>SB22061</v>
          </cell>
          <cell r="E112">
            <v>10026</v>
          </cell>
        </row>
        <row r="113">
          <cell r="D113" t="str">
            <v>SB22062</v>
          </cell>
          <cell r="E113">
            <v>10027</v>
          </cell>
        </row>
        <row r="114">
          <cell r="D114" t="str">
            <v>SB22063</v>
          </cell>
          <cell r="E114">
            <v>10028</v>
          </cell>
        </row>
        <row r="115">
          <cell r="D115" t="str">
            <v>SB22064</v>
          </cell>
          <cell r="E115">
            <v>10029</v>
          </cell>
        </row>
        <row r="116">
          <cell r="D116" t="str">
            <v>SB22065</v>
          </cell>
          <cell r="E116">
            <v>10030</v>
          </cell>
        </row>
        <row r="117">
          <cell r="D117" t="str">
            <v>SB22066</v>
          </cell>
          <cell r="E117">
            <v>10031</v>
          </cell>
        </row>
        <row r="118">
          <cell r="D118" t="str">
            <v>SB22067</v>
          </cell>
          <cell r="E118">
            <v>10032</v>
          </cell>
        </row>
        <row r="119">
          <cell r="D119" t="str">
            <v>SB22068</v>
          </cell>
          <cell r="E119">
            <v>10033</v>
          </cell>
        </row>
        <row r="120">
          <cell r="D120" t="str">
            <v>SB22069</v>
          </cell>
          <cell r="E120">
            <v>10034</v>
          </cell>
        </row>
        <row r="121">
          <cell r="D121" t="str">
            <v>SB22070</v>
          </cell>
          <cell r="E121">
            <v>10035</v>
          </cell>
        </row>
        <row r="122">
          <cell r="D122" t="str">
            <v>SB22071</v>
          </cell>
          <cell r="E122">
            <v>10036</v>
          </cell>
        </row>
        <row r="123">
          <cell r="D123" t="str">
            <v>SB22072</v>
          </cell>
          <cell r="E123">
            <v>10037</v>
          </cell>
        </row>
        <row r="124">
          <cell r="D124" t="str">
            <v>SB22073</v>
          </cell>
          <cell r="E124">
            <v>10038</v>
          </cell>
        </row>
        <row r="125">
          <cell r="D125" t="str">
            <v>SB22074</v>
          </cell>
          <cell r="E125">
            <v>10039</v>
          </cell>
        </row>
        <row r="126">
          <cell r="D126" t="str">
            <v>SB22075</v>
          </cell>
          <cell r="E126">
            <v>10040</v>
          </cell>
        </row>
        <row r="127">
          <cell r="D127" t="str">
            <v>SB22076</v>
          </cell>
          <cell r="E127">
            <v>10041</v>
          </cell>
        </row>
        <row r="128">
          <cell r="D128" t="str">
            <v>SB22077</v>
          </cell>
          <cell r="E128">
            <v>10042</v>
          </cell>
        </row>
        <row r="129">
          <cell r="D129" t="str">
            <v>SB22078</v>
          </cell>
          <cell r="E129">
            <v>10043</v>
          </cell>
        </row>
        <row r="130">
          <cell r="D130" t="str">
            <v>SB22079</v>
          </cell>
          <cell r="E130">
            <v>10044</v>
          </cell>
        </row>
        <row r="131">
          <cell r="D131" t="str">
            <v>SB22080</v>
          </cell>
          <cell r="E131">
            <v>10045</v>
          </cell>
        </row>
        <row r="132">
          <cell r="D132" t="str">
            <v>SB22081</v>
          </cell>
          <cell r="E132">
            <v>10046</v>
          </cell>
        </row>
        <row r="133">
          <cell r="D133" t="str">
            <v>SB22082</v>
          </cell>
          <cell r="E133">
            <v>10047</v>
          </cell>
        </row>
        <row r="134">
          <cell r="D134" t="str">
            <v>SB22083</v>
          </cell>
          <cell r="E134">
            <v>10048</v>
          </cell>
        </row>
        <row r="135">
          <cell r="D135" t="str">
            <v>SB22084</v>
          </cell>
          <cell r="E135">
            <v>10049</v>
          </cell>
        </row>
        <row r="136">
          <cell r="D136" t="str">
            <v>SB22085</v>
          </cell>
          <cell r="E136">
            <v>10050</v>
          </cell>
        </row>
        <row r="137">
          <cell r="D137" t="str">
            <v>SB22086</v>
          </cell>
          <cell r="E137">
            <v>10051</v>
          </cell>
        </row>
        <row r="138">
          <cell r="D138" t="str">
            <v>SB22087</v>
          </cell>
          <cell r="E138">
            <v>10052</v>
          </cell>
        </row>
        <row r="139">
          <cell r="D139" t="str">
            <v>SB22088</v>
          </cell>
          <cell r="E139">
            <v>10053</v>
          </cell>
        </row>
        <row r="140">
          <cell r="D140" t="str">
            <v>SB22089</v>
          </cell>
          <cell r="E140">
            <v>10054</v>
          </cell>
        </row>
        <row r="141">
          <cell r="D141" t="str">
            <v>SB22090</v>
          </cell>
          <cell r="E141">
            <v>10055</v>
          </cell>
        </row>
        <row r="142">
          <cell r="D142" t="str">
            <v>SB22091</v>
          </cell>
          <cell r="E142">
            <v>10056</v>
          </cell>
        </row>
        <row r="143">
          <cell r="D143" t="str">
            <v>SB22092</v>
          </cell>
          <cell r="E143">
            <v>10057</v>
          </cell>
        </row>
        <row r="144">
          <cell r="D144" t="str">
            <v>SB22093</v>
          </cell>
          <cell r="E144">
            <v>10058</v>
          </cell>
        </row>
        <row r="145">
          <cell r="D145" t="str">
            <v>SB22094</v>
          </cell>
          <cell r="E145">
            <v>10059</v>
          </cell>
        </row>
        <row r="146">
          <cell r="D146" t="str">
            <v>SB22095</v>
          </cell>
          <cell r="E146">
            <v>10060</v>
          </cell>
        </row>
        <row r="147">
          <cell r="D147" t="str">
            <v>SB22096</v>
          </cell>
          <cell r="E147">
            <v>10061</v>
          </cell>
        </row>
        <row r="148">
          <cell r="D148" t="str">
            <v>SB22097</v>
          </cell>
          <cell r="E148">
            <v>10062</v>
          </cell>
        </row>
        <row r="149">
          <cell r="D149" t="str">
            <v>SB22098</v>
          </cell>
          <cell r="E149">
            <v>10063</v>
          </cell>
        </row>
        <row r="150">
          <cell r="D150" t="str">
            <v>SB22099</v>
          </cell>
          <cell r="E150">
            <v>10064</v>
          </cell>
        </row>
        <row r="151">
          <cell r="D151" t="str">
            <v>SB22100</v>
          </cell>
          <cell r="E151">
            <v>10065</v>
          </cell>
        </row>
        <row r="152">
          <cell r="D152" t="str">
            <v>SB22101</v>
          </cell>
          <cell r="E152">
            <v>10066</v>
          </cell>
        </row>
        <row r="153">
          <cell r="D153" t="str">
            <v>SB22102</v>
          </cell>
          <cell r="E153">
            <v>10067</v>
          </cell>
        </row>
        <row r="154">
          <cell r="D154" t="str">
            <v>SB22103</v>
          </cell>
          <cell r="E154">
            <v>10068</v>
          </cell>
        </row>
        <row r="155">
          <cell r="D155" t="str">
            <v>SB22104</v>
          </cell>
          <cell r="E155">
            <v>10069</v>
          </cell>
        </row>
        <row r="156">
          <cell r="D156" t="str">
            <v>SB22105</v>
          </cell>
          <cell r="E156">
            <v>10070</v>
          </cell>
        </row>
        <row r="157">
          <cell r="D157" t="str">
            <v>SB22106</v>
          </cell>
          <cell r="E157">
            <v>10071</v>
          </cell>
        </row>
        <row r="158">
          <cell r="D158" t="str">
            <v>SB22107</v>
          </cell>
          <cell r="E158">
            <v>10072</v>
          </cell>
        </row>
        <row r="159">
          <cell r="D159" t="str">
            <v>SB22108</v>
          </cell>
          <cell r="E159">
            <v>10073</v>
          </cell>
        </row>
        <row r="160">
          <cell r="D160" t="str">
            <v>SB22109</v>
          </cell>
          <cell r="E160">
            <v>10074</v>
          </cell>
        </row>
        <row r="161">
          <cell r="D161" t="str">
            <v>SB22110</v>
          </cell>
          <cell r="E161">
            <v>10075</v>
          </cell>
        </row>
        <row r="162">
          <cell r="D162" t="str">
            <v>SB22111</v>
          </cell>
          <cell r="E162">
            <v>10076</v>
          </cell>
        </row>
        <row r="163">
          <cell r="D163" t="str">
            <v>SB22112</v>
          </cell>
          <cell r="E163">
            <v>10077</v>
          </cell>
        </row>
        <row r="164">
          <cell r="D164" t="str">
            <v>SB22113</v>
          </cell>
          <cell r="E164">
            <v>10078</v>
          </cell>
        </row>
        <row r="165">
          <cell r="D165" t="str">
            <v>SB22114</v>
          </cell>
          <cell r="E165">
            <v>10079</v>
          </cell>
        </row>
        <row r="166">
          <cell r="D166" t="str">
            <v>SB22115</v>
          </cell>
          <cell r="E166">
            <v>10080</v>
          </cell>
        </row>
        <row r="167">
          <cell r="D167" t="str">
            <v>SB22116</v>
          </cell>
          <cell r="E167">
            <v>10081</v>
          </cell>
        </row>
        <row r="168">
          <cell r="D168" t="str">
            <v>SB22117</v>
          </cell>
          <cell r="E168">
            <v>10082</v>
          </cell>
        </row>
        <row r="169">
          <cell r="D169" t="str">
            <v>SB22118</v>
          </cell>
          <cell r="E169">
            <v>10083</v>
          </cell>
        </row>
        <row r="170">
          <cell r="D170" t="str">
            <v>SB22119</v>
          </cell>
          <cell r="E170">
            <v>10084</v>
          </cell>
        </row>
        <row r="171">
          <cell r="D171" t="str">
            <v>SB22120</v>
          </cell>
          <cell r="E171">
            <v>10085</v>
          </cell>
        </row>
        <row r="172">
          <cell r="D172" t="str">
            <v>SB22121</v>
          </cell>
          <cell r="E172">
            <v>10086</v>
          </cell>
        </row>
        <row r="173">
          <cell r="D173" t="str">
            <v>SB22122</v>
          </cell>
          <cell r="E173">
            <v>10087</v>
          </cell>
        </row>
        <row r="174">
          <cell r="D174" t="str">
            <v>SB22123</v>
          </cell>
          <cell r="E174">
            <v>10088</v>
          </cell>
        </row>
        <row r="175">
          <cell r="D175" t="str">
            <v>SB22124</v>
          </cell>
          <cell r="E175">
            <v>10089</v>
          </cell>
        </row>
        <row r="176">
          <cell r="D176" t="str">
            <v>SB22125</v>
          </cell>
          <cell r="E176">
            <v>10090</v>
          </cell>
        </row>
        <row r="177">
          <cell r="D177" t="str">
            <v>SB22126</v>
          </cell>
          <cell r="E177">
            <v>10091</v>
          </cell>
        </row>
        <row r="178">
          <cell r="D178" t="str">
            <v>SB22127</v>
          </cell>
          <cell r="E178">
            <v>10092</v>
          </cell>
        </row>
        <row r="179">
          <cell r="D179" t="str">
            <v>SB22128</v>
          </cell>
          <cell r="E179">
            <v>10093</v>
          </cell>
        </row>
        <row r="180">
          <cell r="D180" t="str">
            <v>SB22129</v>
          </cell>
          <cell r="E180">
            <v>10094</v>
          </cell>
        </row>
        <row r="181">
          <cell r="D181" t="str">
            <v>SB22130</v>
          </cell>
          <cell r="E181">
            <v>10095</v>
          </cell>
        </row>
        <row r="182">
          <cell r="D182" t="str">
            <v>SB22131</v>
          </cell>
          <cell r="E182">
            <v>10096</v>
          </cell>
        </row>
        <row r="183">
          <cell r="D183" t="str">
            <v>SB22132</v>
          </cell>
          <cell r="E183">
            <v>10097</v>
          </cell>
        </row>
        <row r="184">
          <cell r="D184" t="str">
            <v>SB22133</v>
          </cell>
          <cell r="E184">
            <v>10098</v>
          </cell>
        </row>
        <row r="185">
          <cell r="D185" t="str">
            <v>SB22134</v>
          </cell>
          <cell r="E185">
            <v>10099</v>
          </cell>
        </row>
        <row r="186">
          <cell r="D186" t="str">
            <v>SB22135</v>
          </cell>
          <cell r="E186">
            <v>10100</v>
          </cell>
        </row>
        <row r="187">
          <cell r="D187" t="str">
            <v>SB22136</v>
          </cell>
          <cell r="E187">
            <v>10101</v>
          </cell>
        </row>
        <row r="188">
          <cell r="D188" t="str">
            <v>SB22137</v>
          </cell>
          <cell r="E188">
            <v>10102</v>
          </cell>
        </row>
        <row r="189">
          <cell r="D189" t="str">
            <v>SB22138</v>
          </cell>
          <cell r="E189">
            <v>10103</v>
          </cell>
        </row>
        <row r="190">
          <cell r="D190" t="str">
            <v>SB22139</v>
          </cell>
          <cell r="E190">
            <v>10104</v>
          </cell>
        </row>
        <row r="191">
          <cell r="D191" t="str">
            <v>SB22140</v>
          </cell>
          <cell r="E191">
            <v>10105</v>
          </cell>
        </row>
        <row r="192">
          <cell r="D192" t="str">
            <v>SB22141</v>
          </cell>
          <cell r="E192">
            <v>10106</v>
          </cell>
        </row>
        <row r="193">
          <cell r="D193" t="str">
            <v>SB22142</v>
          </cell>
          <cell r="E193">
            <v>10107</v>
          </cell>
        </row>
        <row r="194">
          <cell r="D194" t="str">
            <v>SB22143</v>
          </cell>
          <cell r="E194">
            <v>10108</v>
          </cell>
        </row>
        <row r="195">
          <cell r="D195" t="str">
            <v>SB22144</v>
          </cell>
          <cell r="E195">
            <v>10109</v>
          </cell>
        </row>
        <row r="196">
          <cell r="D196" t="str">
            <v>SB22145</v>
          </cell>
          <cell r="E196">
            <v>10110</v>
          </cell>
        </row>
        <row r="197">
          <cell r="D197" t="str">
            <v>SB22146</v>
          </cell>
          <cell r="E197">
            <v>10111</v>
          </cell>
        </row>
        <row r="198">
          <cell r="D198" t="str">
            <v>SB22147</v>
          </cell>
          <cell r="E198">
            <v>10112</v>
          </cell>
        </row>
        <row r="199">
          <cell r="D199" t="str">
            <v>SB22148</v>
          </cell>
          <cell r="E199">
            <v>10113</v>
          </cell>
        </row>
        <row r="200">
          <cell r="D200" t="str">
            <v>SB22149</v>
          </cell>
          <cell r="E200">
            <v>10114</v>
          </cell>
        </row>
        <row r="201">
          <cell r="D201" t="str">
            <v>SB22150</v>
          </cell>
          <cell r="E201">
            <v>10115</v>
          </cell>
        </row>
        <row r="202">
          <cell r="D202" t="str">
            <v>SB22151</v>
          </cell>
          <cell r="E202">
            <v>10116</v>
          </cell>
        </row>
        <row r="203">
          <cell r="D203" t="str">
            <v>SB22152</v>
          </cell>
          <cell r="E203">
            <v>10117</v>
          </cell>
        </row>
        <row r="204">
          <cell r="D204" t="str">
            <v>SB22153</v>
          </cell>
          <cell r="E204">
            <v>10118</v>
          </cell>
        </row>
        <row r="205">
          <cell r="D205" t="str">
            <v>SB22154</v>
          </cell>
          <cell r="E205">
            <v>10119</v>
          </cell>
        </row>
        <row r="206">
          <cell r="D206" t="str">
            <v>SB22155</v>
          </cell>
          <cell r="E206">
            <v>10120</v>
          </cell>
        </row>
        <row r="207">
          <cell r="D207" t="str">
            <v>SB22156</v>
          </cell>
          <cell r="E207">
            <v>10121</v>
          </cell>
        </row>
        <row r="208">
          <cell r="D208" t="str">
            <v>SB22157</v>
          </cell>
          <cell r="E208">
            <v>10122</v>
          </cell>
        </row>
        <row r="209">
          <cell r="D209" t="str">
            <v>SB22158</v>
          </cell>
          <cell r="E209">
            <v>10123</v>
          </cell>
        </row>
        <row r="210">
          <cell r="D210" t="str">
            <v>SB22159</v>
          </cell>
          <cell r="E210">
            <v>10124</v>
          </cell>
        </row>
        <row r="211">
          <cell r="D211" t="str">
            <v>SB22160</v>
          </cell>
          <cell r="E211">
            <v>10125</v>
          </cell>
        </row>
        <row r="212">
          <cell r="D212" t="str">
            <v>SB22161</v>
          </cell>
          <cell r="E212">
            <v>10126</v>
          </cell>
        </row>
        <row r="213">
          <cell r="D213" t="str">
            <v>SB22162</v>
          </cell>
          <cell r="E213">
            <v>10127</v>
          </cell>
        </row>
        <row r="214">
          <cell r="D214" t="str">
            <v>SB22163</v>
          </cell>
          <cell r="E214">
            <v>10128</v>
          </cell>
        </row>
        <row r="215">
          <cell r="D215" t="str">
            <v>SB22164</v>
          </cell>
          <cell r="E215">
            <v>10129</v>
          </cell>
        </row>
        <row r="216">
          <cell r="D216" t="str">
            <v>SB22166</v>
          </cell>
          <cell r="E216">
            <v>10130</v>
          </cell>
        </row>
        <row r="217">
          <cell r="D217" t="str">
            <v>SB22167</v>
          </cell>
          <cell r="E217">
            <v>10131</v>
          </cell>
        </row>
        <row r="218">
          <cell r="D218" t="str">
            <v>SB22168</v>
          </cell>
          <cell r="E218">
            <v>10132</v>
          </cell>
        </row>
        <row r="219">
          <cell r="D219" t="str">
            <v>SB22169</v>
          </cell>
          <cell r="E219">
            <v>10133</v>
          </cell>
        </row>
        <row r="220">
          <cell r="D220" t="str">
            <v>SB22170</v>
          </cell>
          <cell r="E220">
            <v>10134</v>
          </cell>
        </row>
        <row r="221">
          <cell r="D221" t="str">
            <v>SB22171</v>
          </cell>
          <cell r="E221">
            <v>10135</v>
          </cell>
        </row>
        <row r="222">
          <cell r="D222" t="str">
            <v>SB22172</v>
          </cell>
          <cell r="E222">
            <v>10136</v>
          </cell>
        </row>
        <row r="223">
          <cell r="D223" t="str">
            <v>SB22173</v>
          </cell>
          <cell r="E223">
            <v>10137</v>
          </cell>
        </row>
        <row r="224">
          <cell r="D224" t="str">
            <v>SB22174</v>
          </cell>
          <cell r="E224">
            <v>10138</v>
          </cell>
        </row>
        <row r="225">
          <cell r="D225" t="str">
            <v>SB22175</v>
          </cell>
          <cell r="E225">
            <v>10139</v>
          </cell>
        </row>
        <row r="226">
          <cell r="D226" t="str">
            <v>SB22176</v>
          </cell>
          <cell r="E226">
            <v>10140</v>
          </cell>
        </row>
        <row r="227">
          <cell r="D227" t="str">
            <v>SB22177</v>
          </cell>
          <cell r="E227">
            <v>10141</v>
          </cell>
        </row>
        <row r="228">
          <cell r="D228" t="str">
            <v>SB22178</v>
          </cell>
          <cell r="E228">
            <v>10142</v>
          </cell>
        </row>
        <row r="229">
          <cell r="D229" t="str">
            <v>SB22179</v>
          </cell>
          <cell r="E229">
            <v>10143</v>
          </cell>
        </row>
        <row r="230">
          <cell r="D230" t="str">
            <v>SB22180</v>
          </cell>
          <cell r="E230">
            <v>10144</v>
          </cell>
        </row>
        <row r="231">
          <cell r="D231" t="str">
            <v>SB22181</v>
          </cell>
          <cell r="E231">
            <v>10145</v>
          </cell>
        </row>
        <row r="232">
          <cell r="D232" t="str">
            <v>SB22182</v>
          </cell>
          <cell r="E232">
            <v>10146</v>
          </cell>
        </row>
        <row r="233">
          <cell r="D233" t="str">
            <v>SB22183</v>
          </cell>
          <cell r="E233">
            <v>10147</v>
          </cell>
        </row>
        <row r="234">
          <cell r="D234" t="str">
            <v>SB22184</v>
          </cell>
          <cell r="E234">
            <v>10148</v>
          </cell>
        </row>
        <row r="235">
          <cell r="D235" t="str">
            <v>SB22185</v>
          </cell>
          <cell r="E235">
            <v>10149</v>
          </cell>
        </row>
        <row r="236">
          <cell r="D236" t="str">
            <v>SB22186</v>
          </cell>
          <cell r="E236">
            <v>10150</v>
          </cell>
        </row>
        <row r="237">
          <cell r="D237" t="str">
            <v>SB22187</v>
          </cell>
          <cell r="E237">
            <v>10151</v>
          </cell>
        </row>
        <row r="238">
          <cell r="D238" t="str">
            <v>SB22188</v>
          </cell>
          <cell r="E238">
            <v>10152</v>
          </cell>
        </row>
        <row r="239">
          <cell r="D239" t="str">
            <v>SB22189</v>
          </cell>
          <cell r="E239">
            <v>10153</v>
          </cell>
        </row>
        <row r="240">
          <cell r="D240" t="str">
            <v>SB22190</v>
          </cell>
          <cell r="E240">
            <v>10154</v>
          </cell>
        </row>
        <row r="241">
          <cell r="D241" t="str">
            <v>SB22191</v>
          </cell>
          <cell r="E241">
            <v>10155</v>
          </cell>
        </row>
        <row r="242">
          <cell r="D242" t="str">
            <v>SB22192</v>
          </cell>
          <cell r="E242">
            <v>10156</v>
          </cell>
        </row>
        <row r="243">
          <cell r="D243" t="str">
            <v>SB22193</v>
          </cell>
          <cell r="E243">
            <v>10157</v>
          </cell>
        </row>
        <row r="244">
          <cell r="D244" t="str">
            <v>SB22194</v>
          </cell>
          <cell r="E244">
            <v>10158</v>
          </cell>
        </row>
        <row r="245">
          <cell r="D245" t="str">
            <v>SB22195</v>
          </cell>
          <cell r="E245">
            <v>10159</v>
          </cell>
        </row>
        <row r="246">
          <cell r="D246" t="str">
            <v>SB22196</v>
          </cell>
          <cell r="E246">
            <v>10160</v>
          </cell>
        </row>
        <row r="247">
          <cell r="D247" t="str">
            <v>SB22197</v>
          </cell>
          <cell r="E247">
            <v>10161</v>
          </cell>
        </row>
        <row r="248">
          <cell r="D248" t="str">
            <v>SB22198</v>
          </cell>
          <cell r="E248">
            <v>10162</v>
          </cell>
        </row>
        <row r="249">
          <cell r="D249" t="str">
            <v>SB22199</v>
          </cell>
          <cell r="E249">
            <v>10163</v>
          </cell>
        </row>
        <row r="250">
          <cell r="D250" t="str">
            <v>SB22200</v>
          </cell>
          <cell r="E250">
            <v>10164</v>
          </cell>
        </row>
        <row r="251">
          <cell r="D251" t="str">
            <v>SB22201</v>
          </cell>
          <cell r="E251">
            <v>10165</v>
          </cell>
        </row>
        <row r="252">
          <cell r="D252" t="str">
            <v>SB22202</v>
          </cell>
          <cell r="E252">
            <v>10166</v>
          </cell>
        </row>
        <row r="253">
          <cell r="D253" t="str">
            <v>SB22203</v>
          </cell>
          <cell r="E253">
            <v>10167</v>
          </cell>
        </row>
        <row r="254">
          <cell r="D254" t="str">
            <v>SB22204</v>
          </cell>
          <cell r="E254">
            <v>10168</v>
          </cell>
        </row>
        <row r="255">
          <cell r="D255" t="str">
            <v>SB22205</v>
          </cell>
          <cell r="E255">
            <v>10169</v>
          </cell>
        </row>
        <row r="256">
          <cell r="D256" t="str">
            <v>SB22206</v>
          </cell>
          <cell r="E256">
            <v>10170</v>
          </cell>
        </row>
        <row r="257">
          <cell r="D257" t="str">
            <v>SB22207</v>
          </cell>
          <cell r="E257">
            <v>10171</v>
          </cell>
        </row>
        <row r="258">
          <cell r="D258" t="str">
            <v>SB22208</v>
          </cell>
          <cell r="E258">
            <v>10172</v>
          </cell>
        </row>
        <row r="259">
          <cell r="D259" t="str">
            <v>SB22209</v>
          </cell>
          <cell r="E259">
            <v>10173</v>
          </cell>
        </row>
        <row r="260">
          <cell r="D260" t="str">
            <v>SB22210</v>
          </cell>
          <cell r="E260">
            <v>10174</v>
          </cell>
        </row>
        <row r="261">
          <cell r="D261" t="str">
            <v>SB22211</v>
          </cell>
          <cell r="E261">
            <v>10175</v>
          </cell>
        </row>
        <row r="262">
          <cell r="D262" t="str">
            <v>SB22212</v>
          </cell>
          <cell r="E262">
            <v>10176</v>
          </cell>
        </row>
        <row r="263">
          <cell r="D263" t="str">
            <v>SB22213</v>
          </cell>
          <cell r="E263">
            <v>10177</v>
          </cell>
        </row>
        <row r="264">
          <cell r="D264" t="str">
            <v>SB22214</v>
          </cell>
          <cell r="E264">
            <v>10178</v>
          </cell>
        </row>
        <row r="265">
          <cell r="D265" t="str">
            <v>SB22215</v>
          </cell>
          <cell r="E265">
            <v>10179</v>
          </cell>
        </row>
        <row r="266">
          <cell r="D266" t="str">
            <v>SB22216</v>
          </cell>
          <cell r="E266">
            <v>10180</v>
          </cell>
        </row>
        <row r="267">
          <cell r="D267" t="str">
            <v>SB22217</v>
          </cell>
          <cell r="E267">
            <v>10181</v>
          </cell>
        </row>
        <row r="268">
          <cell r="D268" t="str">
            <v>SB22218</v>
          </cell>
          <cell r="E268">
            <v>10182</v>
          </cell>
        </row>
        <row r="269">
          <cell r="D269" t="str">
            <v>SB22219</v>
          </cell>
          <cell r="E269">
            <v>10183</v>
          </cell>
        </row>
        <row r="270">
          <cell r="D270" t="str">
            <v>SB22220</v>
          </cell>
          <cell r="E270">
            <v>10184</v>
          </cell>
        </row>
        <row r="271">
          <cell r="D271" t="str">
            <v>SB22221</v>
          </cell>
          <cell r="E271">
            <v>10185</v>
          </cell>
        </row>
        <row r="272">
          <cell r="D272" t="str">
            <v>SB22222</v>
          </cell>
          <cell r="E272">
            <v>10186</v>
          </cell>
        </row>
        <row r="273">
          <cell r="D273" t="str">
            <v>SB22223</v>
          </cell>
          <cell r="E273">
            <v>10187</v>
          </cell>
        </row>
        <row r="274">
          <cell r="D274" t="str">
            <v>SB22224</v>
          </cell>
          <cell r="E274">
            <v>10188</v>
          </cell>
        </row>
        <row r="275">
          <cell r="D275" t="str">
            <v>SB22225</v>
          </cell>
          <cell r="E275">
            <v>10189</v>
          </cell>
        </row>
        <row r="276">
          <cell r="D276" t="str">
            <v>SB22226</v>
          </cell>
          <cell r="E276">
            <v>10190</v>
          </cell>
        </row>
        <row r="277">
          <cell r="D277" t="str">
            <v>SB22227</v>
          </cell>
          <cell r="E277">
            <v>10191</v>
          </cell>
        </row>
        <row r="278">
          <cell r="D278" t="str">
            <v>SB22228</v>
          </cell>
          <cell r="E278">
            <v>10192</v>
          </cell>
        </row>
        <row r="279">
          <cell r="D279" t="str">
            <v>SB22229</v>
          </cell>
          <cell r="E279">
            <v>10193</v>
          </cell>
        </row>
        <row r="280">
          <cell r="D280" t="str">
            <v>SB22230</v>
          </cell>
          <cell r="E280">
            <v>10194</v>
          </cell>
        </row>
        <row r="281">
          <cell r="D281" t="str">
            <v>SB22231</v>
          </cell>
          <cell r="E281">
            <v>10195</v>
          </cell>
        </row>
        <row r="282">
          <cell r="D282" t="str">
            <v>SB22232</v>
          </cell>
          <cell r="E282">
            <v>10196</v>
          </cell>
        </row>
        <row r="283">
          <cell r="D283" t="str">
            <v>SB22233</v>
          </cell>
          <cell r="E283">
            <v>10197</v>
          </cell>
        </row>
        <row r="284">
          <cell r="D284" t="str">
            <v>SB22234</v>
          </cell>
          <cell r="E284">
            <v>10198</v>
          </cell>
        </row>
        <row r="285">
          <cell r="D285" t="str">
            <v>SB22235</v>
          </cell>
          <cell r="E285">
            <v>10199</v>
          </cell>
        </row>
        <row r="286">
          <cell r="D286" t="str">
            <v>SB22236</v>
          </cell>
          <cell r="E286">
            <v>10200</v>
          </cell>
        </row>
        <row r="287">
          <cell r="D287" t="str">
            <v>SB22237</v>
          </cell>
          <cell r="E287">
            <v>10201</v>
          </cell>
        </row>
        <row r="288">
          <cell r="D288" t="str">
            <v>SB22238</v>
          </cell>
          <cell r="E288">
            <v>10202</v>
          </cell>
        </row>
        <row r="289">
          <cell r="D289" t="str">
            <v>SB22239</v>
          </cell>
          <cell r="E289">
            <v>10203</v>
          </cell>
        </row>
        <row r="290">
          <cell r="D290" t="str">
            <v>SB22240</v>
          </cell>
          <cell r="E290">
            <v>10204</v>
          </cell>
        </row>
        <row r="291">
          <cell r="D291" t="str">
            <v>SB22241</v>
          </cell>
          <cell r="E291">
            <v>10205</v>
          </cell>
        </row>
        <row r="292">
          <cell r="D292" t="str">
            <v>SB22242</v>
          </cell>
          <cell r="E292">
            <v>10206</v>
          </cell>
        </row>
        <row r="293">
          <cell r="D293" t="str">
            <v>SB22243</v>
          </cell>
          <cell r="E293">
            <v>10207</v>
          </cell>
        </row>
        <row r="294">
          <cell r="D294" t="str">
            <v>SB22244</v>
          </cell>
          <cell r="E294">
            <v>10208</v>
          </cell>
        </row>
        <row r="295">
          <cell r="D295" t="str">
            <v>SB22245</v>
          </cell>
          <cell r="E295">
            <v>10209</v>
          </cell>
        </row>
        <row r="296">
          <cell r="D296" t="str">
            <v>SB22246</v>
          </cell>
          <cell r="E296">
            <v>10210</v>
          </cell>
        </row>
        <row r="297">
          <cell r="D297" t="str">
            <v>SB22247</v>
          </cell>
          <cell r="E297">
            <v>10211</v>
          </cell>
        </row>
        <row r="298">
          <cell r="D298" t="str">
            <v>SB22248</v>
          </cell>
          <cell r="E298">
            <v>10212</v>
          </cell>
        </row>
        <row r="299">
          <cell r="D299" t="str">
            <v>SB22249</v>
          </cell>
          <cell r="E299">
            <v>10213</v>
          </cell>
        </row>
        <row r="300">
          <cell r="D300" t="str">
            <v>SB22250</v>
          </cell>
          <cell r="E300">
            <v>10214</v>
          </cell>
        </row>
        <row r="301">
          <cell r="D301" t="str">
            <v>SB22251</v>
          </cell>
          <cell r="E301">
            <v>10215</v>
          </cell>
        </row>
        <row r="302">
          <cell r="D302" t="str">
            <v>SB22252</v>
          </cell>
          <cell r="E302">
            <v>10216</v>
          </cell>
        </row>
        <row r="303">
          <cell r="D303" t="str">
            <v>SB22253</v>
          </cell>
          <cell r="E303">
            <v>10217</v>
          </cell>
        </row>
        <row r="304">
          <cell r="D304" t="str">
            <v>SB22254</v>
          </cell>
          <cell r="E304">
            <v>10218</v>
          </cell>
        </row>
        <row r="305">
          <cell r="D305" t="str">
            <v>SB22255</v>
          </cell>
          <cell r="E305">
            <v>10219</v>
          </cell>
        </row>
        <row r="306">
          <cell r="D306" t="str">
            <v>SB22256</v>
          </cell>
          <cell r="E306">
            <v>10220</v>
          </cell>
        </row>
        <row r="307">
          <cell r="D307" t="str">
            <v>SB22257</v>
          </cell>
          <cell r="E307">
            <v>10221</v>
          </cell>
        </row>
        <row r="308">
          <cell r="D308" t="str">
            <v>SB22258</v>
          </cell>
          <cell r="E308">
            <v>10222</v>
          </cell>
        </row>
        <row r="309">
          <cell r="D309" t="str">
            <v>SB22259</v>
          </cell>
          <cell r="E309">
            <v>10223</v>
          </cell>
        </row>
        <row r="310">
          <cell r="D310" t="str">
            <v>SB22260</v>
          </cell>
          <cell r="E310">
            <v>10224</v>
          </cell>
        </row>
        <row r="311">
          <cell r="D311" t="str">
            <v>SB22261</v>
          </cell>
          <cell r="E311">
            <v>10225</v>
          </cell>
        </row>
        <row r="312">
          <cell r="D312" t="str">
            <v>SB22262</v>
          </cell>
          <cell r="E312">
            <v>10226</v>
          </cell>
        </row>
        <row r="313">
          <cell r="D313" t="str">
            <v>SB22263</v>
          </cell>
          <cell r="E313">
            <v>10227</v>
          </cell>
        </row>
        <row r="314">
          <cell r="D314" t="str">
            <v>SB22264</v>
          </cell>
          <cell r="E314">
            <v>10228</v>
          </cell>
        </row>
        <row r="315">
          <cell r="D315" t="str">
            <v>SB22265</v>
          </cell>
          <cell r="E315">
            <v>10229</v>
          </cell>
        </row>
        <row r="316">
          <cell r="D316" t="str">
            <v>SB22266</v>
          </cell>
          <cell r="E316">
            <v>10230</v>
          </cell>
        </row>
        <row r="317">
          <cell r="D317" t="str">
            <v>SB22267</v>
          </cell>
          <cell r="E317">
            <v>10231</v>
          </cell>
        </row>
        <row r="318">
          <cell r="D318" t="str">
            <v>SB22268</v>
          </cell>
          <cell r="E318">
            <v>10232</v>
          </cell>
        </row>
        <row r="319">
          <cell r="D319" t="str">
            <v>SB22269</v>
          </cell>
          <cell r="E319">
            <v>10233</v>
          </cell>
        </row>
        <row r="320">
          <cell r="D320" t="str">
            <v>SB22270</v>
          </cell>
          <cell r="E320">
            <v>10234</v>
          </cell>
        </row>
        <row r="321">
          <cell r="D321" t="str">
            <v>SB22271</v>
          </cell>
          <cell r="E321">
            <v>10235</v>
          </cell>
        </row>
        <row r="322">
          <cell r="D322" t="str">
            <v>SB22272</v>
          </cell>
          <cell r="E322">
            <v>10236</v>
          </cell>
        </row>
        <row r="323">
          <cell r="D323" t="str">
            <v>SB22273</v>
          </cell>
          <cell r="E323">
            <v>10237</v>
          </cell>
        </row>
        <row r="324">
          <cell r="D324" t="str">
            <v>SB22274</v>
          </cell>
          <cell r="E324">
            <v>10238</v>
          </cell>
        </row>
        <row r="325">
          <cell r="D325" t="str">
            <v>SB22275</v>
          </cell>
          <cell r="E325">
            <v>10239</v>
          </cell>
        </row>
        <row r="326">
          <cell r="D326" t="str">
            <v>SB22276</v>
          </cell>
          <cell r="E326">
            <v>10240</v>
          </cell>
        </row>
        <row r="327">
          <cell r="D327" t="str">
            <v>SB22277</v>
          </cell>
          <cell r="E327">
            <v>10241</v>
          </cell>
        </row>
        <row r="328">
          <cell r="D328" t="str">
            <v>SB22278</v>
          </cell>
          <cell r="E328">
            <v>10242</v>
          </cell>
        </row>
        <row r="329">
          <cell r="D329" t="str">
            <v>SB22279</v>
          </cell>
          <cell r="E329">
            <v>10243</v>
          </cell>
        </row>
        <row r="330">
          <cell r="D330" t="str">
            <v>SB22280</v>
          </cell>
          <cell r="E330">
            <v>10244</v>
          </cell>
        </row>
        <row r="331">
          <cell r="D331" t="str">
            <v>SB22281</v>
          </cell>
          <cell r="E331">
            <v>10245</v>
          </cell>
        </row>
        <row r="332">
          <cell r="D332" t="str">
            <v>SB22282</v>
          </cell>
          <cell r="E332">
            <v>10246</v>
          </cell>
        </row>
        <row r="333">
          <cell r="D333" t="str">
            <v>SB22283</v>
          </cell>
          <cell r="E333">
            <v>10247</v>
          </cell>
        </row>
        <row r="334">
          <cell r="D334" t="str">
            <v>SB22284</v>
          </cell>
          <cell r="E334">
            <v>10248</v>
          </cell>
        </row>
        <row r="335">
          <cell r="D335" t="str">
            <v>SB22285</v>
          </cell>
          <cell r="E335">
            <v>10249</v>
          </cell>
        </row>
        <row r="336">
          <cell r="D336" t="str">
            <v>SB22286</v>
          </cell>
          <cell r="E336">
            <v>10250</v>
          </cell>
        </row>
        <row r="337">
          <cell r="D337" t="str">
            <v>SB22287</v>
          </cell>
          <cell r="E337">
            <v>10251</v>
          </cell>
        </row>
        <row r="338">
          <cell r="D338" t="str">
            <v>SB22288</v>
          </cell>
          <cell r="E338">
            <v>10252</v>
          </cell>
        </row>
        <row r="339">
          <cell r="D339" t="str">
            <v>SB22289</v>
          </cell>
          <cell r="E339">
            <v>10253</v>
          </cell>
        </row>
        <row r="340">
          <cell r="D340" t="str">
            <v>SB22290</v>
          </cell>
          <cell r="E340">
            <v>10254</v>
          </cell>
        </row>
        <row r="341">
          <cell r="D341" t="str">
            <v>SB22291</v>
          </cell>
          <cell r="E341">
            <v>10255</v>
          </cell>
        </row>
        <row r="342">
          <cell r="D342" t="str">
            <v>SB22292</v>
          </cell>
          <cell r="E342">
            <v>10256</v>
          </cell>
        </row>
        <row r="343">
          <cell r="D343" t="str">
            <v>SB22293</v>
          </cell>
          <cell r="E343">
            <v>10257</v>
          </cell>
        </row>
        <row r="344">
          <cell r="D344" t="str">
            <v>SB22294</v>
          </cell>
          <cell r="E344">
            <v>10258</v>
          </cell>
        </row>
        <row r="345">
          <cell r="D345" t="str">
            <v>SB22295</v>
          </cell>
          <cell r="E345">
            <v>10259</v>
          </cell>
        </row>
        <row r="346">
          <cell r="D346" t="str">
            <v>SB22296</v>
          </cell>
          <cell r="E346">
            <v>10260</v>
          </cell>
        </row>
        <row r="347">
          <cell r="D347" t="str">
            <v>SB22297</v>
          </cell>
          <cell r="E347">
            <v>10261</v>
          </cell>
        </row>
        <row r="348">
          <cell r="D348" t="str">
            <v>SB22298</v>
          </cell>
          <cell r="E348">
            <v>10262</v>
          </cell>
        </row>
        <row r="349">
          <cell r="D349" t="str">
            <v>SB22299</v>
          </cell>
          <cell r="E349">
            <v>10263</v>
          </cell>
        </row>
        <row r="350">
          <cell r="D350" t="str">
            <v>SB22300</v>
          </cell>
          <cell r="E350">
            <v>10264</v>
          </cell>
        </row>
        <row r="351">
          <cell r="D351" t="str">
            <v>SB22301</v>
          </cell>
          <cell r="E351">
            <v>10265</v>
          </cell>
        </row>
        <row r="352">
          <cell r="D352" t="str">
            <v>SB22302</v>
          </cell>
          <cell r="E352">
            <v>10266</v>
          </cell>
        </row>
        <row r="353">
          <cell r="D353" t="str">
            <v>SB22303</v>
          </cell>
          <cell r="E353">
            <v>10267</v>
          </cell>
        </row>
        <row r="354">
          <cell r="D354" t="str">
            <v>SB22304</v>
          </cell>
          <cell r="E354">
            <v>10268</v>
          </cell>
        </row>
        <row r="355">
          <cell r="D355" t="str">
            <v>SB22305</v>
          </cell>
          <cell r="E355">
            <v>10269</v>
          </cell>
        </row>
        <row r="356">
          <cell r="D356" t="str">
            <v>SB22306</v>
          </cell>
          <cell r="E356">
            <v>10270</v>
          </cell>
        </row>
        <row r="357">
          <cell r="D357" t="str">
            <v>SB22307</v>
          </cell>
          <cell r="E357">
            <v>10271</v>
          </cell>
        </row>
        <row r="358">
          <cell r="D358" t="str">
            <v>SB22308</v>
          </cell>
          <cell r="E358">
            <v>10272</v>
          </cell>
        </row>
        <row r="359">
          <cell r="D359" t="str">
            <v>SB22309</v>
          </cell>
          <cell r="E359">
            <v>10273</v>
          </cell>
        </row>
        <row r="360">
          <cell r="D360" t="str">
            <v>SB22310</v>
          </cell>
          <cell r="E360">
            <v>10274</v>
          </cell>
        </row>
        <row r="361">
          <cell r="D361" t="str">
            <v>SB22311</v>
          </cell>
          <cell r="E361">
            <v>10275</v>
          </cell>
        </row>
        <row r="362">
          <cell r="D362" t="str">
            <v>SB22312</v>
          </cell>
          <cell r="E362">
            <v>10276</v>
          </cell>
        </row>
        <row r="363">
          <cell r="D363" t="str">
            <v>SB22313</v>
          </cell>
          <cell r="E363">
            <v>10277</v>
          </cell>
        </row>
        <row r="364">
          <cell r="D364" t="str">
            <v>SB22314</v>
          </cell>
          <cell r="E364">
            <v>10278</v>
          </cell>
        </row>
        <row r="365">
          <cell r="D365" t="str">
            <v>SB22315</v>
          </cell>
          <cell r="E365">
            <v>10279</v>
          </cell>
        </row>
        <row r="366">
          <cell r="D366" t="str">
            <v>SB22316</v>
          </cell>
          <cell r="E366">
            <v>10280</v>
          </cell>
        </row>
        <row r="367">
          <cell r="D367" t="str">
            <v>SB22317</v>
          </cell>
          <cell r="E367">
            <v>10281</v>
          </cell>
        </row>
        <row r="368">
          <cell r="D368" t="str">
            <v>SB22318</v>
          </cell>
          <cell r="E368">
            <v>10282</v>
          </cell>
        </row>
        <row r="369">
          <cell r="D369" t="str">
            <v>SB22319</v>
          </cell>
          <cell r="E369">
            <v>10283</v>
          </cell>
        </row>
        <row r="370">
          <cell r="D370" t="str">
            <v>SB22320</v>
          </cell>
          <cell r="E370">
            <v>10284</v>
          </cell>
        </row>
        <row r="371">
          <cell r="D371" t="str">
            <v>SB22321</v>
          </cell>
          <cell r="E371">
            <v>10285</v>
          </cell>
        </row>
        <row r="372">
          <cell r="D372" t="str">
            <v>SB22322</v>
          </cell>
          <cell r="E372">
            <v>10286</v>
          </cell>
        </row>
        <row r="373">
          <cell r="D373" t="str">
            <v>SB22323</v>
          </cell>
          <cell r="E373">
            <v>10287</v>
          </cell>
        </row>
        <row r="374">
          <cell r="D374" t="str">
            <v>SB22324</v>
          </cell>
          <cell r="E374">
            <v>10288</v>
          </cell>
        </row>
        <row r="375">
          <cell r="D375" t="str">
            <v>SB22325</v>
          </cell>
          <cell r="E375">
            <v>10622</v>
          </cell>
        </row>
        <row r="376">
          <cell r="D376" t="str">
            <v>SB22326</v>
          </cell>
          <cell r="E376">
            <v>10289</v>
          </cell>
        </row>
        <row r="377">
          <cell r="D377" t="str">
            <v>SB22327</v>
          </cell>
          <cell r="E377">
            <v>10290</v>
          </cell>
        </row>
        <row r="378">
          <cell r="D378" t="str">
            <v>SB22328</v>
          </cell>
          <cell r="E378">
            <v>10291</v>
          </cell>
        </row>
        <row r="379">
          <cell r="D379" t="str">
            <v>SB22329</v>
          </cell>
          <cell r="E379">
            <v>10292</v>
          </cell>
        </row>
        <row r="380">
          <cell r="D380" t="str">
            <v>SB22330</v>
          </cell>
          <cell r="E380">
            <v>10293</v>
          </cell>
        </row>
        <row r="381">
          <cell r="D381" t="str">
            <v>SB22331</v>
          </cell>
          <cell r="E381">
            <v>10294</v>
          </cell>
        </row>
        <row r="382">
          <cell r="D382" t="str">
            <v>SB22332</v>
          </cell>
          <cell r="E382">
            <v>10295</v>
          </cell>
        </row>
        <row r="383">
          <cell r="D383" t="str">
            <v>SB22333</v>
          </cell>
          <cell r="E383">
            <v>10296</v>
          </cell>
        </row>
        <row r="384">
          <cell r="D384" t="str">
            <v>SB22334</v>
          </cell>
          <cell r="E384">
            <v>10297</v>
          </cell>
        </row>
        <row r="385">
          <cell r="D385" t="str">
            <v>SB22335</v>
          </cell>
          <cell r="E385">
            <v>10298</v>
          </cell>
        </row>
        <row r="386">
          <cell r="D386" t="str">
            <v>SB22336</v>
          </cell>
          <cell r="E386">
            <v>10299</v>
          </cell>
        </row>
        <row r="387">
          <cell r="D387" t="str">
            <v>SB22337</v>
          </cell>
          <cell r="E387">
            <v>10300</v>
          </cell>
        </row>
        <row r="388">
          <cell r="D388" t="str">
            <v>SB22338</v>
          </cell>
          <cell r="E388">
            <v>10301</v>
          </cell>
        </row>
        <row r="389">
          <cell r="D389" t="str">
            <v>SB22339</v>
          </cell>
          <cell r="E389">
            <v>10302</v>
          </cell>
        </row>
        <row r="390">
          <cell r="D390" t="str">
            <v>SB22340</v>
          </cell>
          <cell r="E390">
            <v>10303</v>
          </cell>
        </row>
        <row r="391">
          <cell r="D391" t="str">
            <v>SB22341</v>
          </cell>
          <cell r="E391">
            <v>10304</v>
          </cell>
        </row>
        <row r="392">
          <cell r="D392" t="str">
            <v>SB22342</v>
          </cell>
          <cell r="E392">
            <v>10305</v>
          </cell>
        </row>
        <row r="393">
          <cell r="D393" t="str">
            <v>SB22343</v>
          </cell>
          <cell r="E393">
            <v>10306</v>
          </cell>
        </row>
        <row r="394">
          <cell r="D394" t="str">
            <v>SB22344</v>
          </cell>
          <cell r="E394">
            <v>10307</v>
          </cell>
        </row>
        <row r="395">
          <cell r="D395" t="str">
            <v>SB22345</v>
          </cell>
          <cell r="E395">
            <v>10308</v>
          </cell>
        </row>
        <row r="396">
          <cell r="D396" t="str">
            <v>SB22346</v>
          </cell>
          <cell r="E396">
            <v>10309</v>
          </cell>
        </row>
        <row r="397">
          <cell r="D397" t="str">
            <v>SB22347</v>
          </cell>
          <cell r="E397">
            <v>10310</v>
          </cell>
        </row>
        <row r="398">
          <cell r="D398" t="str">
            <v>SB22348</v>
          </cell>
          <cell r="E398">
            <v>10311</v>
          </cell>
        </row>
        <row r="399">
          <cell r="D399" t="str">
            <v>SB22349</v>
          </cell>
          <cell r="E399">
            <v>10312</v>
          </cell>
        </row>
        <row r="400">
          <cell r="D400" t="str">
            <v>SB22350</v>
          </cell>
          <cell r="E400">
            <v>10313</v>
          </cell>
        </row>
        <row r="401">
          <cell r="D401" t="str">
            <v>SB22351</v>
          </cell>
          <cell r="E401">
            <v>10314</v>
          </cell>
        </row>
        <row r="402">
          <cell r="D402" t="str">
            <v>SB22352</v>
          </cell>
          <cell r="E402">
            <v>10315</v>
          </cell>
        </row>
        <row r="403">
          <cell r="D403" t="str">
            <v>SB22353</v>
          </cell>
          <cell r="E403">
            <v>10316</v>
          </cell>
        </row>
        <row r="404">
          <cell r="D404" t="str">
            <v>SB22354</v>
          </cell>
          <cell r="E404">
            <v>10317</v>
          </cell>
        </row>
        <row r="405">
          <cell r="D405" t="str">
            <v>SB22355</v>
          </cell>
          <cell r="E405">
            <v>10318</v>
          </cell>
        </row>
        <row r="406">
          <cell r="D406" t="str">
            <v>SB22356</v>
          </cell>
          <cell r="E406">
            <v>10319</v>
          </cell>
        </row>
        <row r="407">
          <cell r="D407" t="str">
            <v>SB22357</v>
          </cell>
          <cell r="E407">
            <v>10320</v>
          </cell>
        </row>
        <row r="408">
          <cell r="D408" t="str">
            <v>SB22358</v>
          </cell>
          <cell r="E408">
            <v>10321</v>
          </cell>
        </row>
        <row r="409">
          <cell r="D409" t="str">
            <v>SB22359</v>
          </cell>
          <cell r="E409">
            <v>10322</v>
          </cell>
        </row>
        <row r="410">
          <cell r="D410" t="str">
            <v>SB22360</v>
          </cell>
          <cell r="E410">
            <v>10323</v>
          </cell>
        </row>
        <row r="411">
          <cell r="D411" t="str">
            <v>SB22361</v>
          </cell>
          <cell r="E411">
            <v>10324</v>
          </cell>
        </row>
        <row r="412">
          <cell r="D412" t="str">
            <v>SB22362</v>
          </cell>
          <cell r="E412">
            <v>10325</v>
          </cell>
        </row>
        <row r="413">
          <cell r="D413" t="str">
            <v>SB22363</v>
          </cell>
          <cell r="E413">
            <v>10326</v>
          </cell>
        </row>
        <row r="414">
          <cell r="D414" t="str">
            <v>SB22364</v>
          </cell>
          <cell r="E414">
            <v>10327</v>
          </cell>
        </row>
        <row r="415">
          <cell r="D415" t="str">
            <v>SB22365</v>
          </cell>
          <cell r="E415">
            <v>10328</v>
          </cell>
        </row>
        <row r="416">
          <cell r="D416" t="str">
            <v>SB22366</v>
          </cell>
          <cell r="E416">
            <v>10329</v>
          </cell>
        </row>
        <row r="417">
          <cell r="D417" t="str">
            <v>SB22367</v>
          </cell>
          <cell r="E417">
            <v>10330</v>
          </cell>
        </row>
        <row r="418">
          <cell r="D418" t="str">
            <v>SB22368</v>
          </cell>
          <cell r="E418">
            <v>10331</v>
          </cell>
        </row>
        <row r="419">
          <cell r="D419" t="str">
            <v>SB22369</v>
          </cell>
          <cell r="E419">
            <v>10332</v>
          </cell>
        </row>
        <row r="420">
          <cell r="D420" t="str">
            <v>SB22370</v>
          </cell>
          <cell r="E420">
            <v>10333</v>
          </cell>
        </row>
        <row r="421">
          <cell r="D421" t="str">
            <v>SB22371</v>
          </cell>
          <cell r="E421">
            <v>10334</v>
          </cell>
        </row>
        <row r="422">
          <cell r="D422" t="str">
            <v>SB22372</v>
          </cell>
          <cell r="E422">
            <v>10335</v>
          </cell>
        </row>
        <row r="423">
          <cell r="D423" t="str">
            <v>SB22373</v>
          </cell>
          <cell r="E423">
            <v>10336</v>
          </cell>
        </row>
        <row r="424">
          <cell r="D424" t="str">
            <v>SB22374</v>
          </cell>
          <cell r="E424">
            <v>10337</v>
          </cell>
        </row>
        <row r="425">
          <cell r="D425" t="str">
            <v>SB22375</v>
          </cell>
          <cell r="E425">
            <v>10338</v>
          </cell>
        </row>
        <row r="426">
          <cell r="D426" t="str">
            <v>SB22376</v>
          </cell>
          <cell r="E426">
            <v>10339</v>
          </cell>
        </row>
        <row r="427">
          <cell r="D427" t="str">
            <v>SB22377</v>
          </cell>
          <cell r="E427">
            <v>10340</v>
          </cell>
        </row>
        <row r="428">
          <cell r="D428" t="str">
            <v>SB22378</v>
          </cell>
          <cell r="E428">
            <v>10341</v>
          </cell>
        </row>
        <row r="429">
          <cell r="D429" t="str">
            <v>SB22379</v>
          </cell>
          <cell r="E429">
            <v>10342</v>
          </cell>
        </row>
        <row r="430">
          <cell r="D430" t="str">
            <v>SB22380</v>
          </cell>
          <cell r="E430">
            <v>10343</v>
          </cell>
        </row>
        <row r="431">
          <cell r="D431" t="str">
            <v>SB22381</v>
          </cell>
          <cell r="E431">
            <v>10344</v>
          </cell>
        </row>
        <row r="432">
          <cell r="D432" t="str">
            <v>SB22382</v>
          </cell>
          <cell r="E432">
            <v>10345</v>
          </cell>
        </row>
        <row r="433">
          <cell r="D433" t="str">
            <v>SB22383</v>
          </cell>
          <cell r="E433">
            <v>10346</v>
          </cell>
        </row>
        <row r="434">
          <cell r="D434" t="str">
            <v>SB22384</v>
          </cell>
          <cell r="E434">
            <v>11219</v>
          </cell>
        </row>
        <row r="435">
          <cell r="D435" t="str">
            <v>SB22385</v>
          </cell>
          <cell r="E435">
            <v>10347</v>
          </cell>
        </row>
        <row r="436">
          <cell r="D436" t="str">
            <v>SB22386</v>
          </cell>
          <cell r="E436">
            <v>10348</v>
          </cell>
        </row>
        <row r="437">
          <cell r="D437" t="str">
            <v>SB22387</v>
          </cell>
          <cell r="E437">
            <v>10349</v>
          </cell>
        </row>
        <row r="438">
          <cell r="D438" t="str">
            <v>SB22388</v>
          </cell>
          <cell r="E438">
            <v>10350</v>
          </cell>
        </row>
        <row r="439">
          <cell r="D439" t="str">
            <v>SB22389</v>
          </cell>
          <cell r="E439">
            <v>10351</v>
          </cell>
        </row>
        <row r="440">
          <cell r="D440" t="str">
            <v>SB22390</v>
          </cell>
          <cell r="E440">
            <v>10352</v>
          </cell>
        </row>
        <row r="441">
          <cell r="D441" t="str">
            <v>SB22391</v>
          </cell>
          <cell r="E441">
            <v>10353</v>
          </cell>
        </row>
        <row r="442">
          <cell r="D442" t="str">
            <v>SB22392</v>
          </cell>
          <cell r="E442">
            <v>10354</v>
          </cell>
        </row>
        <row r="443">
          <cell r="D443" t="str">
            <v>SB22393</v>
          </cell>
          <cell r="E443">
            <v>10355</v>
          </cell>
        </row>
        <row r="444">
          <cell r="D444" t="str">
            <v>SB22394</v>
          </cell>
          <cell r="E444">
            <v>10356</v>
          </cell>
        </row>
        <row r="445">
          <cell r="D445" t="str">
            <v>SB22395</v>
          </cell>
          <cell r="E445">
            <v>10357</v>
          </cell>
        </row>
        <row r="446">
          <cell r="D446" t="str">
            <v>SB22396</v>
          </cell>
          <cell r="E446">
            <v>10358</v>
          </cell>
        </row>
        <row r="447">
          <cell r="D447" t="str">
            <v>SB22397</v>
          </cell>
          <cell r="E447">
            <v>10359</v>
          </cell>
        </row>
        <row r="448">
          <cell r="D448" t="str">
            <v>SB22398</v>
          </cell>
          <cell r="E448">
            <v>10360</v>
          </cell>
        </row>
        <row r="449">
          <cell r="D449" t="str">
            <v>SB22399</v>
          </cell>
          <cell r="E449">
            <v>10361</v>
          </cell>
        </row>
        <row r="450">
          <cell r="D450" t="str">
            <v>SB22400</v>
          </cell>
          <cell r="E450">
            <v>10362</v>
          </cell>
        </row>
        <row r="451">
          <cell r="D451" t="str">
            <v>SB22401</v>
          </cell>
          <cell r="E451">
            <v>10363</v>
          </cell>
        </row>
        <row r="452">
          <cell r="D452" t="str">
            <v>SB22402</v>
          </cell>
          <cell r="E452">
            <v>10364</v>
          </cell>
        </row>
        <row r="453">
          <cell r="D453" t="str">
            <v>SB22403</v>
          </cell>
          <cell r="E453">
            <v>10365</v>
          </cell>
        </row>
        <row r="454">
          <cell r="D454" t="str">
            <v>SB22404</v>
          </cell>
          <cell r="E454">
            <v>10366</v>
          </cell>
        </row>
        <row r="455">
          <cell r="D455" t="str">
            <v>SB22405</v>
          </cell>
          <cell r="E455">
            <v>10367</v>
          </cell>
        </row>
        <row r="456">
          <cell r="D456" t="str">
            <v>SB22406</v>
          </cell>
          <cell r="E456">
            <v>10368</v>
          </cell>
        </row>
        <row r="457">
          <cell r="D457" t="str">
            <v>SB22407</v>
          </cell>
          <cell r="E457">
            <v>10369</v>
          </cell>
        </row>
        <row r="458">
          <cell r="D458" t="str">
            <v>SB22408</v>
          </cell>
          <cell r="E458">
            <v>10370</v>
          </cell>
        </row>
        <row r="459">
          <cell r="D459" t="str">
            <v>SB22409</v>
          </cell>
          <cell r="E459">
            <v>10371</v>
          </cell>
        </row>
        <row r="460">
          <cell r="D460" t="str">
            <v>SB22410</v>
          </cell>
          <cell r="E460">
            <v>10372</v>
          </cell>
        </row>
        <row r="461">
          <cell r="D461" t="str">
            <v>SB22411</v>
          </cell>
          <cell r="E461">
            <v>10373</v>
          </cell>
        </row>
        <row r="462">
          <cell r="D462" t="str">
            <v>SB22412</v>
          </cell>
          <cell r="E462">
            <v>10374</v>
          </cell>
        </row>
        <row r="463">
          <cell r="D463" t="str">
            <v>SB22413</v>
          </cell>
          <cell r="E463">
            <v>10375</v>
          </cell>
        </row>
        <row r="464">
          <cell r="D464" t="str">
            <v>SB22414</v>
          </cell>
          <cell r="E464">
            <v>10376</v>
          </cell>
        </row>
        <row r="465">
          <cell r="D465" t="str">
            <v>SB22415</v>
          </cell>
          <cell r="E465">
            <v>10377</v>
          </cell>
        </row>
        <row r="466">
          <cell r="D466" t="str">
            <v>SB22416</v>
          </cell>
          <cell r="E466">
            <v>10378</v>
          </cell>
        </row>
        <row r="467">
          <cell r="D467" t="str">
            <v>SB22417</v>
          </cell>
          <cell r="E467">
            <v>10379</v>
          </cell>
        </row>
        <row r="468">
          <cell r="D468" t="str">
            <v>SB22418</v>
          </cell>
          <cell r="E468">
            <v>10380</v>
          </cell>
        </row>
        <row r="469">
          <cell r="D469" t="str">
            <v>SB22419</v>
          </cell>
          <cell r="E469">
            <v>10381</v>
          </cell>
        </row>
        <row r="470">
          <cell r="D470" t="str">
            <v>SB22420</v>
          </cell>
          <cell r="E470">
            <v>11220</v>
          </cell>
        </row>
        <row r="471">
          <cell r="D471" t="str">
            <v>SB22421</v>
          </cell>
          <cell r="E471">
            <v>10382</v>
          </cell>
        </row>
        <row r="472">
          <cell r="D472" t="str">
            <v>SB22422</v>
          </cell>
          <cell r="E472">
            <v>11221</v>
          </cell>
        </row>
        <row r="473">
          <cell r="D473" t="str">
            <v>SB22423</v>
          </cell>
          <cell r="E473">
            <v>10383</v>
          </cell>
        </row>
        <row r="474">
          <cell r="D474" t="str">
            <v>SB22424</v>
          </cell>
          <cell r="E474">
            <v>10384</v>
          </cell>
        </row>
        <row r="475">
          <cell r="D475" t="str">
            <v>SB22425</v>
          </cell>
          <cell r="E475">
            <v>10385</v>
          </cell>
        </row>
        <row r="476">
          <cell r="D476" t="str">
            <v>SB22426</v>
          </cell>
          <cell r="E476">
            <v>10386</v>
          </cell>
        </row>
        <row r="477">
          <cell r="D477" t="str">
            <v>SB22427</v>
          </cell>
          <cell r="E477">
            <v>10387</v>
          </cell>
        </row>
        <row r="478">
          <cell r="D478" t="str">
            <v>SB22428</v>
          </cell>
          <cell r="E478">
            <v>10388</v>
          </cell>
        </row>
        <row r="479">
          <cell r="D479" t="str">
            <v>SB22429</v>
          </cell>
          <cell r="E479">
            <v>10389</v>
          </cell>
        </row>
        <row r="480">
          <cell r="D480" t="str">
            <v>SB22430</v>
          </cell>
          <cell r="E480">
            <v>10390</v>
          </cell>
        </row>
        <row r="481">
          <cell r="D481" t="str">
            <v>SB22431</v>
          </cell>
          <cell r="E481">
            <v>10391</v>
          </cell>
        </row>
        <row r="482">
          <cell r="D482" t="str">
            <v>SB22432</v>
          </cell>
          <cell r="E482">
            <v>10392</v>
          </cell>
        </row>
        <row r="483">
          <cell r="D483" t="str">
            <v>SB22433</v>
          </cell>
          <cell r="E483">
            <v>10393</v>
          </cell>
        </row>
        <row r="484">
          <cell r="D484" t="str">
            <v>SB22434</v>
          </cell>
          <cell r="E484">
            <v>10394</v>
          </cell>
        </row>
        <row r="485">
          <cell r="D485" t="str">
            <v>SB22435</v>
          </cell>
          <cell r="E485">
            <v>10395</v>
          </cell>
        </row>
        <row r="486">
          <cell r="D486" t="str">
            <v>SB22436</v>
          </cell>
          <cell r="E486">
            <v>10396</v>
          </cell>
        </row>
        <row r="487">
          <cell r="D487" t="str">
            <v>SB22437</v>
          </cell>
          <cell r="E487">
            <v>10397</v>
          </cell>
        </row>
        <row r="488">
          <cell r="D488" t="str">
            <v>SB22438</v>
          </cell>
          <cell r="E488">
            <v>10398</v>
          </cell>
        </row>
        <row r="489">
          <cell r="D489" t="str">
            <v>SB22439</v>
          </cell>
          <cell r="E489">
            <v>10399</v>
          </cell>
        </row>
        <row r="490">
          <cell r="D490" t="str">
            <v>SB22440</v>
          </cell>
          <cell r="E490">
            <v>10400</v>
          </cell>
        </row>
        <row r="491">
          <cell r="D491" t="str">
            <v>SB22441</v>
          </cell>
          <cell r="E491">
            <v>10401</v>
          </cell>
        </row>
        <row r="492">
          <cell r="D492" t="str">
            <v>SB22442</v>
          </cell>
          <cell r="E492">
            <v>10402</v>
          </cell>
        </row>
        <row r="493">
          <cell r="D493" t="str">
            <v>SB22443</v>
          </cell>
          <cell r="E493">
            <v>10403</v>
          </cell>
        </row>
        <row r="494">
          <cell r="D494" t="str">
            <v>SB22444</v>
          </cell>
          <cell r="E494">
            <v>10404</v>
          </cell>
        </row>
        <row r="495">
          <cell r="D495" t="str">
            <v>SB22445</v>
          </cell>
          <cell r="E495">
            <v>10405</v>
          </cell>
        </row>
        <row r="496">
          <cell r="D496" t="str">
            <v>SB22446</v>
          </cell>
          <cell r="E496">
            <v>10406</v>
          </cell>
        </row>
        <row r="497">
          <cell r="D497" t="str">
            <v>SB22447</v>
          </cell>
          <cell r="E497">
            <v>10407</v>
          </cell>
        </row>
        <row r="498">
          <cell r="D498" t="str">
            <v>SB22448</v>
          </cell>
          <cell r="E498">
            <v>10408</v>
          </cell>
        </row>
        <row r="499">
          <cell r="D499" t="str">
            <v>SB22449</v>
          </cell>
          <cell r="E499">
            <v>10409</v>
          </cell>
        </row>
        <row r="500">
          <cell r="D500" t="str">
            <v>SB22450</v>
          </cell>
          <cell r="E500">
            <v>10410</v>
          </cell>
        </row>
        <row r="501">
          <cell r="D501" t="str">
            <v>SB22451</v>
          </cell>
          <cell r="E501">
            <v>10411</v>
          </cell>
        </row>
        <row r="502">
          <cell r="D502" t="str">
            <v>SB22452</v>
          </cell>
          <cell r="E502">
            <v>10412</v>
          </cell>
        </row>
        <row r="503">
          <cell r="D503" t="str">
            <v>SB22453</v>
          </cell>
          <cell r="E503">
            <v>10413</v>
          </cell>
        </row>
        <row r="504">
          <cell r="D504" t="str">
            <v>SB22454</v>
          </cell>
          <cell r="E504">
            <v>10414</v>
          </cell>
        </row>
        <row r="505">
          <cell r="D505" t="str">
            <v>SB22455</v>
          </cell>
          <cell r="E505">
            <v>10415</v>
          </cell>
        </row>
        <row r="506">
          <cell r="D506" t="str">
            <v>SB22456</v>
          </cell>
          <cell r="E506">
            <v>10416</v>
          </cell>
        </row>
        <row r="507">
          <cell r="D507" t="str">
            <v>SB22457</v>
          </cell>
          <cell r="E507">
            <v>10417</v>
          </cell>
        </row>
        <row r="508">
          <cell r="D508" t="str">
            <v>SB22458</v>
          </cell>
          <cell r="E508">
            <v>10418</v>
          </cell>
        </row>
        <row r="509">
          <cell r="D509" t="str">
            <v>SB22459</v>
          </cell>
          <cell r="E509">
            <v>11222</v>
          </cell>
        </row>
        <row r="510">
          <cell r="D510" t="str">
            <v>SB22460</v>
          </cell>
          <cell r="E510">
            <v>10419</v>
          </cell>
        </row>
        <row r="511">
          <cell r="D511" t="str">
            <v>SB22461</v>
          </cell>
          <cell r="E511">
            <v>10420</v>
          </cell>
        </row>
        <row r="512">
          <cell r="D512" t="str">
            <v>SB22462</v>
          </cell>
          <cell r="E512">
            <v>10421</v>
          </cell>
        </row>
        <row r="513">
          <cell r="D513" t="str">
            <v>SB22463</v>
          </cell>
          <cell r="E513">
            <v>10422</v>
          </cell>
        </row>
        <row r="514">
          <cell r="D514" t="str">
            <v>SB22464</v>
          </cell>
          <cell r="E514">
            <v>10423</v>
          </cell>
        </row>
        <row r="515">
          <cell r="D515" t="str">
            <v>SB22465</v>
          </cell>
          <cell r="E515">
            <v>10424</v>
          </cell>
        </row>
        <row r="516">
          <cell r="D516" t="str">
            <v>SB22466</v>
          </cell>
          <cell r="E516">
            <v>10425</v>
          </cell>
        </row>
        <row r="517">
          <cell r="D517" t="str">
            <v>SB22467</v>
          </cell>
          <cell r="E517">
            <v>10426</v>
          </cell>
        </row>
        <row r="518">
          <cell r="D518" t="str">
            <v>SB22468</v>
          </cell>
          <cell r="E518">
            <v>10427</v>
          </cell>
        </row>
        <row r="519">
          <cell r="D519" t="str">
            <v>SB22469</v>
          </cell>
          <cell r="E519">
            <v>10428</v>
          </cell>
        </row>
        <row r="520">
          <cell r="D520" t="str">
            <v>SB22470</v>
          </cell>
          <cell r="E520">
            <v>10429</v>
          </cell>
        </row>
        <row r="521">
          <cell r="D521" t="str">
            <v>SB22471</v>
          </cell>
          <cell r="E521">
            <v>10430</v>
          </cell>
        </row>
        <row r="522">
          <cell r="D522" t="str">
            <v>SB22472</v>
          </cell>
          <cell r="E522">
            <v>11223</v>
          </cell>
        </row>
        <row r="523">
          <cell r="D523" t="str">
            <v>SB22473</v>
          </cell>
          <cell r="E523">
            <v>11224</v>
          </cell>
        </row>
        <row r="524">
          <cell r="D524" t="str">
            <v>SB22474</v>
          </cell>
          <cell r="E524">
            <v>11225</v>
          </cell>
        </row>
        <row r="525">
          <cell r="D525" t="str">
            <v>SB22475</v>
          </cell>
          <cell r="E525">
            <v>10431</v>
          </cell>
        </row>
        <row r="526">
          <cell r="D526" t="str">
            <v>SB22476</v>
          </cell>
          <cell r="E526">
            <v>11226</v>
          </cell>
        </row>
        <row r="527">
          <cell r="D527" t="str">
            <v>SB22477</v>
          </cell>
          <cell r="E527">
            <v>10432</v>
          </cell>
        </row>
        <row r="528">
          <cell r="D528" t="str">
            <v>SB22478</v>
          </cell>
          <cell r="E528">
            <v>10433</v>
          </cell>
        </row>
        <row r="529">
          <cell r="D529" t="str">
            <v>SB22479</v>
          </cell>
          <cell r="E529">
            <v>10434</v>
          </cell>
        </row>
        <row r="530">
          <cell r="D530" t="str">
            <v>SB22480</v>
          </cell>
          <cell r="E530">
            <v>10435</v>
          </cell>
        </row>
        <row r="531">
          <cell r="D531" t="str">
            <v>SB22481</v>
          </cell>
          <cell r="E531">
            <v>10623</v>
          </cell>
        </row>
        <row r="532">
          <cell r="D532" t="str">
            <v>SB22482</v>
          </cell>
          <cell r="E532">
            <v>10624</v>
          </cell>
        </row>
        <row r="533">
          <cell r="D533" t="str">
            <v>SB22483</v>
          </cell>
          <cell r="E533">
            <v>10625</v>
          </cell>
        </row>
        <row r="534">
          <cell r="D534" t="str">
            <v>SB22484</v>
          </cell>
          <cell r="E534">
            <v>10626</v>
          </cell>
        </row>
        <row r="535">
          <cell r="D535" t="str">
            <v>SB22485</v>
          </cell>
          <cell r="E535">
            <v>11227</v>
          </cell>
        </row>
        <row r="536">
          <cell r="D536" t="str">
            <v>SB22486</v>
          </cell>
          <cell r="E536">
            <v>10627</v>
          </cell>
        </row>
        <row r="537">
          <cell r="D537" t="str">
            <v>SB22487</v>
          </cell>
          <cell r="E537">
            <v>10628</v>
          </cell>
        </row>
        <row r="538">
          <cell r="D538" t="str">
            <v>SB22488</v>
          </cell>
          <cell r="E538">
            <v>10629</v>
          </cell>
        </row>
        <row r="539">
          <cell r="D539" t="str">
            <v>SB22489</v>
          </cell>
          <cell r="E539">
            <v>10630</v>
          </cell>
        </row>
        <row r="540">
          <cell r="D540" t="str">
            <v>SB22490</v>
          </cell>
          <cell r="E540">
            <v>10631</v>
          </cell>
        </row>
        <row r="541">
          <cell r="D541" t="str">
            <v>SB22491</v>
          </cell>
          <cell r="E541">
            <v>10632</v>
          </cell>
        </row>
        <row r="542">
          <cell r="D542" t="str">
            <v>SB22492</v>
          </cell>
          <cell r="E542">
            <v>10633</v>
          </cell>
        </row>
        <row r="543">
          <cell r="D543" t="str">
            <v>SB22493</v>
          </cell>
          <cell r="E543">
            <v>10634</v>
          </cell>
        </row>
        <row r="544">
          <cell r="D544" t="str">
            <v>SB22494</v>
          </cell>
          <cell r="E544">
            <v>10635</v>
          </cell>
        </row>
        <row r="545">
          <cell r="D545" t="str">
            <v>SB22495</v>
          </cell>
          <cell r="E545">
            <v>10636</v>
          </cell>
        </row>
        <row r="546">
          <cell r="D546" t="str">
            <v>SB22496</v>
          </cell>
          <cell r="E546">
            <v>10637</v>
          </cell>
        </row>
        <row r="547">
          <cell r="D547" t="str">
            <v>SB22497</v>
          </cell>
          <cell r="E547">
            <v>10638</v>
          </cell>
        </row>
        <row r="548">
          <cell r="D548" t="str">
            <v>SB22498</v>
          </cell>
          <cell r="E548">
            <v>10639</v>
          </cell>
        </row>
        <row r="549">
          <cell r="D549" t="str">
            <v>SB22499</v>
          </cell>
          <cell r="E549">
            <v>10640</v>
          </cell>
        </row>
        <row r="550">
          <cell r="D550" t="str">
            <v>SB22500</v>
          </cell>
          <cell r="E550">
            <v>10641</v>
          </cell>
        </row>
        <row r="551">
          <cell r="D551" t="str">
            <v>SB22501</v>
          </cell>
          <cell r="E551">
            <v>10642</v>
          </cell>
        </row>
        <row r="552">
          <cell r="D552" t="str">
            <v>SB22502</v>
          </cell>
          <cell r="E552">
            <v>10643</v>
          </cell>
        </row>
        <row r="553">
          <cell r="D553" t="str">
            <v>SB22503</v>
          </cell>
          <cell r="E553">
            <v>10644</v>
          </cell>
        </row>
        <row r="554">
          <cell r="D554" t="str">
            <v>SB22504</v>
          </cell>
          <cell r="E554">
            <v>10645</v>
          </cell>
        </row>
        <row r="555">
          <cell r="D555" t="str">
            <v>SB22505</v>
          </cell>
          <cell r="E555">
            <v>10646</v>
          </cell>
        </row>
        <row r="556">
          <cell r="D556" t="str">
            <v>SB22506</v>
          </cell>
          <cell r="E556">
            <v>10647</v>
          </cell>
        </row>
        <row r="557">
          <cell r="D557" t="str">
            <v>SB22507</v>
          </cell>
          <cell r="E557">
            <v>10648</v>
          </cell>
        </row>
        <row r="558">
          <cell r="D558" t="str">
            <v>SB22508</v>
          </cell>
          <cell r="E558">
            <v>10649</v>
          </cell>
        </row>
        <row r="559">
          <cell r="D559" t="str">
            <v>SB22509</v>
          </cell>
          <cell r="E559">
            <v>11228</v>
          </cell>
        </row>
        <row r="560">
          <cell r="D560" t="str">
            <v>SB22510</v>
          </cell>
          <cell r="E560">
            <v>10650</v>
          </cell>
        </row>
        <row r="561">
          <cell r="D561" t="str">
            <v>SB22511</v>
          </cell>
          <cell r="E561">
            <v>10651</v>
          </cell>
        </row>
        <row r="562">
          <cell r="D562" t="str">
            <v>SB22512</v>
          </cell>
          <cell r="E562">
            <v>10652</v>
          </cell>
        </row>
        <row r="563">
          <cell r="D563" t="str">
            <v>SB22513</v>
          </cell>
          <cell r="E563">
            <v>10653</v>
          </cell>
        </row>
        <row r="564">
          <cell r="D564" t="str">
            <v>SB22514</v>
          </cell>
          <cell r="E564">
            <v>10654</v>
          </cell>
        </row>
        <row r="565">
          <cell r="D565" t="str">
            <v>SB22515</v>
          </cell>
          <cell r="E565">
            <v>10655</v>
          </cell>
        </row>
        <row r="566">
          <cell r="D566" t="str">
            <v>SB22516</v>
          </cell>
          <cell r="E566">
            <v>10656</v>
          </cell>
        </row>
        <row r="567">
          <cell r="D567" t="str">
            <v>SB22517</v>
          </cell>
          <cell r="E567">
            <v>10657</v>
          </cell>
        </row>
        <row r="568">
          <cell r="D568" t="str">
            <v>SB22518</v>
          </cell>
          <cell r="E568">
            <v>10658</v>
          </cell>
        </row>
        <row r="569">
          <cell r="D569" t="str">
            <v>SB22519</v>
          </cell>
          <cell r="E569">
            <v>10659</v>
          </cell>
        </row>
        <row r="570">
          <cell r="D570" t="str">
            <v>SB22520</v>
          </cell>
          <cell r="E570">
            <v>10660</v>
          </cell>
        </row>
        <row r="571">
          <cell r="D571" t="str">
            <v>SB22521</v>
          </cell>
          <cell r="E571">
            <v>10661</v>
          </cell>
        </row>
        <row r="572">
          <cell r="D572" t="str">
            <v>SB22522</v>
          </cell>
          <cell r="E572">
            <v>11229</v>
          </cell>
        </row>
        <row r="573">
          <cell r="D573" t="str">
            <v>SB22523</v>
          </cell>
          <cell r="E573">
            <v>10662</v>
          </cell>
        </row>
        <row r="574">
          <cell r="D574" t="str">
            <v>SB22524</v>
          </cell>
          <cell r="E574">
            <v>10663</v>
          </cell>
        </row>
        <row r="575">
          <cell r="D575" t="str">
            <v>SB22525</v>
          </cell>
          <cell r="E575">
            <v>10664</v>
          </cell>
        </row>
        <row r="576">
          <cell r="D576" t="str">
            <v>SB22526</v>
          </cell>
          <cell r="E576">
            <v>10665</v>
          </cell>
        </row>
        <row r="577">
          <cell r="D577" t="str">
            <v>SB22527</v>
          </cell>
          <cell r="E577">
            <v>10666</v>
          </cell>
        </row>
        <row r="578">
          <cell r="D578" t="str">
            <v>SB22528</v>
          </cell>
          <cell r="E578">
            <v>10667</v>
          </cell>
        </row>
        <row r="579">
          <cell r="D579" t="str">
            <v>SB22529</v>
          </cell>
          <cell r="E579">
            <v>10668</v>
          </cell>
        </row>
        <row r="580">
          <cell r="D580" t="str">
            <v>SB22530</v>
          </cell>
          <cell r="E580">
            <v>11230</v>
          </cell>
        </row>
        <row r="581">
          <cell r="D581" t="str">
            <v>SB22531</v>
          </cell>
          <cell r="E581">
            <v>11231</v>
          </cell>
        </row>
        <row r="582">
          <cell r="D582" t="str">
            <v>SB22532</v>
          </cell>
          <cell r="E582">
            <v>10669</v>
          </cell>
        </row>
        <row r="583">
          <cell r="D583" t="str">
            <v>SB22533</v>
          </cell>
          <cell r="E583">
            <v>10670</v>
          </cell>
        </row>
        <row r="584">
          <cell r="D584" t="str">
            <v>SB22534</v>
          </cell>
          <cell r="E584">
            <v>10671</v>
          </cell>
        </row>
        <row r="585">
          <cell r="D585" t="str">
            <v>SB22535</v>
          </cell>
          <cell r="E585">
            <v>10672</v>
          </cell>
        </row>
        <row r="586">
          <cell r="D586" t="str">
            <v>SB22536</v>
          </cell>
          <cell r="E586">
            <v>10673</v>
          </cell>
        </row>
        <row r="587">
          <cell r="D587" t="str">
            <v>SB22537</v>
          </cell>
          <cell r="E587">
            <v>10674</v>
          </cell>
        </row>
        <row r="588">
          <cell r="D588" t="str">
            <v>SB22538</v>
          </cell>
          <cell r="E588">
            <v>10675</v>
          </cell>
        </row>
        <row r="589">
          <cell r="D589" t="str">
            <v>SB22539</v>
          </cell>
          <cell r="E589">
            <v>10676</v>
          </cell>
        </row>
        <row r="590">
          <cell r="D590" t="str">
            <v>SB22540</v>
          </cell>
          <cell r="E590">
            <v>10677</v>
          </cell>
        </row>
        <row r="591">
          <cell r="D591" t="str">
            <v>SB22541</v>
          </cell>
          <cell r="E591">
            <v>10678</v>
          </cell>
        </row>
        <row r="592">
          <cell r="D592" t="str">
            <v>SB22542</v>
          </cell>
          <cell r="E592">
            <v>10679</v>
          </cell>
        </row>
        <row r="593">
          <cell r="D593" t="str">
            <v>SB22543</v>
          </cell>
          <cell r="E593">
            <v>10680</v>
          </cell>
        </row>
        <row r="594">
          <cell r="D594" t="str">
            <v>SB22544</v>
          </cell>
          <cell r="E594">
            <v>10681</v>
          </cell>
        </row>
        <row r="595">
          <cell r="D595" t="str">
            <v>SB22545</v>
          </cell>
          <cell r="E595">
            <v>10682</v>
          </cell>
        </row>
        <row r="596">
          <cell r="D596" t="str">
            <v>SB22546</v>
          </cell>
          <cell r="E596">
            <v>10683</v>
          </cell>
        </row>
        <row r="597">
          <cell r="D597" t="str">
            <v>SB22547</v>
          </cell>
          <cell r="E597">
            <v>10684</v>
          </cell>
        </row>
        <row r="598">
          <cell r="D598" t="str">
            <v>SB22548</v>
          </cell>
          <cell r="E598">
            <v>10685</v>
          </cell>
        </row>
        <row r="599">
          <cell r="D599" t="str">
            <v>SB22549</v>
          </cell>
          <cell r="E599">
            <v>10686</v>
          </cell>
        </row>
        <row r="600">
          <cell r="D600" t="str">
            <v>SB22550</v>
          </cell>
          <cell r="E600">
            <v>10687</v>
          </cell>
        </row>
        <row r="601">
          <cell r="D601" t="str">
            <v>SB22551</v>
          </cell>
          <cell r="E601">
            <v>10688</v>
          </cell>
        </row>
        <row r="602">
          <cell r="D602" t="str">
            <v>SB22552</v>
          </cell>
          <cell r="E602">
            <v>10689</v>
          </cell>
        </row>
        <row r="603">
          <cell r="D603" t="str">
            <v>SB22553</v>
          </cell>
          <cell r="E603">
            <v>10690</v>
          </cell>
        </row>
        <row r="604">
          <cell r="D604" t="str">
            <v>SB22554</v>
          </cell>
          <cell r="E604">
            <v>10691</v>
          </cell>
        </row>
        <row r="605">
          <cell r="D605" t="str">
            <v>SB22555</v>
          </cell>
          <cell r="E605">
            <v>10692</v>
          </cell>
        </row>
        <row r="606">
          <cell r="D606" t="str">
            <v>SB22556</v>
          </cell>
          <cell r="E606">
            <v>10693</v>
          </cell>
        </row>
        <row r="607">
          <cell r="D607" t="str">
            <v>SB22557</v>
          </cell>
          <cell r="E607">
            <v>10694</v>
          </cell>
        </row>
        <row r="608">
          <cell r="D608" t="str">
            <v>SB22558</v>
          </cell>
          <cell r="E608">
            <v>10695</v>
          </cell>
        </row>
        <row r="609">
          <cell r="D609" t="str">
            <v>SB22559</v>
          </cell>
          <cell r="E609">
            <v>10696</v>
          </cell>
        </row>
        <row r="610">
          <cell r="D610" t="str">
            <v>SB22560</v>
          </cell>
          <cell r="E610">
            <v>10697</v>
          </cell>
        </row>
        <row r="611">
          <cell r="D611" t="str">
            <v>SB22561</v>
          </cell>
          <cell r="E611">
            <v>10698</v>
          </cell>
        </row>
        <row r="612">
          <cell r="D612" t="str">
            <v>SB22562</v>
          </cell>
          <cell r="E612">
            <v>10699</v>
          </cell>
        </row>
        <row r="613">
          <cell r="D613" t="str">
            <v>SB22563</v>
          </cell>
          <cell r="E613">
            <v>10700</v>
          </cell>
        </row>
        <row r="614">
          <cell r="D614" t="str">
            <v>SB22564</v>
          </cell>
          <cell r="E614">
            <v>10701</v>
          </cell>
        </row>
        <row r="615">
          <cell r="D615" t="str">
            <v>SB22565</v>
          </cell>
          <cell r="E615">
            <v>10702</v>
          </cell>
        </row>
        <row r="616">
          <cell r="D616" t="str">
            <v>SB22566</v>
          </cell>
          <cell r="E616">
            <v>10703</v>
          </cell>
        </row>
        <row r="617">
          <cell r="D617" t="str">
            <v>SB22567</v>
          </cell>
          <cell r="E617">
            <v>10704</v>
          </cell>
        </row>
        <row r="618">
          <cell r="D618" t="str">
            <v>SB22568</v>
          </cell>
          <cell r="E618">
            <v>10705</v>
          </cell>
        </row>
        <row r="619">
          <cell r="D619" t="str">
            <v>SB22569</v>
          </cell>
          <cell r="E619">
            <v>10706</v>
          </cell>
        </row>
        <row r="620">
          <cell r="D620" t="str">
            <v>SB22570</v>
          </cell>
          <cell r="E620">
            <v>10707</v>
          </cell>
        </row>
        <row r="621">
          <cell r="D621" t="str">
            <v>SB22571</v>
          </cell>
          <cell r="E621">
            <v>10708</v>
          </cell>
        </row>
        <row r="622">
          <cell r="D622" t="str">
            <v>SB22572</v>
          </cell>
          <cell r="E622">
            <v>10709</v>
          </cell>
        </row>
        <row r="623">
          <cell r="D623" t="str">
            <v>SB22573</v>
          </cell>
          <cell r="E623">
            <v>10710</v>
          </cell>
        </row>
        <row r="624">
          <cell r="D624" t="str">
            <v>SB22574</v>
          </cell>
          <cell r="E624">
            <v>10711</v>
          </cell>
        </row>
        <row r="625">
          <cell r="D625" t="str">
            <v>SB22575</v>
          </cell>
          <cell r="E625">
            <v>10712</v>
          </cell>
        </row>
        <row r="626">
          <cell r="D626" t="str">
            <v>SB22576</v>
          </cell>
          <cell r="E626">
            <v>10713</v>
          </cell>
        </row>
        <row r="627">
          <cell r="D627" t="str">
            <v>SB22577</v>
          </cell>
          <cell r="E627">
            <v>10714</v>
          </cell>
        </row>
        <row r="628">
          <cell r="D628" t="str">
            <v>SB22578</v>
          </cell>
          <cell r="E628">
            <v>10715</v>
          </cell>
        </row>
        <row r="629">
          <cell r="D629" t="str">
            <v>SB22579</v>
          </cell>
          <cell r="E629">
            <v>11232</v>
          </cell>
        </row>
        <row r="630">
          <cell r="D630" t="str">
            <v>SB22580</v>
          </cell>
          <cell r="E630">
            <v>10716</v>
          </cell>
        </row>
        <row r="631">
          <cell r="D631" t="str">
            <v>SB22581</v>
          </cell>
          <cell r="E631">
            <v>10717</v>
          </cell>
        </row>
        <row r="632">
          <cell r="D632" t="str">
            <v>SB22582</v>
          </cell>
          <cell r="E632">
            <v>10718</v>
          </cell>
        </row>
        <row r="633">
          <cell r="D633" t="str">
            <v>SB22583</v>
          </cell>
          <cell r="E633">
            <v>10719</v>
          </cell>
        </row>
        <row r="634">
          <cell r="D634" t="str">
            <v>SB22584</v>
          </cell>
          <cell r="E634">
            <v>10720</v>
          </cell>
        </row>
        <row r="635">
          <cell r="D635" t="str">
            <v>SB22585</v>
          </cell>
          <cell r="E635">
            <v>10721</v>
          </cell>
        </row>
        <row r="636">
          <cell r="D636" t="str">
            <v>SB22586</v>
          </cell>
          <cell r="E636">
            <v>10722</v>
          </cell>
        </row>
        <row r="637">
          <cell r="D637" t="str">
            <v>SB22587</v>
          </cell>
          <cell r="E637">
            <v>10723</v>
          </cell>
        </row>
        <row r="638">
          <cell r="D638" t="str">
            <v>SB22588</v>
          </cell>
          <cell r="E638">
            <v>11233</v>
          </cell>
        </row>
        <row r="639">
          <cell r="D639" t="str">
            <v>SB22589</v>
          </cell>
          <cell r="E639">
            <v>10724</v>
          </cell>
        </row>
        <row r="640">
          <cell r="D640" t="str">
            <v>SB22590</v>
          </cell>
          <cell r="E640">
            <v>10725</v>
          </cell>
        </row>
        <row r="641">
          <cell r="D641" t="str">
            <v>SB22591</v>
          </cell>
          <cell r="E641">
            <v>10726</v>
          </cell>
        </row>
        <row r="642">
          <cell r="D642" t="str">
            <v>SB22592</v>
          </cell>
          <cell r="E642">
            <v>10727</v>
          </cell>
        </row>
        <row r="643">
          <cell r="D643" t="str">
            <v>SB22593</v>
          </cell>
          <cell r="E643">
            <v>10728</v>
          </cell>
        </row>
        <row r="644">
          <cell r="D644" t="str">
            <v>SB22594</v>
          </cell>
          <cell r="E644">
            <v>10729</v>
          </cell>
        </row>
        <row r="645">
          <cell r="D645" t="str">
            <v>SB22595</v>
          </cell>
          <cell r="E645">
            <v>10730</v>
          </cell>
        </row>
        <row r="646">
          <cell r="D646" t="str">
            <v>SB22596</v>
          </cell>
          <cell r="E646">
            <v>10731</v>
          </cell>
        </row>
        <row r="647">
          <cell r="D647" t="str">
            <v>SB22597</v>
          </cell>
          <cell r="E647">
            <v>10732</v>
          </cell>
        </row>
        <row r="648">
          <cell r="D648" t="str">
            <v>SB22599</v>
          </cell>
          <cell r="E648">
            <v>10733</v>
          </cell>
        </row>
        <row r="649">
          <cell r="D649" t="str">
            <v>SB22600</v>
          </cell>
          <cell r="E649">
            <v>10734</v>
          </cell>
        </row>
        <row r="650">
          <cell r="D650" t="str">
            <v>SB22601</v>
          </cell>
          <cell r="E650">
            <v>11234</v>
          </cell>
        </row>
        <row r="651">
          <cell r="D651" t="str">
            <v>SB22602</v>
          </cell>
          <cell r="E651">
            <v>10735</v>
          </cell>
        </row>
        <row r="652">
          <cell r="D652" t="str">
            <v>SB22603</v>
          </cell>
          <cell r="E652">
            <v>10736</v>
          </cell>
        </row>
        <row r="653">
          <cell r="D653" t="str">
            <v>SB22604</v>
          </cell>
          <cell r="E653">
            <v>10737</v>
          </cell>
        </row>
        <row r="654">
          <cell r="D654" t="str">
            <v>SB22605</v>
          </cell>
          <cell r="E654">
            <v>10738</v>
          </cell>
        </row>
        <row r="655">
          <cell r="D655" t="str">
            <v>SB22606</v>
          </cell>
          <cell r="E655">
            <v>10739</v>
          </cell>
        </row>
        <row r="656">
          <cell r="D656" t="str">
            <v>SB22607</v>
          </cell>
          <cell r="E656">
            <v>10740</v>
          </cell>
        </row>
        <row r="657">
          <cell r="D657" t="str">
            <v>SB22608</v>
          </cell>
          <cell r="E657">
            <v>10741</v>
          </cell>
        </row>
        <row r="658">
          <cell r="D658" t="str">
            <v>SB22609</v>
          </cell>
          <cell r="E658">
            <v>10742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jectSearchResults"/>
      <sheetName val="Sheet1"/>
      <sheetName val="Sheet2"/>
    </sheetNames>
    <sheetDataSet>
      <sheetData sheetId="0"/>
      <sheetData sheetId="1"/>
      <sheetData sheetId="2">
        <row r="1">
          <cell r="D1" t="e">
            <v>#N/A</v>
          </cell>
          <cell r="E1">
            <v>10097</v>
          </cell>
        </row>
        <row r="2">
          <cell r="D2" t="str">
            <v>SBTest</v>
          </cell>
          <cell r="E2">
            <v>9789</v>
          </cell>
        </row>
        <row r="3">
          <cell r="D3" t="str">
            <v>SB21528</v>
          </cell>
          <cell r="E3">
            <v>8728</v>
          </cell>
        </row>
        <row r="4">
          <cell r="D4" t="str">
            <v>SB21697</v>
          </cell>
          <cell r="E4">
            <v>8729</v>
          </cell>
        </row>
        <row r="5">
          <cell r="D5" t="str">
            <v>SB21700</v>
          </cell>
          <cell r="E5">
            <v>8730</v>
          </cell>
        </row>
        <row r="6">
          <cell r="D6" t="str">
            <v>SB21703</v>
          </cell>
          <cell r="E6">
            <v>8731</v>
          </cell>
        </row>
        <row r="7">
          <cell r="D7" t="str">
            <v>SB21704</v>
          </cell>
          <cell r="E7">
            <v>8732</v>
          </cell>
        </row>
        <row r="8">
          <cell r="D8" t="str">
            <v>SB21733</v>
          </cell>
          <cell r="E8">
            <v>8733</v>
          </cell>
        </row>
        <row r="9">
          <cell r="D9" t="str">
            <v>SB21770</v>
          </cell>
          <cell r="E9">
            <v>8734</v>
          </cell>
        </row>
        <row r="10">
          <cell r="D10" t="str">
            <v>SB21797</v>
          </cell>
          <cell r="E10">
            <v>8735</v>
          </cell>
        </row>
        <row r="11">
          <cell r="D11" t="str">
            <v>SB21800</v>
          </cell>
          <cell r="E11">
            <v>8736</v>
          </cell>
        </row>
        <row r="12">
          <cell r="D12" t="str">
            <v>SB21804</v>
          </cell>
          <cell r="E12">
            <v>8737</v>
          </cell>
        </row>
        <row r="13">
          <cell r="D13" t="str">
            <v>SB21807</v>
          </cell>
          <cell r="E13">
            <v>8738</v>
          </cell>
        </row>
        <row r="14">
          <cell r="D14" t="str">
            <v>SB21814</v>
          </cell>
          <cell r="E14">
            <v>8739</v>
          </cell>
        </row>
        <row r="15">
          <cell r="D15" t="str">
            <v>SB21829</v>
          </cell>
          <cell r="E15">
            <v>8740</v>
          </cell>
        </row>
        <row r="16">
          <cell r="D16" t="str">
            <v>SB21847</v>
          </cell>
          <cell r="E16">
            <v>8741</v>
          </cell>
        </row>
        <row r="17">
          <cell r="D17" t="str">
            <v>SB21859</v>
          </cell>
          <cell r="E17">
            <v>8742</v>
          </cell>
        </row>
        <row r="18">
          <cell r="D18" t="str">
            <v>SB21861</v>
          </cell>
          <cell r="E18">
            <v>8743</v>
          </cell>
        </row>
        <row r="19">
          <cell r="D19" t="str">
            <v>SB21873</v>
          </cell>
          <cell r="E19">
            <v>8744</v>
          </cell>
        </row>
        <row r="20">
          <cell r="D20" t="str">
            <v>SB21888</v>
          </cell>
          <cell r="E20">
            <v>8745</v>
          </cell>
        </row>
        <row r="21">
          <cell r="D21" t="str">
            <v>SB21911</v>
          </cell>
          <cell r="E21">
            <v>8746</v>
          </cell>
        </row>
        <row r="22">
          <cell r="D22" t="str">
            <v>SB21914</v>
          </cell>
          <cell r="E22">
            <v>8747</v>
          </cell>
        </row>
        <row r="23">
          <cell r="D23" t="str">
            <v>SB21917</v>
          </cell>
          <cell r="E23">
            <v>8748</v>
          </cell>
        </row>
        <row r="24">
          <cell r="D24" t="str">
            <v>SB21920</v>
          </cell>
          <cell r="E24">
            <v>8749</v>
          </cell>
        </row>
        <row r="25">
          <cell r="D25" t="str">
            <v>SB21930</v>
          </cell>
          <cell r="E25">
            <v>8750</v>
          </cell>
        </row>
        <row r="26">
          <cell r="D26" t="str">
            <v>SB21931</v>
          </cell>
          <cell r="E26">
            <v>8751</v>
          </cell>
        </row>
        <row r="27">
          <cell r="D27" t="str">
            <v>SB21935</v>
          </cell>
          <cell r="E27">
            <v>8752</v>
          </cell>
        </row>
        <row r="28">
          <cell r="D28" t="str">
            <v>SB21939</v>
          </cell>
          <cell r="E28">
            <v>8753</v>
          </cell>
        </row>
        <row r="29">
          <cell r="D29" t="str">
            <v>SB21940</v>
          </cell>
          <cell r="E29">
            <v>8754</v>
          </cell>
        </row>
        <row r="30">
          <cell r="D30" t="str">
            <v>SB21944</v>
          </cell>
          <cell r="E30">
            <v>8755</v>
          </cell>
        </row>
        <row r="31">
          <cell r="D31" t="str">
            <v>SB21945</v>
          </cell>
          <cell r="E31">
            <v>8756</v>
          </cell>
        </row>
        <row r="32">
          <cell r="D32" t="str">
            <v>SB21947</v>
          </cell>
          <cell r="E32">
            <v>8757</v>
          </cell>
        </row>
        <row r="33">
          <cell r="D33" t="str">
            <v>SB21954</v>
          </cell>
          <cell r="E33">
            <v>8758</v>
          </cell>
        </row>
        <row r="34">
          <cell r="D34" t="str">
            <v>SB21960</v>
          </cell>
          <cell r="E34">
            <v>8759</v>
          </cell>
        </row>
        <row r="35">
          <cell r="D35" t="str">
            <v>SB21961</v>
          </cell>
          <cell r="E35">
            <v>8760</v>
          </cell>
        </row>
        <row r="36">
          <cell r="D36" t="str">
            <v>SB21975</v>
          </cell>
          <cell r="E36">
            <v>8761</v>
          </cell>
        </row>
        <row r="37">
          <cell r="D37" t="str">
            <v>SB21981</v>
          </cell>
          <cell r="E37">
            <v>8762</v>
          </cell>
        </row>
        <row r="38">
          <cell r="D38" t="str">
            <v>SB21982</v>
          </cell>
          <cell r="E38">
            <v>8763</v>
          </cell>
        </row>
        <row r="39">
          <cell r="D39" t="str">
            <v>SB21983</v>
          </cell>
          <cell r="E39">
            <v>9342</v>
          </cell>
        </row>
        <row r="40">
          <cell r="D40" t="str">
            <v>SB21984</v>
          </cell>
          <cell r="E40">
            <v>8764</v>
          </cell>
        </row>
        <row r="41">
          <cell r="D41" t="str">
            <v>SB21985</v>
          </cell>
          <cell r="E41">
            <v>8765</v>
          </cell>
        </row>
        <row r="42">
          <cell r="D42" t="str">
            <v>SB21986</v>
          </cell>
          <cell r="E42">
            <v>8766</v>
          </cell>
        </row>
        <row r="43">
          <cell r="D43" t="str">
            <v>SB21987</v>
          </cell>
          <cell r="E43">
            <v>9343</v>
          </cell>
        </row>
        <row r="44">
          <cell r="D44" t="str">
            <v>SB21988</v>
          </cell>
          <cell r="E44">
            <v>8767</v>
          </cell>
        </row>
        <row r="45">
          <cell r="D45" t="str">
            <v>SB21989</v>
          </cell>
          <cell r="E45">
            <v>8768</v>
          </cell>
        </row>
        <row r="46">
          <cell r="D46" t="str">
            <v>SB21990</v>
          </cell>
          <cell r="E46">
            <v>8769</v>
          </cell>
        </row>
        <row r="47">
          <cell r="D47" t="str">
            <v>SB21991</v>
          </cell>
          <cell r="E47">
            <v>8770</v>
          </cell>
        </row>
        <row r="48">
          <cell r="D48" t="str">
            <v>SB21993</v>
          </cell>
          <cell r="E48">
            <v>8771</v>
          </cell>
        </row>
        <row r="49">
          <cell r="D49" t="str">
            <v>SB21995</v>
          </cell>
          <cell r="E49">
            <v>8772</v>
          </cell>
        </row>
        <row r="50">
          <cell r="D50" t="str">
            <v>SB21996</v>
          </cell>
          <cell r="E50">
            <v>8773</v>
          </cell>
        </row>
        <row r="51">
          <cell r="D51" t="str">
            <v>SB21997</v>
          </cell>
          <cell r="E51">
            <v>8774</v>
          </cell>
        </row>
        <row r="52">
          <cell r="D52" t="str">
            <v>SB21998</v>
          </cell>
          <cell r="E52">
            <v>8775</v>
          </cell>
        </row>
        <row r="53">
          <cell r="D53" t="str">
            <v>SB21999</v>
          </cell>
          <cell r="E53">
            <v>8776</v>
          </cell>
        </row>
        <row r="54">
          <cell r="D54" t="str">
            <v>SB22000</v>
          </cell>
          <cell r="E54">
            <v>8777</v>
          </cell>
        </row>
        <row r="55">
          <cell r="D55" t="str">
            <v>SB22001</v>
          </cell>
          <cell r="E55">
            <v>8778</v>
          </cell>
        </row>
        <row r="56">
          <cell r="D56" t="str">
            <v>SB22002</v>
          </cell>
          <cell r="E56">
            <v>8779</v>
          </cell>
        </row>
        <row r="57">
          <cell r="D57" t="str">
            <v>SB22003</v>
          </cell>
          <cell r="E57">
            <v>8780</v>
          </cell>
        </row>
        <row r="58">
          <cell r="D58" t="str">
            <v>SB22004</v>
          </cell>
          <cell r="E58">
            <v>8781</v>
          </cell>
        </row>
        <row r="59">
          <cell r="D59" t="str">
            <v>SB22005</v>
          </cell>
          <cell r="E59">
            <v>8782</v>
          </cell>
        </row>
        <row r="60">
          <cell r="D60" t="str">
            <v>SB22007</v>
          </cell>
          <cell r="E60">
            <v>9685</v>
          </cell>
        </row>
        <row r="61">
          <cell r="D61" t="str">
            <v>SB22008</v>
          </cell>
          <cell r="E61">
            <v>8783</v>
          </cell>
        </row>
        <row r="62">
          <cell r="D62" t="str">
            <v>SB22009</v>
          </cell>
          <cell r="E62">
            <v>8784</v>
          </cell>
        </row>
        <row r="63">
          <cell r="D63" t="str">
            <v>SB22010</v>
          </cell>
          <cell r="E63">
            <v>8785</v>
          </cell>
        </row>
        <row r="64">
          <cell r="D64" t="str">
            <v>SB22011</v>
          </cell>
          <cell r="E64">
            <v>8786</v>
          </cell>
        </row>
        <row r="65">
          <cell r="D65" t="str">
            <v>SB22012</v>
          </cell>
          <cell r="E65">
            <v>8787</v>
          </cell>
        </row>
        <row r="66">
          <cell r="D66" t="str">
            <v>SB22013</v>
          </cell>
          <cell r="E66">
            <v>8788</v>
          </cell>
        </row>
        <row r="67">
          <cell r="D67" t="str">
            <v>SB22015</v>
          </cell>
          <cell r="E67">
            <v>8789</v>
          </cell>
        </row>
        <row r="68">
          <cell r="D68" t="str">
            <v>SB22016</v>
          </cell>
          <cell r="E68">
            <v>8790</v>
          </cell>
        </row>
        <row r="69">
          <cell r="D69" t="str">
            <v>SB22017</v>
          </cell>
          <cell r="E69">
            <v>8791</v>
          </cell>
        </row>
        <row r="70">
          <cell r="D70" t="str">
            <v>SB22018</v>
          </cell>
          <cell r="E70">
            <v>8792</v>
          </cell>
        </row>
        <row r="71">
          <cell r="D71" t="str">
            <v>SB22019</v>
          </cell>
          <cell r="E71">
            <v>8793</v>
          </cell>
        </row>
        <row r="72">
          <cell r="D72" t="str">
            <v>SB22020</v>
          </cell>
          <cell r="E72">
            <v>8794</v>
          </cell>
        </row>
        <row r="73">
          <cell r="D73" t="str">
            <v>SB22021</v>
          </cell>
          <cell r="E73">
            <v>8795</v>
          </cell>
        </row>
        <row r="74">
          <cell r="D74" t="str">
            <v>SB22022</v>
          </cell>
          <cell r="E74">
            <v>9344</v>
          </cell>
        </row>
        <row r="75">
          <cell r="D75" t="str">
            <v>SB22023</v>
          </cell>
          <cell r="E75">
            <v>8796</v>
          </cell>
        </row>
        <row r="76">
          <cell r="D76" t="str">
            <v>SB22024</v>
          </cell>
          <cell r="E76">
            <v>8797</v>
          </cell>
        </row>
        <row r="77">
          <cell r="D77" t="str">
            <v>SB22025</v>
          </cell>
          <cell r="E77">
            <v>8798</v>
          </cell>
        </row>
        <row r="78">
          <cell r="D78" t="str">
            <v>SB22026</v>
          </cell>
          <cell r="E78">
            <v>8799</v>
          </cell>
        </row>
        <row r="79">
          <cell r="D79" t="str">
            <v>SB22027</v>
          </cell>
          <cell r="E79">
            <v>8800</v>
          </cell>
        </row>
        <row r="80">
          <cell r="D80" t="str">
            <v>SB22028</v>
          </cell>
          <cell r="E80">
            <v>8801</v>
          </cell>
        </row>
        <row r="81">
          <cell r="D81" t="str">
            <v>SB22029</v>
          </cell>
          <cell r="E81">
            <v>8802</v>
          </cell>
        </row>
        <row r="82">
          <cell r="D82" t="str">
            <v>SB22030</v>
          </cell>
          <cell r="E82">
            <v>8803</v>
          </cell>
        </row>
        <row r="83">
          <cell r="D83" t="str">
            <v>SB22031</v>
          </cell>
          <cell r="E83">
            <v>8804</v>
          </cell>
        </row>
        <row r="84">
          <cell r="D84" t="str">
            <v>SB22034</v>
          </cell>
          <cell r="E84">
            <v>8805</v>
          </cell>
        </row>
        <row r="85">
          <cell r="D85" t="str">
            <v>SB22035</v>
          </cell>
          <cell r="E85">
            <v>8806</v>
          </cell>
        </row>
        <row r="86">
          <cell r="D86" t="str">
            <v>SB22036</v>
          </cell>
          <cell r="E86">
            <v>9360</v>
          </cell>
        </row>
        <row r="87">
          <cell r="D87" t="str">
            <v>SB22037</v>
          </cell>
          <cell r="E87">
            <v>9345</v>
          </cell>
        </row>
        <row r="88">
          <cell r="D88" t="str">
            <v>SB22038</v>
          </cell>
          <cell r="E88">
            <v>9686</v>
          </cell>
        </row>
        <row r="89">
          <cell r="D89" t="str">
            <v>SB22039</v>
          </cell>
          <cell r="E89">
            <v>9346</v>
          </cell>
        </row>
        <row r="90">
          <cell r="D90" t="str">
            <v>SB22040</v>
          </cell>
          <cell r="E90">
            <v>8807</v>
          </cell>
        </row>
        <row r="91">
          <cell r="D91" t="str">
            <v>SB22041</v>
          </cell>
          <cell r="E91">
            <v>8808</v>
          </cell>
        </row>
        <row r="92">
          <cell r="D92" t="str">
            <v>SB22042</v>
          </cell>
          <cell r="E92">
            <v>8809</v>
          </cell>
        </row>
        <row r="93">
          <cell r="D93" t="str">
            <v>SB22043</v>
          </cell>
          <cell r="E93">
            <v>8810</v>
          </cell>
        </row>
        <row r="94">
          <cell r="D94" t="str">
            <v>SB22044</v>
          </cell>
          <cell r="E94">
            <v>8811</v>
          </cell>
        </row>
        <row r="95">
          <cell r="D95" t="str">
            <v>SB22045</v>
          </cell>
          <cell r="E95">
            <v>8812</v>
          </cell>
        </row>
        <row r="96">
          <cell r="D96" t="str">
            <v>SB22046</v>
          </cell>
          <cell r="E96">
            <v>8813</v>
          </cell>
        </row>
        <row r="97">
          <cell r="D97" t="str">
            <v>SB22047</v>
          </cell>
          <cell r="E97">
            <v>8814</v>
          </cell>
        </row>
        <row r="98">
          <cell r="D98" t="str">
            <v>SB22048</v>
          </cell>
          <cell r="E98">
            <v>8815</v>
          </cell>
        </row>
        <row r="99">
          <cell r="D99" t="str">
            <v>SB22049</v>
          </cell>
          <cell r="E99">
            <v>8816</v>
          </cell>
        </row>
        <row r="100">
          <cell r="D100" t="str">
            <v>SB22050</v>
          </cell>
          <cell r="E100">
            <v>8817</v>
          </cell>
        </row>
        <row r="101">
          <cell r="D101" t="str">
            <v>SB22051</v>
          </cell>
          <cell r="E101">
            <v>8818</v>
          </cell>
        </row>
        <row r="102">
          <cell r="D102" t="str">
            <v>SB22052</v>
          </cell>
          <cell r="E102">
            <v>8819</v>
          </cell>
        </row>
        <row r="103">
          <cell r="D103" t="str">
            <v>SB22053</v>
          </cell>
          <cell r="E103">
            <v>8820</v>
          </cell>
        </row>
        <row r="104">
          <cell r="D104" t="str">
            <v>SB22054</v>
          </cell>
          <cell r="E104">
            <v>8821</v>
          </cell>
        </row>
        <row r="105">
          <cell r="D105" t="str">
            <v>SB22055</v>
          </cell>
          <cell r="E105">
            <v>8822</v>
          </cell>
        </row>
        <row r="106">
          <cell r="D106" t="str">
            <v>SB22056</v>
          </cell>
          <cell r="E106">
            <v>8823</v>
          </cell>
        </row>
        <row r="107">
          <cell r="D107" t="str">
            <v>SB22057</v>
          </cell>
          <cell r="E107">
            <v>8824</v>
          </cell>
        </row>
        <row r="108">
          <cell r="D108" t="str">
            <v>SB22058</v>
          </cell>
          <cell r="E108">
            <v>8825</v>
          </cell>
        </row>
        <row r="109">
          <cell r="D109" t="str">
            <v>SB22059</v>
          </cell>
          <cell r="E109">
            <v>8826</v>
          </cell>
        </row>
        <row r="110">
          <cell r="D110" t="str">
            <v>SB22060</v>
          </cell>
          <cell r="E110">
            <v>8827</v>
          </cell>
        </row>
        <row r="111">
          <cell r="D111" t="str">
            <v>SB22061</v>
          </cell>
          <cell r="E111">
            <v>8828</v>
          </cell>
        </row>
        <row r="112">
          <cell r="D112" t="str">
            <v>SB22062</v>
          </cell>
          <cell r="E112">
            <v>8829</v>
          </cell>
        </row>
        <row r="113">
          <cell r="D113" t="str">
            <v>SB22063</v>
          </cell>
          <cell r="E113">
            <v>8830</v>
          </cell>
        </row>
        <row r="114">
          <cell r="D114" t="str">
            <v>SB22064</v>
          </cell>
          <cell r="E114">
            <v>8831</v>
          </cell>
        </row>
        <row r="115">
          <cell r="D115" t="str">
            <v>SB22065</v>
          </cell>
          <cell r="E115">
            <v>8832</v>
          </cell>
        </row>
        <row r="116">
          <cell r="D116" t="str">
            <v>SB22066</v>
          </cell>
          <cell r="E116">
            <v>8833</v>
          </cell>
        </row>
        <row r="117">
          <cell r="D117" t="str">
            <v>SB22067</v>
          </cell>
          <cell r="E117">
            <v>8834</v>
          </cell>
        </row>
        <row r="118">
          <cell r="D118" t="str">
            <v>SB22068</v>
          </cell>
          <cell r="E118">
            <v>8835</v>
          </cell>
        </row>
        <row r="119">
          <cell r="D119" t="str">
            <v>SB22069</v>
          </cell>
          <cell r="E119">
            <v>8836</v>
          </cell>
        </row>
        <row r="120">
          <cell r="D120" t="str">
            <v>SB22070</v>
          </cell>
          <cell r="E120">
            <v>8837</v>
          </cell>
        </row>
        <row r="121">
          <cell r="D121" t="str">
            <v>SB22071</v>
          </cell>
          <cell r="E121">
            <v>8838</v>
          </cell>
        </row>
        <row r="122">
          <cell r="D122" t="str">
            <v>SB22072</v>
          </cell>
          <cell r="E122">
            <v>8839</v>
          </cell>
        </row>
        <row r="123">
          <cell r="D123" t="str">
            <v>SB22073</v>
          </cell>
          <cell r="E123">
            <v>8840</v>
          </cell>
        </row>
        <row r="124">
          <cell r="D124" t="str">
            <v>SB22074</v>
          </cell>
          <cell r="E124">
            <v>9347</v>
          </cell>
        </row>
        <row r="125">
          <cell r="D125" t="str">
            <v>SB22075</v>
          </cell>
          <cell r="E125">
            <v>8841</v>
          </cell>
        </row>
        <row r="126">
          <cell r="D126" t="str">
            <v>SB22076</v>
          </cell>
          <cell r="E126">
            <v>8842</v>
          </cell>
        </row>
        <row r="127">
          <cell r="D127" t="str">
            <v>SB22077</v>
          </cell>
          <cell r="E127">
            <v>9687</v>
          </cell>
        </row>
        <row r="128">
          <cell r="D128" t="str">
            <v>SB22078</v>
          </cell>
          <cell r="E128">
            <v>8843</v>
          </cell>
        </row>
        <row r="129">
          <cell r="D129" t="str">
            <v>SB22079</v>
          </cell>
          <cell r="E129">
            <v>8844</v>
          </cell>
        </row>
        <row r="130">
          <cell r="D130" t="str">
            <v>SB22080</v>
          </cell>
          <cell r="E130">
            <v>8845</v>
          </cell>
        </row>
        <row r="131">
          <cell r="D131" t="str">
            <v>SB22081</v>
          </cell>
          <cell r="E131">
            <v>8846</v>
          </cell>
        </row>
        <row r="132">
          <cell r="D132" t="str">
            <v>SB22082</v>
          </cell>
          <cell r="E132">
            <v>8847</v>
          </cell>
        </row>
        <row r="133">
          <cell r="D133" t="str">
            <v>SB22083</v>
          </cell>
          <cell r="E133">
            <v>8848</v>
          </cell>
        </row>
        <row r="134">
          <cell r="D134" t="str">
            <v>SB22084</v>
          </cell>
          <cell r="E134">
            <v>8849</v>
          </cell>
        </row>
        <row r="135">
          <cell r="D135" t="str">
            <v>SB22085</v>
          </cell>
          <cell r="E135">
            <v>8850</v>
          </cell>
        </row>
        <row r="136">
          <cell r="D136" t="str">
            <v>SB22086</v>
          </cell>
          <cell r="E136">
            <v>8851</v>
          </cell>
        </row>
        <row r="137">
          <cell r="D137" t="str">
            <v>SB22087</v>
          </cell>
          <cell r="E137">
            <v>8852</v>
          </cell>
        </row>
        <row r="138">
          <cell r="D138" t="str">
            <v>SB22088</v>
          </cell>
          <cell r="E138">
            <v>8853</v>
          </cell>
        </row>
        <row r="139">
          <cell r="D139" t="str">
            <v>SB22089</v>
          </cell>
          <cell r="E139">
            <v>8854</v>
          </cell>
        </row>
        <row r="140">
          <cell r="D140" t="str">
            <v>SB22090</v>
          </cell>
          <cell r="E140">
            <v>8855</v>
          </cell>
        </row>
        <row r="141">
          <cell r="D141" t="str">
            <v>SB22091</v>
          </cell>
          <cell r="E141">
            <v>8856</v>
          </cell>
        </row>
        <row r="142">
          <cell r="D142" t="str">
            <v>SB22092</v>
          </cell>
          <cell r="E142">
            <v>8857</v>
          </cell>
        </row>
        <row r="143">
          <cell r="D143" t="str">
            <v>SB22093</v>
          </cell>
          <cell r="E143">
            <v>8858</v>
          </cell>
        </row>
        <row r="144">
          <cell r="D144" t="str">
            <v>SB22094</v>
          </cell>
          <cell r="E144">
            <v>8859</v>
          </cell>
        </row>
        <row r="145">
          <cell r="D145" t="str">
            <v>SB22095</v>
          </cell>
          <cell r="E145">
            <v>8860</v>
          </cell>
        </row>
        <row r="146">
          <cell r="D146" t="str">
            <v>SB22096</v>
          </cell>
          <cell r="E146">
            <v>8861</v>
          </cell>
        </row>
        <row r="147">
          <cell r="D147" t="str">
            <v>SB22097</v>
          </cell>
          <cell r="E147">
            <v>8862</v>
          </cell>
        </row>
        <row r="148">
          <cell r="D148" t="str">
            <v>SB22098</v>
          </cell>
          <cell r="E148">
            <v>8863</v>
          </cell>
        </row>
        <row r="149">
          <cell r="D149" t="str">
            <v>SB22099</v>
          </cell>
          <cell r="E149">
            <v>8864</v>
          </cell>
        </row>
        <row r="150">
          <cell r="D150" t="str">
            <v>SB22100</v>
          </cell>
          <cell r="E150">
            <v>8865</v>
          </cell>
        </row>
        <row r="151">
          <cell r="D151" t="str">
            <v>SB22101</v>
          </cell>
          <cell r="E151">
            <v>8866</v>
          </cell>
        </row>
        <row r="152">
          <cell r="D152" t="str">
            <v>SB22102</v>
          </cell>
          <cell r="E152">
            <v>8867</v>
          </cell>
        </row>
        <row r="153">
          <cell r="D153" t="str">
            <v>SB22103</v>
          </cell>
          <cell r="E153">
            <v>8868</v>
          </cell>
        </row>
        <row r="154">
          <cell r="D154" t="str">
            <v>SB22104</v>
          </cell>
          <cell r="E154">
            <v>9348</v>
          </cell>
        </row>
        <row r="155">
          <cell r="D155" t="str">
            <v>SB22105</v>
          </cell>
          <cell r="E155">
            <v>8869</v>
          </cell>
        </row>
        <row r="156">
          <cell r="D156" t="str">
            <v>SB22106</v>
          </cell>
          <cell r="E156">
            <v>9349</v>
          </cell>
        </row>
        <row r="157">
          <cell r="D157" t="str">
            <v>SB22107</v>
          </cell>
          <cell r="E157">
            <v>9688</v>
          </cell>
        </row>
        <row r="158">
          <cell r="D158" t="str">
            <v>SB22108</v>
          </cell>
          <cell r="E158">
            <v>8870</v>
          </cell>
        </row>
        <row r="159">
          <cell r="D159" t="str">
            <v>SB22109</v>
          </cell>
          <cell r="E159">
            <v>8871</v>
          </cell>
        </row>
        <row r="160">
          <cell r="D160" t="str">
            <v>SB22110</v>
          </cell>
          <cell r="E160">
            <v>8872</v>
          </cell>
        </row>
        <row r="161">
          <cell r="D161" t="str">
            <v>SB22111</v>
          </cell>
          <cell r="E161">
            <v>8873</v>
          </cell>
        </row>
        <row r="162">
          <cell r="D162" t="str">
            <v>SB22112</v>
          </cell>
          <cell r="E162">
            <v>8874</v>
          </cell>
        </row>
        <row r="163">
          <cell r="D163" t="str">
            <v>SB22113</v>
          </cell>
          <cell r="E163">
            <v>8875</v>
          </cell>
        </row>
        <row r="164">
          <cell r="D164" t="str">
            <v>SB22114</v>
          </cell>
          <cell r="E164">
            <v>8876</v>
          </cell>
        </row>
        <row r="165">
          <cell r="D165" t="str">
            <v>SB22115</v>
          </cell>
          <cell r="E165">
            <v>9570</v>
          </cell>
        </row>
        <row r="166">
          <cell r="D166" t="str">
            <v>SB22116</v>
          </cell>
          <cell r="E166">
            <v>8877</v>
          </cell>
        </row>
        <row r="167">
          <cell r="D167" t="str">
            <v>SB22117</v>
          </cell>
          <cell r="E167">
            <v>8878</v>
          </cell>
        </row>
        <row r="168">
          <cell r="D168" t="str">
            <v>SB22118</v>
          </cell>
          <cell r="E168">
            <v>8879</v>
          </cell>
        </row>
        <row r="169">
          <cell r="D169" t="str">
            <v>SB22119</v>
          </cell>
          <cell r="E169">
            <v>8880</v>
          </cell>
        </row>
        <row r="170">
          <cell r="D170" t="str">
            <v>SB22120</v>
          </cell>
          <cell r="E170">
            <v>8881</v>
          </cell>
        </row>
        <row r="171">
          <cell r="D171" t="str">
            <v>SB22121</v>
          </cell>
          <cell r="E171">
            <v>8882</v>
          </cell>
        </row>
        <row r="172">
          <cell r="D172" t="str">
            <v>SB22122</v>
          </cell>
          <cell r="E172">
            <v>8883</v>
          </cell>
        </row>
        <row r="173">
          <cell r="D173" t="str">
            <v>SB22123</v>
          </cell>
          <cell r="E173">
            <v>8884</v>
          </cell>
        </row>
        <row r="174">
          <cell r="D174" t="str">
            <v>SB22124</v>
          </cell>
          <cell r="E174">
            <v>8885</v>
          </cell>
        </row>
        <row r="175">
          <cell r="D175" t="str">
            <v>SB22125</v>
          </cell>
          <cell r="E175">
            <v>8886</v>
          </cell>
        </row>
        <row r="176">
          <cell r="D176" t="str">
            <v>SB22126</v>
          </cell>
          <cell r="E176">
            <v>8887</v>
          </cell>
        </row>
        <row r="177">
          <cell r="D177" t="str">
            <v>SB22127</v>
          </cell>
          <cell r="E177">
            <v>9689</v>
          </cell>
        </row>
        <row r="178">
          <cell r="D178" t="str">
            <v>SB22128</v>
          </cell>
          <cell r="E178">
            <v>8888</v>
          </cell>
        </row>
        <row r="179">
          <cell r="D179" t="str">
            <v>SB22129</v>
          </cell>
          <cell r="E179">
            <v>8889</v>
          </cell>
        </row>
        <row r="180">
          <cell r="D180" t="str">
            <v>SB22130</v>
          </cell>
          <cell r="E180">
            <v>8890</v>
          </cell>
        </row>
        <row r="181">
          <cell r="D181" t="str">
            <v>SB22131</v>
          </cell>
          <cell r="E181">
            <v>8891</v>
          </cell>
        </row>
        <row r="182">
          <cell r="D182" t="str">
            <v>SB22132</v>
          </cell>
          <cell r="E182">
            <v>8892</v>
          </cell>
        </row>
        <row r="183">
          <cell r="D183" t="str">
            <v>SB22133</v>
          </cell>
          <cell r="E183">
            <v>9690</v>
          </cell>
        </row>
        <row r="184">
          <cell r="D184" t="str">
            <v>SB22134</v>
          </cell>
          <cell r="E184">
            <v>8893</v>
          </cell>
        </row>
        <row r="185">
          <cell r="D185" t="str">
            <v>SB22135</v>
          </cell>
          <cell r="E185">
            <v>9350</v>
          </cell>
        </row>
        <row r="186">
          <cell r="D186" t="str">
            <v>SB22136</v>
          </cell>
          <cell r="E186">
            <v>9691</v>
          </cell>
        </row>
        <row r="187">
          <cell r="D187" t="str">
            <v>SB22137</v>
          </cell>
          <cell r="E187">
            <v>8894</v>
          </cell>
        </row>
        <row r="188">
          <cell r="D188" t="str">
            <v>SB22138</v>
          </cell>
          <cell r="E188">
            <v>8895</v>
          </cell>
        </row>
        <row r="189">
          <cell r="D189" t="str">
            <v>SB22139</v>
          </cell>
          <cell r="E189">
            <v>8896</v>
          </cell>
        </row>
        <row r="190">
          <cell r="D190" t="str">
            <v>SB22140</v>
          </cell>
          <cell r="E190">
            <v>8897</v>
          </cell>
        </row>
        <row r="191">
          <cell r="D191" t="str">
            <v>SB22141</v>
          </cell>
          <cell r="E191">
            <v>8898</v>
          </cell>
        </row>
        <row r="192">
          <cell r="D192" t="str">
            <v>SB22142</v>
          </cell>
          <cell r="E192">
            <v>9692</v>
          </cell>
        </row>
        <row r="193">
          <cell r="D193" t="str">
            <v>SB22143</v>
          </cell>
          <cell r="E193">
            <v>8899</v>
          </cell>
        </row>
        <row r="194">
          <cell r="D194" t="str">
            <v>SB22144</v>
          </cell>
          <cell r="E194">
            <v>8900</v>
          </cell>
        </row>
        <row r="195">
          <cell r="D195" t="str">
            <v>SB22145</v>
          </cell>
          <cell r="E195">
            <v>8901</v>
          </cell>
        </row>
        <row r="196">
          <cell r="D196" t="str">
            <v>SB22146</v>
          </cell>
          <cell r="E196">
            <v>8902</v>
          </cell>
        </row>
        <row r="197">
          <cell r="D197" t="str">
            <v>SB22147</v>
          </cell>
          <cell r="E197">
            <v>8903</v>
          </cell>
        </row>
        <row r="198">
          <cell r="D198" t="str">
            <v>SB22148</v>
          </cell>
          <cell r="E198">
            <v>8904</v>
          </cell>
        </row>
        <row r="199">
          <cell r="D199" t="str">
            <v>SB22149</v>
          </cell>
          <cell r="E199">
            <v>8905</v>
          </cell>
        </row>
        <row r="200">
          <cell r="D200" t="str">
            <v>SB22150</v>
          </cell>
          <cell r="E200">
            <v>8906</v>
          </cell>
        </row>
        <row r="201">
          <cell r="D201" t="str">
            <v>SB22151</v>
          </cell>
          <cell r="E201">
            <v>8907</v>
          </cell>
        </row>
        <row r="202">
          <cell r="D202" t="str">
            <v>SB22152</v>
          </cell>
          <cell r="E202">
            <v>8908</v>
          </cell>
        </row>
        <row r="203">
          <cell r="D203" t="str">
            <v>SB22153</v>
          </cell>
          <cell r="E203">
            <v>9351</v>
          </cell>
        </row>
        <row r="204">
          <cell r="D204" t="str">
            <v>SB22154</v>
          </cell>
          <cell r="E204">
            <v>8909</v>
          </cell>
        </row>
        <row r="205">
          <cell r="D205" t="str">
            <v>SB22155</v>
          </cell>
          <cell r="E205">
            <v>8910</v>
          </cell>
        </row>
        <row r="206">
          <cell r="D206" t="str">
            <v>SB22156</v>
          </cell>
          <cell r="E206">
            <v>8911</v>
          </cell>
        </row>
        <row r="207">
          <cell r="D207" t="str">
            <v>SB22157</v>
          </cell>
          <cell r="E207">
            <v>8912</v>
          </cell>
        </row>
        <row r="208">
          <cell r="D208" t="str">
            <v>SB22158</v>
          </cell>
          <cell r="E208">
            <v>9571</v>
          </cell>
        </row>
        <row r="209">
          <cell r="D209" t="str">
            <v>SB22159</v>
          </cell>
          <cell r="E209">
            <v>8913</v>
          </cell>
        </row>
        <row r="210">
          <cell r="D210" t="str">
            <v>SB22160</v>
          </cell>
          <cell r="E210">
            <v>9693</v>
          </cell>
        </row>
        <row r="211">
          <cell r="D211" t="str">
            <v>SB22161</v>
          </cell>
          <cell r="E211">
            <v>8914</v>
          </cell>
        </row>
        <row r="212">
          <cell r="D212" t="str">
            <v>SB22162</v>
          </cell>
          <cell r="E212">
            <v>8915</v>
          </cell>
        </row>
        <row r="213">
          <cell r="D213" t="str">
            <v>SB22163</v>
          </cell>
          <cell r="E213">
            <v>8916</v>
          </cell>
        </row>
        <row r="214">
          <cell r="D214" t="str">
            <v>SB22164</v>
          </cell>
          <cell r="E214">
            <v>8917</v>
          </cell>
        </row>
        <row r="215">
          <cell r="D215" t="str">
            <v>SB22166</v>
          </cell>
          <cell r="E215">
            <v>8918</v>
          </cell>
        </row>
        <row r="216">
          <cell r="D216" t="str">
            <v>SB22167</v>
          </cell>
          <cell r="E216">
            <v>8919</v>
          </cell>
        </row>
        <row r="217">
          <cell r="D217" t="str">
            <v>SB22168</v>
          </cell>
          <cell r="E217">
            <v>8920</v>
          </cell>
        </row>
        <row r="218">
          <cell r="D218" t="str">
            <v>SB22169</v>
          </cell>
          <cell r="E218">
            <v>9694</v>
          </cell>
        </row>
        <row r="219">
          <cell r="D219" t="str">
            <v>SB22170</v>
          </cell>
          <cell r="E219">
            <v>8921</v>
          </cell>
        </row>
        <row r="220">
          <cell r="D220" t="str">
            <v>SB22171</v>
          </cell>
          <cell r="E220">
            <v>8922</v>
          </cell>
        </row>
        <row r="221">
          <cell r="D221" t="str">
            <v>SB22172</v>
          </cell>
          <cell r="E221">
            <v>8923</v>
          </cell>
        </row>
        <row r="222">
          <cell r="D222" t="str">
            <v>SB22173</v>
          </cell>
          <cell r="E222">
            <v>9695</v>
          </cell>
        </row>
        <row r="223">
          <cell r="D223" t="str">
            <v>SB22174</v>
          </cell>
          <cell r="E223">
            <v>8924</v>
          </cell>
        </row>
        <row r="224">
          <cell r="D224" t="str">
            <v>SB22175</v>
          </cell>
          <cell r="E224">
            <v>8925</v>
          </cell>
        </row>
        <row r="225">
          <cell r="D225" t="str">
            <v>SB22176</v>
          </cell>
          <cell r="E225">
            <v>9572</v>
          </cell>
        </row>
        <row r="226">
          <cell r="D226" t="str">
            <v>SB22177</v>
          </cell>
          <cell r="E226">
            <v>8926</v>
          </cell>
        </row>
        <row r="227">
          <cell r="D227" t="str">
            <v>SB22178</v>
          </cell>
          <cell r="E227">
            <v>8927</v>
          </cell>
        </row>
        <row r="228">
          <cell r="D228" t="str">
            <v>SB22179</v>
          </cell>
          <cell r="E228">
            <v>9696</v>
          </cell>
        </row>
        <row r="229">
          <cell r="D229" t="str">
            <v>SB22180</v>
          </cell>
          <cell r="E229">
            <v>8928</v>
          </cell>
        </row>
        <row r="230">
          <cell r="D230" t="str">
            <v>SB22181</v>
          </cell>
          <cell r="E230">
            <v>8929</v>
          </cell>
        </row>
        <row r="231">
          <cell r="D231" t="str">
            <v>SB22182</v>
          </cell>
          <cell r="E231">
            <v>8930</v>
          </cell>
        </row>
        <row r="232">
          <cell r="D232" t="str">
            <v>SB22183</v>
          </cell>
          <cell r="E232">
            <v>8931</v>
          </cell>
        </row>
        <row r="233">
          <cell r="D233" t="str">
            <v>SB22184</v>
          </cell>
          <cell r="E233">
            <v>8932</v>
          </cell>
        </row>
        <row r="234">
          <cell r="D234" t="str">
            <v>SB22185</v>
          </cell>
          <cell r="E234">
            <v>9697</v>
          </cell>
        </row>
        <row r="235">
          <cell r="D235" t="str">
            <v>SB22186</v>
          </cell>
          <cell r="E235">
            <v>8933</v>
          </cell>
        </row>
        <row r="236">
          <cell r="D236" t="str">
            <v>SB22187</v>
          </cell>
          <cell r="E236">
            <v>8934</v>
          </cell>
        </row>
        <row r="237">
          <cell r="D237" t="str">
            <v>SB22188</v>
          </cell>
          <cell r="E237">
            <v>8935</v>
          </cell>
        </row>
        <row r="238">
          <cell r="D238" t="str">
            <v>SB22189</v>
          </cell>
          <cell r="E238">
            <v>8936</v>
          </cell>
        </row>
        <row r="239">
          <cell r="D239" t="str">
            <v>SB22190</v>
          </cell>
          <cell r="E239">
            <v>9573</v>
          </cell>
        </row>
        <row r="240">
          <cell r="D240" t="str">
            <v>SB22191</v>
          </cell>
          <cell r="E240">
            <v>9698</v>
          </cell>
        </row>
        <row r="241">
          <cell r="D241" t="str">
            <v>SB22192</v>
          </cell>
          <cell r="E241">
            <v>9699</v>
          </cell>
        </row>
        <row r="242">
          <cell r="D242" t="str">
            <v>SB22193</v>
          </cell>
          <cell r="E242">
            <v>8937</v>
          </cell>
        </row>
        <row r="243">
          <cell r="D243" t="str">
            <v>SB22194</v>
          </cell>
          <cell r="E243">
            <v>8938</v>
          </cell>
        </row>
        <row r="244">
          <cell r="D244" t="str">
            <v>SB22195</v>
          </cell>
          <cell r="E244">
            <v>8939</v>
          </cell>
        </row>
        <row r="245">
          <cell r="D245" t="str">
            <v>SB22196</v>
          </cell>
          <cell r="E245">
            <v>8940</v>
          </cell>
        </row>
        <row r="246">
          <cell r="D246" t="str">
            <v>SB22197</v>
          </cell>
          <cell r="E246">
            <v>8941</v>
          </cell>
        </row>
        <row r="247">
          <cell r="D247" t="str">
            <v>SB22198</v>
          </cell>
          <cell r="E247">
            <v>8942</v>
          </cell>
        </row>
        <row r="248">
          <cell r="D248" t="str">
            <v>SB22199</v>
          </cell>
          <cell r="E248">
            <v>9700</v>
          </cell>
        </row>
        <row r="249">
          <cell r="D249" t="str">
            <v>SB22200</v>
          </cell>
          <cell r="E249">
            <v>8943</v>
          </cell>
        </row>
        <row r="250">
          <cell r="D250" t="str">
            <v>SB22201</v>
          </cell>
          <cell r="E250">
            <v>9352</v>
          </cell>
        </row>
        <row r="251">
          <cell r="D251" t="str">
            <v>SB22202</v>
          </cell>
          <cell r="E251">
            <v>8944</v>
          </cell>
        </row>
        <row r="252">
          <cell r="D252" t="str">
            <v>SB22203</v>
          </cell>
          <cell r="E252">
            <v>9701</v>
          </cell>
        </row>
        <row r="253">
          <cell r="D253" t="str">
            <v>SB22204</v>
          </cell>
          <cell r="E253">
            <v>8945</v>
          </cell>
        </row>
        <row r="254">
          <cell r="D254" t="str">
            <v>SB22205</v>
          </cell>
          <cell r="E254">
            <v>8946</v>
          </cell>
        </row>
        <row r="255">
          <cell r="D255" t="str">
            <v>SB22206</v>
          </cell>
          <cell r="E255">
            <v>8947</v>
          </cell>
        </row>
        <row r="256">
          <cell r="D256" t="str">
            <v>SB22207</v>
          </cell>
          <cell r="E256">
            <v>8948</v>
          </cell>
        </row>
        <row r="257">
          <cell r="D257" t="str">
            <v>SB22208</v>
          </cell>
          <cell r="E257">
            <v>8949</v>
          </cell>
        </row>
        <row r="258">
          <cell r="D258" t="str">
            <v>SB22209</v>
          </cell>
          <cell r="E258">
            <v>8950</v>
          </cell>
        </row>
        <row r="259">
          <cell r="D259" t="str">
            <v>SB22210</v>
          </cell>
          <cell r="E259">
            <v>8951</v>
          </cell>
        </row>
        <row r="260">
          <cell r="D260" t="str">
            <v>SB22211</v>
          </cell>
          <cell r="E260">
            <v>8952</v>
          </cell>
        </row>
        <row r="261">
          <cell r="D261" t="str">
            <v>SB22212</v>
          </cell>
          <cell r="E261">
            <v>8953</v>
          </cell>
        </row>
        <row r="262">
          <cell r="D262" t="str">
            <v>SB22213</v>
          </cell>
          <cell r="E262">
            <v>9353</v>
          </cell>
        </row>
        <row r="263">
          <cell r="D263" t="str">
            <v>SB22214</v>
          </cell>
          <cell r="E263">
            <v>8954</v>
          </cell>
        </row>
        <row r="264">
          <cell r="D264" t="str">
            <v>SB22215</v>
          </cell>
          <cell r="E264">
            <v>8955</v>
          </cell>
        </row>
        <row r="265">
          <cell r="D265" t="str">
            <v>SB22216</v>
          </cell>
          <cell r="E265">
            <v>8956</v>
          </cell>
        </row>
        <row r="266">
          <cell r="D266" t="str">
            <v>SB22217</v>
          </cell>
          <cell r="E266">
            <v>8957</v>
          </cell>
        </row>
        <row r="267">
          <cell r="D267" t="str">
            <v>SB22218</v>
          </cell>
          <cell r="E267">
            <v>9574</v>
          </cell>
        </row>
        <row r="268">
          <cell r="D268" t="str">
            <v>SB22219</v>
          </cell>
          <cell r="E268">
            <v>9702</v>
          </cell>
        </row>
        <row r="269">
          <cell r="D269" t="str">
            <v>SB22220</v>
          </cell>
          <cell r="E269">
            <v>8958</v>
          </cell>
        </row>
        <row r="270">
          <cell r="D270" t="str">
            <v>SB22221</v>
          </cell>
          <cell r="E270">
            <v>8959</v>
          </cell>
        </row>
        <row r="271">
          <cell r="D271" t="str">
            <v>SB22222</v>
          </cell>
          <cell r="E271">
            <v>8960</v>
          </cell>
        </row>
        <row r="272">
          <cell r="D272" t="str">
            <v>SB22223</v>
          </cell>
          <cell r="E272">
            <v>8961</v>
          </cell>
        </row>
        <row r="273">
          <cell r="D273" t="str">
            <v>SB22224</v>
          </cell>
          <cell r="E273">
            <v>8962</v>
          </cell>
        </row>
        <row r="274">
          <cell r="D274" t="str">
            <v>SB22225</v>
          </cell>
          <cell r="E274">
            <v>9575</v>
          </cell>
        </row>
        <row r="275">
          <cell r="D275" t="str">
            <v>SB22226</v>
          </cell>
          <cell r="E275">
            <v>9354</v>
          </cell>
        </row>
        <row r="276">
          <cell r="D276" t="str">
            <v>SB22227</v>
          </cell>
          <cell r="E276">
            <v>8963</v>
          </cell>
        </row>
        <row r="277">
          <cell r="D277" t="str">
            <v>SB22228</v>
          </cell>
          <cell r="E277">
            <v>9576</v>
          </cell>
        </row>
        <row r="278">
          <cell r="D278" t="str">
            <v>SB22229</v>
          </cell>
          <cell r="E278">
            <v>8964</v>
          </cell>
        </row>
        <row r="279">
          <cell r="D279" t="str">
            <v>SB22230</v>
          </cell>
          <cell r="E279">
            <v>8965</v>
          </cell>
        </row>
        <row r="280">
          <cell r="D280" t="str">
            <v>SB22231</v>
          </cell>
          <cell r="E280">
            <v>8966</v>
          </cell>
        </row>
        <row r="281">
          <cell r="D281" t="str">
            <v>SB22232</v>
          </cell>
          <cell r="E281">
            <v>8967</v>
          </cell>
        </row>
        <row r="282">
          <cell r="D282" t="str">
            <v>SB22233</v>
          </cell>
          <cell r="E282">
            <v>9703</v>
          </cell>
        </row>
        <row r="283">
          <cell r="D283" t="str">
            <v>SB22234</v>
          </cell>
          <cell r="E283">
            <v>8968</v>
          </cell>
        </row>
        <row r="284">
          <cell r="D284" t="str">
            <v>SB22235</v>
          </cell>
          <cell r="E284">
            <v>8969</v>
          </cell>
        </row>
        <row r="285">
          <cell r="D285" t="str">
            <v>SB22236</v>
          </cell>
          <cell r="E285">
            <v>9704</v>
          </cell>
        </row>
        <row r="286">
          <cell r="D286" t="str">
            <v>SB22237</v>
          </cell>
          <cell r="E286">
            <v>8970</v>
          </cell>
        </row>
        <row r="287">
          <cell r="D287" t="str">
            <v>SB22238</v>
          </cell>
          <cell r="E287">
            <v>8971</v>
          </cell>
        </row>
        <row r="288">
          <cell r="D288" t="str">
            <v>SB22239</v>
          </cell>
          <cell r="E288">
            <v>8972</v>
          </cell>
        </row>
        <row r="289">
          <cell r="D289" t="str">
            <v>SB22240</v>
          </cell>
          <cell r="E289">
            <v>8973</v>
          </cell>
        </row>
        <row r="290">
          <cell r="D290" t="str">
            <v>SB22241</v>
          </cell>
          <cell r="E290">
            <v>8974</v>
          </cell>
        </row>
        <row r="291">
          <cell r="D291" t="str">
            <v>SB22242</v>
          </cell>
          <cell r="E291">
            <v>8975</v>
          </cell>
        </row>
        <row r="292">
          <cell r="D292" t="str">
            <v>SB22243</v>
          </cell>
          <cell r="E292">
            <v>8976</v>
          </cell>
        </row>
        <row r="293">
          <cell r="D293" t="str">
            <v>SB22244</v>
          </cell>
          <cell r="E293">
            <v>9577</v>
          </cell>
        </row>
        <row r="294">
          <cell r="D294" t="str">
            <v>SB22245</v>
          </cell>
          <cell r="E294">
            <v>8977</v>
          </cell>
        </row>
        <row r="295">
          <cell r="D295" t="str">
            <v>SB22246</v>
          </cell>
          <cell r="E295">
            <v>8978</v>
          </cell>
        </row>
        <row r="296">
          <cell r="D296" t="str">
            <v>SB22247</v>
          </cell>
          <cell r="E296">
            <v>8979</v>
          </cell>
        </row>
        <row r="297">
          <cell r="D297" t="str">
            <v>SB22248</v>
          </cell>
          <cell r="E297">
            <v>9705</v>
          </cell>
        </row>
        <row r="298">
          <cell r="D298" t="str">
            <v>SB22249</v>
          </cell>
          <cell r="E298">
            <v>8980</v>
          </cell>
        </row>
        <row r="299">
          <cell r="D299" t="str">
            <v>SB22250</v>
          </cell>
          <cell r="E299">
            <v>8981</v>
          </cell>
        </row>
        <row r="300">
          <cell r="D300" t="str">
            <v>SB22251</v>
          </cell>
          <cell r="E300">
            <v>8982</v>
          </cell>
        </row>
        <row r="301">
          <cell r="D301" t="str">
            <v>SB22252</v>
          </cell>
          <cell r="E301">
            <v>8983</v>
          </cell>
        </row>
        <row r="302">
          <cell r="D302" t="str">
            <v>SB22253</v>
          </cell>
          <cell r="E302">
            <v>8984</v>
          </cell>
        </row>
        <row r="303">
          <cell r="D303" t="str">
            <v>SB22254</v>
          </cell>
          <cell r="E303">
            <v>8985</v>
          </cell>
        </row>
        <row r="304">
          <cell r="D304" t="str">
            <v>SB22255</v>
          </cell>
          <cell r="E304">
            <v>8986</v>
          </cell>
        </row>
        <row r="305">
          <cell r="D305" t="str">
            <v>SB22256</v>
          </cell>
          <cell r="E305">
            <v>8987</v>
          </cell>
        </row>
        <row r="306">
          <cell r="D306" t="str">
            <v>SB22257</v>
          </cell>
          <cell r="E306">
            <v>8988</v>
          </cell>
        </row>
        <row r="307">
          <cell r="D307" t="str">
            <v>SB22258</v>
          </cell>
          <cell r="E307">
            <v>8989</v>
          </cell>
        </row>
        <row r="308">
          <cell r="D308" t="str">
            <v>SB22259</v>
          </cell>
          <cell r="E308">
            <v>8990</v>
          </cell>
        </row>
        <row r="309">
          <cell r="D309" t="str">
            <v>SB22260</v>
          </cell>
          <cell r="E309">
            <v>8991</v>
          </cell>
        </row>
        <row r="310">
          <cell r="D310" t="str">
            <v>SB22261</v>
          </cell>
          <cell r="E310">
            <v>8992</v>
          </cell>
        </row>
        <row r="311">
          <cell r="D311" t="str">
            <v>SB22262</v>
          </cell>
          <cell r="E311">
            <v>8993</v>
          </cell>
        </row>
        <row r="312">
          <cell r="D312" t="str">
            <v>SB22263</v>
          </cell>
          <cell r="E312">
            <v>8994</v>
          </cell>
        </row>
        <row r="313">
          <cell r="D313" t="str">
            <v>SB22264</v>
          </cell>
          <cell r="E313">
            <v>8995</v>
          </cell>
        </row>
        <row r="314">
          <cell r="D314" t="str">
            <v>SB22265</v>
          </cell>
          <cell r="E314">
            <v>8996</v>
          </cell>
        </row>
        <row r="315">
          <cell r="D315" t="str">
            <v>SB22266</v>
          </cell>
          <cell r="E315">
            <v>8997</v>
          </cell>
        </row>
        <row r="316">
          <cell r="D316" t="str">
            <v>SB22267</v>
          </cell>
          <cell r="E316">
            <v>8998</v>
          </cell>
        </row>
        <row r="317">
          <cell r="D317" t="str">
            <v>SB22268</v>
          </cell>
          <cell r="E317">
            <v>8999</v>
          </cell>
        </row>
        <row r="318">
          <cell r="D318" t="str">
            <v>SB22269</v>
          </cell>
          <cell r="E318">
            <v>9000</v>
          </cell>
        </row>
        <row r="319">
          <cell r="D319" t="str">
            <v>SB22270</v>
          </cell>
          <cell r="E319">
            <v>9001</v>
          </cell>
        </row>
        <row r="320">
          <cell r="D320" t="str">
            <v>SB22271</v>
          </cell>
          <cell r="E320">
            <v>9002</v>
          </cell>
        </row>
        <row r="321">
          <cell r="D321" t="str">
            <v>SB22272</v>
          </cell>
          <cell r="E321">
            <v>9003</v>
          </cell>
        </row>
        <row r="322">
          <cell r="D322" t="str">
            <v>SB22273</v>
          </cell>
          <cell r="E322">
            <v>9004</v>
          </cell>
        </row>
        <row r="323">
          <cell r="D323" t="str">
            <v>SB22274</v>
          </cell>
          <cell r="E323">
            <v>9005</v>
          </cell>
        </row>
        <row r="324">
          <cell r="D324" t="str">
            <v>SB22275</v>
          </cell>
          <cell r="E324">
            <v>9578</v>
          </cell>
        </row>
        <row r="325">
          <cell r="D325" t="str">
            <v>SB22276</v>
          </cell>
          <cell r="E325">
            <v>9006</v>
          </cell>
        </row>
        <row r="326">
          <cell r="D326" t="str">
            <v>SB22277</v>
          </cell>
          <cell r="E326">
            <v>9007</v>
          </cell>
        </row>
        <row r="327">
          <cell r="D327" t="str">
            <v>SB22278</v>
          </cell>
          <cell r="E327">
            <v>9579</v>
          </cell>
        </row>
        <row r="328">
          <cell r="D328" t="str">
            <v>SB22279</v>
          </cell>
          <cell r="E328">
            <v>9008</v>
          </cell>
        </row>
        <row r="329">
          <cell r="D329" t="str">
            <v>SB22280</v>
          </cell>
          <cell r="E329">
            <v>9009</v>
          </cell>
        </row>
        <row r="330">
          <cell r="D330" t="str">
            <v>SB22281</v>
          </cell>
          <cell r="E330">
            <v>9010</v>
          </cell>
        </row>
        <row r="331">
          <cell r="D331" t="str">
            <v>SB22282</v>
          </cell>
          <cell r="E331">
            <v>9011</v>
          </cell>
        </row>
        <row r="332">
          <cell r="D332" t="str">
            <v>SB22283</v>
          </cell>
          <cell r="E332">
            <v>9012</v>
          </cell>
        </row>
        <row r="333">
          <cell r="D333" t="str">
            <v>SB22284</v>
          </cell>
          <cell r="E333">
            <v>9355</v>
          </cell>
        </row>
        <row r="334">
          <cell r="D334" t="str">
            <v>SB22285</v>
          </cell>
          <cell r="E334">
            <v>9013</v>
          </cell>
        </row>
        <row r="335">
          <cell r="D335" t="str">
            <v>SB22286</v>
          </cell>
          <cell r="E335">
            <v>9014</v>
          </cell>
        </row>
        <row r="336">
          <cell r="D336" t="str">
            <v>SB22287</v>
          </cell>
          <cell r="E336">
            <v>9015</v>
          </cell>
        </row>
        <row r="337">
          <cell r="D337" t="str">
            <v>SB22288</v>
          </cell>
          <cell r="E337">
            <v>9016</v>
          </cell>
        </row>
        <row r="338">
          <cell r="D338" t="str">
            <v>SB22289</v>
          </cell>
          <cell r="E338">
            <v>9017</v>
          </cell>
        </row>
        <row r="339">
          <cell r="D339" t="str">
            <v>SB22290</v>
          </cell>
          <cell r="E339">
            <v>9018</v>
          </cell>
        </row>
        <row r="340">
          <cell r="D340" t="str">
            <v>SB22291</v>
          </cell>
          <cell r="E340">
            <v>9019</v>
          </cell>
        </row>
        <row r="341">
          <cell r="D341" t="str">
            <v>SB22292</v>
          </cell>
          <cell r="E341">
            <v>9020</v>
          </cell>
        </row>
        <row r="342">
          <cell r="D342" t="str">
            <v>SB22293</v>
          </cell>
          <cell r="E342">
            <v>9580</v>
          </cell>
        </row>
        <row r="343">
          <cell r="D343" t="str">
            <v>SB22294</v>
          </cell>
          <cell r="E343">
            <v>9021</v>
          </cell>
        </row>
        <row r="344">
          <cell r="D344" t="str">
            <v>SB22295</v>
          </cell>
          <cell r="E344">
            <v>9022</v>
          </cell>
        </row>
        <row r="345">
          <cell r="D345" t="str">
            <v>SB22296</v>
          </cell>
          <cell r="E345">
            <v>9023</v>
          </cell>
        </row>
        <row r="346">
          <cell r="D346" t="str">
            <v>SB22297</v>
          </cell>
          <cell r="E346">
            <v>9024</v>
          </cell>
        </row>
        <row r="347">
          <cell r="D347" t="str">
            <v>SB22298</v>
          </cell>
          <cell r="E347">
            <v>9025</v>
          </cell>
        </row>
        <row r="348">
          <cell r="D348" t="str">
            <v>SB22299</v>
          </cell>
          <cell r="E348">
            <v>9026</v>
          </cell>
        </row>
        <row r="349">
          <cell r="D349" t="str">
            <v>SB22300</v>
          </cell>
          <cell r="E349">
            <v>9027</v>
          </cell>
        </row>
        <row r="350">
          <cell r="D350" t="str">
            <v>SB22301</v>
          </cell>
          <cell r="E350">
            <v>9028</v>
          </cell>
        </row>
        <row r="351">
          <cell r="D351" t="str">
            <v>SB22302</v>
          </cell>
          <cell r="E351">
            <v>9029</v>
          </cell>
        </row>
        <row r="352">
          <cell r="D352" t="str">
            <v>SB22303</v>
          </cell>
          <cell r="E352">
            <v>9030</v>
          </cell>
        </row>
        <row r="353">
          <cell r="D353" t="str">
            <v>SB22304</v>
          </cell>
          <cell r="E353">
            <v>9031</v>
          </cell>
        </row>
        <row r="354">
          <cell r="D354" t="str">
            <v>SB22305</v>
          </cell>
          <cell r="E354">
            <v>9032</v>
          </cell>
        </row>
        <row r="355">
          <cell r="D355" t="str">
            <v>SB22306</v>
          </cell>
          <cell r="E355">
            <v>9033</v>
          </cell>
        </row>
        <row r="356">
          <cell r="D356" t="str">
            <v>SB22307</v>
          </cell>
          <cell r="E356">
            <v>9034</v>
          </cell>
        </row>
        <row r="357">
          <cell r="D357" t="str">
            <v>SB22308</v>
          </cell>
          <cell r="E357">
            <v>9035</v>
          </cell>
        </row>
        <row r="358">
          <cell r="D358" t="str">
            <v>SB22309</v>
          </cell>
          <cell r="E358">
            <v>9581</v>
          </cell>
        </row>
        <row r="359">
          <cell r="D359" t="str">
            <v>SB22310</v>
          </cell>
          <cell r="E359">
            <v>9036</v>
          </cell>
        </row>
        <row r="360">
          <cell r="D360" t="str">
            <v>SB22311</v>
          </cell>
          <cell r="E360">
            <v>9582</v>
          </cell>
        </row>
        <row r="361">
          <cell r="D361" t="str">
            <v>SB22312</v>
          </cell>
          <cell r="E361">
            <v>9037</v>
          </cell>
        </row>
        <row r="362">
          <cell r="D362" t="str">
            <v>SB22313</v>
          </cell>
          <cell r="E362">
            <v>9038</v>
          </cell>
        </row>
        <row r="363">
          <cell r="D363" t="str">
            <v>SB22314</v>
          </cell>
          <cell r="E363">
            <v>9039</v>
          </cell>
        </row>
        <row r="364">
          <cell r="D364" t="str">
            <v>SB22315</v>
          </cell>
          <cell r="E364">
            <v>9040</v>
          </cell>
        </row>
        <row r="365">
          <cell r="D365" t="str">
            <v>SB22316</v>
          </cell>
          <cell r="E365">
            <v>9041</v>
          </cell>
        </row>
        <row r="366">
          <cell r="D366" t="str">
            <v>SB22317</v>
          </cell>
          <cell r="E366">
            <v>9042</v>
          </cell>
        </row>
        <row r="367">
          <cell r="D367" t="str">
            <v>SB22318</v>
          </cell>
          <cell r="E367">
            <v>9043</v>
          </cell>
        </row>
        <row r="368">
          <cell r="D368" t="str">
            <v>SB22319</v>
          </cell>
          <cell r="E368">
            <v>9044</v>
          </cell>
        </row>
        <row r="369">
          <cell r="D369" t="str">
            <v>SB22320</v>
          </cell>
          <cell r="E369">
            <v>9045</v>
          </cell>
        </row>
        <row r="370">
          <cell r="D370" t="str">
            <v>SB22321</v>
          </cell>
          <cell r="E370">
            <v>9046</v>
          </cell>
        </row>
        <row r="371">
          <cell r="D371" t="str">
            <v>SB22322</v>
          </cell>
          <cell r="E371">
            <v>9047</v>
          </cell>
        </row>
        <row r="372">
          <cell r="D372" t="str">
            <v>SB22323</v>
          </cell>
          <cell r="E372">
            <v>9048</v>
          </cell>
        </row>
        <row r="373">
          <cell r="D373" t="str">
            <v>SB22324</v>
          </cell>
          <cell r="E373">
            <v>9049</v>
          </cell>
        </row>
        <row r="374">
          <cell r="D374" t="str">
            <v>SB22325</v>
          </cell>
          <cell r="E374">
            <v>9583</v>
          </cell>
        </row>
        <row r="375">
          <cell r="D375" t="str">
            <v>SB22326</v>
          </cell>
          <cell r="E375">
            <v>9050</v>
          </cell>
        </row>
        <row r="376">
          <cell r="D376" t="str">
            <v>SB22327</v>
          </cell>
          <cell r="E376">
            <v>9051</v>
          </cell>
        </row>
        <row r="377">
          <cell r="D377" t="str">
            <v>SB22328</v>
          </cell>
          <cell r="E377">
            <v>9584</v>
          </cell>
        </row>
        <row r="378">
          <cell r="D378" t="str">
            <v>SB22329</v>
          </cell>
          <cell r="E378">
            <v>9585</v>
          </cell>
        </row>
        <row r="379">
          <cell r="D379" t="str">
            <v>SB22330</v>
          </cell>
          <cell r="E379">
            <v>9052</v>
          </cell>
        </row>
        <row r="380">
          <cell r="D380" t="str">
            <v>SB22331</v>
          </cell>
          <cell r="E380">
            <v>9053</v>
          </cell>
        </row>
        <row r="381">
          <cell r="D381" t="str">
            <v>SB22332</v>
          </cell>
          <cell r="E381">
            <v>9586</v>
          </cell>
        </row>
        <row r="382">
          <cell r="D382" t="str">
            <v>SB22333</v>
          </cell>
          <cell r="E382">
            <v>9054</v>
          </cell>
        </row>
        <row r="383">
          <cell r="D383" t="str">
            <v>SB22334</v>
          </cell>
          <cell r="E383">
            <v>9055</v>
          </cell>
        </row>
        <row r="384">
          <cell r="D384" t="str">
            <v>SB22335</v>
          </cell>
          <cell r="E384">
            <v>9056</v>
          </cell>
        </row>
        <row r="385">
          <cell r="D385" t="str">
            <v>SB22336</v>
          </cell>
          <cell r="E385">
            <v>9333</v>
          </cell>
        </row>
        <row r="386">
          <cell r="D386" t="str">
            <v>SB22337</v>
          </cell>
          <cell r="E386">
            <v>9057</v>
          </cell>
        </row>
        <row r="387">
          <cell r="D387" t="str">
            <v>SB22338</v>
          </cell>
          <cell r="E387">
            <v>9058</v>
          </cell>
        </row>
        <row r="388">
          <cell r="D388" t="str">
            <v>SB22339</v>
          </cell>
          <cell r="E388">
            <v>9059</v>
          </cell>
        </row>
        <row r="389">
          <cell r="D389" t="str">
            <v>SB22340</v>
          </cell>
          <cell r="E389">
            <v>9332</v>
          </cell>
        </row>
        <row r="390">
          <cell r="D390" t="str">
            <v>SB22341</v>
          </cell>
          <cell r="E390">
            <v>9589</v>
          </cell>
        </row>
        <row r="391">
          <cell r="D391" t="str">
            <v>SB22342</v>
          </cell>
          <cell r="E391">
            <v>9060</v>
          </cell>
        </row>
        <row r="392">
          <cell r="D392" t="str">
            <v>SB22343</v>
          </cell>
          <cell r="E392">
            <v>9061</v>
          </cell>
        </row>
        <row r="393">
          <cell r="D393" t="str">
            <v>SB22344</v>
          </cell>
          <cell r="E393">
            <v>9062</v>
          </cell>
        </row>
        <row r="394">
          <cell r="D394" t="str">
            <v>SB22345</v>
          </cell>
          <cell r="E394">
            <v>9063</v>
          </cell>
        </row>
        <row r="395">
          <cell r="D395" t="str">
            <v>SB22346</v>
          </cell>
          <cell r="E395">
            <v>9064</v>
          </cell>
        </row>
        <row r="396">
          <cell r="D396" t="str">
            <v>SB22347</v>
          </cell>
          <cell r="E396">
            <v>9590</v>
          </cell>
        </row>
        <row r="397">
          <cell r="D397" t="str">
            <v>SB22348</v>
          </cell>
          <cell r="E397">
            <v>9065</v>
          </cell>
        </row>
        <row r="398">
          <cell r="D398" t="str">
            <v>SB22349</v>
          </cell>
          <cell r="E398">
            <v>9591</v>
          </cell>
        </row>
        <row r="399">
          <cell r="D399" t="str">
            <v>SB22350</v>
          </cell>
          <cell r="E399">
            <v>9066</v>
          </cell>
        </row>
        <row r="400">
          <cell r="D400" t="str">
            <v>SB22351</v>
          </cell>
          <cell r="E400">
            <v>9067</v>
          </cell>
        </row>
        <row r="401">
          <cell r="D401" t="str">
            <v>SB22352</v>
          </cell>
          <cell r="E401">
            <v>9068</v>
          </cell>
        </row>
        <row r="402">
          <cell r="D402" t="str">
            <v>SB22353</v>
          </cell>
          <cell r="E402">
            <v>9069</v>
          </cell>
        </row>
        <row r="403">
          <cell r="D403" t="str">
            <v>SB22354</v>
          </cell>
          <cell r="E403">
            <v>9070</v>
          </cell>
        </row>
        <row r="404">
          <cell r="D404" t="str">
            <v>SB22355</v>
          </cell>
          <cell r="E404">
            <v>9071</v>
          </cell>
        </row>
        <row r="405">
          <cell r="D405" t="str">
            <v>SB22356</v>
          </cell>
          <cell r="E405">
            <v>9072</v>
          </cell>
        </row>
        <row r="406">
          <cell r="D406" t="str">
            <v>SB22357</v>
          </cell>
          <cell r="E406">
            <v>9073</v>
          </cell>
        </row>
        <row r="407">
          <cell r="D407" t="str">
            <v>SB22358</v>
          </cell>
          <cell r="E407">
            <v>9074</v>
          </cell>
        </row>
        <row r="408">
          <cell r="D408" t="str">
            <v>SB22359</v>
          </cell>
          <cell r="E408">
            <v>9075</v>
          </cell>
        </row>
        <row r="409">
          <cell r="D409" t="str">
            <v>SB22360</v>
          </cell>
          <cell r="E409">
            <v>9076</v>
          </cell>
        </row>
        <row r="410">
          <cell r="D410" t="str">
            <v>SB22361</v>
          </cell>
          <cell r="E410">
            <v>9077</v>
          </cell>
        </row>
        <row r="411">
          <cell r="D411" t="str">
            <v>SB22362</v>
          </cell>
          <cell r="E411">
            <v>9078</v>
          </cell>
        </row>
        <row r="412">
          <cell r="D412" t="str">
            <v>SB22363</v>
          </cell>
          <cell r="E412">
            <v>9592</v>
          </cell>
        </row>
        <row r="413">
          <cell r="D413" t="str">
            <v>SB22364</v>
          </cell>
          <cell r="E413">
            <v>9079</v>
          </cell>
        </row>
        <row r="414">
          <cell r="D414" t="str">
            <v>SB22365</v>
          </cell>
          <cell r="E414">
            <v>9080</v>
          </cell>
        </row>
        <row r="415">
          <cell r="D415" t="str">
            <v>SB22366</v>
          </cell>
          <cell r="E415">
            <v>9081</v>
          </cell>
        </row>
        <row r="416">
          <cell r="D416" t="str">
            <v>SB22367</v>
          </cell>
          <cell r="E416">
            <v>9082</v>
          </cell>
        </row>
        <row r="417">
          <cell r="D417" t="str">
            <v>SB22368</v>
          </cell>
          <cell r="E417">
            <v>9083</v>
          </cell>
        </row>
        <row r="418">
          <cell r="D418" t="str">
            <v>SB22369</v>
          </cell>
          <cell r="E418">
            <v>9084</v>
          </cell>
        </row>
        <row r="419">
          <cell r="D419" t="str">
            <v>SB22370</v>
          </cell>
          <cell r="E419">
            <v>9085</v>
          </cell>
        </row>
        <row r="420">
          <cell r="D420" t="str">
            <v>SB22371</v>
          </cell>
          <cell r="E420">
            <v>9086</v>
          </cell>
        </row>
        <row r="421">
          <cell r="D421" t="str">
            <v>SB22372</v>
          </cell>
          <cell r="E421">
            <v>9087</v>
          </cell>
        </row>
        <row r="422">
          <cell r="D422" t="str">
            <v>SB22373</v>
          </cell>
          <cell r="E422">
            <v>9088</v>
          </cell>
        </row>
        <row r="423">
          <cell r="D423" t="str">
            <v>SB22374</v>
          </cell>
          <cell r="E423">
            <v>9089</v>
          </cell>
        </row>
        <row r="424">
          <cell r="D424" t="str">
            <v>SB22375</v>
          </cell>
          <cell r="E424">
            <v>9090</v>
          </cell>
        </row>
        <row r="425">
          <cell r="D425" t="str">
            <v>SB22376</v>
          </cell>
          <cell r="E425">
            <v>9091</v>
          </cell>
        </row>
        <row r="426">
          <cell r="D426" t="str">
            <v>SB22377</v>
          </cell>
          <cell r="E426">
            <v>9092</v>
          </cell>
        </row>
        <row r="427">
          <cell r="D427" t="str">
            <v>SB22378</v>
          </cell>
          <cell r="E427">
            <v>9093</v>
          </cell>
        </row>
        <row r="428">
          <cell r="D428" t="str">
            <v>SB22379</v>
          </cell>
          <cell r="E428">
            <v>9094</v>
          </cell>
        </row>
        <row r="429">
          <cell r="D429" t="str">
            <v>SB22380</v>
          </cell>
          <cell r="E429">
            <v>9593</v>
          </cell>
        </row>
        <row r="430">
          <cell r="D430" t="str">
            <v>SB22381</v>
          </cell>
          <cell r="E430">
            <v>9095</v>
          </cell>
        </row>
        <row r="431">
          <cell r="D431" t="str">
            <v>SB22382</v>
          </cell>
          <cell r="E431">
            <v>9096</v>
          </cell>
        </row>
        <row r="432">
          <cell r="D432" t="str">
            <v>SB22383</v>
          </cell>
          <cell r="E432">
            <v>9097</v>
          </cell>
        </row>
        <row r="433">
          <cell r="D433" t="str">
            <v>SB22385</v>
          </cell>
          <cell r="E433">
            <v>9098</v>
          </cell>
        </row>
        <row r="434">
          <cell r="D434" t="str">
            <v>SB22386</v>
          </cell>
          <cell r="E434">
            <v>9099</v>
          </cell>
        </row>
        <row r="435">
          <cell r="D435" t="str">
            <v>SB22387</v>
          </cell>
          <cell r="E435">
            <v>9100</v>
          </cell>
        </row>
        <row r="436">
          <cell r="D436" t="str">
            <v>SB22388</v>
          </cell>
          <cell r="E436">
            <v>9101</v>
          </cell>
        </row>
        <row r="437">
          <cell r="D437" t="str">
            <v>SB22389</v>
          </cell>
          <cell r="E437">
            <v>9102</v>
          </cell>
        </row>
        <row r="438">
          <cell r="D438" t="str">
            <v>SB22390</v>
          </cell>
          <cell r="E438">
            <v>9594</v>
          </cell>
        </row>
        <row r="439">
          <cell r="D439" t="str">
            <v>SB22391</v>
          </cell>
          <cell r="E439">
            <v>9103</v>
          </cell>
        </row>
        <row r="440">
          <cell r="D440" t="str">
            <v>SB22392</v>
          </cell>
          <cell r="E440">
            <v>9104</v>
          </cell>
        </row>
        <row r="441">
          <cell r="D441" t="str">
            <v>SB22393</v>
          </cell>
          <cell r="E441">
            <v>9105</v>
          </cell>
        </row>
        <row r="442">
          <cell r="D442" t="str">
            <v>SB22394</v>
          </cell>
          <cell r="E442">
            <v>9106</v>
          </cell>
        </row>
        <row r="443">
          <cell r="D443" t="str">
            <v>SB22395</v>
          </cell>
          <cell r="E443">
            <v>9107</v>
          </cell>
        </row>
        <row r="444">
          <cell r="D444" t="str">
            <v>SB22396</v>
          </cell>
          <cell r="E444">
            <v>9108</v>
          </cell>
        </row>
        <row r="445">
          <cell r="D445" t="str">
            <v>SB22397</v>
          </cell>
          <cell r="E445">
            <v>9109</v>
          </cell>
        </row>
        <row r="446">
          <cell r="D446" t="str">
            <v>SB22398</v>
          </cell>
          <cell r="E446">
            <v>9110</v>
          </cell>
        </row>
        <row r="447">
          <cell r="D447" t="str">
            <v>SB22399</v>
          </cell>
          <cell r="E447">
            <v>9111</v>
          </cell>
        </row>
        <row r="448">
          <cell r="D448" t="str">
            <v>SB22400</v>
          </cell>
          <cell r="E448">
            <v>9112</v>
          </cell>
        </row>
        <row r="449">
          <cell r="D449" t="str">
            <v>SB22401</v>
          </cell>
          <cell r="E449">
            <v>9595</v>
          </cell>
        </row>
        <row r="450">
          <cell r="D450" t="str">
            <v>SB22402</v>
          </cell>
          <cell r="E450">
            <v>9113</v>
          </cell>
        </row>
        <row r="451">
          <cell r="D451" t="str">
            <v>SB22403</v>
          </cell>
          <cell r="E451">
            <v>9114</v>
          </cell>
        </row>
        <row r="452">
          <cell r="D452" t="str">
            <v>SB22404</v>
          </cell>
          <cell r="E452">
            <v>9115</v>
          </cell>
        </row>
        <row r="453">
          <cell r="D453" t="str">
            <v>SB22405</v>
          </cell>
          <cell r="E453">
            <v>9116</v>
          </cell>
        </row>
        <row r="454">
          <cell r="D454" t="str">
            <v>SB22406</v>
          </cell>
          <cell r="E454">
            <v>9117</v>
          </cell>
        </row>
        <row r="455">
          <cell r="D455" t="str">
            <v>SB22407</v>
          </cell>
          <cell r="E455">
            <v>9356</v>
          </cell>
        </row>
        <row r="456">
          <cell r="D456" t="str">
            <v>SB22408</v>
          </cell>
          <cell r="E456">
            <v>9118</v>
          </cell>
        </row>
        <row r="457">
          <cell r="D457" t="str">
            <v>SB22409</v>
          </cell>
          <cell r="E457">
            <v>9596</v>
          </cell>
        </row>
        <row r="458">
          <cell r="D458" t="str">
            <v>SB22410</v>
          </cell>
          <cell r="E458">
            <v>9119</v>
          </cell>
        </row>
        <row r="459">
          <cell r="D459" t="str">
            <v>SB22411</v>
          </cell>
          <cell r="E459">
            <v>9120</v>
          </cell>
        </row>
        <row r="460">
          <cell r="D460" t="str">
            <v>SB22412</v>
          </cell>
          <cell r="E460">
            <v>9121</v>
          </cell>
        </row>
        <row r="461">
          <cell r="D461" t="str">
            <v>SB22413</v>
          </cell>
          <cell r="E461">
            <v>9122</v>
          </cell>
        </row>
        <row r="462">
          <cell r="D462" t="str">
            <v>SB22414</v>
          </cell>
          <cell r="E462">
            <v>9123</v>
          </cell>
        </row>
        <row r="463">
          <cell r="D463" t="str">
            <v>SB22415</v>
          </cell>
          <cell r="E463">
            <v>9124</v>
          </cell>
        </row>
        <row r="464">
          <cell r="D464" t="str">
            <v>SB22416</v>
          </cell>
          <cell r="E464">
            <v>9125</v>
          </cell>
        </row>
        <row r="465">
          <cell r="D465" t="str">
            <v>SB22417</v>
          </cell>
          <cell r="E465">
            <v>9126</v>
          </cell>
        </row>
        <row r="466">
          <cell r="D466" t="str">
            <v>SB22418</v>
          </cell>
          <cell r="E466">
            <v>9127</v>
          </cell>
        </row>
        <row r="467">
          <cell r="D467" t="str">
            <v>SB22419</v>
          </cell>
          <cell r="E467">
            <v>9357</v>
          </cell>
        </row>
        <row r="468">
          <cell r="D468" t="str">
            <v>SB22421</v>
          </cell>
          <cell r="E468">
            <v>9128</v>
          </cell>
        </row>
        <row r="469">
          <cell r="D469" t="str">
            <v>SB22423</v>
          </cell>
          <cell r="E469">
            <v>9129</v>
          </cell>
        </row>
        <row r="470">
          <cell r="D470" t="str">
            <v>SB22424</v>
          </cell>
          <cell r="E470">
            <v>9130</v>
          </cell>
        </row>
        <row r="471">
          <cell r="D471" t="str">
            <v>SB22425</v>
          </cell>
          <cell r="E471">
            <v>9131</v>
          </cell>
        </row>
        <row r="472">
          <cell r="D472" t="str">
            <v>SB22426</v>
          </cell>
          <cell r="E472">
            <v>9132</v>
          </cell>
        </row>
        <row r="473">
          <cell r="D473" t="str">
            <v>SB22427</v>
          </cell>
          <cell r="E473">
            <v>9133</v>
          </cell>
        </row>
        <row r="474">
          <cell r="D474" t="str">
            <v>SB22428</v>
          </cell>
          <cell r="E474">
            <v>9134</v>
          </cell>
        </row>
        <row r="475">
          <cell r="D475" t="str">
            <v>SB22429</v>
          </cell>
          <cell r="E475">
            <v>9135</v>
          </cell>
        </row>
        <row r="476">
          <cell r="D476" t="str">
            <v>SB22430</v>
          </cell>
          <cell r="E476">
            <v>9597</v>
          </cell>
        </row>
        <row r="477">
          <cell r="D477" t="str">
            <v>SB22431</v>
          </cell>
          <cell r="E477">
            <v>9136</v>
          </cell>
        </row>
        <row r="478">
          <cell r="D478" t="str">
            <v>SB22432</v>
          </cell>
          <cell r="E478">
            <v>9598</v>
          </cell>
        </row>
        <row r="479">
          <cell r="D479" t="str">
            <v>SB22433</v>
          </cell>
          <cell r="E479">
            <v>9137</v>
          </cell>
        </row>
        <row r="480">
          <cell r="D480" t="str">
            <v>SB22434</v>
          </cell>
          <cell r="E480">
            <v>9138</v>
          </cell>
        </row>
        <row r="481">
          <cell r="D481" t="str">
            <v>SB22435</v>
          </cell>
          <cell r="E481">
            <v>9358</v>
          </cell>
        </row>
        <row r="482">
          <cell r="D482" t="str">
            <v>SB22436</v>
          </cell>
          <cell r="E482">
            <v>9139</v>
          </cell>
        </row>
        <row r="483">
          <cell r="D483" t="str">
            <v>SB22437</v>
          </cell>
          <cell r="E483">
            <v>9140</v>
          </cell>
        </row>
        <row r="484">
          <cell r="D484" t="str">
            <v>SB22438</v>
          </cell>
          <cell r="E484">
            <v>9141</v>
          </cell>
        </row>
        <row r="485">
          <cell r="D485" t="str">
            <v>SB22439</v>
          </cell>
          <cell r="E485">
            <v>9142</v>
          </cell>
        </row>
        <row r="486">
          <cell r="D486" t="str">
            <v>SB22440</v>
          </cell>
          <cell r="E486">
            <v>9143</v>
          </cell>
        </row>
        <row r="487">
          <cell r="D487" t="str">
            <v>SB22441</v>
          </cell>
          <cell r="E487">
            <v>9144</v>
          </cell>
        </row>
        <row r="488">
          <cell r="D488" t="str">
            <v>SB22442</v>
          </cell>
          <cell r="E488">
            <v>9145</v>
          </cell>
        </row>
        <row r="489">
          <cell r="D489" t="str">
            <v>SB22443</v>
          </cell>
          <cell r="E489">
            <v>9146</v>
          </cell>
        </row>
        <row r="490">
          <cell r="D490" t="str">
            <v>SB22444</v>
          </cell>
          <cell r="E490">
            <v>9599</v>
          </cell>
        </row>
        <row r="491">
          <cell r="D491" t="str">
            <v>SB22445</v>
          </cell>
          <cell r="E491">
            <v>9359</v>
          </cell>
        </row>
        <row r="492">
          <cell r="D492" t="str">
            <v>SB22446</v>
          </cell>
          <cell r="E492">
            <v>9147</v>
          </cell>
        </row>
        <row r="493">
          <cell r="D493" t="str">
            <v>SB22447</v>
          </cell>
          <cell r="E493">
            <v>9148</v>
          </cell>
        </row>
        <row r="494">
          <cell r="D494" t="str">
            <v>SB22448</v>
          </cell>
          <cell r="E494">
            <v>9149</v>
          </cell>
        </row>
        <row r="495">
          <cell r="D495" t="str">
            <v>SB22449</v>
          </cell>
          <cell r="E495">
            <v>9150</v>
          </cell>
        </row>
        <row r="496">
          <cell r="D496" t="str">
            <v>SB22450</v>
          </cell>
          <cell r="E496">
            <v>9339</v>
          </cell>
        </row>
        <row r="497">
          <cell r="D497" t="str">
            <v>SB22451</v>
          </cell>
          <cell r="E497">
            <v>9151</v>
          </cell>
        </row>
        <row r="498">
          <cell r="D498" t="str">
            <v>SB22452</v>
          </cell>
          <cell r="E498">
            <v>9706</v>
          </cell>
        </row>
        <row r="499">
          <cell r="D499" t="str">
            <v>SB22453</v>
          </cell>
          <cell r="E499">
            <v>9152</v>
          </cell>
        </row>
        <row r="500">
          <cell r="D500" t="str">
            <v>SB22454</v>
          </cell>
          <cell r="E500">
            <v>9153</v>
          </cell>
        </row>
        <row r="501">
          <cell r="D501" t="str">
            <v>SB22455</v>
          </cell>
          <cell r="E501">
            <v>9154</v>
          </cell>
        </row>
        <row r="502">
          <cell r="D502" t="str">
            <v>SB22456</v>
          </cell>
          <cell r="E502">
            <v>9155</v>
          </cell>
        </row>
        <row r="503">
          <cell r="D503" t="str">
            <v>SB22457</v>
          </cell>
          <cell r="E503">
            <v>9156</v>
          </cell>
        </row>
        <row r="504">
          <cell r="D504" t="str">
            <v>SB22458</v>
          </cell>
          <cell r="E504">
            <v>9157</v>
          </cell>
        </row>
        <row r="505">
          <cell r="D505" t="str">
            <v>SB22460</v>
          </cell>
          <cell r="E505">
            <v>9158</v>
          </cell>
        </row>
        <row r="506">
          <cell r="D506" t="str">
            <v>SB22461</v>
          </cell>
          <cell r="E506">
            <v>9159</v>
          </cell>
        </row>
        <row r="507">
          <cell r="D507" t="str">
            <v>SB22462</v>
          </cell>
          <cell r="E507">
            <v>9160</v>
          </cell>
        </row>
        <row r="508">
          <cell r="D508" t="str">
            <v>SB22463</v>
          </cell>
          <cell r="E508">
            <v>9161</v>
          </cell>
        </row>
        <row r="509">
          <cell r="D509" t="str">
            <v>SB22464</v>
          </cell>
          <cell r="E509">
            <v>9162</v>
          </cell>
        </row>
        <row r="510">
          <cell r="D510" t="str">
            <v>SB22465</v>
          </cell>
          <cell r="E510">
            <v>9163</v>
          </cell>
        </row>
        <row r="511">
          <cell r="D511" t="str">
            <v>SB22466</v>
          </cell>
          <cell r="E511">
            <v>9600</v>
          </cell>
        </row>
        <row r="512">
          <cell r="D512" t="str">
            <v>SB22467</v>
          </cell>
          <cell r="E512">
            <v>9164</v>
          </cell>
        </row>
        <row r="513">
          <cell r="D513" t="str">
            <v>SB22468</v>
          </cell>
          <cell r="E513">
            <v>9165</v>
          </cell>
        </row>
        <row r="514">
          <cell r="D514" t="str">
            <v>SB22469</v>
          </cell>
          <cell r="E514">
            <v>9166</v>
          </cell>
        </row>
        <row r="515">
          <cell r="D515" t="str">
            <v>SB22470</v>
          </cell>
          <cell r="E515">
            <v>9167</v>
          </cell>
        </row>
        <row r="516">
          <cell r="D516" t="str">
            <v>SB22471</v>
          </cell>
          <cell r="E516">
            <v>9601</v>
          </cell>
        </row>
        <row r="517">
          <cell r="D517" t="str">
            <v>SB22475</v>
          </cell>
          <cell r="E517">
            <v>9168</v>
          </cell>
        </row>
        <row r="518">
          <cell r="D518" t="str">
            <v>SB22477</v>
          </cell>
          <cell r="E518">
            <v>9340</v>
          </cell>
        </row>
        <row r="519">
          <cell r="D519" t="str">
            <v>SB22478</v>
          </cell>
          <cell r="E519">
            <v>9169</v>
          </cell>
        </row>
        <row r="520">
          <cell r="D520" t="str">
            <v>SB22479</v>
          </cell>
          <cell r="E520">
            <v>9341</v>
          </cell>
        </row>
        <row r="521">
          <cell r="D521" t="str">
            <v>SB22480</v>
          </cell>
          <cell r="E521">
            <v>9170</v>
          </cell>
        </row>
        <row r="522">
          <cell r="D522" t="str">
            <v>SB10105</v>
          </cell>
          <cell r="E522">
            <v>5689</v>
          </cell>
        </row>
        <row r="523">
          <cell r="D523" t="str">
            <v>SB21466</v>
          </cell>
          <cell r="E523">
            <v>9925</v>
          </cell>
        </row>
        <row r="524">
          <cell r="D524" t="str">
            <v>SB21911</v>
          </cell>
          <cell r="E524">
            <v>5082</v>
          </cell>
        </row>
        <row r="525">
          <cell r="D525" t="str">
            <v>SB21942</v>
          </cell>
          <cell r="E525">
            <v>9926</v>
          </cell>
        </row>
        <row r="526">
          <cell r="D526" t="str">
            <v>SB22161</v>
          </cell>
          <cell r="E526">
            <v>5081</v>
          </cell>
        </row>
        <row r="527">
          <cell r="D527" t="str">
            <v>SB22173</v>
          </cell>
          <cell r="E527">
            <v>9927</v>
          </cell>
        </row>
        <row r="528">
          <cell r="D528" t="str">
            <v>SB22384</v>
          </cell>
          <cell r="E528">
            <v>10198</v>
          </cell>
        </row>
        <row r="529">
          <cell r="D529" t="str">
            <v>SB22420</v>
          </cell>
          <cell r="E529">
            <v>10199</v>
          </cell>
        </row>
        <row r="530">
          <cell r="D530" t="str">
            <v>SB22422</v>
          </cell>
          <cell r="E530">
            <v>10200</v>
          </cell>
        </row>
        <row r="531">
          <cell r="D531" t="str">
            <v>SB22459</v>
          </cell>
          <cell r="E531">
            <v>10201</v>
          </cell>
        </row>
        <row r="532">
          <cell r="D532" t="str">
            <v>SB22472</v>
          </cell>
          <cell r="E532">
            <v>10202</v>
          </cell>
        </row>
        <row r="533">
          <cell r="D533" t="str">
            <v>SB22473</v>
          </cell>
          <cell r="E533">
            <v>10203</v>
          </cell>
        </row>
        <row r="534">
          <cell r="D534" t="str">
            <v>SB22474</v>
          </cell>
          <cell r="E534">
            <v>10204</v>
          </cell>
        </row>
        <row r="535">
          <cell r="D535" t="str">
            <v>SB22476</v>
          </cell>
          <cell r="E535">
            <v>10205</v>
          </cell>
        </row>
        <row r="536">
          <cell r="D536" t="str">
            <v>SB22481</v>
          </cell>
          <cell r="E536">
            <v>9929</v>
          </cell>
        </row>
        <row r="537">
          <cell r="D537" t="str">
            <v>SB22482</v>
          </cell>
          <cell r="E537">
            <v>9930</v>
          </cell>
        </row>
        <row r="538">
          <cell r="D538" t="str">
            <v>SB22483</v>
          </cell>
          <cell r="E538">
            <v>9931</v>
          </cell>
        </row>
        <row r="539">
          <cell r="D539" t="str">
            <v>SB22484</v>
          </cell>
          <cell r="E539">
            <v>9932</v>
          </cell>
        </row>
        <row r="540">
          <cell r="D540" t="str">
            <v>SB22485</v>
          </cell>
          <cell r="E540">
            <v>10206</v>
          </cell>
        </row>
        <row r="541">
          <cell r="D541" t="str">
            <v>SB22486</v>
          </cell>
          <cell r="E541">
            <v>9933</v>
          </cell>
        </row>
        <row r="542">
          <cell r="D542" t="str">
            <v>SB22487</v>
          </cell>
          <cell r="E542">
            <v>9934</v>
          </cell>
        </row>
        <row r="543">
          <cell r="D543" t="str">
            <v>SB22488</v>
          </cell>
          <cell r="E543">
            <v>9935</v>
          </cell>
        </row>
        <row r="544">
          <cell r="D544" t="str">
            <v>SB22489</v>
          </cell>
          <cell r="E544">
            <v>9936</v>
          </cell>
        </row>
        <row r="545">
          <cell r="D545" t="str">
            <v>SB22490</v>
          </cell>
          <cell r="E545">
            <v>9937</v>
          </cell>
        </row>
        <row r="546">
          <cell r="D546" t="str">
            <v>SB22491</v>
          </cell>
          <cell r="E546">
            <v>9938</v>
          </cell>
        </row>
        <row r="547">
          <cell r="D547" t="str">
            <v>SB22492</v>
          </cell>
          <cell r="E547">
            <v>9939</v>
          </cell>
        </row>
        <row r="548">
          <cell r="D548" t="str">
            <v>SB22493</v>
          </cell>
          <cell r="E548">
            <v>9940</v>
          </cell>
        </row>
        <row r="549">
          <cell r="D549" t="str">
            <v>SB22494</v>
          </cell>
          <cell r="E549">
            <v>9941</v>
          </cell>
        </row>
        <row r="550">
          <cell r="D550" t="str">
            <v>SB22495</v>
          </cell>
          <cell r="E550">
            <v>9942</v>
          </cell>
        </row>
        <row r="551">
          <cell r="D551" t="str">
            <v>SB22496</v>
          </cell>
          <cell r="E551">
            <v>9943</v>
          </cell>
        </row>
        <row r="552">
          <cell r="D552" t="str">
            <v>SB22497</v>
          </cell>
          <cell r="E552">
            <v>9944</v>
          </cell>
        </row>
        <row r="553">
          <cell r="D553" t="str">
            <v>SB22498</v>
          </cell>
          <cell r="E553">
            <v>9945</v>
          </cell>
        </row>
        <row r="554">
          <cell r="D554" t="str">
            <v>SB22499</v>
          </cell>
          <cell r="E554">
            <v>9946</v>
          </cell>
        </row>
        <row r="555">
          <cell r="D555" t="str">
            <v>SB22500</v>
          </cell>
          <cell r="E555">
            <v>9947</v>
          </cell>
        </row>
        <row r="556">
          <cell r="D556" t="str">
            <v>SB22501</v>
          </cell>
          <cell r="E556">
            <v>9948</v>
          </cell>
        </row>
        <row r="557">
          <cell r="D557" t="str">
            <v>SB22502</v>
          </cell>
          <cell r="E557">
            <v>9949</v>
          </cell>
        </row>
        <row r="558">
          <cell r="D558" t="str">
            <v>SB22503</v>
          </cell>
          <cell r="E558">
            <v>9950</v>
          </cell>
        </row>
        <row r="559">
          <cell r="D559" t="str">
            <v>SB22504</v>
          </cell>
          <cell r="E559">
            <v>9951</v>
          </cell>
        </row>
        <row r="560">
          <cell r="D560" t="str">
            <v>SB22505</v>
          </cell>
          <cell r="E560">
            <v>9952</v>
          </cell>
        </row>
        <row r="561">
          <cell r="D561" t="str">
            <v>SB22506</v>
          </cell>
          <cell r="E561">
            <v>9953</v>
          </cell>
        </row>
        <row r="562">
          <cell r="D562" t="str">
            <v>SB22507</v>
          </cell>
          <cell r="E562">
            <v>9954</v>
          </cell>
        </row>
        <row r="563">
          <cell r="D563" t="str">
            <v>SB22508</v>
          </cell>
          <cell r="E563">
            <v>9955</v>
          </cell>
        </row>
        <row r="564">
          <cell r="D564" t="str">
            <v>SB22509</v>
          </cell>
          <cell r="E564">
            <v>10207</v>
          </cell>
        </row>
        <row r="565">
          <cell r="D565" t="str">
            <v>SB22510</v>
          </cell>
          <cell r="E565">
            <v>9956</v>
          </cell>
        </row>
        <row r="566">
          <cell r="D566" t="str">
            <v>SB22511</v>
          </cell>
          <cell r="E566">
            <v>9957</v>
          </cell>
        </row>
        <row r="567">
          <cell r="D567" t="str">
            <v>SB22512</v>
          </cell>
          <cell r="E567">
            <v>9958</v>
          </cell>
        </row>
        <row r="568">
          <cell r="D568" t="str">
            <v>SB22513</v>
          </cell>
          <cell r="E568">
            <v>9959</v>
          </cell>
        </row>
        <row r="569">
          <cell r="D569" t="str">
            <v>SB22514</v>
          </cell>
          <cell r="E569">
            <v>9960</v>
          </cell>
        </row>
        <row r="570">
          <cell r="D570" t="str">
            <v>SB22515</v>
          </cell>
          <cell r="E570">
            <v>9961</v>
          </cell>
        </row>
        <row r="571">
          <cell r="D571" t="str">
            <v>SB22516</v>
          </cell>
          <cell r="E571">
            <v>9962</v>
          </cell>
        </row>
        <row r="572">
          <cell r="D572" t="str">
            <v>SB22517</v>
          </cell>
          <cell r="E572">
            <v>9963</v>
          </cell>
        </row>
        <row r="573">
          <cell r="D573" t="str">
            <v>SB22518</v>
          </cell>
          <cell r="E573">
            <v>9964</v>
          </cell>
        </row>
        <row r="574">
          <cell r="D574" t="str">
            <v>SB22519</v>
          </cell>
          <cell r="E574">
            <v>9965</v>
          </cell>
        </row>
        <row r="575">
          <cell r="D575" t="str">
            <v>SB22520</v>
          </cell>
          <cell r="E575">
            <v>9966</v>
          </cell>
        </row>
        <row r="576">
          <cell r="D576" t="str">
            <v>SB22521</v>
          </cell>
          <cell r="E576">
            <v>9967</v>
          </cell>
        </row>
        <row r="577">
          <cell r="D577" t="str">
            <v>SB22522</v>
          </cell>
          <cell r="E577">
            <v>10208</v>
          </cell>
        </row>
        <row r="578">
          <cell r="D578" t="str">
            <v>SB22523</v>
          </cell>
          <cell r="E578">
            <v>9968</v>
          </cell>
        </row>
        <row r="579">
          <cell r="D579" t="str">
            <v>SB22524</v>
          </cell>
          <cell r="E579">
            <v>9969</v>
          </cell>
        </row>
        <row r="580">
          <cell r="D580" t="str">
            <v>SB22525</v>
          </cell>
          <cell r="E580">
            <v>9970</v>
          </cell>
        </row>
        <row r="581">
          <cell r="D581" t="str">
            <v>SB22526</v>
          </cell>
          <cell r="E581">
            <v>9971</v>
          </cell>
        </row>
        <row r="582">
          <cell r="D582" t="str">
            <v>SB22527</v>
          </cell>
          <cell r="E582">
            <v>9972</v>
          </cell>
        </row>
        <row r="583">
          <cell r="D583" t="str">
            <v>SB22528</v>
          </cell>
          <cell r="E583">
            <v>9973</v>
          </cell>
        </row>
        <row r="584">
          <cell r="D584" t="str">
            <v>SB22529</v>
          </cell>
          <cell r="E584">
            <v>9974</v>
          </cell>
        </row>
        <row r="585">
          <cell r="D585" t="str">
            <v>SB22530</v>
          </cell>
          <cell r="E585">
            <v>10209</v>
          </cell>
        </row>
        <row r="586">
          <cell r="D586" t="str">
            <v>SB22531</v>
          </cell>
          <cell r="E586">
            <v>10210</v>
          </cell>
        </row>
        <row r="587">
          <cell r="D587" t="str">
            <v>SB22532</v>
          </cell>
          <cell r="E587">
            <v>9975</v>
          </cell>
        </row>
        <row r="588">
          <cell r="D588" t="str">
            <v>SB22533</v>
          </cell>
          <cell r="E588">
            <v>9976</v>
          </cell>
        </row>
        <row r="589">
          <cell r="D589" t="str">
            <v>SB22534</v>
          </cell>
          <cell r="E589">
            <v>9977</v>
          </cell>
        </row>
        <row r="590">
          <cell r="D590" t="str">
            <v>SB22535</v>
          </cell>
          <cell r="E590">
            <v>9978</v>
          </cell>
        </row>
        <row r="591">
          <cell r="D591" t="str">
            <v>SB22536</v>
          </cell>
          <cell r="E591">
            <v>9979</v>
          </cell>
        </row>
        <row r="592">
          <cell r="D592" t="str">
            <v>SB22537</v>
          </cell>
          <cell r="E592">
            <v>9980</v>
          </cell>
        </row>
        <row r="593">
          <cell r="D593" t="str">
            <v>SB22538</v>
          </cell>
          <cell r="E593">
            <v>9981</v>
          </cell>
        </row>
        <row r="594">
          <cell r="D594" t="str">
            <v>SB22539</v>
          </cell>
          <cell r="E594">
            <v>9982</v>
          </cell>
        </row>
        <row r="595">
          <cell r="D595" t="str">
            <v>SB22540</v>
          </cell>
          <cell r="E595">
            <v>9983</v>
          </cell>
        </row>
        <row r="596">
          <cell r="D596" t="str">
            <v>SB22541</v>
          </cell>
          <cell r="E596">
            <v>9984</v>
          </cell>
        </row>
        <row r="597">
          <cell r="D597" t="str">
            <v>SB22542</v>
          </cell>
          <cell r="E597">
            <v>9985</v>
          </cell>
        </row>
        <row r="598">
          <cell r="D598" t="str">
            <v>SB22543</v>
          </cell>
          <cell r="E598">
            <v>9986</v>
          </cell>
        </row>
        <row r="599">
          <cell r="D599" t="str">
            <v>SB22544</v>
          </cell>
          <cell r="E599">
            <v>9987</v>
          </cell>
        </row>
        <row r="600">
          <cell r="D600" t="str">
            <v>SB22545</v>
          </cell>
          <cell r="E600">
            <v>9988</v>
          </cell>
        </row>
        <row r="601">
          <cell r="D601" t="str">
            <v>SB22546</v>
          </cell>
          <cell r="E601">
            <v>9989</v>
          </cell>
        </row>
        <row r="602">
          <cell r="D602" t="str">
            <v>SB22547</v>
          </cell>
          <cell r="E602">
            <v>9990</v>
          </cell>
        </row>
        <row r="603">
          <cell r="D603" t="str">
            <v>SB22548</v>
          </cell>
          <cell r="E603">
            <v>9991</v>
          </cell>
        </row>
        <row r="604">
          <cell r="D604" t="str">
            <v>SB22549</v>
          </cell>
          <cell r="E604">
            <v>9992</v>
          </cell>
        </row>
        <row r="605">
          <cell r="D605" t="str">
            <v>SB22550</v>
          </cell>
          <cell r="E605">
            <v>9993</v>
          </cell>
        </row>
        <row r="606">
          <cell r="D606" t="str">
            <v>SB22551</v>
          </cell>
          <cell r="E606">
            <v>9994</v>
          </cell>
        </row>
        <row r="607">
          <cell r="D607" t="str">
            <v>SB22552</v>
          </cell>
          <cell r="E607">
            <v>9995</v>
          </cell>
        </row>
        <row r="608">
          <cell r="D608" t="str">
            <v>SB22553</v>
          </cell>
          <cell r="E608">
            <v>9996</v>
          </cell>
        </row>
        <row r="609">
          <cell r="D609" t="str">
            <v>SB22554</v>
          </cell>
          <cell r="E609">
            <v>9997</v>
          </cell>
        </row>
        <row r="610">
          <cell r="D610" t="str">
            <v>SB22555</v>
          </cell>
          <cell r="E610">
            <v>9998</v>
          </cell>
        </row>
        <row r="611">
          <cell r="D611" t="str">
            <v>SB22556</v>
          </cell>
          <cell r="E611">
            <v>9999</v>
          </cell>
        </row>
        <row r="612">
          <cell r="D612" t="str">
            <v>SB22557</v>
          </cell>
          <cell r="E612">
            <v>10000</v>
          </cell>
        </row>
        <row r="613">
          <cell r="D613" t="str">
            <v>SB22558</v>
          </cell>
          <cell r="E613">
            <v>10001</v>
          </cell>
        </row>
        <row r="614">
          <cell r="D614" t="str">
            <v>SB22559</v>
          </cell>
          <cell r="E614">
            <v>10002</v>
          </cell>
        </row>
        <row r="615">
          <cell r="D615" t="str">
            <v>SB22560</v>
          </cell>
          <cell r="E615">
            <v>10003</v>
          </cell>
        </row>
        <row r="616">
          <cell r="D616" t="str">
            <v>SB22561</v>
          </cell>
          <cell r="E616">
            <v>10004</v>
          </cell>
        </row>
        <row r="617">
          <cell r="D617" t="str">
            <v>SB22562</v>
          </cell>
          <cell r="E617">
            <v>10005</v>
          </cell>
        </row>
        <row r="618">
          <cell r="D618" t="str">
            <v>SB22563</v>
          </cell>
          <cell r="E618">
            <v>10006</v>
          </cell>
        </row>
        <row r="619">
          <cell r="D619" t="str">
            <v>SB22564</v>
          </cell>
          <cell r="E619">
            <v>10007</v>
          </cell>
        </row>
        <row r="620">
          <cell r="D620" t="str">
            <v>SB22565</v>
          </cell>
          <cell r="E620">
            <v>10008</v>
          </cell>
        </row>
        <row r="621">
          <cell r="D621" t="str">
            <v>SB22566</v>
          </cell>
          <cell r="E621">
            <v>10009</v>
          </cell>
        </row>
        <row r="622">
          <cell r="D622" t="str">
            <v>SB22567</v>
          </cell>
          <cell r="E622">
            <v>10010</v>
          </cell>
        </row>
        <row r="623">
          <cell r="D623" t="str">
            <v>SB22568</v>
          </cell>
          <cell r="E623">
            <v>10011</v>
          </cell>
        </row>
        <row r="624">
          <cell r="D624" t="str">
            <v>SB22569</v>
          </cell>
          <cell r="E624">
            <v>10012</v>
          </cell>
        </row>
        <row r="625">
          <cell r="D625" t="str">
            <v>SB22570</v>
          </cell>
          <cell r="E625">
            <v>10013</v>
          </cell>
        </row>
        <row r="626">
          <cell r="D626" t="str">
            <v>SB22571</v>
          </cell>
          <cell r="E626">
            <v>10014</v>
          </cell>
        </row>
        <row r="627">
          <cell r="D627" t="str">
            <v>SB22572</v>
          </cell>
          <cell r="E627">
            <v>10015</v>
          </cell>
        </row>
        <row r="628">
          <cell r="D628" t="str">
            <v>SB22573</v>
          </cell>
          <cell r="E628">
            <v>10016</v>
          </cell>
        </row>
        <row r="629">
          <cell r="D629" t="str">
            <v>SB22574</v>
          </cell>
          <cell r="E629">
            <v>10017</v>
          </cell>
        </row>
        <row r="630">
          <cell r="D630" t="str">
            <v>SB22575</v>
          </cell>
          <cell r="E630">
            <v>10018</v>
          </cell>
        </row>
        <row r="631">
          <cell r="D631" t="str">
            <v>SB22576</v>
          </cell>
          <cell r="E631">
            <v>10019</v>
          </cell>
        </row>
        <row r="632">
          <cell r="D632" t="str">
            <v>SB22577</v>
          </cell>
          <cell r="E632">
            <v>10020</v>
          </cell>
        </row>
        <row r="633">
          <cell r="D633" t="str">
            <v>SB22578</v>
          </cell>
          <cell r="E633">
            <v>10021</v>
          </cell>
        </row>
        <row r="634">
          <cell r="D634" t="str">
            <v>SB22579</v>
          </cell>
          <cell r="E634">
            <v>10211</v>
          </cell>
        </row>
        <row r="635">
          <cell r="D635" t="str">
            <v>SB22580</v>
          </cell>
          <cell r="E635">
            <v>10022</v>
          </cell>
        </row>
        <row r="636">
          <cell r="D636" t="str">
            <v>SB22581</v>
          </cell>
          <cell r="E636">
            <v>10023</v>
          </cell>
        </row>
        <row r="637">
          <cell r="D637" t="str">
            <v>SB22582</v>
          </cell>
          <cell r="E637">
            <v>10024</v>
          </cell>
        </row>
        <row r="638">
          <cell r="D638" t="str">
            <v>SB22583</v>
          </cell>
          <cell r="E638">
            <v>10025</v>
          </cell>
        </row>
        <row r="639">
          <cell r="D639" t="str">
            <v>SB22584</v>
          </cell>
          <cell r="E639">
            <v>10214</v>
          </cell>
        </row>
        <row r="640">
          <cell r="D640" t="str">
            <v>SB22585</v>
          </cell>
          <cell r="E640">
            <v>10026</v>
          </cell>
        </row>
        <row r="641">
          <cell r="D641" t="str">
            <v>SB22586</v>
          </cell>
          <cell r="E641">
            <v>10027</v>
          </cell>
        </row>
        <row r="642">
          <cell r="D642" t="str">
            <v>SB22587</v>
          </cell>
          <cell r="E642">
            <v>10028</v>
          </cell>
        </row>
        <row r="643">
          <cell r="D643" t="str">
            <v>SB22588</v>
          </cell>
          <cell r="E643">
            <v>10212</v>
          </cell>
        </row>
        <row r="644">
          <cell r="D644" t="str">
            <v>SB22589</v>
          </cell>
          <cell r="E644">
            <v>10029</v>
          </cell>
        </row>
        <row r="645">
          <cell r="D645" t="str">
            <v>SB22590</v>
          </cell>
          <cell r="E645">
            <v>10030</v>
          </cell>
        </row>
        <row r="646">
          <cell r="D646" t="str">
            <v>SB22591</v>
          </cell>
          <cell r="E646">
            <v>10031</v>
          </cell>
        </row>
        <row r="647">
          <cell r="D647" t="str">
            <v>SB22592</v>
          </cell>
          <cell r="E647">
            <v>10032</v>
          </cell>
        </row>
        <row r="648">
          <cell r="D648" t="str">
            <v>SB22593</v>
          </cell>
          <cell r="E648">
            <v>10033</v>
          </cell>
        </row>
        <row r="649">
          <cell r="D649" t="str">
            <v>SB22594</v>
          </cell>
          <cell r="E649">
            <v>10034</v>
          </cell>
        </row>
        <row r="650">
          <cell r="D650" t="str">
            <v>SB22595</v>
          </cell>
          <cell r="E650">
            <v>10035</v>
          </cell>
        </row>
        <row r="651">
          <cell r="D651" t="str">
            <v>SB22596</v>
          </cell>
          <cell r="E651">
            <v>10036</v>
          </cell>
        </row>
        <row r="652">
          <cell r="D652" t="str">
            <v>SB22597</v>
          </cell>
          <cell r="E652">
            <v>10037</v>
          </cell>
        </row>
        <row r="653">
          <cell r="D653" t="str">
            <v>SB22599</v>
          </cell>
          <cell r="E653">
            <v>10038</v>
          </cell>
        </row>
        <row r="654">
          <cell r="D654" t="str">
            <v>SB22600</v>
          </cell>
          <cell r="E654">
            <v>10039</v>
          </cell>
        </row>
        <row r="655">
          <cell r="D655" t="str">
            <v>SB22601</v>
          </cell>
          <cell r="E655">
            <v>10213</v>
          </cell>
        </row>
        <row r="656">
          <cell r="D656" t="str">
            <v>SB22602</v>
          </cell>
          <cell r="E656">
            <v>10040</v>
          </cell>
        </row>
        <row r="657">
          <cell r="D657" t="str">
            <v>SB22603</v>
          </cell>
          <cell r="E657">
            <v>10041</v>
          </cell>
        </row>
        <row r="658">
          <cell r="D658" t="str">
            <v>SB22604</v>
          </cell>
          <cell r="E658">
            <v>10042</v>
          </cell>
        </row>
        <row r="659">
          <cell r="D659" t="str">
            <v>SB22605</v>
          </cell>
          <cell r="E659">
            <v>10043</v>
          </cell>
        </row>
        <row r="660">
          <cell r="D660" t="str">
            <v>SB22606</v>
          </cell>
          <cell r="E660">
            <v>10044</v>
          </cell>
        </row>
        <row r="661">
          <cell r="D661" t="str">
            <v>SB22607</v>
          </cell>
          <cell r="E661">
            <v>10045</v>
          </cell>
        </row>
        <row r="662">
          <cell r="D662" t="str">
            <v>SB22608</v>
          </cell>
          <cell r="E662">
            <v>10046</v>
          </cell>
        </row>
        <row r="663">
          <cell r="D663" t="str">
            <v>SB22609</v>
          </cell>
          <cell r="E663">
            <v>10047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1">
          <cell r="A1" t="str">
            <v>entityid</v>
          </cell>
          <cell r="B1" t="str">
            <v>company</v>
          </cell>
        </row>
        <row r="2">
          <cell r="A2" t="str">
            <v>ProjectID</v>
          </cell>
          <cell r="B2" t="str">
            <v>Project Name</v>
          </cell>
          <cell r="C2" t="str">
            <v>Labour</v>
          </cell>
          <cell r="D2" t="str">
            <v>Expenses</v>
          </cell>
          <cell r="E2" t="str">
            <v>Supplier</v>
          </cell>
          <cell r="F2" t="str">
            <v>Other</v>
          </cell>
        </row>
        <row r="3">
          <cell r="A3" t="str">
            <v>HEADERThisfieldwillcontaintheprojectcode.</v>
          </cell>
        </row>
        <row r="4">
          <cell r="A4" t="str">
            <v>SB22161</v>
          </cell>
          <cell r="B4" t="str">
            <v>Hul - Lakme X Myntra</v>
          </cell>
        </row>
        <row r="4">
          <cell r="F4">
            <v>717800</v>
          </cell>
        </row>
        <row r="5">
          <cell r="A5" t="str">
            <v>SB21911</v>
          </cell>
          <cell r="B5" t="str">
            <v>IKEA - Festive Lighting 2024</v>
          </cell>
        </row>
        <row r="5">
          <cell r="F5">
            <v>4000000</v>
          </cell>
        </row>
        <row r="7">
          <cell r="A7" t="str">
            <v>SB21528</v>
          </cell>
          <cell r="B7" t="str">
            <v>BFSI Techtalks Mumbai</v>
          </cell>
        </row>
        <row r="7">
          <cell r="F7">
            <v>4417437</v>
          </cell>
        </row>
        <row r="8">
          <cell r="A8" t="str">
            <v>SB21697</v>
          </cell>
          <cell r="B8" t="str">
            <v>Castrol India Stall - IMTEX (Tool Tech)</v>
          </cell>
        </row>
        <row r="8">
          <cell r="F8">
            <v>1330560</v>
          </cell>
        </row>
        <row r="9">
          <cell r="A9" t="str">
            <v>SB21700</v>
          </cell>
          <cell r="B9" t="str">
            <v>Amazon SPS</v>
          </cell>
        </row>
        <row r="9">
          <cell r="F9">
            <v>401218.4</v>
          </cell>
        </row>
        <row r="10">
          <cell r="A10" t="str">
            <v>SB21703</v>
          </cell>
          <cell r="B10" t="str">
            <v>BFSI VCF Workshops</v>
          </cell>
        </row>
        <row r="10">
          <cell r="F10">
            <v>3109238</v>
          </cell>
        </row>
        <row r="11">
          <cell r="A11" t="str">
            <v>SB21704</v>
          </cell>
          <cell r="B11" t="str">
            <v>Castrol India TUBE India Expo November</v>
          </cell>
        </row>
        <row r="11">
          <cell r="F11">
            <v>415514</v>
          </cell>
        </row>
        <row r="12">
          <cell r="A12" t="str">
            <v>SB21733</v>
          </cell>
          <cell r="B12" t="str">
            <v>Amazon ring devices event</v>
          </cell>
        </row>
        <row r="12">
          <cell r="F12">
            <v>162635</v>
          </cell>
        </row>
        <row r="13">
          <cell r="A13" t="str">
            <v>SB21770</v>
          </cell>
          <cell r="B13" t="str">
            <v>Mangalam Leasing Channel Partners Meet</v>
          </cell>
        </row>
        <row r="13">
          <cell r="F13">
            <v>2413600</v>
          </cell>
        </row>
        <row r="14">
          <cell r="A14" t="str">
            <v>SB21797</v>
          </cell>
          <cell r="B14" t="str">
            <v> Intel stall at Data Hack Summit 2024 at Nimhans</v>
          </cell>
        </row>
        <row r="14">
          <cell r="F14">
            <v>489783</v>
          </cell>
        </row>
        <row r="15">
          <cell r="A15" t="str">
            <v>SB21800</v>
          </cell>
          <cell r="B15" t="str">
            <v>Towards Tanzu Activities</v>
          </cell>
        </row>
        <row r="15">
          <cell r="F15">
            <v>1933840</v>
          </cell>
        </row>
        <row r="16">
          <cell r="A16" t="str">
            <v>SB21804</v>
          </cell>
          <cell r="B16" t="str">
            <v>Dell CSG event</v>
          </cell>
        </row>
        <row r="16">
          <cell r="F16">
            <v>11400000</v>
          </cell>
        </row>
        <row r="17">
          <cell r="A17" t="str">
            <v>SB21807</v>
          </cell>
          <cell r="B17" t="str">
            <v>Red Hat Summit Connect</v>
          </cell>
        </row>
        <row r="17">
          <cell r="F17">
            <v>24389088</v>
          </cell>
        </row>
        <row r="18">
          <cell r="A18" t="str">
            <v>SB21814</v>
          </cell>
          <cell r="B18" t="str">
            <v>Booth Participation @Gartner Symposium 2024</v>
          </cell>
        </row>
        <row r="18">
          <cell r="F18">
            <v>409750</v>
          </cell>
        </row>
        <row r="19">
          <cell r="A19" t="str">
            <v>SB21829</v>
          </cell>
          <cell r="B19" t="str">
            <v>Adobe Day @ Corporates</v>
          </cell>
        </row>
        <row r="19">
          <cell r="F19">
            <v>2527500</v>
          </cell>
        </row>
        <row r="20">
          <cell r="A20" t="str">
            <v>SB21847</v>
          </cell>
          <cell r="B20" t="str">
            <v>Siemens Ahmedabad Townhall event </v>
          </cell>
        </row>
        <row r="20">
          <cell r="F20">
            <v>67831</v>
          </cell>
        </row>
        <row r="21">
          <cell r="A21" t="str">
            <v>SB21859</v>
          </cell>
          <cell r="B21" t="str">
            <v>NVIDIA - AI Summit at  23rd to 25th Oct 2024</v>
          </cell>
        </row>
        <row r="21">
          <cell r="F21">
            <v>344008695.65</v>
          </cell>
        </row>
        <row r="22">
          <cell r="A22" t="str">
            <v>SB21861</v>
          </cell>
          <cell r="B22" t="str">
            <v>HPE Discover More AI</v>
          </cell>
        </row>
        <row r="22">
          <cell r="F22">
            <v>43169821</v>
          </cell>
        </row>
        <row r="23">
          <cell r="A23" t="str">
            <v>SB21873</v>
          </cell>
          <cell r="B23" t="str">
            <v> INGKA - Mapic Stall 2024 at Jio,</v>
          </cell>
        </row>
        <row r="23">
          <cell r="F23">
            <v>3297085</v>
          </cell>
        </row>
        <row r="24">
          <cell r="A24" t="str">
            <v>SB21888</v>
          </cell>
          <cell r="B24" t="str">
            <v>Hitachi Gartner Symposium 2024.</v>
          </cell>
        </row>
        <row r="24">
          <cell r="F24">
            <v>5035200</v>
          </cell>
        </row>
        <row r="25">
          <cell r="A25" t="str">
            <v>SB21911</v>
          </cell>
          <cell r="B25" t="str">
            <v>IKEA - Festive Lighting 2024</v>
          </cell>
        </row>
        <row r="25">
          <cell r="F25">
            <v>6002832</v>
          </cell>
        </row>
        <row r="26">
          <cell r="A26" t="str">
            <v>SB21914</v>
          </cell>
          <cell r="B26" t="str">
            <v>Amazon Ace Awards</v>
          </cell>
        </row>
        <row r="26">
          <cell r="F26">
            <v>263375</v>
          </cell>
        </row>
        <row r="27">
          <cell r="A27" t="str">
            <v>SB21917</v>
          </cell>
          <cell r="B27" t="str">
            <v>Towards VSP One pipeline acceleration campaign</v>
          </cell>
        </row>
        <row r="27">
          <cell r="F27">
            <v>3174924.93</v>
          </cell>
        </row>
        <row r="28">
          <cell r="A28" t="str">
            <v>SB21920</v>
          </cell>
          <cell r="B28" t="str">
            <v>Sustainability Campaign</v>
          </cell>
        </row>
        <row r="28">
          <cell r="F28">
            <v>415000</v>
          </cell>
        </row>
        <row r="29">
          <cell r="A29" t="str">
            <v>SB21930</v>
          </cell>
          <cell r="B29" t="str">
            <v>Cognizant - CIO 100 SYMPOSIUM &amp; AWARDS</v>
          </cell>
        </row>
        <row r="29">
          <cell r="F29">
            <v>180070</v>
          </cell>
        </row>
        <row r="30">
          <cell r="A30" t="str">
            <v>SB21931</v>
          </cell>
          <cell r="B30" t="str">
            <v>IKEA - Influencer Activity </v>
          </cell>
        </row>
        <row r="30">
          <cell r="F30">
            <v>0</v>
          </cell>
        </row>
        <row r="31">
          <cell r="A31" t="str">
            <v>SB21935</v>
          </cell>
          <cell r="B31" t="str">
            <v>Siemens Mobility Tactical Table</v>
          </cell>
        </row>
        <row r="31">
          <cell r="F31">
            <v>2397035.4</v>
          </cell>
        </row>
        <row r="32">
          <cell r="A32" t="str">
            <v>SB21939</v>
          </cell>
          <cell r="B32" t="str">
            <v>Towards Booth set up at DevOpsDays Kerela 2024.</v>
          </cell>
        </row>
        <row r="32">
          <cell r="F32">
            <v>123389.25</v>
          </cell>
        </row>
        <row r="33">
          <cell r="A33" t="str">
            <v>SB21940</v>
          </cell>
          <cell r="B33" t="str">
            <v>HPE Booth at NVIDIA AI Summit at JIO convention Centre Mumbai</v>
          </cell>
        </row>
        <row r="33">
          <cell r="F33">
            <v>5718840</v>
          </cell>
        </row>
        <row r="34">
          <cell r="A34" t="str">
            <v>SB21944</v>
          </cell>
          <cell r="B34" t="str">
            <v>Amazon SPS</v>
          </cell>
        </row>
        <row r="34">
          <cell r="F34">
            <v>1712265.28</v>
          </cell>
        </row>
        <row r="35">
          <cell r="A35" t="str">
            <v>SB21945</v>
          </cell>
          <cell r="B35" t="str">
            <v>Lenovo R&amp;D Lab Innaugration</v>
          </cell>
        </row>
        <row r="35">
          <cell r="F35">
            <v>2246564.16</v>
          </cell>
        </row>
        <row r="36">
          <cell r="A36" t="str">
            <v>SB21947</v>
          </cell>
          <cell r="B36" t="str">
            <v>NetApp Targus Roundtable Conference </v>
          </cell>
        </row>
        <row r="36">
          <cell r="F36">
            <v>566389</v>
          </cell>
        </row>
        <row r="37">
          <cell r="A37" t="str">
            <v>SB21954</v>
          </cell>
          <cell r="B37" t="str">
            <v>Github Reconnect Series, Sep to Nov 2024</v>
          </cell>
        </row>
        <row r="37">
          <cell r="F37">
            <v>1241937</v>
          </cell>
        </row>
        <row r="38">
          <cell r="A38" t="str">
            <v>SB21960</v>
          </cell>
          <cell r="B38" t="str">
            <v>Futureworks India 2024</v>
          </cell>
        </row>
        <row r="38">
          <cell r="F38">
            <v>7890000</v>
          </cell>
        </row>
        <row r="39">
          <cell r="A39" t="str">
            <v>SB21961</v>
          </cell>
          <cell r="B39" t="str">
            <v>Towards Webinar Promotion Services</v>
          </cell>
        </row>
        <row r="39">
          <cell r="F39">
            <v>335680</v>
          </cell>
        </row>
        <row r="40">
          <cell r="A40" t="str">
            <v>SB21975</v>
          </cell>
          <cell r="B40" t="str">
            <v>Siemens R2R Townhall </v>
          </cell>
        </row>
        <row r="40">
          <cell r="F40">
            <v>480306</v>
          </cell>
        </row>
        <row r="41">
          <cell r="A41" t="str">
            <v>SB21981</v>
          </cell>
          <cell r="B41" t="str">
            <v>Adobe ALM booth set-up, hotel Taj </v>
          </cell>
        </row>
        <row r="41">
          <cell r="F41">
            <v>850000</v>
          </cell>
        </row>
        <row r="42">
          <cell r="A42" t="str">
            <v>SB21982</v>
          </cell>
          <cell r="B42" t="str">
            <v>Kia Inspiration Day, </v>
          </cell>
        </row>
        <row r="42">
          <cell r="F42">
            <v>25313041</v>
          </cell>
        </row>
        <row r="43">
          <cell r="A43" t="str">
            <v>SB21983</v>
          </cell>
          <cell r="B43" t="str">
            <v>TVS Srichakra Eurogrip No Parking board</v>
          </cell>
        </row>
        <row r="43">
          <cell r="F43">
            <v>27520</v>
          </cell>
        </row>
        <row r="44">
          <cell r="A44" t="str">
            <v>SB21984</v>
          </cell>
          <cell r="B44" t="str">
            <v>NatWest Signature Borad Campaign</v>
          </cell>
        </row>
        <row r="44">
          <cell r="F44">
            <v>32750</v>
          </cell>
        </row>
        <row r="45">
          <cell r="A45" t="str">
            <v>SB21985</v>
          </cell>
          <cell r="B45" t="str">
            <v>Havas Apparelre Sources - ASW 2024</v>
          </cell>
        </row>
        <row r="45">
          <cell r="F45">
            <v>150000</v>
          </cell>
        </row>
        <row r="46">
          <cell r="A46" t="str">
            <v>SB21986</v>
          </cell>
          <cell r="B46" t="str">
            <v>Cognizant TD Bank Client Visit</v>
          </cell>
        </row>
        <row r="46">
          <cell r="F46">
            <v>269236</v>
          </cell>
        </row>
        <row r="47">
          <cell r="A47" t="str">
            <v>SB21987</v>
          </cell>
          <cell r="B47" t="str">
            <v>TVS Srichakra RRC/MMC/CPC Activity</v>
          </cell>
        </row>
        <row r="47">
          <cell r="F47">
            <v>31390</v>
          </cell>
        </row>
        <row r="48">
          <cell r="A48" t="str">
            <v>SB21988</v>
          </cell>
          <cell r="B48" t="str">
            <v>Cognzinat Cr3own client Visit </v>
          </cell>
        </row>
        <row r="48">
          <cell r="F48">
            <v>819005</v>
          </cell>
        </row>
        <row r="49">
          <cell r="A49" t="str">
            <v>SB21989</v>
          </cell>
          <cell r="B49" t="str">
            <v>BP Townhall</v>
          </cell>
        </row>
        <row r="49">
          <cell r="F49">
            <v>628998.66</v>
          </cell>
        </row>
        <row r="50">
          <cell r="A50" t="str">
            <v>SB21990</v>
          </cell>
          <cell r="B50" t="str">
            <v>Intel Altera Innovation Day</v>
          </cell>
        </row>
        <row r="50">
          <cell r="F50">
            <v>4963500</v>
          </cell>
        </row>
        <row r="51">
          <cell r="A51" t="str">
            <v>SB21991</v>
          </cell>
          <cell r="B51" t="str">
            <v>Intel  ConnectiON 2024 - Phase 1 </v>
          </cell>
        </row>
        <row r="51">
          <cell r="F51">
            <v>9930859.96</v>
          </cell>
        </row>
        <row r="52">
          <cell r="A52" t="str">
            <v>SB21993</v>
          </cell>
          <cell r="B52" t="str">
            <v>Brookfield Properties Gallery Set-up,</v>
          </cell>
        </row>
        <row r="52">
          <cell r="F52">
            <v>520190</v>
          </cell>
        </row>
        <row r="53">
          <cell r="A53" t="str">
            <v>SB21995</v>
          </cell>
          <cell r="B53" t="str">
            <v>Ikea - Durga Utsav Event</v>
          </cell>
        </row>
        <row r="53">
          <cell r="F53">
            <v>3034350</v>
          </cell>
        </row>
        <row r="54">
          <cell r="A54" t="str">
            <v>SB21996</v>
          </cell>
          <cell r="B54" t="str">
            <v>Tech Data VEGAS Fest 2024</v>
          </cell>
        </row>
        <row r="54">
          <cell r="F54">
            <v>402500</v>
          </cell>
        </row>
        <row r="55">
          <cell r="A55" t="str">
            <v>SB21997</v>
          </cell>
          <cell r="B55" t="str">
            <v>Redington CIO KLUB 2024</v>
          </cell>
        </row>
        <row r="55">
          <cell r="F55">
            <v>300840</v>
          </cell>
        </row>
        <row r="56">
          <cell r="A56" t="str">
            <v>SB21998</v>
          </cell>
          <cell r="B56" t="str">
            <v>Novo Development All Leaders Meet 2024</v>
          </cell>
        </row>
        <row r="56">
          <cell r="F56">
            <v>1995730.62</v>
          </cell>
        </row>
        <row r="57">
          <cell r="A57" t="str">
            <v>SB21999</v>
          </cell>
          <cell r="B57" t="str">
            <v>Nikon booth set-up</v>
          </cell>
        </row>
        <row r="57">
          <cell r="F57">
            <v>3666447</v>
          </cell>
        </row>
        <row r="58">
          <cell r="A58" t="str">
            <v>SB22000</v>
          </cell>
          <cell r="B58" t="str">
            <v>stall in Didac India Expo</v>
          </cell>
        </row>
        <row r="58">
          <cell r="F58">
            <v>53120</v>
          </cell>
        </row>
        <row r="59">
          <cell r="A59" t="str">
            <v>SB22001</v>
          </cell>
          <cell r="B59" t="str">
            <v> Intel Altera IMC Meeting </v>
          </cell>
        </row>
        <row r="59">
          <cell r="F59">
            <v>825000</v>
          </cell>
        </row>
        <row r="60">
          <cell r="A60" t="str">
            <v>SB22002</v>
          </cell>
          <cell r="B60" t="str">
            <v> IKEA  - Influencer Meet</v>
          </cell>
        </row>
        <row r="60">
          <cell r="F60">
            <v>2245584</v>
          </cell>
        </row>
        <row r="61">
          <cell r="A61" t="str">
            <v>SB22003</v>
          </cell>
          <cell r="B61" t="str">
            <v>Siemens - EHS Stall at CII</v>
          </cell>
        </row>
        <row r="61">
          <cell r="F61">
            <v>304464</v>
          </cell>
        </row>
        <row r="62">
          <cell r="A62" t="str">
            <v>SB22004</v>
          </cell>
          <cell r="B62" t="str">
            <v>NetApp Ahmedabad</v>
          </cell>
        </row>
        <row r="62">
          <cell r="F62">
            <v>181887.5</v>
          </cell>
        </row>
        <row r="63">
          <cell r="A63" t="str">
            <v>SB22005</v>
          </cell>
          <cell r="B63" t="str">
            <v>Schneider Retailers Meet, </v>
          </cell>
        </row>
        <row r="63">
          <cell r="F63">
            <v>3302404</v>
          </cell>
        </row>
        <row r="64">
          <cell r="A64" t="str">
            <v>SB22007</v>
          </cell>
          <cell r="B64" t="str">
            <v>Linkedin Creator’s Event</v>
          </cell>
        </row>
        <row r="64">
          <cell r="F64">
            <v>72600</v>
          </cell>
        </row>
        <row r="65">
          <cell r="A65" t="str">
            <v>SB22008</v>
          </cell>
          <cell r="B65" t="str">
            <v>Amazon Big Bets Paper Inserts</v>
          </cell>
        </row>
        <row r="65">
          <cell r="F65">
            <v>1570800</v>
          </cell>
        </row>
        <row r="66">
          <cell r="A66" t="str">
            <v>SB22009</v>
          </cell>
          <cell r="B66" t="str">
            <v>RNTBCI Team Outing 2024</v>
          </cell>
        </row>
        <row r="66">
          <cell r="F66">
            <v>166100</v>
          </cell>
        </row>
        <row r="67">
          <cell r="A67" t="str">
            <v>SB22010</v>
          </cell>
          <cell r="B67" t="str">
            <v>Veeva Systems Summit 2023</v>
          </cell>
        </row>
        <row r="67">
          <cell r="F67">
            <v>3465250</v>
          </cell>
        </row>
        <row r="68">
          <cell r="A68" t="str">
            <v>SB22011</v>
          </cell>
          <cell r="B68" t="str">
            <v>Siemens Healthineers_Pen branding</v>
          </cell>
        </row>
        <row r="68">
          <cell r="F68">
            <v>0</v>
          </cell>
        </row>
        <row r="69">
          <cell r="A69" t="str">
            <v>SB22012</v>
          </cell>
          <cell r="B69" t="str">
            <v>NetApp Sify Corp</v>
          </cell>
        </row>
        <row r="69">
          <cell r="F69">
            <v>876090.86</v>
          </cell>
        </row>
        <row r="70">
          <cell r="A70" t="str">
            <v>SB22013</v>
          </cell>
          <cell r="B70" t="str">
            <v>Amazon Box Installation</v>
          </cell>
        </row>
        <row r="70">
          <cell r="F70">
            <v>1528120</v>
          </cell>
        </row>
        <row r="71">
          <cell r="A71" t="str">
            <v>SB22014</v>
          </cell>
          <cell r="B71" t="str">
            <v>AIKYAM 2024</v>
          </cell>
        </row>
        <row r="71">
          <cell r="F71">
            <v>3777764</v>
          </cell>
        </row>
        <row r="72">
          <cell r="A72" t="str">
            <v>SB22015</v>
          </cell>
          <cell r="B72" t="str">
            <v>Siemens Energy_ Crystal Memento &amp; Jute Bag</v>
          </cell>
        </row>
        <row r="72">
          <cell r="F72">
            <v>626789</v>
          </cell>
        </row>
        <row r="73">
          <cell r="A73" t="str">
            <v>SB22016</v>
          </cell>
          <cell r="B73" t="str">
            <v>Hindustan Lab Day with Lakme Sunexpert Event </v>
          </cell>
        </row>
        <row r="73">
          <cell r="F73">
            <v>774974</v>
          </cell>
        </row>
        <row r="74">
          <cell r="A74" t="str">
            <v>SB22017</v>
          </cell>
          <cell r="B74" t="str">
            <v>HUL - FinAce Season 8 Finale Event</v>
          </cell>
        </row>
        <row r="74">
          <cell r="F74">
            <v>693500</v>
          </cell>
        </row>
        <row r="75">
          <cell r="A75" t="str">
            <v>SB22018</v>
          </cell>
          <cell r="B75" t="str">
            <v>Towards stock footage</v>
          </cell>
        </row>
        <row r="75">
          <cell r="F75">
            <v>112725</v>
          </cell>
        </row>
        <row r="76">
          <cell r="A76" t="str">
            <v>SB22019</v>
          </cell>
          <cell r="B76" t="str">
            <v>Hitachi ABM – Q3 tech workshops – multiple cities </v>
          </cell>
        </row>
        <row r="76">
          <cell r="F76">
            <v>1245000</v>
          </cell>
        </row>
        <row r="77">
          <cell r="A77" t="str">
            <v>SB22020</v>
          </cell>
          <cell r="B77" t="str">
            <v>Mahindra LMM</v>
          </cell>
        </row>
        <row r="77">
          <cell r="F77">
            <v>71500</v>
          </cell>
        </row>
        <row r="78">
          <cell r="A78" t="str">
            <v>SB22021</v>
          </cell>
          <cell r="B78" t="str">
            <v>Danfoss IFAT Expo</v>
          </cell>
        </row>
        <row r="78">
          <cell r="F78">
            <v>511164</v>
          </cell>
        </row>
        <row r="79">
          <cell r="A79" t="str">
            <v>SB22022</v>
          </cell>
          <cell r="B79" t="str">
            <v>TVS Srichakra Easel Stand for Shiprocket </v>
          </cell>
        </row>
        <row r="79">
          <cell r="F79">
            <v>10750</v>
          </cell>
        </row>
        <row r="80">
          <cell r="A80" t="str">
            <v>SB22023</v>
          </cell>
          <cell r="B80" t="str">
            <v>VISTA 5 YEARS FOUNDATION DAY </v>
          </cell>
        </row>
        <row r="80">
          <cell r="F80">
            <v>2297922</v>
          </cell>
        </row>
        <row r="81">
          <cell r="A81" t="str">
            <v>SB22024</v>
          </cell>
          <cell r="B81" t="str">
            <v>Amazone Smart Home Gym Banner</v>
          </cell>
        </row>
        <row r="81">
          <cell r="F81">
            <v>30536</v>
          </cell>
        </row>
        <row r="82">
          <cell r="A82" t="str">
            <v>SB22025</v>
          </cell>
          <cell r="B82" t="str">
            <v>Siemens Townhall at Transformer Factory, </v>
          </cell>
        </row>
        <row r="82">
          <cell r="F82">
            <v>471436.95</v>
          </cell>
        </row>
        <row r="83">
          <cell r="A83" t="str">
            <v>SB22026</v>
          </cell>
          <cell r="B83" t="str">
            <v>Siemens Advanta D- Manager Conclave at Pune,Gurgaon,Chennai &amp; Bangalore</v>
          </cell>
        </row>
        <row r="83">
          <cell r="F83">
            <v>3392565.5</v>
          </cell>
        </row>
        <row r="84">
          <cell r="A84" t="str">
            <v>SB22027</v>
          </cell>
          <cell r="B84" t="str">
            <v>HUL Kedar's Farewell + HR All Stars 2024 </v>
          </cell>
        </row>
        <row r="84">
          <cell r="F84">
            <v>1596210</v>
          </cell>
        </row>
        <row r="85">
          <cell r="A85" t="str">
            <v>SB22028</v>
          </cell>
          <cell r="B85" t="str">
            <v>LSIP Diwali Party</v>
          </cell>
        </row>
        <row r="85">
          <cell r="F85">
            <v>3366144</v>
          </cell>
        </row>
        <row r="86">
          <cell r="A86" t="str">
            <v>SB22029</v>
          </cell>
          <cell r="B86" t="str">
            <v>Cognizant - Loowis Client Visit</v>
          </cell>
        </row>
        <row r="86">
          <cell r="F86">
            <v>411290</v>
          </cell>
        </row>
        <row r="87">
          <cell r="A87" t="str">
            <v>SB22030</v>
          </cell>
          <cell r="B87" t="str">
            <v>Cognizant Novartis Client Visit </v>
          </cell>
        </row>
        <row r="87">
          <cell r="F87">
            <v>2511414.4</v>
          </cell>
        </row>
        <row r="88">
          <cell r="A88" t="str">
            <v>SB22031</v>
          </cell>
          <cell r="B88" t="str">
            <v>HPE Storage TBM Tele Lead generation Program </v>
          </cell>
        </row>
        <row r="88">
          <cell r="F88">
            <v>5884010</v>
          </cell>
        </row>
        <row r="89">
          <cell r="A89" t="str">
            <v>SB22034</v>
          </cell>
          <cell r="B89" t="str">
            <v>HPE Sales Enablement with Wipro</v>
          </cell>
        </row>
        <row r="89">
          <cell r="F89">
            <v>4071097</v>
          </cell>
        </row>
        <row r="90">
          <cell r="A90" t="str">
            <v>SB22035</v>
          </cell>
          <cell r="B90" t="str">
            <v>Siemens -#OnTheMOon (5 cities)</v>
          </cell>
        </row>
        <row r="90">
          <cell r="F90">
            <v>92858.5</v>
          </cell>
        </row>
        <row r="91">
          <cell r="A91" t="str">
            <v>SB22036</v>
          </cell>
          <cell r="B91" t="str">
            <v>TVS Srichakra Backdrop setup</v>
          </cell>
        </row>
        <row r="91">
          <cell r="F91">
            <v>38484</v>
          </cell>
        </row>
        <row r="92">
          <cell r="A92" t="str">
            <v>SB22037</v>
          </cell>
          <cell r="B92" t="str">
            <v>TVS Srichakra Eurogrip Store Launch </v>
          </cell>
        </row>
        <row r="92">
          <cell r="F92">
            <v>111546</v>
          </cell>
        </row>
        <row r="93">
          <cell r="A93" t="str">
            <v>SB22038</v>
          </cell>
          <cell r="B93" t="str">
            <v>AiSensy event by RV Global</v>
          </cell>
        </row>
        <row r="93">
          <cell r="F93">
            <v>2315786</v>
          </cell>
        </row>
        <row r="94">
          <cell r="A94" t="str">
            <v>SB22039</v>
          </cell>
          <cell r="B94" t="str">
            <v>TVS Srichakra for Shiprocket Recharge</v>
          </cell>
        </row>
        <row r="94">
          <cell r="F94">
            <v>32250</v>
          </cell>
        </row>
        <row r="95">
          <cell r="A95" t="str">
            <v>SB22040</v>
          </cell>
          <cell r="B95" t="str">
            <v>NXP CEO Townhall</v>
          </cell>
        </row>
        <row r="95">
          <cell r="F95">
            <v>1976243</v>
          </cell>
        </row>
        <row r="96">
          <cell r="A96" t="str">
            <v>SB22041</v>
          </cell>
          <cell r="B96" t="str">
            <v>HUL - LFW Delhi x TRESemme Stall</v>
          </cell>
        </row>
        <row r="96">
          <cell r="F96">
            <v>3973402</v>
          </cell>
        </row>
        <row r="97">
          <cell r="A97" t="str">
            <v>SB22042</v>
          </cell>
          <cell r="B97" t="str">
            <v>Accenture Townhall </v>
          </cell>
        </row>
        <row r="97">
          <cell r="F97">
            <v>240889</v>
          </cell>
        </row>
        <row r="98">
          <cell r="A98" t="str">
            <v>SB22043</v>
          </cell>
          <cell r="B98" t="str">
            <v>Google YT Shopping accelerator </v>
          </cell>
        </row>
        <row r="98">
          <cell r="F98">
            <v>42795151</v>
          </cell>
        </row>
        <row r="99">
          <cell r="A99" t="str">
            <v>SB22044</v>
          </cell>
          <cell r="B99" t="str">
            <v>Google YT Creator Collective with Lakme</v>
          </cell>
        </row>
        <row r="99">
          <cell r="F99">
            <v>2675778</v>
          </cell>
        </row>
        <row r="100">
          <cell r="A100" t="str">
            <v>SB22045</v>
          </cell>
          <cell r="B100" t="str">
            <v>Adobe Elite Circle Mumbai &amp; Bangalore</v>
          </cell>
        </row>
        <row r="100">
          <cell r="F100">
            <v>3280032</v>
          </cell>
        </row>
        <row r="101">
          <cell r="A101" t="str">
            <v>SB22046</v>
          </cell>
          <cell r="B101" t="str">
            <v>HPE CIC Visit arrangements</v>
          </cell>
        </row>
        <row r="101">
          <cell r="F101">
            <v>348662</v>
          </cell>
        </row>
        <row r="102">
          <cell r="A102" t="str">
            <v>SB22047</v>
          </cell>
          <cell r="B102" t="str">
            <v>IGC 2024 - Taj Palace Delhi</v>
          </cell>
        </row>
        <row r="102">
          <cell r="F102">
            <v>4426556.53</v>
          </cell>
        </row>
        <row r="103">
          <cell r="A103" t="str">
            <v>SB22048</v>
          </cell>
          <cell r="B103" t="str">
            <v>OnePlus OEF in Bangkok</v>
          </cell>
        </row>
        <row r="103">
          <cell r="F103">
            <v>6225923</v>
          </cell>
        </row>
        <row r="104">
          <cell r="A104" t="str">
            <v>SB22049</v>
          </cell>
          <cell r="B104" t="str">
            <v>Virtual Event Production for Tata Ethics Case Study Competition 2024</v>
          </cell>
        </row>
        <row r="104">
          <cell r="F104">
            <v>256360</v>
          </cell>
        </row>
        <row r="105">
          <cell r="A105" t="str">
            <v>SB22050</v>
          </cell>
          <cell r="B105" t="str">
            <v>Amazon Devices OS Townhall</v>
          </cell>
        </row>
        <row r="105">
          <cell r="F105">
            <v>1359963</v>
          </cell>
        </row>
        <row r="106">
          <cell r="A106" t="str">
            <v>SB22051</v>
          </cell>
          <cell r="B106" t="str">
            <v>Hyderabad Developer Workshop </v>
          </cell>
        </row>
        <row r="106">
          <cell r="F106">
            <v>18645</v>
          </cell>
        </row>
        <row r="107">
          <cell r="A107" t="str">
            <v>SB22052</v>
          </cell>
          <cell r="B107" t="str">
            <v>Siemens In Collabration with Snap Logic Event on 15th October</v>
          </cell>
        </row>
        <row r="107">
          <cell r="F107">
            <v>103831.4</v>
          </cell>
        </row>
        <row r="108">
          <cell r="A108" t="str">
            <v>SB22053</v>
          </cell>
          <cell r="B108" t="str">
            <v>Siemens Ltd</v>
          </cell>
        </row>
        <row r="108">
          <cell r="F108">
            <v>76252.58</v>
          </cell>
        </row>
        <row r="109">
          <cell r="A109" t="str">
            <v>SB22054</v>
          </cell>
          <cell r="B109" t="str">
            <v>Microsoft Ai Mixer 2024 </v>
          </cell>
        </row>
        <row r="109">
          <cell r="F109">
            <v>3111324</v>
          </cell>
        </row>
        <row r="110">
          <cell r="A110" t="str">
            <v>SB22055</v>
          </cell>
          <cell r="B110" t="str">
            <v>SAP Innovation Day</v>
          </cell>
        </row>
        <row r="110">
          <cell r="F110">
            <v>3616045.4</v>
          </cell>
        </row>
        <row r="111">
          <cell r="A111" t="str">
            <v>SB22056</v>
          </cell>
          <cell r="B111" t="str">
            <v>Panasonic Broadcast India </v>
          </cell>
        </row>
        <row r="111">
          <cell r="F111">
            <v>1804963</v>
          </cell>
        </row>
        <row r="112">
          <cell r="A112" t="str">
            <v>SB22057</v>
          </cell>
          <cell r="B112" t="str">
            <v>VST Diwali Family Day</v>
          </cell>
        </row>
        <row r="112">
          <cell r="F112">
            <v>1926650</v>
          </cell>
        </row>
        <row r="113">
          <cell r="A113" t="str">
            <v>SB22058</v>
          </cell>
          <cell r="B113" t="str">
            <v>TRESemme Lamellar Launch</v>
          </cell>
        </row>
        <row r="113">
          <cell r="F113">
            <v>3734337</v>
          </cell>
        </row>
        <row r="114">
          <cell r="A114" t="str">
            <v>SB22059</v>
          </cell>
          <cell r="B114" t="str">
            <v>Aditya Birla Sunlife Insurance Agency Meet 2024</v>
          </cell>
        </row>
        <row r="114">
          <cell r="F114">
            <v>1036409</v>
          </cell>
        </row>
        <row r="115">
          <cell r="A115" t="str">
            <v>SB22060</v>
          </cell>
          <cell r="B115" t="str">
            <v>Novo Nordisk Apac Townhall</v>
          </cell>
        </row>
        <row r="115">
          <cell r="F115">
            <v>940337.2</v>
          </cell>
        </row>
        <row r="116">
          <cell r="A116" t="str">
            <v>SB22061</v>
          </cell>
          <cell r="B116" t="str">
            <v>OnePlus HUFT Donation Boxes </v>
          </cell>
        </row>
        <row r="116">
          <cell r="F116">
            <v>131841</v>
          </cell>
        </row>
        <row r="117">
          <cell r="A117" t="str">
            <v>SB22062</v>
          </cell>
          <cell r="B117" t="str">
            <v>Siemens Switchboard 50 Years Celebration</v>
          </cell>
        </row>
        <row r="117">
          <cell r="F117">
            <v>1646855.78</v>
          </cell>
        </row>
        <row r="118">
          <cell r="A118" t="str">
            <v>SB22063</v>
          </cell>
          <cell r="B118" t="str">
            <v>Disney Hotstar - EPL Screening</v>
          </cell>
        </row>
        <row r="118">
          <cell r="F118">
            <v>694788.5</v>
          </cell>
        </row>
        <row r="119">
          <cell r="A119" t="str">
            <v>SB22064</v>
          </cell>
          <cell r="B119" t="str">
            <v>IKEA - Societies Voucher Distribution</v>
          </cell>
        </row>
        <row r="119">
          <cell r="F119">
            <v>670367</v>
          </cell>
        </row>
        <row r="120">
          <cell r="A120" t="str">
            <v>SB22065</v>
          </cell>
          <cell r="B120" t="str">
            <v>Blue Grass - Family Day</v>
          </cell>
        </row>
        <row r="120">
          <cell r="F120">
            <v>1486833</v>
          </cell>
        </row>
        <row r="121">
          <cell r="A121" t="str">
            <v>SB22066</v>
          </cell>
          <cell r="B121" t="str">
            <v>Edward Jones Client Visit</v>
          </cell>
        </row>
        <row r="121">
          <cell r="F121">
            <v>221914</v>
          </cell>
        </row>
        <row r="122">
          <cell r="A122" t="str">
            <v>SB22067</v>
          </cell>
          <cell r="B122" t="str">
            <v>Hartford Client Visit </v>
          </cell>
        </row>
        <row r="122">
          <cell r="F122">
            <v>619239.5</v>
          </cell>
        </row>
        <row r="123">
          <cell r="A123" t="str">
            <v>SB22068</v>
          </cell>
          <cell r="B123" t="str">
            <v>Expo Booth Nvidia AI Summit</v>
          </cell>
        </row>
        <row r="123">
          <cell r="F123">
            <v>884349</v>
          </cell>
        </row>
        <row r="124">
          <cell r="A124" t="str">
            <v>SB22069</v>
          </cell>
          <cell r="B124" t="str">
            <v>HUL - October Events 2024 </v>
          </cell>
        </row>
        <row r="124">
          <cell r="F124">
            <v>3679065.08</v>
          </cell>
        </row>
        <row r="125">
          <cell r="A125" t="str">
            <v>SB22070</v>
          </cell>
          <cell r="B125" t="str">
            <v>Redington NetApp event with Velocis</v>
          </cell>
        </row>
        <row r="125">
          <cell r="F125">
            <v>664855.5</v>
          </cell>
        </row>
        <row r="126">
          <cell r="A126" t="str">
            <v>SB22071</v>
          </cell>
          <cell r="B126" t="str">
            <v>Accenture Sanjay Dawar's Farewell</v>
          </cell>
        </row>
        <row r="126">
          <cell r="F126">
            <v>0</v>
          </cell>
        </row>
        <row r="127">
          <cell r="A127" t="str">
            <v>SB22072</v>
          </cell>
          <cell r="B127" t="str">
            <v>NVIDIA AI Summit India at Jio World Center, Mumbai</v>
          </cell>
        </row>
        <row r="127">
          <cell r="F127">
            <v>742134.4</v>
          </cell>
        </row>
        <row r="128">
          <cell r="A128" t="str">
            <v>SB22073</v>
          </cell>
          <cell r="B128" t="str">
            <v>Sucess Gala  at Grand Sheraton, Chennai</v>
          </cell>
        </row>
        <row r="128">
          <cell r="F128">
            <v>1005156</v>
          </cell>
        </row>
        <row r="129">
          <cell r="A129" t="str">
            <v>SB22074</v>
          </cell>
          <cell r="B129" t="str">
            <v>TVS Sub Dealer Meet At Ghaziabad</v>
          </cell>
        </row>
        <row r="129">
          <cell r="F129">
            <v>191232</v>
          </cell>
        </row>
        <row r="130">
          <cell r="A130" t="str">
            <v>SB22075</v>
          </cell>
          <cell r="B130" t="str">
            <v>Siemens GBS APS Townhall</v>
          </cell>
        </row>
        <row r="130">
          <cell r="F130">
            <v>541683</v>
          </cell>
        </row>
        <row r="131">
          <cell r="A131" t="str">
            <v>SB22076</v>
          </cell>
          <cell r="B131" t="str">
            <v>Kotak Townhall with the CEO</v>
          </cell>
        </row>
        <row r="131">
          <cell r="F131">
            <v>842319.8</v>
          </cell>
        </row>
        <row r="132">
          <cell r="A132" t="str">
            <v>SB22077</v>
          </cell>
          <cell r="B132" t="str">
            <v>SAFETY CONCLAVE 2024</v>
          </cell>
        </row>
        <row r="132">
          <cell r="F132">
            <v>822332</v>
          </cell>
        </row>
        <row r="133">
          <cell r="A133" t="str">
            <v>SB22078</v>
          </cell>
          <cell r="B133" t="str">
            <v>COGNIZANT Blackstone visit - Hyderabad H04 </v>
          </cell>
        </row>
        <row r="133">
          <cell r="F133">
            <v>632808</v>
          </cell>
        </row>
        <row r="134">
          <cell r="A134" t="str">
            <v>SB22079</v>
          </cell>
          <cell r="B134" t="str">
            <v>Cognizant Pega Symposia 2024 Event</v>
          </cell>
        </row>
        <row r="134">
          <cell r="F134">
            <v>2145113.96</v>
          </cell>
        </row>
        <row r="135">
          <cell r="A135" t="str">
            <v>SB22080</v>
          </cell>
          <cell r="B135" t="str">
            <v>Brookfield Properties Diwali Celebration  @ 5 locations</v>
          </cell>
        </row>
        <row r="135">
          <cell r="F135">
            <v>10520500</v>
          </cell>
        </row>
        <row r="136">
          <cell r="A136" t="str">
            <v>SB22081</v>
          </cell>
          <cell r="B136" t="str">
            <v>HUL -  LAKME x Nykaaland</v>
          </cell>
        </row>
        <row r="136">
          <cell r="F136">
            <v>2500730</v>
          </cell>
        </row>
        <row r="137">
          <cell r="A137" t="str">
            <v>SB22082</v>
          </cell>
          <cell r="B137" t="str">
            <v>NXP German Delegate event 2024</v>
          </cell>
        </row>
        <row r="137">
          <cell r="F137">
            <v>3106091</v>
          </cell>
        </row>
        <row r="138">
          <cell r="A138" t="str">
            <v>SB22083</v>
          </cell>
          <cell r="B138" t="str">
            <v>SAP Come Alive</v>
          </cell>
        </row>
        <row r="138">
          <cell r="F138">
            <v>321915</v>
          </cell>
        </row>
        <row r="139">
          <cell r="A139" t="str">
            <v>SB22084</v>
          </cell>
          <cell r="B139" t="str">
            <v> Lotus Car Display @ 4 seasons</v>
          </cell>
        </row>
        <row r="139">
          <cell r="F139">
            <v>174900</v>
          </cell>
        </row>
        <row r="140">
          <cell r="A140" t="str">
            <v>SB22085</v>
          </cell>
          <cell r="B140" t="str">
            <v>Amazone Transcend</v>
          </cell>
        </row>
        <row r="140">
          <cell r="F140">
            <v>245394.6</v>
          </cell>
        </row>
        <row r="141">
          <cell r="A141" t="str">
            <v>SB22086</v>
          </cell>
          <cell r="B141" t="str">
            <v>Cogizant BAT Client visit </v>
          </cell>
        </row>
        <row r="141">
          <cell r="F141">
            <v>640783</v>
          </cell>
        </row>
        <row r="142">
          <cell r="A142" t="str">
            <v>SB22087</v>
          </cell>
          <cell r="B142" t="str">
            <v>Dell IE Multicity events </v>
          </cell>
        </row>
        <row r="142">
          <cell r="F142">
            <v>14100000</v>
          </cell>
        </row>
        <row r="143">
          <cell r="A143" t="str">
            <v>SB22088</v>
          </cell>
          <cell r="B143" t="str">
            <v>Dell Qualcomm Launch</v>
          </cell>
        </row>
        <row r="143">
          <cell r="F143">
            <v>6639050</v>
          </cell>
        </row>
        <row r="144">
          <cell r="A144" t="str">
            <v>SB22089</v>
          </cell>
          <cell r="B144" t="str">
            <v>Dell IE Multicity events </v>
          </cell>
        </row>
        <row r="144">
          <cell r="F144">
            <v>21900000</v>
          </cell>
        </row>
        <row r="145">
          <cell r="A145" t="str">
            <v>SB22090</v>
          </cell>
          <cell r="B145" t="str">
            <v>Vivo X200 immersion and Launch event</v>
          </cell>
        </row>
        <row r="145">
          <cell r="F145">
            <v>25528081</v>
          </cell>
        </row>
        <row r="146">
          <cell r="A146" t="str">
            <v>SB22091</v>
          </cell>
          <cell r="B146" t="str">
            <v>Booth Management at NVIDIA AI Summit</v>
          </cell>
        </row>
        <row r="146">
          <cell r="F146">
            <v>540171.72</v>
          </cell>
        </row>
        <row r="147">
          <cell r="A147" t="str">
            <v>SB22092</v>
          </cell>
          <cell r="B147" t="str">
            <v>Cloudodyssey Diwali Gifting</v>
          </cell>
        </row>
        <row r="147">
          <cell r="F147">
            <v>361900</v>
          </cell>
        </row>
        <row r="148">
          <cell r="A148" t="str">
            <v>SB22093</v>
          </cell>
          <cell r="B148" t="str">
            <v>Accenture AQA Education_Offsite</v>
          </cell>
        </row>
        <row r="148">
          <cell r="F148">
            <v>70422</v>
          </cell>
        </row>
        <row r="149">
          <cell r="A149" t="str">
            <v>SB22094</v>
          </cell>
          <cell r="B149" t="str">
            <v>HPE Discover Booth Activation</v>
          </cell>
        </row>
        <row r="149">
          <cell r="F149">
            <v>498305</v>
          </cell>
        </row>
        <row r="150">
          <cell r="A150" t="str">
            <v>SB22095</v>
          </cell>
          <cell r="B150" t="str">
            <v>Adobe ALM booth set up</v>
          </cell>
        </row>
        <row r="150">
          <cell r="F150">
            <v>300000</v>
          </cell>
        </row>
        <row r="151">
          <cell r="A151" t="str">
            <v>SB22096</v>
          </cell>
          <cell r="B151" t="str">
            <v>DBS India Townhall Q4</v>
          </cell>
        </row>
        <row r="151">
          <cell r="F151">
            <v>737748</v>
          </cell>
        </row>
        <row r="152">
          <cell r="A152" t="str">
            <v>SB22097</v>
          </cell>
          <cell r="B152" t="str">
            <v>Siemens Transform Innovation Day 2024</v>
          </cell>
        </row>
        <row r="152">
          <cell r="F152">
            <v>16500000</v>
          </cell>
        </row>
        <row r="153">
          <cell r="A153" t="str">
            <v>SB22098</v>
          </cell>
          <cell r="B153" t="str">
            <v>SAP Statutory Board Meeting</v>
          </cell>
        </row>
        <row r="153">
          <cell r="F153">
            <v>9393104.58</v>
          </cell>
        </row>
        <row r="154">
          <cell r="A154" t="str">
            <v>SB22099</v>
          </cell>
          <cell r="B154" t="str">
            <v>Greenlam Design Nxt, Prague, Czech Republic,</v>
          </cell>
        </row>
        <row r="154">
          <cell r="F154">
            <v>2399999</v>
          </cell>
        </row>
        <row r="155">
          <cell r="A155" t="str">
            <v>SB22100</v>
          </cell>
          <cell r="B155" t="str">
            <v>Amazone  GIF event</v>
          </cell>
        </row>
        <row r="155">
          <cell r="F155">
            <v>121594</v>
          </cell>
        </row>
        <row r="156">
          <cell r="A156" t="str">
            <v>SB22101</v>
          </cell>
          <cell r="B156" t="str">
            <v>Meta x Lakme Rouge Bloom at Meta</v>
          </cell>
        </row>
        <row r="156">
          <cell r="F156">
            <v>894242</v>
          </cell>
        </row>
        <row r="157">
          <cell r="A157" t="str">
            <v>SB22102</v>
          </cell>
          <cell r="B157" t="str">
            <v>RWA Activity - Prestige St. Johnswood</v>
          </cell>
        </row>
        <row r="157">
          <cell r="F157">
            <v>107568</v>
          </cell>
        </row>
        <row r="158">
          <cell r="A158" t="str">
            <v>SB22103</v>
          </cell>
          <cell r="B158" t="str">
            <v>PhonePe Diwali Booth - Pune</v>
          </cell>
        </row>
        <row r="158">
          <cell r="F158">
            <v>331771.68</v>
          </cell>
        </row>
        <row r="159">
          <cell r="A159" t="str">
            <v>SB22104</v>
          </cell>
          <cell r="B159" t="str">
            <v>TVS Srichakra for Kari Motors</v>
          </cell>
        </row>
        <row r="159">
          <cell r="F159">
            <v>3010</v>
          </cell>
        </row>
        <row r="160">
          <cell r="A160" t="str">
            <v>SB22105</v>
          </cell>
          <cell r="B160" t="str">
            <v> SAP Golf Clinic for Customers</v>
          </cell>
        </row>
        <row r="160">
          <cell r="F160">
            <v>3677740</v>
          </cell>
        </row>
        <row r="161">
          <cell r="A161" t="str">
            <v>SB22106</v>
          </cell>
          <cell r="B161" t="str">
            <v>RRC &amp; MMC FOR PAN IND SEP24</v>
          </cell>
        </row>
        <row r="161">
          <cell r="F161">
            <v>31847</v>
          </cell>
        </row>
        <row r="162">
          <cell r="A162" t="str">
            <v>SB22107</v>
          </cell>
          <cell r="B162" t="str">
            <v>Graphifiers Clean India Expo</v>
          </cell>
        </row>
        <row r="162">
          <cell r="F162">
            <v>1977366.7</v>
          </cell>
        </row>
        <row r="163">
          <cell r="A163" t="str">
            <v>SB22108</v>
          </cell>
          <cell r="B163" t="str">
            <v>DBS Bank Conference - Meet &amp; Greet</v>
          </cell>
        </row>
        <row r="163">
          <cell r="F163">
            <v>364430</v>
          </cell>
        </row>
        <row r="164">
          <cell r="A164" t="str">
            <v>SB22109</v>
          </cell>
          <cell r="B164" t="str">
            <v>DBS Bank - Filming Podcast </v>
          </cell>
        </row>
        <row r="164">
          <cell r="F164">
            <v>98450</v>
          </cell>
        </row>
        <row r="165">
          <cell r="A165" t="str">
            <v>SB22110</v>
          </cell>
          <cell r="B165" t="str">
            <v>DBS Dinner &amp; Dance Event</v>
          </cell>
        </row>
        <row r="165">
          <cell r="F165">
            <v>3139842</v>
          </cell>
        </row>
        <row r="166">
          <cell r="A166" t="str">
            <v>SB22111</v>
          </cell>
          <cell r="B166" t="str">
            <v>Red Hat Govt / PSU Event– Re invent the Future- Tech Talks</v>
          </cell>
        </row>
        <row r="166">
          <cell r="F166">
            <v>2824355.95</v>
          </cell>
        </row>
        <row r="167">
          <cell r="A167" t="str">
            <v>SB22112</v>
          </cell>
          <cell r="B167" t="str">
            <v>THOUGHTWORKS X-Interview Shoot</v>
          </cell>
        </row>
        <row r="167">
          <cell r="F167">
            <v>275000</v>
          </cell>
        </row>
        <row r="168">
          <cell r="A168" t="str">
            <v>SB22113</v>
          </cell>
          <cell r="B168" t="str">
            <v>Panasonic office brandings</v>
          </cell>
        </row>
        <row r="168">
          <cell r="F168">
            <v>347099</v>
          </cell>
        </row>
        <row r="169">
          <cell r="A169" t="str">
            <v>SB22114</v>
          </cell>
          <cell r="B169" t="str">
            <v>VFS Global Dinner Event at the Hotel</v>
          </cell>
        </row>
        <row r="169">
          <cell r="F169">
            <v>4717462.5</v>
          </cell>
        </row>
        <row r="170">
          <cell r="A170" t="str">
            <v>SB22115</v>
          </cell>
          <cell r="B170" t="str">
            <v>Orient Electric Dealer Meet </v>
          </cell>
        </row>
        <row r="170">
          <cell r="F170">
            <v>10000000</v>
          </cell>
        </row>
        <row r="171">
          <cell r="A171" t="str">
            <v>SB22116</v>
          </cell>
          <cell r="B171" t="str">
            <v>Red Hat-TCS lending as a service event</v>
          </cell>
        </row>
        <row r="171">
          <cell r="F171">
            <v>0</v>
          </cell>
        </row>
        <row r="172">
          <cell r="A172" t="str">
            <v>SB22117</v>
          </cell>
          <cell r="B172" t="str">
            <v>Towards Japan EBC eDM &amp; RSVP</v>
          </cell>
        </row>
        <row r="172">
          <cell r="F172">
            <v>15000</v>
          </cell>
        </row>
        <row r="173">
          <cell r="A173" t="str">
            <v>SB22118</v>
          </cell>
          <cell r="B173" t="str">
            <v>SAP Grand Prix Jute Bags, Trophies</v>
          </cell>
        </row>
        <row r="173">
          <cell r="F173">
            <v>554777.5</v>
          </cell>
        </row>
        <row r="174">
          <cell r="A174" t="str">
            <v>SB22119</v>
          </cell>
          <cell r="B174" t="str">
            <v>Siemens Mobility Townhall 2024</v>
          </cell>
        </row>
        <row r="174">
          <cell r="F174">
            <v>335891.48</v>
          </cell>
        </row>
        <row r="175">
          <cell r="A175" t="str">
            <v>SB22120</v>
          </cell>
          <cell r="B175" t="str">
            <v>Dell Multicity events</v>
          </cell>
        </row>
        <row r="175">
          <cell r="F175">
            <v>24200000</v>
          </cell>
        </row>
        <row r="176">
          <cell r="A176" t="str">
            <v>SB22121</v>
          </cell>
          <cell r="B176" t="str">
            <v>HUL - B&amp;W Global Visit</v>
          </cell>
        </row>
        <row r="176">
          <cell r="F176">
            <v>7293905</v>
          </cell>
        </row>
        <row r="177">
          <cell r="A177" t="str">
            <v>SB22122</v>
          </cell>
          <cell r="B177" t="str">
            <v>HUL - R&amp;D Global Visit </v>
          </cell>
        </row>
        <row r="177">
          <cell r="F177">
            <v>305986</v>
          </cell>
        </row>
        <row r="178">
          <cell r="A178" t="str">
            <v>SB22123</v>
          </cell>
          <cell r="B178" t="str">
            <v>IKEA - Nov &amp; Dec Activity</v>
          </cell>
        </row>
        <row r="178">
          <cell r="F178">
            <v>2474175</v>
          </cell>
        </row>
        <row r="179">
          <cell r="A179" t="str">
            <v>SB22124</v>
          </cell>
          <cell r="B179" t="str">
            <v>Winner &amp; Partner Trophies for INDUS Conclave &amp; SAP ACE Awards</v>
          </cell>
        </row>
        <row r="179">
          <cell r="F179">
            <v>2270075</v>
          </cell>
        </row>
        <row r="180">
          <cell r="A180" t="str">
            <v>SB22125</v>
          </cell>
          <cell r="B180" t="str">
            <v>Thoughtworks - Xconf 2024</v>
          </cell>
        </row>
        <row r="180">
          <cell r="F180">
            <v>2550110</v>
          </cell>
        </row>
        <row r="181">
          <cell r="A181" t="str">
            <v>SB22126</v>
          </cell>
          <cell r="B181" t="str">
            <v>HUL Women in STEM 2024 </v>
          </cell>
        </row>
        <row r="181">
          <cell r="F181">
            <v>3100000</v>
          </cell>
        </row>
        <row r="182">
          <cell r="A182" t="str">
            <v>SB22127</v>
          </cell>
          <cell r="B182" t="str">
            <v>India ELT Customer Roadshow</v>
          </cell>
        </row>
        <row r="182">
          <cell r="F182">
            <v>2928934.14</v>
          </cell>
        </row>
        <row r="183">
          <cell r="A183" t="str">
            <v>SB22128</v>
          </cell>
          <cell r="B183" t="str">
            <v>DBS India Singapore Connect Envelope printing</v>
          </cell>
        </row>
        <row r="183">
          <cell r="F183">
            <v>179025</v>
          </cell>
        </row>
        <row r="184">
          <cell r="A184" t="str">
            <v>SB22129</v>
          </cell>
          <cell r="B184" t="str">
            <v>DBS Tech Roadshow</v>
          </cell>
        </row>
        <row r="184">
          <cell r="F184">
            <v>499917</v>
          </cell>
        </row>
        <row r="185">
          <cell r="A185" t="str">
            <v>SB22130</v>
          </cell>
          <cell r="B185" t="str">
            <v>OnePlus Jam Night</v>
          </cell>
        </row>
        <row r="185">
          <cell r="F185">
            <v>88485</v>
          </cell>
        </row>
        <row r="186">
          <cell r="A186" t="str">
            <v>SB22131</v>
          </cell>
          <cell r="B186" t="str">
            <v>Microsoft Manager's day at Jodhpur</v>
          </cell>
        </row>
        <row r="186">
          <cell r="F186">
            <v>9678132</v>
          </cell>
        </row>
        <row r="187">
          <cell r="A187" t="str">
            <v>SB22132</v>
          </cell>
          <cell r="B187" t="str">
            <v>My TVS Showroom Inauguration</v>
          </cell>
        </row>
        <row r="187">
          <cell r="F187">
            <v>202950</v>
          </cell>
        </row>
        <row r="188">
          <cell r="A188" t="str">
            <v>SB22133</v>
          </cell>
          <cell r="B188" t="str">
            <v>TVS CERTIFIED Sign Board</v>
          </cell>
        </row>
        <row r="188">
          <cell r="F188">
            <v>99000</v>
          </cell>
        </row>
        <row r="189">
          <cell r="A189" t="str">
            <v>SB22134</v>
          </cell>
          <cell r="B189" t="str">
            <v>Haleon Office Inauguration - Phase 2</v>
          </cell>
        </row>
        <row r="189">
          <cell r="F189">
            <v>228066.3</v>
          </cell>
        </row>
        <row r="190">
          <cell r="A190" t="str">
            <v>SB22135</v>
          </cell>
          <cell r="B190" t="str">
            <v>TVS Eurogrip stall in Krishithon</v>
          </cell>
        </row>
        <row r="190">
          <cell r="F190">
            <v>1344395</v>
          </cell>
        </row>
        <row r="191">
          <cell r="A191" t="str">
            <v>SB22136</v>
          </cell>
          <cell r="B191" t="str">
            <v>GOC Infinity 2024</v>
          </cell>
        </row>
        <row r="191">
          <cell r="F191">
            <v>13728189.2</v>
          </cell>
        </row>
        <row r="192">
          <cell r="A192" t="str">
            <v>SB22137</v>
          </cell>
          <cell r="B192" t="str">
            <v>HUL Lux - Meet &amp; Greet </v>
          </cell>
        </row>
        <row r="192">
          <cell r="F192">
            <v>1400000</v>
          </cell>
        </row>
        <row r="193">
          <cell r="A193" t="str">
            <v>SB22138</v>
          </cell>
          <cell r="B193" t="str">
            <v>STT CIO CLUB Giveway </v>
          </cell>
        </row>
        <row r="193">
          <cell r="F193">
            <v>203500</v>
          </cell>
        </row>
        <row r="194">
          <cell r="A194" t="str">
            <v>SB22139</v>
          </cell>
          <cell r="B194" t="str">
            <v>HPE QBR 2024</v>
          </cell>
        </row>
        <row r="194">
          <cell r="F194">
            <v>4495685</v>
          </cell>
        </row>
        <row r="195">
          <cell r="A195" t="str">
            <v>SB22140</v>
          </cell>
          <cell r="B195" t="str">
            <v>Amazon - Leadership Offsite</v>
          </cell>
        </row>
        <row r="195">
          <cell r="F195">
            <v>730920.45</v>
          </cell>
        </row>
        <row r="196">
          <cell r="A196" t="str">
            <v>SB22141</v>
          </cell>
          <cell r="B196" t="str">
            <v>Cognizant Nationwide Client Visit</v>
          </cell>
        </row>
        <row r="196">
          <cell r="F196">
            <v>734758.2</v>
          </cell>
        </row>
        <row r="197">
          <cell r="A197" t="str">
            <v>SB22142</v>
          </cell>
          <cell r="B197" t="str">
            <v>ABG 15th Mission Happiness Leaders Meet 2024</v>
          </cell>
        </row>
        <row r="197">
          <cell r="F197">
            <v>903788</v>
          </cell>
        </row>
        <row r="198">
          <cell r="A198" t="str">
            <v>SB22143</v>
          </cell>
          <cell r="B198" t="str">
            <v>Cognizant Beyond Boundaries Event </v>
          </cell>
        </row>
        <row r="198">
          <cell r="F198">
            <v>31647</v>
          </cell>
        </row>
        <row r="199">
          <cell r="A199" t="str">
            <v>SB22144</v>
          </cell>
          <cell r="B199" t="str">
            <v>Sap Innovation Days &amp; Invent Finale</v>
          </cell>
        </row>
        <row r="199">
          <cell r="F199">
            <v>468237</v>
          </cell>
        </row>
        <row r="200">
          <cell r="A200" t="str">
            <v>SB22145</v>
          </cell>
          <cell r="B200" t="str">
            <v>India Fastener Show, 22-24 Nov 2024, PIEMC,</v>
          </cell>
        </row>
        <row r="200">
          <cell r="F200">
            <v>367000</v>
          </cell>
        </row>
        <row r="201">
          <cell r="A201" t="str">
            <v>SB22146</v>
          </cell>
          <cell r="B201" t="str">
            <v>Cognizant India Team Connect</v>
          </cell>
        </row>
        <row r="201">
          <cell r="F201">
            <v>44440</v>
          </cell>
        </row>
        <row r="202">
          <cell r="A202" t="str">
            <v>SB22147</v>
          </cell>
          <cell r="B202" t="str">
            <v>INTEL  Global AI Conclave CNBC</v>
          </cell>
        </row>
        <row r="202">
          <cell r="F202">
            <v>800000</v>
          </cell>
        </row>
        <row r="203">
          <cell r="A203" t="str">
            <v>SB22148</v>
          </cell>
          <cell r="B203" t="str">
            <v>Accenture Natwest Event</v>
          </cell>
        </row>
        <row r="203">
          <cell r="F203">
            <v>183700</v>
          </cell>
        </row>
        <row r="204">
          <cell r="A204" t="str">
            <v>SB22149</v>
          </cell>
          <cell r="B204" t="str">
            <v>HPE Secure AI-Ready Data Centers</v>
          </cell>
        </row>
        <row r="204">
          <cell r="F204">
            <v>1592250</v>
          </cell>
        </row>
        <row r="205">
          <cell r="A205" t="str">
            <v>SB22150</v>
          </cell>
          <cell r="B205" t="str">
            <v>Accenture Marriott Virtual Visit Broadcast</v>
          </cell>
        </row>
        <row r="205">
          <cell r="F205">
            <v>213400</v>
          </cell>
        </row>
        <row r="206">
          <cell r="A206" t="str">
            <v>SB22151</v>
          </cell>
          <cell r="B206" t="str">
            <v>NatWest Video Shoot</v>
          </cell>
        </row>
        <row r="206">
          <cell r="F206">
            <v>72800</v>
          </cell>
        </row>
        <row r="207">
          <cell r="A207" t="str">
            <v>SB22152</v>
          </cell>
          <cell r="B207" t="str">
            <v>Now Comms Asia of materials / resources </v>
          </cell>
        </row>
        <row r="207">
          <cell r="F207">
            <v>111550</v>
          </cell>
        </row>
        <row r="208">
          <cell r="A208" t="str">
            <v>SB22153</v>
          </cell>
          <cell r="B208" t="str">
            <v>TVS Eurogrip Store Launch @ Patna</v>
          </cell>
        </row>
        <row r="208">
          <cell r="F208">
            <v>39936.25</v>
          </cell>
        </row>
        <row r="209">
          <cell r="A209" t="str">
            <v>SB22154</v>
          </cell>
          <cell r="B209" t="str">
            <v>Mahindra eSUV Launch Event</v>
          </cell>
        </row>
        <row r="209">
          <cell r="F209">
            <v>44617630.61</v>
          </cell>
        </row>
        <row r="210">
          <cell r="A210" t="str">
            <v>SB22155</v>
          </cell>
          <cell r="B210" t="str">
            <v>BYD Anniversary Celebration 20204</v>
          </cell>
        </row>
        <row r="210">
          <cell r="F210">
            <v>122823</v>
          </cell>
        </row>
        <row r="211">
          <cell r="A211" t="str">
            <v>SB22156</v>
          </cell>
          <cell r="B211" t="str">
            <v>STT Pune Ai Lab Branding </v>
          </cell>
        </row>
        <row r="211">
          <cell r="F211">
            <v>867267</v>
          </cell>
        </row>
        <row r="212">
          <cell r="A212" t="str">
            <v>SB22157</v>
          </cell>
          <cell r="B212" t="str">
            <v>Talk in Graph Talk in Delhi </v>
          </cell>
        </row>
        <row r="212">
          <cell r="F212">
            <v>1593752.8</v>
          </cell>
        </row>
        <row r="213">
          <cell r="A213" t="str">
            <v>SB22158</v>
          </cell>
          <cell r="B213" t="str">
            <v>Spark Minda Auto Expo 2025,</v>
          </cell>
        </row>
        <row r="213">
          <cell r="F213">
            <v>12761382</v>
          </cell>
        </row>
        <row r="214">
          <cell r="A214" t="str">
            <v>SB22159</v>
          </cell>
          <cell r="B214" t="str">
            <v>VinFast Auto Expo 2025,</v>
          </cell>
        </row>
        <row r="214">
          <cell r="F214">
            <v>50990000</v>
          </cell>
        </row>
        <row r="215">
          <cell r="A215" t="str">
            <v>SB22160</v>
          </cell>
          <cell r="B215" t="str">
            <v>CIO ASSOCIATION</v>
          </cell>
        </row>
        <row r="215">
          <cell r="F215">
            <v>1808620</v>
          </cell>
        </row>
        <row r="216">
          <cell r="A216" t="str">
            <v>SB22161</v>
          </cell>
          <cell r="B216" t="str">
            <v>HUL - LAKME x MYNTRA</v>
          </cell>
        </row>
        <row r="216">
          <cell r="F216">
            <v>1500000</v>
          </cell>
        </row>
        <row r="217">
          <cell r="A217" t="str">
            <v>SB22162</v>
          </cell>
          <cell r="B217" t="str">
            <v>Sify Zscaler Customer Event.</v>
          </cell>
        </row>
        <row r="217">
          <cell r="F217">
            <v>482132</v>
          </cell>
        </row>
        <row r="218">
          <cell r="A218" t="str">
            <v>SB22163</v>
          </cell>
          <cell r="B218" t="str">
            <v>Accenture Mondelez Client Visit</v>
          </cell>
        </row>
        <row r="218">
          <cell r="F218">
            <v>80300</v>
          </cell>
        </row>
        <row r="219">
          <cell r="A219" t="str">
            <v>SB22164</v>
          </cell>
          <cell r="B219" t="str">
            <v>Metal Chest Badge</v>
          </cell>
        </row>
        <row r="219">
          <cell r="F219">
            <v>47500</v>
          </cell>
        </row>
        <row r="220">
          <cell r="A220" t="str">
            <v>SB22166</v>
          </cell>
          <cell r="B220" t="str">
            <v>DBS Bank CBG Townhall</v>
          </cell>
        </row>
        <row r="220">
          <cell r="F220">
            <v>96250</v>
          </cell>
        </row>
        <row r="221">
          <cell r="A221" t="str">
            <v>SB22167</v>
          </cell>
          <cell r="B221" t="str">
            <v>Glaxo Haleon Branded Merchandise</v>
          </cell>
        </row>
        <row r="221">
          <cell r="F221">
            <v>675073.1</v>
          </cell>
        </row>
        <row r="222">
          <cell r="A222" t="str">
            <v>SB22168</v>
          </cell>
          <cell r="B222" t="str">
            <v>Cognizant Nationwide Client Visit</v>
          </cell>
        </row>
        <row r="222">
          <cell r="F222">
            <v>396671</v>
          </cell>
        </row>
        <row r="223">
          <cell r="A223" t="str">
            <v>SB22169</v>
          </cell>
          <cell r="B223" t="str">
            <v>Industry Participation : Digital Bharat Summit </v>
          </cell>
        </row>
        <row r="223">
          <cell r="F223">
            <v>1259716.5</v>
          </cell>
        </row>
        <row r="224">
          <cell r="A224" t="str">
            <v>SB22170</v>
          </cell>
          <cell r="B224" t="str">
            <v>Accenture Leadership Accelerator Program</v>
          </cell>
        </row>
        <row r="224">
          <cell r="F224">
            <v>2671544.5</v>
          </cell>
        </row>
        <row r="225">
          <cell r="A225" t="str">
            <v>SB22171</v>
          </cell>
          <cell r="B225" t="str">
            <v>Sahamati Samvaad 2024</v>
          </cell>
        </row>
        <row r="225">
          <cell r="F225">
            <v>5047660</v>
          </cell>
        </row>
        <row r="226">
          <cell r="A226" t="str">
            <v>SB22172</v>
          </cell>
          <cell r="B226" t="str">
            <v>Siemens _Channel Partner Certificates and Trophy </v>
          </cell>
        </row>
        <row r="226">
          <cell r="F226">
            <v>330087.35</v>
          </cell>
        </row>
        <row r="227">
          <cell r="A227" t="str">
            <v>SB22173</v>
          </cell>
          <cell r="B227" t="str">
            <v>3One4 Capital CUSTOMERS MEET
</v>
          </cell>
        </row>
        <row r="227">
          <cell r="F227">
            <v>399910</v>
          </cell>
        </row>
        <row r="228">
          <cell r="A228" t="str">
            <v>SB22174</v>
          </cell>
          <cell r="B228" t="str">
            <v>Cognizant Writing Board Setup </v>
          </cell>
        </row>
        <row r="228">
          <cell r="F228">
            <v>111100</v>
          </cell>
        </row>
        <row r="229">
          <cell r="A229" t="str">
            <v>SB22175</v>
          </cell>
          <cell r="B229" t="str">
            <v>Hul B&amp;W Workshop 2024</v>
          </cell>
        </row>
        <row r="229">
          <cell r="F229">
            <v>1105068</v>
          </cell>
        </row>
        <row r="230">
          <cell r="A230" t="str">
            <v>SB22176</v>
          </cell>
          <cell r="B230" t="str">
            <v>Godrej agrovet booth at PepsiCo Expo 2024</v>
          </cell>
        </row>
        <row r="230">
          <cell r="F230">
            <v>900794</v>
          </cell>
        </row>
        <row r="231">
          <cell r="A231" t="str">
            <v>SB22177</v>
          </cell>
          <cell r="B231" t="str">
            <v>Amazon INOPS P - XTraordinaire 2024</v>
          </cell>
        </row>
        <row r="231">
          <cell r="F231">
            <v>1520552</v>
          </cell>
        </row>
        <row r="232">
          <cell r="A232" t="str">
            <v>SB22178</v>
          </cell>
          <cell r="B232" t="str">
            <v>HUL - Capital Markets Day 2024</v>
          </cell>
        </row>
        <row r="232">
          <cell r="F232">
            <v>32852267</v>
          </cell>
        </row>
        <row r="233">
          <cell r="A233" t="str">
            <v>SB22179</v>
          </cell>
          <cell r="B233" t="str">
            <v>Blue Star India Food Forum</v>
          </cell>
        </row>
        <row r="233">
          <cell r="F233">
            <v>130823</v>
          </cell>
        </row>
        <row r="234">
          <cell r="A234" t="str">
            <v>SB22180</v>
          </cell>
          <cell r="B234" t="str">
            <v>PhonePe booth BIC Indiranagar</v>
          </cell>
        </row>
        <row r="234">
          <cell r="F234">
            <v>20844</v>
          </cell>
        </row>
        <row r="235">
          <cell r="A235" t="str">
            <v>SB22181</v>
          </cell>
          <cell r="B235" t="str">
            <v>STT GE Colocation </v>
          </cell>
        </row>
        <row r="235">
          <cell r="F235">
            <v>353270.5</v>
          </cell>
        </row>
        <row r="236">
          <cell r="A236" t="str">
            <v>SB22182</v>
          </cell>
          <cell r="B236" t="str">
            <v>Danfoss Data Center Stall 2024</v>
          </cell>
        </row>
        <row r="236">
          <cell r="F236">
            <v>53406</v>
          </cell>
        </row>
        <row r="237">
          <cell r="A237" t="str">
            <v>SB22183</v>
          </cell>
          <cell r="B237" t="str">
            <v>Towards Idea Café Roundtable</v>
          </cell>
        </row>
        <row r="237">
          <cell r="F237">
            <v>1500000</v>
          </cell>
        </row>
        <row r="238">
          <cell r="A238" t="str">
            <v>SB22184</v>
          </cell>
          <cell r="B238" t="str">
            <v>Towards Webinar Promotions &amp; Registrations</v>
          </cell>
        </row>
        <row r="238">
          <cell r="F238">
            <v>547625</v>
          </cell>
        </row>
        <row r="239">
          <cell r="A239" t="str">
            <v>SB22185</v>
          </cell>
          <cell r="B239" t="str">
            <v>LTF Raise'24</v>
          </cell>
        </row>
        <row r="239">
          <cell r="F239">
            <v>12516692.82</v>
          </cell>
        </row>
        <row r="240">
          <cell r="A240" t="str">
            <v>SB22186</v>
          </cell>
          <cell r="B240" t="str">
            <v>Hero IBU Meet at  JW Marriott, Vagator, Goa on 29th November - 1st December</v>
          </cell>
        </row>
        <row r="240">
          <cell r="F240">
            <v>3779727</v>
          </cell>
        </row>
        <row r="241">
          <cell r="A241" t="str">
            <v>SB22187</v>
          </cell>
          <cell r="B241" t="str">
            <v>Siemens Inno Rail Exbhition </v>
          </cell>
        </row>
        <row r="241">
          <cell r="F241">
            <v>1840250</v>
          </cell>
        </row>
        <row r="242">
          <cell r="A242" t="str">
            <v>SB22188</v>
          </cell>
          <cell r="B242" t="str">
            <v>Metro Activation for Meta </v>
          </cell>
        </row>
        <row r="242">
          <cell r="F242">
            <v>5887750</v>
          </cell>
        </row>
        <row r="243">
          <cell r="A243" t="str">
            <v>SB22189</v>
          </cell>
          <cell r="B243" t="str">
            <v>Amway NPF 3.0</v>
          </cell>
        </row>
        <row r="243">
          <cell r="F243">
            <v>6526623</v>
          </cell>
        </row>
        <row r="244">
          <cell r="A244" t="str">
            <v>SB22190</v>
          </cell>
          <cell r="B244" t="str">
            <v>Season of Smiles</v>
          </cell>
        </row>
        <row r="244">
          <cell r="F244">
            <v>3786475</v>
          </cell>
        </row>
        <row r="245">
          <cell r="A245" t="str">
            <v>SB22191</v>
          </cell>
          <cell r="B245" t="str">
            <v>Honda Amaze car launch</v>
          </cell>
        </row>
        <row r="245">
          <cell r="F245">
            <v>7905506</v>
          </cell>
        </row>
        <row r="246">
          <cell r="A246" t="str">
            <v>SB22192</v>
          </cell>
          <cell r="B246" t="str">
            <v> Stall in Cosmoprof India 2024 at Jasmine Hall 1, Jio World Convention Centre</v>
          </cell>
        </row>
        <row r="246">
          <cell r="F246">
            <v>259600</v>
          </cell>
        </row>
        <row r="247">
          <cell r="A247" t="str">
            <v>SB22193</v>
          </cell>
          <cell r="B247" t="str">
            <v>TS Rajam Awards</v>
          </cell>
        </row>
        <row r="247">
          <cell r="F247">
            <v>131450</v>
          </cell>
        </row>
        <row r="248">
          <cell r="A248" t="str">
            <v>SB22194</v>
          </cell>
          <cell r="B248" t="str">
            <v>Hul F&amp;R Booth at India Food Forum</v>
          </cell>
        </row>
        <row r="248">
          <cell r="F248">
            <v>800000</v>
          </cell>
        </row>
        <row r="249">
          <cell r="A249" t="str">
            <v>SB22195</v>
          </cell>
          <cell r="B249" t="str">
            <v>SAP Come Alive</v>
          </cell>
        </row>
        <row r="249">
          <cell r="F249">
            <v>302049</v>
          </cell>
        </row>
        <row r="250">
          <cell r="A250" t="str">
            <v>SB22196</v>
          </cell>
          <cell r="B250" t="str">
            <v>Hilti Annual Kickoff 2025 </v>
          </cell>
        </row>
        <row r="250">
          <cell r="F250">
            <v>18964880</v>
          </cell>
        </row>
        <row r="251">
          <cell r="A251" t="str">
            <v>SB22197</v>
          </cell>
          <cell r="B251" t="str">
            <v>Citi Bank - Digital Leadership Summit</v>
          </cell>
        </row>
        <row r="251">
          <cell r="F251">
            <v>2271196.74</v>
          </cell>
        </row>
        <row r="252">
          <cell r="A252" t="str">
            <v>SB22198</v>
          </cell>
          <cell r="B252" t="str">
            <v>GitHub Universe Recap </v>
          </cell>
        </row>
        <row r="252">
          <cell r="F252">
            <v>617700</v>
          </cell>
        </row>
        <row r="253">
          <cell r="A253" t="str">
            <v>SB22199</v>
          </cell>
          <cell r="B253" t="str">
            <v>Gulf Air Dealer Meet</v>
          </cell>
        </row>
        <row r="253">
          <cell r="F253">
            <v>225630</v>
          </cell>
        </row>
        <row r="254">
          <cell r="A254" t="str">
            <v>SB22200</v>
          </cell>
          <cell r="B254" t="str">
            <v>amazon superstars event </v>
          </cell>
        </row>
        <row r="254">
          <cell r="F254">
            <v>649880</v>
          </cell>
        </row>
        <row r="255">
          <cell r="A255" t="str">
            <v>SB22201</v>
          </cell>
          <cell r="B255" t="str">
            <v>TVS Srichakra  RRC/MMC/CPC Activity </v>
          </cell>
        </row>
        <row r="255">
          <cell r="F255">
            <v>144471.4</v>
          </cell>
        </row>
        <row r="256">
          <cell r="A256" t="str">
            <v>SB22202</v>
          </cell>
          <cell r="B256" t="str">
            <v>Intel CS Day outing</v>
          </cell>
        </row>
        <row r="256">
          <cell r="F256">
            <v>147554.24</v>
          </cell>
        </row>
        <row r="257">
          <cell r="A257" t="str">
            <v>SB22203</v>
          </cell>
          <cell r="B257" t="str">
            <v>stall International Indo Africa B2B trade show</v>
          </cell>
        </row>
        <row r="257">
          <cell r="F257">
            <v>600929</v>
          </cell>
        </row>
        <row r="258">
          <cell r="A258" t="str">
            <v>SB22204</v>
          </cell>
          <cell r="B258" t="str">
            <v>Kia Syros Content making </v>
          </cell>
        </row>
        <row r="258">
          <cell r="F258">
            <v>5600000</v>
          </cell>
        </row>
        <row r="259">
          <cell r="A259" t="str">
            <v>SB22205</v>
          </cell>
          <cell r="B259" t="str">
            <v>amazon Sambhav Collateral Decor</v>
          </cell>
        </row>
        <row r="259">
          <cell r="F259">
            <v>720339</v>
          </cell>
        </row>
        <row r="260">
          <cell r="A260" t="str">
            <v>SB22206</v>
          </cell>
          <cell r="B260" t="str">
            <v>EPS Leadership meeting Bhubaneswar</v>
          </cell>
        </row>
        <row r="260">
          <cell r="F260">
            <v>1050185.4</v>
          </cell>
        </row>
        <row r="261">
          <cell r="A261" t="str">
            <v>SB22207</v>
          </cell>
          <cell r="B261" t="str">
            <v>IRIS Biz by YES BANK</v>
          </cell>
        </row>
        <row r="261">
          <cell r="F261">
            <v>1549175</v>
          </cell>
        </row>
        <row r="262">
          <cell r="A262" t="str">
            <v>SB22208</v>
          </cell>
          <cell r="B262" t="str">
            <v>Google GCS @ Google office,</v>
          </cell>
        </row>
        <row r="262">
          <cell r="F262">
            <v>1303397</v>
          </cell>
        </row>
        <row r="263">
          <cell r="A263" t="str">
            <v>SB22209</v>
          </cell>
          <cell r="B263" t="str">
            <v>Cognizant Nationwide Client Visit</v>
          </cell>
        </row>
        <row r="263">
          <cell r="F263">
            <v>168300</v>
          </cell>
        </row>
        <row r="264">
          <cell r="A264" t="str">
            <v>SB22210</v>
          </cell>
          <cell r="B264" t="str">
            <v>Intel  Laptop storage space for Q1 FY 2025</v>
          </cell>
        </row>
        <row r="264">
          <cell r="F264">
            <v>414964.73</v>
          </cell>
        </row>
        <row r="265">
          <cell r="A265" t="str">
            <v>SB22211</v>
          </cell>
          <cell r="B265" t="str">
            <v>Uniops GSA Awards</v>
          </cell>
        </row>
        <row r="265">
          <cell r="F265">
            <v>1934874</v>
          </cell>
        </row>
        <row r="266">
          <cell r="A266" t="str">
            <v>SB22212</v>
          </cell>
          <cell r="B266" t="str">
            <v>Hul B&amp;W Global Investors Meet</v>
          </cell>
        </row>
        <row r="266">
          <cell r="F266">
            <v>15123187</v>
          </cell>
        </row>
        <row r="267">
          <cell r="A267" t="str">
            <v>SB22213</v>
          </cell>
          <cell r="B267" t="str">
            <v>Tvs Shiprocket recharge-Dec 2024</v>
          </cell>
        </row>
        <row r="267">
          <cell r="F267">
            <v>21500</v>
          </cell>
        </row>
        <row r="268">
          <cell r="A268" t="str">
            <v>SB22214</v>
          </cell>
          <cell r="B268" t="str">
            <v>Google cloud family day</v>
          </cell>
        </row>
        <row r="268">
          <cell r="F268">
            <v>1186119</v>
          </cell>
        </row>
        <row r="269">
          <cell r="A269" t="str">
            <v>SB22215</v>
          </cell>
          <cell r="B269" t="str">
            <v>First Basis Rupee Money Conference</v>
          </cell>
        </row>
        <row r="269">
          <cell r="F269">
            <v>1320000</v>
          </cell>
        </row>
        <row r="270">
          <cell r="A270" t="str">
            <v>SB22216</v>
          </cell>
          <cell r="B270" t="str">
            <v>SAP Signavio Webinar</v>
          </cell>
        </row>
        <row r="270">
          <cell r="F270">
            <v>715000</v>
          </cell>
        </row>
        <row r="271">
          <cell r="A271" t="str">
            <v>SB22217</v>
          </cell>
          <cell r="B271" t="str">
            <v>Renault Step Up 2024</v>
          </cell>
        </row>
        <row r="271">
          <cell r="F271">
            <v>235294.5</v>
          </cell>
        </row>
        <row r="272">
          <cell r="A272" t="str">
            <v>SB22218</v>
          </cell>
          <cell r="B272" t="str">
            <v>Super Star Product Launch</v>
          </cell>
        </row>
        <row r="272">
          <cell r="F272">
            <v>2319150</v>
          </cell>
        </row>
        <row r="273">
          <cell r="A273" t="str">
            <v>SB22219</v>
          </cell>
          <cell r="B273" t="str">
            <v>Pinnacle CXO Dialogue Event</v>
          </cell>
        </row>
        <row r="273">
          <cell r="F273">
            <v>7700</v>
          </cell>
        </row>
        <row r="274">
          <cell r="A274" t="str">
            <v>SB22220</v>
          </cell>
          <cell r="B274" t="str">
            <v>Amazone Year End Party</v>
          </cell>
        </row>
        <row r="274">
          <cell r="F274">
            <v>107800</v>
          </cell>
        </row>
        <row r="275">
          <cell r="A275" t="str">
            <v>SB22221</v>
          </cell>
          <cell r="B275" t="str">
            <v>AstraZeneca Team Outing</v>
          </cell>
        </row>
        <row r="275">
          <cell r="F275">
            <v>139700</v>
          </cell>
        </row>
        <row r="276">
          <cell r="A276" t="str">
            <v>SB22222</v>
          </cell>
          <cell r="B276" t="str">
            <v>Towards Demand Generation Campaign</v>
          </cell>
        </row>
        <row r="276">
          <cell r="F276">
            <v>1270000</v>
          </cell>
        </row>
        <row r="277">
          <cell r="A277" t="str">
            <v>SB22223</v>
          </cell>
          <cell r="B277" t="str">
            <v>Towards Webinar Registrations</v>
          </cell>
        </row>
        <row r="277">
          <cell r="F277">
            <v>507000</v>
          </cell>
        </row>
        <row r="278">
          <cell r="A278" t="str">
            <v>SB22224</v>
          </cell>
          <cell r="B278" t="str">
            <v>SAP Come Alive </v>
          </cell>
        </row>
        <row r="278">
          <cell r="F278">
            <v>1486322.2</v>
          </cell>
        </row>
        <row r="279">
          <cell r="A279" t="str">
            <v>SB22225</v>
          </cell>
          <cell r="B279" t="str">
            <v>Loreal Kios Setup</v>
          </cell>
        </row>
        <row r="279">
          <cell r="F279">
            <v>264000</v>
          </cell>
        </row>
        <row r="280">
          <cell r="A280" t="str">
            <v>SB22226</v>
          </cell>
          <cell r="B280" t="str">
            <v>Tvs Dealer Meet</v>
          </cell>
        </row>
        <row r="280">
          <cell r="F280">
            <v>107296.29</v>
          </cell>
        </row>
        <row r="281">
          <cell r="A281" t="str">
            <v>SB22227</v>
          </cell>
          <cell r="B281" t="str">
            <v>SAP Annual Day Hyderabad 2024</v>
          </cell>
        </row>
        <row r="281">
          <cell r="F281">
            <v>2663421.28</v>
          </cell>
        </row>
        <row r="282">
          <cell r="A282" t="str">
            <v>SB22228</v>
          </cell>
          <cell r="B282" t="str">
            <v>CIO Association Family Day</v>
          </cell>
        </row>
        <row r="282">
          <cell r="F282">
            <v>1270843</v>
          </cell>
        </row>
        <row r="283">
          <cell r="A283" t="str">
            <v>SB22229</v>
          </cell>
          <cell r="B283" t="str">
            <v>amazon- tech event</v>
          </cell>
        </row>
        <row r="283">
          <cell r="F283">
            <v>116820</v>
          </cell>
        </row>
        <row r="284">
          <cell r="A284" t="str">
            <v>SB22230</v>
          </cell>
          <cell r="B284" t="str">
            <v>Cognizant Nationwide Client Visit </v>
          </cell>
        </row>
        <row r="284">
          <cell r="F284">
            <v>471790</v>
          </cell>
        </row>
        <row r="285">
          <cell r="A285" t="str">
            <v>SB22231</v>
          </cell>
          <cell r="B285" t="str">
            <v>GitHub India Icons</v>
          </cell>
        </row>
        <row r="285">
          <cell r="F285">
            <v>983679</v>
          </cell>
        </row>
        <row r="286">
          <cell r="A286" t="str">
            <v>SB22232</v>
          </cell>
          <cell r="B286" t="str">
            <v>Amazon TGIF</v>
          </cell>
        </row>
        <row r="286">
          <cell r="F286">
            <v>118360</v>
          </cell>
        </row>
        <row r="287">
          <cell r="A287" t="str">
            <v>SB22233</v>
          </cell>
          <cell r="B287" t="str">
            <v>Zomato Sustainability and Policy Conference</v>
          </cell>
        </row>
        <row r="287">
          <cell r="F287">
            <v>1748353</v>
          </cell>
        </row>
        <row r="288">
          <cell r="A288" t="str">
            <v>SB22234</v>
          </cell>
          <cell r="B288" t="str">
            <v>Tata Giveaways</v>
          </cell>
        </row>
        <row r="288">
          <cell r="F288">
            <v>29613</v>
          </cell>
        </row>
        <row r="289">
          <cell r="A289" t="str">
            <v>SB22235</v>
          </cell>
          <cell r="B289" t="str">
            <v>LK Big announcement,</v>
          </cell>
        </row>
        <row r="289">
          <cell r="F289">
            <v>1232935</v>
          </cell>
        </row>
        <row r="290">
          <cell r="A290" t="str">
            <v>SB22236</v>
          </cell>
          <cell r="B290" t="str">
            <v>Havmor AOP meet 2025</v>
          </cell>
        </row>
        <row r="290">
          <cell r="F290">
            <v>2602500</v>
          </cell>
        </row>
        <row r="291">
          <cell r="A291" t="str">
            <v>SB22237</v>
          </cell>
          <cell r="B291" t="str">
            <v>Accenture Smart Mining &amp; Chemical Model</v>
          </cell>
        </row>
        <row r="291">
          <cell r="F291">
            <v>180000</v>
          </cell>
        </row>
        <row r="292">
          <cell r="A292" t="str">
            <v>SB22238</v>
          </cell>
          <cell r="B292" t="str">
            <v>SAP build day 2024</v>
          </cell>
        </row>
        <row r="292">
          <cell r="F292">
            <v>1344079</v>
          </cell>
        </row>
        <row r="293">
          <cell r="A293" t="str">
            <v>SB22239</v>
          </cell>
          <cell r="B293" t="str">
            <v>Brookprpo IPC Brookfield</v>
          </cell>
        </row>
        <row r="293">
          <cell r="F293">
            <v>2818920.5</v>
          </cell>
        </row>
        <row r="294">
          <cell r="A294" t="str">
            <v>SB22240</v>
          </cell>
          <cell r="B294" t="str">
            <v>Google App Dev event</v>
          </cell>
        </row>
        <row r="294">
          <cell r="F294">
            <v>987250</v>
          </cell>
        </row>
        <row r="295">
          <cell r="A295" t="str">
            <v>SB22241</v>
          </cell>
          <cell r="B295" t="str">
            <v>Siemens mobility Branding</v>
          </cell>
        </row>
        <row r="295">
          <cell r="F295">
            <v>416572.18</v>
          </cell>
        </row>
        <row r="296">
          <cell r="A296" t="str">
            <v>SB22242</v>
          </cell>
          <cell r="B296" t="str">
            <v>Executive Breifing Forum</v>
          </cell>
        </row>
        <row r="296">
          <cell r="F296">
            <v>1187115</v>
          </cell>
        </row>
        <row r="297">
          <cell r="A297" t="str">
            <v>SB22243</v>
          </cell>
          <cell r="B297" t="str">
            <v>PhonePe BMM</v>
          </cell>
        </row>
        <row r="297">
          <cell r="F297">
            <v>1674972.43</v>
          </cell>
        </row>
        <row r="298">
          <cell r="A298" t="str">
            <v>SB22244</v>
          </cell>
          <cell r="B298" t="str">
            <v>Star Health Press Meet 2024</v>
          </cell>
        </row>
        <row r="298">
          <cell r="F298">
            <v>226800</v>
          </cell>
        </row>
        <row r="299">
          <cell r="A299" t="str">
            <v>SB22245</v>
          </cell>
          <cell r="B299" t="str">
            <v>Havas Stall at TIE Global Summit.</v>
          </cell>
        </row>
        <row r="299">
          <cell r="F299">
            <v>204000</v>
          </cell>
        </row>
        <row r="300">
          <cell r="A300" t="str">
            <v>SB22246</v>
          </cell>
          <cell r="B300" t="str">
            <v>Vast Data India Tour, Grand Hyatt Mumbai</v>
          </cell>
        </row>
        <row r="300">
          <cell r="F300">
            <v>1456766</v>
          </cell>
        </row>
        <row r="301">
          <cell r="A301" t="str">
            <v>SB22247</v>
          </cell>
          <cell r="B301" t="str">
            <v>Cognizant AKSO Visit Booth</v>
          </cell>
        </row>
        <row r="301">
          <cell r="F301">
            <v>151074</v>
          </cell>
        </row>
        <row r="302">
          <cell r="A302" t="str">
            <v>SB22248</v>
          </cell>
          <cell r="B302" t="str">
            <v>Executive Breifing Forum</v>
          </cell>
        </row>
        <row r="302">
          <cell r="F302">
            <v>149600</v>
          </cell>
        </row>
        <row r="303">
          <cell r="A303" t="str">
            <v>SB22249</v>
          </cell>
          <cell r="B303" t="str">
            <v>Hero Nakshatra in Baku</v>
          </cell>
        </row>
        <row r="303">
          <cell r="F303">
            <v>11685140</v>
          </cell>
        </row>
        <row r="304">
          <cell r="A304" t="str">
            <v>SB22250</v>
          </cell>
          <cell r="B304" t="str">
            <v>Cognizant Leadership Summit Udaipur</v>
          </cell>
        </row>
        <row r="304">
          <cell r="F304">
            <v>1493407.3</v>
          </cell>
        </row>
        <row r="305">
          <cell r="A305" t="str">
            <v>SB22251</v>
          </cell>
          <cell r="B305" t="str">
            <v>Dell Gift delivery for PTC Door Openers India</v>
          </cell>
        </row>
        <row r="305">
          <cell r="F305">
            <v>1737450</v>
          </cell>
        </row>
        <row r="306">
          <cell r="A306" t="str">
            <v>SB22252</v>
          </cell>
          <cell r="B306" t="str">
            <v>HUL - Prabhat Turns 11 2024</v>
          </cell>
        </row>
        <row r="306">
          <cell r="F306">
            <v>1600000</v>
          </cell>
        </row>
        <row r="307">
          <cell r="A307" t="str">
            <v>SB22253</v>
          </cell>
          <cell r="B307" t="str">
            <v>OnePlus Media Drive in Sri Lanka</v>
          </cell>
        </row>
        <row r="307">
          <cell r="F307">
            <v>6127633</v>
          </cell>
        </row>
        <row r="308">
          <cell r="A308" t="str">
            <v>SB22254</v>
          </cell>
          <cell r="B308" t="str">
            <v>HPE Ignite in Athens, Greece</v>
          </cell>
        </row>
        <row r="308">
          <cell r="F308">
            <v>46500000</v>
          </cell>
        </row>
        <row r="309">
          <cell r="A309" t="str">
            <v>SB22255</v>
          </cell>
          <cell r="B309" t="str">
            <v>cognizant AIA Event logistic</v>
          </cell>
        </row>
        <row r="309">
          <cell r="F309">
            <v>806058</v>
          </cell>
        </row>
        <row r="310">
          <cell r="A310" t="str">
            <v>SB22256</v>
          </cell>
          <cell r="B310" t="str">
            <v>Cognizant Musical evening - Hyderabad</v>
          </cell>
        </row>
        <row r="310">
          <cell r="F310">
            <v>1432519</v>
          </cell>
        </row>
        <row r="311">
          <cell r="A311" t="str">
            <v>SB22257</v>
          </cell>
          <cell r="B311" t="str">
            <v>Adobe ABM activities</v>
          </cell>
        </row>
        <row r="311">
          <cell r="F311">
            <v>1685000</v>
          </cell>
        </row>
        <row r="312">
          <cell r="A312" t="str">
            <v>SB22258</v>
          </cell>
          <cell r="B312" t="str">
            <v>Amazon SX-FCGT Meeting</v>
          </cell>
        </row>
        <row r="312">
          <cell r="F312">
            <v>695602</v>
          </cell>
        </row>
        <row r="313">
          <cell r="A313" t="str">
            <v>SB22259</v>
          </cell>
          <cell r="B313" t="str">
            <v>Cognizant FSI Strategy Meet </v>
          </cell>
        </row>
        <row r="313">
          <cell r="F313">
            <v>310750</v>
          </cell>
        </row>
        <row r="314">
          <cell r="A314" t="str">
            <v>SB22260</v>
          </cell>
          <cell r="B314" t="str">
            <v>Christmas Decor - Multiple Sites</v>
          </cell>
        </row>
        <row r="314">
          <cell r="F314">
            <v>99110</v>
          </cell>
        </row>
        <row r="315">
          <cell r="A315" t="str">
            <v>SB22261</v>
          </cell>
          <cell r="B315" t="str">
            <v>Cognizant Namma Mangaluru Beats</v>
          </cell>
        </row>
        <row r="315">
          <cell r="F315">
            <v>835796</v>
          </cell>
        </row>
        <row r="316">
          <cell r="A316" t="str">
            <v>SB22262</v>
          </cell>
          <cell r="B316" t="str">
            <v>DBS Bank - Future of Ops Festival </v>
          </cell>
        </row>
        <row r="316">
          <cell r="F316">
            <v>400400</v>
          </cell>
        </row>
        <row r="317">
          <cell r="A317" t="str">
            <v>SB22263</v>
          </cell>
          <cell r="B317" t="str">
            <v>Google YT Creator Collective Q1 &amp; Q2 2025</v>
          </cell>
        </row>
        <row r="317">
          <cell r="F317">
            <v>19679990</v>
          </cell>
        </row>
        <row r="318">
          <cell r="A318" t="str">
            <v>SB22264</v>
          </cell>
          <cell r="B318" t="str">
            <v>Red Hat Summit Connect 2024</v>
          </cell>
        </row>
        <row r="318">
          <cell r="F318">
            <v>1300000</v>
          </cell>
        </row>
        <row r="319">
          <cell r="A319" t="str">
            <v>SB22265</v>
          </cell>
          <cell r="B319" t="str">
            <v>Nordisk EDM</v>
          </cell>
        </row>
        <row r="319">
          <cell r="F319">
            <v>11000</v>
          </cell>
        </row>
        <row r="320">
          <cell r="A320" t="str">
            <v>SB22266</v>
          </cell>
          <cell r="B320" t="str">
            <v>GitHub Tech after dark Marquis</v>
          </cell>
        </row>
        <row r="320">
          <cell r="F320">
            <v>1829275</v>
          </cell>
        </row>
        <row r="321">
          <cell r="A321" t="str">
            <v>SB22267</v>
          </cell>
          <cell r="B321" t="str">
            <v>OnePlus Dealer Meet </v>
          </cell>
        </row>
        <row r="321">
          <cell r="F321">
            <v>9458093</v>
          </cell>
        </row>
        <row r="322">
          <cell r="A322" t="str">
            <v>SB22268</v>
          </cell>
          <cell r="B322" t="str">
            <v>Hitachi Idea Cafe CIO events - Feb 2025</v>
          </cell>
        </row>
        <row r="322">
          <cell r="F322">
            <v>3411474</v>
          </cell>
        </row>
        <row r="323">
          <cell r="A323" t="str">
            <v>SB22269</v>
          </cell>
          <cell r="B323" t="str">
            <v>Herbalife FIT FAMILIES FEST 2025</v>
          </cell>
        </row>
        <row r="323">
          <cell r="F323">
            <v>11299417</v>
          </cell>
        </row>
        <row r="324">
          <cell r="A324" t="str">
            <v>SB22270</v>
          </cell>
          <cell r="B324" t="str">
            <v>Brookfield Properties Powai Run At Powai</v>
          </cell>
        </row>
        <row r="324">
          <cell r="F324">
            <v>3731486</v>
          </cell>
        </row>
        <row r="325">
          <cell r="A325" t="str">
            <v>SB22271</v>
          </cell>
          <cell r="B325" t="str">
            <v>NXP Stall at VLSID Conference At Bangalore</v>
          </cell>
        </row>
        <row r="325">
          <cell r="F325">
            <v>468214</v>
          </cell>
        </row>
        <row r="326">
          <cell r="A326" t="str">
            <v>SB22272</v>
          </cell>
          <cell r="B326" t="str">
            <v>BYD Auto Expo 2025 @ Pragti Maidan</v>
          </cell>
        </row>
        <row r="326">
          <cell r="F326">
            <v>38283592</v>
          </cell>
        </row>
        <row r="327">
          <cell r="A327" t="str">
            <v>SB22273</v>
          </cell>
          <cell r="B327" t="str">
            <v>Towards India &amp; Saarc Partner Summit event Execution @ Mumbai</v>
          </cell>
        </row>
        <row r="327">
          <cell r="F327">
            <v>2100263</v>
          </cell>
        </row>
        <row r="328">
          <cell r="A328" t="str">
            <v>SB22274</v>
          </cell>
          <cell r="B328" t="str">
            <v>Cognizant Permanent Setup @ Hyderabad</v>
          </cell>
        </row>
        <row r="328">
          <cell r="F328">
            <v>163680</v>
          </cell>
        </row>
        <row r="329">
          <cell r="A329" t="str">
            <v>SB22275</v>
          </cell>
          <cell r="B329" t="str">
            <v>Star Health - SS Launch @ Bangalore</v>
          </cell>
        </row>
        <row r="329">
          <cell r="F329">
            <v>15660</v>
          </cell>
        </row>
        <row r="330">
          <cell r="A330" t="str">
            <v>SB22276</v>
          </cell>
          <cell r="B330" t="str">
            <v>ITC Conquest Giveaway @ Bangalore</v>
          </cell>
        </row>
        <row r="330">
          <cell r="F330">
            <v>81840</v>
          </cell>
        </row>
        <row r="331">
          <cell r="A331" t="str">
            <v>SB22277</v>
          </cell>
          <cell r="B331" t="str">
            <v>Adobe Elite Circle At Gurgaon</v>
          </cell>
        </row>
        <row r="331">
          <cell r="F331">
            <v>3234784</v>
          </cell>
        </row>
        <row r="332">
          <cell r="A332" t="str">
            <v>SB22278</v>
          </cell>
          <cell r="B332" t="str">
            <v>Delta Elecrama 2025 at Noida</v>
          </cell>
        </row>
        <row r="332">
          <cell r="F332">
            <v>14527205</v>
          </cell>
        </row>
        <row r="333">
          <cell r="A333" t="str">
            <v>SB22279</v>
          </cell>
          <cell r="B333" t="str">
            <v>OnePlus event &amp; SAP Giveaways at Delhi</v>
          </cell>
        </row>
        <row r="333">
          <cell r="F333">
            <v>380600</v>
          </cell>
        </row>
        <row r="334">
          <cell r="A334" t="str">
            <v>SB22280</v>
          </cell>
          <cell r="B334" t="str">
            <v>Cognizant Cultural Event @ Multicity</v>
          </cell>
        </row>
        <row r="334">
          <cell r="F334">
            <v>1451280</v>
          </cell>
        </row>
        <row r="335">
          <cell r="A335" t="str">
            <v>SB22281</v>
          </cell>
          <cell r="B335" t="str">
            <v>Ki Mobility myTVS A@ Yashobhoomi</v>
          </cell>
        </row>
        <row r="335">
          <cell r="F335">
            <v>3420956</v>
          </cell>
        </row>
        <row r="336">
          <cell r="A336" t="str">
            <v>SB22282</v>
          </cell>
          <cell r="B336" t="str">
            <v>Amazone  IESP</v>
          </cell>
        </row>
        <row r="336">
          <cell r="F336">
            <v>354542</v>
          </cell>
        </row>
        <row r="337">
          <cell r="A337" t="str">
            <v>SB22283</v>
          </cell>
          <cell r="B337" t="str">
            <v>TVS Supply Chain Solution - TS Rajam Award</v>
          </cell>
        </row>
        <row r="337">
          <cell r="F337">
            <v>10450</v>
          </cell>
        </row>
        <row r="338">
          <cell r="A338" t="str">
            <v>SB22284</v>
          </cell>
          <cell r="B338" t="str">
            <v>TVS Srichakra for Shiprocket </v>
          </cell>
        </row>
        <row r="338">
          <cell r="F338">
            <v>21500</v>
          </cell>
        </row>
        <row r="339">
          <cell r="A339" t="str">
            <v>SB22285</v>
          </cell>
          <cell r="B339" t="str">
            <v>Regency Ceramics Booth at Naredco Exhibition</v>
          </cell>
        </row>
        <row r="339">
          <cell r="F339">
            <v>657481</v>
          </cell>
        </row>
        <row r="340">
          <cell r="A340" t="str">
            <v>SB22286</v>
          </cell>
          <cell r="B340" t="str">
            <v>Siemens MO for T-shirt &amp; Acrylic badge</v>
          </cell>
        </row>
        <row r="340">
          <cell r="F340">
            <v>25107</v>
          </cell>
        </row>
        <row r="341">
          <cell r="A341" t="str">
            <v>SB22287</v>
          </cell>
          <cell r="B341" t="str">
            <v>Siemens_ Customer Visit - Inauguration At Airoli</v>
          </cell>
        </row>
        <row r="341">
          <cell r="F341">
            <v>47183</v>
          </cell>
        </row>
        <row r="342">
          <cell r="A342" t="str">
            <v>SB22288</v>
          </cell>
          <cell r="B342" t="str">
            <v>OnePlus Jam Night @ IIT Madras</v>
          </cell>
        </row>
        <row r="342">
          <cell r="F342">
            <v>655930</v>
          </cell>
        </row>
        <row r="343">
          <cell r="A343" t="str">
            <v>SB22289</v>
          </cell>
          <cell r="B343" t="str">
            <v>SAP ALM Summit 2025</v>
          </cell>
        </row>
        <row r="343">
          <cell r="F343">
            <v>781000</v>
          </cell>
        </row>
        <row r="344">
          <cell r="A344" t="str">
            <v>SB22290</v>
          </cell>
          <cell r="B344" t="str">
            <v>Redington Data Profiling</v>
          </cell>
        </row>
        <row r="344">
          <cell r="F344">
            <v>570000</v>
          </cell>
        </row>
        <row r="345">
          <cell r="A345" t="str">
            <v>SB22291</v>
          </cell>
          <cell r="B345" t="str">
            <v>Siemens Walkathon 2025</v>
          </cell>
        </row>
        <row r="345">
          <cell r="F345">
            <v>873856</v>
          </cell>
        </row>
        <row r="346">
          <cell r="A346" t="str">
            <v>SB22292</v>
          </cell>
          <cell r="B346" t="str">
            <v>Amazone Photographer Arrangemen</v>
          </cell>
        </row>
        <row r="346">
          <cell r="F346">
            <v>9350</v>
          </cell>
        </row>
        <row r="347">
          <cell r="A347" t="str">
            <v>SB22293</v>
          </cell>
          <cell r="B347" t="str">
            <v>Aisle Experience</v>
          </cell>
        </row>
        <row r="347">
          <cell r="F347">
            <v>239424</v>
          </cell>
        </row>
        <row r="348">
          <cell r="A348" t="str">
            <v>SB22294</v>
          </cell>
          <cell r="B348" t="str">
            <v>Cognizant Metal Badges</v>
          </cell>
        </row>
        <row r="348">
          <cell r="F348">
            <v>17462</v>
          </cell>
        </row>
        <row r="349">
          <cell r="A349" t="str">
            <v>SB22295</v>
          </cell>
          <cell r="B349" t="str">
            <v>Accenture  
CBRE Client visit 
</v>
          </cell>
        </row>
        <row r="349">
          <cell r="F349">
            <v>525937.5</v>
          </cell>
        </row>
        <row r="350">
          <cell r="A350" t="str">
            <v>SB22296</v>
          </cell>
          <cell r="B350" t="str">
            <v>Lakme Stall at Mithibai Fest</v>
          </cell>
        </row>
        <row r="350">
          <cell r="F350">
            <v>300000</v>
          </cell>
        </row>
        <row r="351">
          <cell r="A351" t="str">
            <v>SB22297</v>
          </cell>
          <cell r="B351" t="str">
            <v>YouTube Execs Meet up at Soho House Mumbai</v>
          </cell>
        </row>
        <row r="351">
          <cell r="F351">
            <v>622248</v>
          </cell>
        </row>
        <row r="352">
          <cell r="A352" t="str">
            <v>SB22298</v>
          </cell>
          <cell r="B352" t="str">
            <v>LogiMAT India 2025</v>
          </cell>
        </row>
        <row r="352">
          <cell r="F352">
            <v>300000</v>
          </cell>
        </row>
        <row r="353">
          <cell r="A353" t="str">
            <v>SB22299</v>
          </cell>
          <cell r="B353" t="str">
            <v>Cognizant Invesco Client Visit Badge</v>
          </cell>
        </row>
        <row r="353">
          <cell r="F353">
            <v>29920</v>
          </cell>
        </row>
        <row r="354">
          <cell r="A354" t="str">
            <v>SB22300</v>
          </cell>
          <cell r="B354" t="str">
            <v>Siemens Energy Townhall Event </v>
          </cell>
        </row>
        <row r="354">
          <cell r="F354">
            <v>300782</v>
          </cell>
        </row>
        <row r="355">
          <cell r="A355" t="str">
            <v>SB22301</v>
          </cell>
          <cell r="B355" t="str">
            <v>Redington NetApp Partner Roundtable</v>
          </cell>
        </row>
        <row r="355">
          <cell r="F355">
            <v>838980</v>
          </cell>
        </row>
        <row r="356">
          <cell r="A356" t="str">
            <v>SB22302</v>
          </cell>
          <cell r="B356" t="str">
            <v>Siemens SEIL : GST Registration</v>
          </cell>
        </row>
        <row r="356">
          <cell r="F356">
            <v>230844</v>
          </cell>
        </row>
        <row r="357">
          <cell r="A357" t="str">
            <v>SB22303</v>
          </cell>
          <cell r="B357" t="str">
            <v>Lenovo EBC Tour</v>
          </cell>
        </row>
        <row r="357">
          <cell r="F357">
            <v>6182956</v>
          </cell>
        </row>
        <row r="358">
          <cell r="A358" t="str">
            <v>SB22304</v>
          </cell>
          <cell r="B358" t="str">
            <v>Siemens IMTEX 2025 </v>
          </cell>
        </row>
        <row r="358">
          <cell r="F358">
            <v>286691</v>
          </cell>
        </row>
        <row r="359">
          <cell r="A359" t="str">
            <v>SB22305</v>
          </cell>
          <cell r="B359" t="str">
            <v>Dell CSG Launch on 9th April in Andaz New Delhi</v>
          </cell>
        </row>
        <row r="359">
          <cell r="F359">
            <v>1650000</v>
          </cell>
        </row>
        <row r="360">
          <cell r="A360" t="str">
            <v>SB22306</v>
          </cell>
          <cell r="B360" t="str">
            <v>Dell ISG Launch 13th to 19th March</v>
          </cell>
        </row>
        <row r="360">
          <cell r="F360">
            <v>2000000</v>
          </cell>
        </row>
        <row r="361">
          <cell r="A361" t="str">
            <v>SB22307</v>
          </cell>
          <cell r="B361" t="str">
            <v>Vmware Tanzu Giveaways</v>
          </cell>
        </row>
        <row r="361">
          <cell r="F361">
            <v>739200</v>
          </cell>
        </row>
        <row r="362">
          <cell r="A362" t="str">
            <v>SB22308</v>
          </cell>
          <cell r="B362" t="str">
            <v>OnePlus Podium Delivery at 6 stores</v>
          </cell>
        </row>
        <row r="362">
          <cell r="F362">
            <v>2098426</v>
          </cell>
        </row>
        <row r="363">
          <cell r="A363" t="str">
            <v>SB22309</v>
          </cell>
          <cell r="B363" t="str">
            <v>Ncpa Concert Delhi</v>
          </cell>
        </row>
        <row r="363">
          <cell r="F363">
            <v>1926850</v>
          </cell>
        </row>
        <row r="364">
          <cell r="A364" t="str">
            <v>SB22310</v>
          </cell>
          <cell r="B364" t="str">
            <v>Cognizant Alkem Laboratories Client Visit</v>
          </cell>
        </row>
        <row r="364">
          <cell r="F364">
            <v>70719</v>
          </cell>
        </row>
        <row r="365">
          <cell r="A365" t="str">
            <v>SB22311</v>
          </cell>
          <cell r="B365" t="str">
            <v>Perno store promotion installation</v>
          </cell>
        </row>
        <row r="365">
          <cell r="F365">
            <v>252845</v>
          </cell>
        </row>
        <row r="366">
          <cell r="A366" t="str">
            <v>SB22312</v>
          </cell>
          <cell r="B366" t="str">
            <v>Exclusive Lotus Showroom Launch</v>
          </cell>
        </row>
        <row r="366">
          <cell r="F366">
            <v>738925</v>
          </cell>
        </row>
        <row r="367">
          <cell r="A367" t="str">
            <v>SB22313</v>
          </cell>
          <cell r="B367" t="str">
            <v>Autodesk IMTEX 2025</v>
          </cell>
        </row>
        <row r="367">
          <cell r="F367">
            <v>2271500</v>
          </cell>
        </row>
        <row r="368">
          <cell r="A368" t="str">
            <v>SB22314</v>
          </cell>
          <cell r="B368" t="str">
            <v>Siemens EA Awards 2025</v>
          </cell>
        </row>
        <row r="368">
          <cell r="F368">
            <v>477104</v>
          </cell>
        </row>
        <row r="369">
          <cell r="A369" t="str">
            <v>SB22315</v>
          </cell>
          <cell r="B369" t="str">
            <v>Adobe ALM Gifting in Feb 2025</v>
          </cell>
        </row>
        <row r="369">
          <cell r="F369">
            <v>507136</v>
          </cell>
        </row>
        <row r="370">
          <cell r="A370" t="str">
            <v>SB22316</v>
          </cell>
          <cell r="B370" t="str">
            <v>Infosys event &amp; Giveaways in Feb 2025</v>
          </cell>
        </row>
        <row r="370">
          <cell r="F370">
            <v>1250000</v>
          </cell>
        </row>
        <row r="371">
          <cell r="A371" t="str">
            <v>SB22317</v>
          </cell>
          <cell r="B371" t="str">
            <v>VCF Experience Day</v>
          </cell>
        </row>
        <row r="371">
          <cell r="F371">
            <v>1550000</v>
          </cell>
        </row>
        <row r="372">
          <cell r="A372" t="str">
            <v>SB22318</v>
          </cell>
          <cell r="B372" t="str">
            <v>Dell WPC &amp; AI events in Feb 2025</v>
          </cell>
        </row>
        <row r="372">
          <cell r="F372">
            <v>9900000</v>
          </cell>
        </row>
        <row r="373">
          <cell r="A373" t="str">
            <v>SB22319</v>
          </cell>
          <cell r="B373" t="str">
            <v>Dell WPC events in March 2025</v>
          </cell>
        </row>
        <row r="373">
          <cell r="F373">
            <v>6600000</v>
          </cell>
        </row>
        <row r="374">
          <cell r="A374" t="str">
            <v>SB22320</v>
          </cell>
          <cell r="B374" t="str">
            <v>Dell AI &amp; Innovation Forum events</v>
          </cell>
        </row>
        <row r="374">
          <cell r="F374">
            <v>3300000</v>
          </cell>
        </row>
        <row r="375">
          <cell r="A375" t="str">
            <v>SB22321</v>
          </cell>
          <cell r="B375" t="str">
            <v>Q4 Webinar Registration</v>
          </cell>
        </row>
        <row r="375">
          <cell r="F375">
            <v>516000</v>
          </cell>
        </row>
        <row r="376">
          <cell r="A376" t="str">
            <v>SB22322</v>
          </cell>
          <cell r="B376" t="str">
            <v>HPE Team Event – FY25 Planning</v>
          </cell>
        </row>
        <row r="376">
          <cell r="F376">
            <v>550000</v>
          </cell>
        </row>
        <row r="377">
          <cell r="A377" t="str">
            <v>SB22323</v>
          </cell>
          <cell r="B377" t="str">
            <v>Tele Lead Gen Campaign - Dragonfly accounts </v>
          </cell>
        </row>
        <row r="377">
          <cell r="F377">
            <v>820000</v>
          </cell>
        </row>
        <row r="378">
          <cell r="A378" t="str">
            <v>SB22324</v>
          </cell>
          <cell r="B378" t="str">
            <v>Hul Board Meeting 2025</v>
          </cell>
        </row>
        <row r="378">
          <cell r="F378">
            <v>6684335</v>
          </cell>
        </row>
        <row r="379">
          <cell r="A379" t="str">
            <v>SB22325</v>
          </cell>
          <cell r="B379" t="str">
            <v>Infosys legal service delivery sessions. Venue management, merchandise, branding activation</v>
          </cell>
        </row>
        <row r="379">
          <cell r="F379">
            <v>627473</v>
          </cell>
        </row>
        <row r="380">
          <cell r="A380" t="str">
            <v>SB22326</v>
          </cell>
          <cell r="B380" t="str">
            <v>Red Hat Tech Talks Series</v>
          </cell>
        </row>
        <row r="380">
          <cell r="F380">
            <v>3391394</v>
          </cell>
        </row>
        <row r="381">
          <cell r="A381" t="str">
            <v>SB22327</v>
          </cell>
          <cell r="B381" t="str">
            <v>Siemens Healthineers DC</v>
          </cell>
        </row>
        <row r="381">
          <cell r="F381">
            <v>8557172</v>
          </cell>
        </row>
        <row r="382">
          <cell r="A382" t="str">
            <v>SB22328</v>
          </cell>
          <cell r="B382" t="str">
            <v>Next Leap CHRO event</v>
          </cell>
        </row>
        <row r="382">
          <cell r="F382">
            <v>2178877</v>
          </cell>
        </row>
        <row r="383">
          <cell r="A383" t="str">
            <v>SB22329</v>
          </cell>
          <cell r="B383" t="str">
            <v>Sleepwell's Founders Day</v>
          </cell>
        </row>
        <row r="383">
          <cell r="F383">
            <v>5156545</v>
          </cell>
        </row>
        <row r="384">
          <cell r="A384" t="str">
            <v>SB22330</v>
          </cell>
          <cell r="B384" t="str">
            <v>OnePlus Snapshot masterclass</v>
          </cell>
        </row>
        <row r="384">
          <cell r="F384">
            <v>1162561</v>
          </cell>
        </row>
        <row r="385">
          <cell r="A385" t="str">
            <v>SB22331</v>
          </cell>
          <cell r="B385" t="str">
            <v>Intel F2F Leadership meet 2025</v>
          </cell>
        </row>
        <row r="385">
          <cell r="F385">
            <v>2063730</v>
          </cell>
        </row>
        <row r="386">
          <cell r="A386" t="str">
            <v>SB22332</v>
          </cell>
          <cell r="B386" t="str">
            <v>Singapore GIC 15th Anniversary Celebration</v>
          </cell>
        </row>
        <row r="386">
          <cell r="F386">
            <v>4644563</v>
          </cell>
        </row>
        <row r="387">
          <cell r="A387" t="str">
            <v>SB22333</v>
          </cell>
          <cell r="B387" t="str">
            <v>DBS Podcast with Taimur Event</v>
          </cell>
        </row>
        <row r="387">
          <cell r="F387">
            <v>98450</v>
          </cell>
        </row>
        <row r="388">
          <cell r="A388" t="str">
            <v>SB22334</v>
          </cell>
          <cell r="B388" t="str">
            <v>HUL - Taj Tea Stall</v>
          </cell>
        </row>
        <row r="388">
          <cell r="F388">
            <v>189796</v>
          </cell>
        </row>
        <row r="389">
          <cell r="A389" t="str">
            <v>SB22335</v>
          </cell>
          <cell r="B389" t="str">
            <v>Brookfields Waterstones</v>
          </cell>
        </row>
        <row r="389">
          <cell r="F389">
            <v>1995312</v>
          </cell>
        </row>
        <row r="390">
          <cell r="A390" t="str">
            <v>SB22336</v>
          </cell>
          <cell r="B390" t="str">
            <v>Madras Music Academy</v>
          </cell>
        </row>
        <row r="390">
          <cell r="F390">
            <v>713927</v>
          </cell>
        </row>
        <row r="391">
          <cell r="A391" t="str">
            <v>SB22337</v>
          </cell>
          <cell r="B391" t="str">
            <v>Glaxo Farewell Video for Raj</v>
          </cell>
        </row>
        <row r="391">
          <cell r="F391">
            <v>60500</v>
          </cell>
        </row>
        <row r="392">
          <cell r="A392" t="str">
            <v>SB22338</v>
          </cell>
          <cell r="B392" t="str">
            <v>SAP Invent 3.0</v>
          </cell>
        </row>
        <row r="392">
          <cell r="F392">
            <v>711172</v>
          </cell>
        </row>
        <row r="393">
          <cell r="A393" t="str">
            <v>SB22339</v>
          </cell>
          <cell r="B393" t="str">
            <v>Accenture Legal Learning Lab</v>
          </cell>
        </row>
        <row r="393">
          <cell r="F393">
            <v>96668</v>
          </cell>
        </row>
        <row r="394">
          <cell r="A394" t="str">
            <v>SB22340</v>
          </cell>
          <cell r="B394" t="str">
            <v>KORA food Street Display Activity</v>
          </cell>
        </row>
        <row r="394">
          <cell r="F394">
            <v>184989</v>
          </cell>
        </row>
        <row r="395">
          <cell r="A395" t="str">
            <v>SB22341</v>
          </cell>
          <cell r="B395" t="str">
            <v>Modiway Launch event</v>
          </cell>
        </row>
        <row r="395">
          <cell r="F395">
            <v>8761500</v>
          </cell>
        </row>
        <row r="396">
          <cell r="A396" t="str">
            <v>SB22342</v>
          </cell>
          <cell r="B396" t="str">
            <v>Accenture Can Do Awards</v>
          </cell>
        </row>
        <row r="396">
          <cell r="F396">
            <v>1169339</v>
          </cell>
        </row>
        <row r="397">
          <cell r="A397" t="str">
            <v>SB22343</v>
          </cell>
          <cell r="B397" t="str">
            <v>OnePlus Pop-up</v>
          </cell>
        </row>
        <row r="397">
          <cell r="F397">
            <v>13000000</v>
          </cell>
        </row>
        <row r="398">
          <cell r="A398" t="str">
            <v>SB22344</v>
          </cell>
          <cell r="B398" t="str">
            <v>GitHub Galaxy 2025 </v>
          </cell>
        </row>
        <row r="398">
          <cell r="F398">
            <v>10000000</v>
          </cell>
        </row>
        <row r="399">
          <cell r="A399" t="str">
            <v>SB22345</v>
          </cell>
          <cell r="B399" t="str">
            <v>IHCL STAR Awards 2024</v>
          </cell>
        </row>
        <row r="399">
          <cell r="F399">
            <v>4169000</v>
          </cell>
        </row>
        <row r="400">
          <cell r="A400" t="str">
            <v>SB22346</v>
          </cell>
          <cell r="B400" t="str">
            <v>Platinum Sponsor for BTOPEX India</v>
          </cell>
        </row>
        <row r="400">
          <cell r="F400">
            <v>1320000</v>
          </cell>
        </row>
        <row r="401">
          <cell r="A401" t="str">
            <v>SB22347</v>
          </cell>
          <cell r="B401" t="str">
            <v>Orica Kshitej </v>
          </cell>
        </row>
        <row r="401">
          <cell r="F401">
            <v>4216259</v>
          </cell>
        </row>
        <row r="402">
          <cell r="A402" t="str">
            <v>SB22348</v>
          </cell>
          <cell r="B402" t="str">
            <v>Accenture Manufacturing Futurecast</v>
          </cell>
        </row>
        <row r="402">
          <cell r="F402">
            <v>918258</v>
          </cell>
        </row>
        <row r="403">
          <cell r="A403" t="str">
            <v>SB22349</v>
          </cell>
          <cell r="B403" t="str">
            <v>Tata Advanced Systems - Memento Order</v>
          </cell>
        </row>
        <row r="403">
          <cell r="F403">
            <v>69575</v>
          </cell>
        </row>
        <row r="404">
          <cell r="A404" t="str">
            <v>SB22350</v>
          </cell>
          <cell r="B404" t="str">
            <v>HUL - Novology Booth at Dermacon 2025</v>
          </cell>
        </row>
        <row r="404">
          <cell r="F404">
            <v>5700687</v>
          </cell>
        </row>
        <row r="405">
          <cell r="A405" t="str">
            <v>SB22351</v>
          </cell>
          <cell r="B405" t="str">
            <v>HUL - Growth Leaders Forum</v>
          </cell>
        </row>
        <row r="405">
          <cell r="F405">
            <v>650283</v>
          </cell>
        </row>
        <row r="406">
          <cell r="A406" t="str">
            <v>SB22352</v>
          </cell>
          <cell r="B406" t="str">
            <v>DBS Piyush Gupta Farewell</v>
          </cell>
        </row>
        <row r="406">
          <cell r="F406">
            <v>599940</v>
          </cell>
        </row>
        <row r="407">
          <cell r="A407" t="str">
            <v>SB22353</v>
          </cell>
          <cell r="B407" t="str">
            <v>HUL Kissan Meeting 2025</v>
          </cell>
        </row>
        <row r="407">
          <cell r="F407">
            <v>495000</v>
          </cell>
        </row>
        <row r="408">
          <cell r="A408" t="str">
            <v>SB22354</v>
          </cell>
          <cell r="B408" t="str">
            <v>HUL PC Summit</v>
          </cell>
        </row>
        <row r="408">
          <cell r="F408">
            <v>3543710</v>
          </cell>
        </row>
        <row r="409">
          <cell r="A409" t="str">
            <v>SB22355</v>
          </cell>
          <cell r="B409" t="str">
            <v>Siemens Mobility Meet 2025</v>
          </cell>
        </row>
        <row r="409">
          <cell r="F409">
            <v>722787</v>
          </cell>
        </row>
        <row r="410">
          <cell r="A410" t="str">
            <v>SB22356</v>
          </cell>
          <cell r="B410" t="str">
            <v>RNTBCi Innovfest 25</v>
          </cell>
        </row>
        <row r="410">
          <cell r="F410">
            <v>763077</v>
          </cell>
        </row>
        <row r="411">
          <cell r="A411" t="str">
            <v>SB22357</v>
          </cell>
          <cell r="B411" t="str">
            <v>KNMA Legacy Series</v>
          </cell>
        </row>
        <row r="411">
          <cell r="F411">
            <v>826100</v>
          </cell>
        </row>
        <row r="412">
          <cell r="A412" t="str">
            <v>SB22358</v>
          </cell>
          <cell r="B412" t="str">
            <v>HPE Wipro partner day</v>
          </cell>
        </row>
        <row r="412">
          <cell r="F412">
            <v>849970</v>
          </cell>
        </row>
        <row r="413">
          <cell r="A413" t="str">
            <v>SB22359</v>
          </cell>
          <cell r="B413" t="str">
            <v>Amazon Brand Film Amplification Plan</v>
          </cell>
        </row>
        <row r="413">
          <cell r="F413">
            <v>695800</v>
          </cell>
        </row>
        <row r="414">
          <cell r="A414" t="str">
            <v>SB22360</v>
          </cell>
          <cell r="B414" t="str">
            <v>Citi Bank giveaways </v>
          </cell>
        </row>
        <row r="414">
          <cell r="F414">
            <v>49500</v>
          </cell>
        </row>
        <row r="415">
          <cell r="A415" t="str">
            <v>SB22361</v>
          </cell>
          <cell r="B415" t="str">
            <v> IKEA - Feb &amp; Mar Activity from 7th Feb to 30th March 2025,</v>
          </cell>
        </row>
        <row r="415">
          <cell r="F415">
            <v>3091000</v>
          </cell>
        </row>
        <row r="416">
          <cell r="A416" t="str">
            <v>SB22362</v>
          </cell>
          <cell r="B416" t="str">
            <v>Amazon SPS Fire Side Chat</v>
          </cell>
        </row>
        <row r="416">
          <cell r="F416">
            <v>68068</v>
          </cell>
        </row>
        <row r="417">
          <cell r="A417" t="str">
            <v>SB22363</v>
          </cell>
          <cell r="B417" t="str">
            <v>BIAL V day installations</v>
          </cell>
        </row>
        <row r="417">
          <cell r="F417">
            <v>1809005</v>
          </cell>
        </row>
        <row r="418">
          <cell r="A418" t="str">
            <v>SB22364</v>
          </cell>
          <cell r="B418" t="str">
            <v>Microsoft townhall @ MS Office Gurgaon</v>
          </cell>
        </row>
        <row r="418">
          <cell r="F418">
            <v>721000</v>
          </cell>
        </row>
        <row r="419">
          <cell r="A419" t="str">
            <v>SB22365</v>
          </cell>
          <cell r="B419" t="str">
            <v>Siemens CS Global Workshop</v>
          </cell>
        </row>
        <row r="419">
          <cell r="F419">
            <v>64258</v>
          </cell>
        </row>
        <row r="420">
          <cell r="A420" t="str">
            <v>SB22366</v>
          </cell>
          <cell r="B420" t="str">
            <v>NatWest Ruchika Panesar Town Hall Meet</v>
          </cell>
        </row>
        <row r="420">
          <cell r="F420">
            <v>328969</v>
          </cell>
        </row>
        <row r="421">
          <cell r="A421" t="str">
            <v>SB22367</v>
          </cell>
          <cell r="B421" t="str">
            <v>Hitachi Yes Bank Tech Workshop Nashik</v>
          </cell>
        </row>
        <row r="421">
          <cell r="F421">
            <v>1000000</v>
          </cell>
        </row>
        <row r="422">
          <cell r="A422" t="str">
            <v>SB22368</v>
          </cell>
          <cell r="B422" t="str">
            <v>Hul R&amp;D Mumbai </v>
          </cell>
        </row>
        <row r="422">
          <cell r="F422">
            <v>2111798</v>
          </cell>
        </row>
        <row r="423">
          <cell r="A423" t="str">
            <v>SB22369</v>
          </cell>
          <cell r="B423" t="str">
            <v>Siemens Energy Office branding</v>
          </cell>
        </row>
        <row r="423">
          <cell r="F423">
            <v>427650</v>
          </cell>
        </row>
        <row r="424">
          <cell r="A424" t="str">
            <v>SB22370</v>
          </cell>
          <cell r="B424" t="str">
            <v>Accenture  Navigating caregiving – Diverse journeys and expert perspective</v>
          </cell>
        </row>
        <row r="424">
          <cell r="F424">
            <v>434500</v>
          </cell>
        </row>
        <row r="425">
          <cell r="A425" t="str">
            <v>SB22371</v>
          </cell>
          <cell r="B425" t="str">
            <v>Cognizant CMD Town Hall Meet 2025</v>
          </cell>
        </row>
        <row r="425">
          <cell r="F425">
            <v>124960</v>
          </cell>
        </row>
        <row r="426">
          <cell r="A426" t="str">
            <v>SB22372</v>
          </cell>
          <cell r="B426" t="str">
            <v>Itc Learnify Booth</v>
          </cell>
        </row>
        <row r="426">
          <cell r="F426">
            <v>100787</v>
          </cell>
        </row>
        <row r="427">
          <cell r="A427" t="str">
            <v>SB22373</v>
          </cell>
          <cell r="B427" t="str">
            <v>Audi RSQ8 Launch event</v>
          </cell>
        </row>
        <row r="427">
          <cell r="F427">
            <v>4189907</v>
          </cell>
        </row>
        <row r="428">
          <cell r="A428" t="str">
            <v>SB22374</v>
          </cell>
          <cell r="B428" t="str">
            <v>Intel Laptop storage space</v>
          </cell>
        </row>
        <row r="428">
          <cell r="F428">
            <v>1591200</v>
          </cell>
        </row>
        <row r="429">
          <cell r="A429" t="str">
            <v>SB22375</v>
          </cell>
          <cell r="B429" t="str">
            <v>Siemens locomotive model </v>
          </cell>
        </row>
        <row r="429">
          <cell r="F429">
            <v>292462</v>
          </cell>
        </row>
        <row r="430">
          <cell r="A430" t="str">
            <v>SB22376</v>
          </cell>
          <cell r="B430" t="str">
            <v>Ascension Health Client Visit</v>
          </cell>
        </row>
        <row r="430">
          <cell r="F430">
            <v>363214</v>
          </cell>
        </row>
        <row r="431">
          <cell r="A431" t="str">
            <v>SB22377</v>
          </cell>
          <cell r="B431" t="str">
            <v>INGKA - Hej Day</v>
          </cell>
        </row>
        <row r="431">
          <cell r="F431">
            <v>1311552</v>
          </cell>
        </row>
        <row r="432">
          <cell r="A432" t="str">
            <v>SB22378</v>
          </cell>
          <cell r="B432" t="str">
            <v>Ola Roadster Launch</v>
          </cell>
        </row>
        <row r="432">
          <cell r="F432">
            <v>850049</v>
          </cell>
        </row>
        <row r="433">
          <cell r="A433" t="str">
            <v>SB22379</v>
          </cell>
          <cell r="B433" t="str">
            <v>TATA Ethics &amp; Affirmative Action Summit 2025</v>
          </cell>
        </row>
        <row r="433">
          <cell r="F433">
            <v>2041248</v>
          </cell>
        </row>
        <row r="434">
          <cell r="A434" t="str">
            <v>SB22380</v>
          </cell>
          <cell r="B434" t="str">
            <v>Aisle Valentines Day</v>
          </cell>
        </row>
        <row r="434">
          <cell r="F434">
            <v>313174</v>
          </cell>
        </row>
        <row r="435">
          <cell r="A435" t="str">
            <v>SB22381</v>
          </cell>
          <cell r="B435" t="str">
            <v>Amway Star Awards</v>
          </cell>
        </row>
        <row r="435">
          <cell r="F435">
            <v>1500000</v>
          </cell>
        </row>
        <row r="436">
          <cell r="A436" t="str">
            <v>SB22382</v>
          </cell>
          <cell r="B436" t="str">
            <v>TATA Legal Meet </v>
          </cell>
        </row>
        <row r="436">
          <cell r="F436">
            <v>3526391</v>
          </cell>
        </row>
        <row r="437">
          <cell r="A437" t="str">
            <v>SB22383</v>
          </cell>
          <cell r="B437" t="str">
            <v>Hul Pukka event</v>
          </cell>
        </row>
        <row r="437">
          <cell r="F437">
            <v>1000000</v>
          </cell>
        </row>
        <row r="438">
          <cell r="A438" t="str">
            <v>SB22384</v>
          </cell>
          <cell r="B438" t="str">
            <v>NTT Data - Transformation NOW</v>
          </cell>
        </row>
        <row r="438">
          <cell r="F438">
            <v>1805742</v>
          </cell>
        </row>
        <row r="439">
          <cell r="A439" t="str">
            <v>SB22385</v>
          </cell>
          <cell r="B439" t="str">
            <v>GitHub Wipro Connect </v>
          </cell>
        </row>
        <row r="439">
          <cell r="F439">
            <v>346580</v>
          </cell>
        </row>
        <row r="440">
          <cell r="A440" t="str">
            <v>SB22386</v>
          </cell>
          <cell r="B440" t="str">
            <v>HUL West Branch Connect 2025</v>
          </cell>
        </row>
        <row r="440">
          <cell r="F440">
            <v>2682808</v>
          </cell>
        </row>
        <row r="441">
          <cell r="A441" t="str">
            <v>SB22387</v>
          </cell>
          <cell r="B441" t="str">
            <v>Hul CD conference 2025 </v>
          </cell>
        </row>
        <row r="441">
          <cell r="F441">
            <v>5671000</v>
          </cell>
        </row>
        <row r="442">
          <cell r="A442" t="str">
            <v>SB22388</v>
          </cell>
          <cell r="B442" t="str">
            <v>Siemens SSP Launch </v>
          </cell>
        </row>
        <row r="442">
          <cell r="F442">
            <v>1342236</v>
          </cell>
        </row>
        <row r="443">
          <cell r="A443" t="str">
            <v>SB22389</v>
          </cell>
          <cell r="B443" t="str">
            <v>Cognizant Crescendo</v>
          </cell>
        </row>
        <row r="443">
          <cell r="F443">
            <v>8887714</v>
          </cell>
        </row>
        <row r="444">
          <cell r="A444" t="str">
            <v>SB22390</v>
          </cell>
          <cell r="B444" t="str">
            <v>Captain fresh IPO kick-off event</v>
          </cell>
        </row>
        <row r="444">
          <cell r="F444">
            <v>885811</v>
          </cell>
        </row>
        <row r="445">
          <cell r="A445" t="str">
            <v>SB22391</v>
          </cell>
          <cell r="B445" t="str">
            <v>Siemens - SRE Event</v>
          </cell>
        </row>
        <row r="445">
          <cell r="F445">
            <v>25157</v>
          </cell>
        </row>
        <row r="446">
          <cell r="A446" t="str">
            <v>SB22392</v>
          </cell>
          <cell r="B446" t="str">
            <v>Lightspeed - Lift Off 2025</v>
          </cell>
        </row>
        <row r="446">
          <cell r="F446">
            <v>7769834</v>
          </cell>
        </row>
        <row r="447">
          <cell r="A447" t="str">
            <v>SB22393</v>
          </cell>
          <cell r="B447" t="str">
            <v>Siemens GBS Townhall Event</v>
          </cell>
        </row>
        <row r="447">
          <cell r="F447">
            <v>452837</v>
          </cell>
        </row>
        <row r="448">
          <cell r="A448" t="str">
            <v>SB22394</v>
          </cell>
          <cell r="B448" t="str">
            <v>Siemens Veronika Townhall  2025</v>
          </cell>
        </row>
        <row r="448">
          <cell r="F448">
            <v>322650</v>
          </cell>
        </row>
        <row r="449">
          <cell r="A449" t="str">
            <v>SB22395</v>
          </cell>
          <cell r="B449" t="str">
            <v>Hul Cornetto Stall at Zomaland</v>
          </cell>
        </row>
        <row r="449">
          <cell r="F449">
            <v>5001282</v>
          </cell>
        </row>
        <row r="450">
          <cell r="A450" t="str">
            <v>SB22396</v>
          </cell>
          <cell r="B450" t="str">
            <v>Dell CSG Launch event</v>
          </cell>
        </row>
        <row r="450">
          <cell r="F450">
            <v>2100000</v>
          </cell>
        </row>
        <row r="451">
          <cell r="A451" t="str">
            <v>SB22397</v>
          </cell>
          <cell r="B451" t="str">
            <v>Intel Cab and Bus for GPTW</v>
          </cell>
        </row>
        <row r="451">
          <cell r="F451">
            <v>715823</v>
          </cell>
        </row>
        <row r="452">
          <cell r="A452" t="str">
            <v>SB22398</v>
          </cell>
          <cell r="B452" t="str">
            <v>HUL - B&amp;W Walkthrough</v>
          </cell>
        </row>
        <row r="452">
          <cell r="F452">
            <v>1801782</v>
          </cell>
        </row>
        <row r="453">
          <cell r="A453" t="str">
            <v>SB22399</v>
          </cell>
          <cell r="B453" t="str">
            <v>Autodesk Design &amp; Manufacturing Summit 2025</v>
          </cell>
        </row>
        <row r="453">
          <cell r="F453">
            <v>2806680</v>
          </cell>
        </row>
        <row r="454">
          <cell r="A454" t="str">
            <v>SB22400</v>
          </cell>
          <cell r="B454" t="str">
            <v>RHEL + Ansible Workshop</v>
          </cell>
        </row>
        <row r="454">
          <cell r="F454">
            <v>3290000</v>
          </cell>
        </row>
        <row r="455">
          <cell r="A455" t="str">
            <v>SB22401</v>
          </cell>
          <cell r="B455" t="str">
            <v>Elecrama ieema, WUS Dinner,</v>
          </cell>
        </row>
        <row r="455">
          <cell r="F455">
            <v>1850000</v>
          </cell>
        </row>
        <row r="456">
          <cell r="A456" t="str">
            <v>SB22402</v>
          </cell>
          <cell r="B456" t="str">
            <v>Accenture Duke Energy Client Visit Pune </v>
          </cell>
        </row>
        <row r="456">
          <cell r="F456">
            <v>244750</v>
          </cell>
        </row>
        <row r="457">
          <cell r="A457" t="str">
            <v>SB22403</v>
          </cell>
          <cell r="B457" t="str">
            <v>Amazone Stamp Purchase</v>
          </cell>
        </row>
        <row r="457">
          <cell r="F457">
            <v>20000</v>
          </cell>
        </row>
        <row r="458">
          <cell r="A458" t="str">
            <v>SB22404</v>
          </cell>
          <cell r="B458" t="str">
            <v>GitHub Connect in Chennai</v>
          </cell>
        </row>
        <row r="458">
          <cell r="F458">
            <v>263913</v>
          </cell>
        </row>
        <row r="459">
          <cell r="A459" t="str">
            <v>SB22405</v>
          </cell>
          <cell r="B459" t="str">
            <v>Amway Diamond Forum</v>
          </cell>
        </row>
        <row r="459">
          <cell r="F459">
            <v>5000000</v>
          </cell>
        </row>
        <row r="460">
          <cell r="A460" t="str">
            <v>SB22406</v>
          </cell>
          <cell r="B460" t="str">
            <v>Siemens Advanta Rainer</v>
          </cell>
        </row>
        <row r="460">
          <cell r="F460">
            <v>198423</v>
          </cell>
        </row>
        <row r="461">
          <cell r="A461" t="str">
            <v>SB22407</v>
          </cell>
          <cell r="B461" t="str">
            <v>Tvs Sub Dealer Meet</v>
          </cell>
        </row>
        <row r="461">
          <cell r="F461">
            <v>58131</v>
          </cell>
        </row>
        <row r="462">
          <cell r="A462" t="str">
            <v>SB22408</v>
          </cell>
          <cell r="B462" t="str">
            <v>Cognizant Acrylic Name Badge</v>
          </cell>
        </row>
        <row r="462">
          <cell r="F462">
            <v>9350</v>
          </cell>
        </row>
        <row r="463">
          <cell r="A463" t="str">
            <v>SB22409</v>
          </cell>
          <cell r="B463" t="str">
            <v>Towards Workshop - Bangalore &amp; Mumbai</v>
          </cell>
        </row>
        <row r="463">
          <cell r="F463">
            <v>343114</v>
          </cell>
        </row>
        <row r="464">
          <cell r="A464" t="str">
            <v>SB22410</v>
          </cell>
          <cell r="B464" t="str">
            <v>CNBC x HUL - Lime Season</v>
          </cell>
        </row>
        <row r="464">
          <cell r="F464">
            <v>1673113</v>
          </cell>
        </row>
        <row r="465">
          <cell r="A465" t="str">
            <v>SB22411</v>
          </cell>
          <cell r="B465" t="str">
            <v>Amazon Insurgents &amp; EBE - Summit</v>
          </cell>
        </row>
        <row r="465">
          <cell r="F465">
            <v>194464</v>
          </cell>
        </row>
        <row r="466">
          <cell r="A466" t="str">
            <v>SB22412</v>
          </cell>
          <cell r="B466" t="str">
            <v>Amazon EBE Summit</v>
          </cell>
        </row>
        <row r="466">
          <cell r="F466">
            <v>194464</v>
          </cell>
        </row>
        <row r="467">
          <cell r="A467" t="str">
            <v>SB22413</v>
          </cell>
          <cell r="B467" t="str">
            <v>HUL advantage Assam 2.0</v>
          </cell>
        </row>
        <row r="467">
          <cell r="F467">
            <v>6084041</v>
          </cell>
        </row>
        <row r="468">
          <cell r="A468" t="str">
            <v>SB22414</v>
          </cell>
          <cell r="B468" t="str">
            <v>Adobe MakeIT</v>
          </cell>
        </row>
        <row r="468">
          <cell r="F468">
            <v>8194780</v>
          </cell>
        </row>
        <row r="469">
          <cell r="A469" t="str">
            <v>SB22415</v>
          </cell>
          <cell r="B469" t="str">
            <v>Adfactors Celebrating the Success of Initial Public Offer</v>
          </cell>
        </row>
        <row r="469">
          <cell r="F469">
            <v>272338</v>
          </cell>
        </row>
        <row r="470">
          <cell r="A470" t="str">
            <v>SB22416</v>
          </cell>
          <cell r="B470" t="str">
            <v>DBS Bank IBG Townhall 2025</v>
          </cell>
        </row>
        <row r="470">
          <cell r="F470">
            <v>278300</v>
          </cell>
        </row>
        <row r="471">
          <cell r="A471" t="str">
            <v>SB22417</v>
          </cell>
          <cell r="B471" t="str">
            <v>Brookprpo ESG REPORT LAUNCH </v>
          </cell>
        </row>
        <row r="471">
          <cell r="F471">
            <v>1503942</v>
          </cell>
        </row>
        <row r="472">
          <cell r="A472" t="str">
            <v>SB22418</v>
          </cell>
          <cell r="B472" t="str">
            <v>Towards Graph Summit</v>
          </cell>
        </row>
        <row r="472">
          <cell r="F472">
            <v>838179</v>
          </cell>
        </row>
        <row r="473">
          <cell r="A473" t="str">
            <v>SB22419</v>
          </cell>
          <cell r="B473" t="str">
            <v> TVS Srichakra _Eurogrip Petrol Pump Activity &amp; IT Park Activity</v>
          </cell>
        </row>
        <row r="473">
          <cell r="F473">
            <v>62162</v>
          </cell>
        </row>
        <row r="474">
          <cell r="A474" t="str">
            <v>SB22420</v>
          </cell>
          <cell r="B474" t="str">
            <v>BIT Mesra 70 Years Platinum Jubilee Celebration</v>
          </cell>
        </row>
        <row r="474">
          <cell r="F474">
            <v>450000</v>
          </cell>
        </row>
        <row r="475">
          <cell r="A475" t="str">
            <v>SB22421</v>
          </cell>
          <cell r="B475" t="str">
            <v>Accenture Moview Tickets</v>
          </cell>
        </row>
        <row r="475">
          <cell r="F475">
            <v>624250</v>
          </cell>
        </row>
        <row r="476">
          <cell r="A476" t="str">
            <v>SB22422</v>
          </cell>
          <cell r="B476" t="str">
            <v>Jubilant Investor Meet 2025</v>
          </cell>
        </row>
        <row r="476">
          <cell r="F476">
            <v>2500000</v>
          </cell>
        </row>
        <row r="477">
          <cell r="A477" t="str">
            <v>SB22423</v>
          </cell>
          <cell r="B477" t="str">
            <v>HUL - Liquid IV Recovery Party</v>
          </cell>
        </row>
        <row r="477">
          <cell r="F477">
            <v>870931</v>
          </cell>
        </row>
        <row r="478">
          <cell r="A478" t="str">
            <v>SB22424</v>
          </cell>
          <cell r="B478" t="str">
            <v>Cognizant Impact Awards 2025</v>
          </cell>
        </row>
        <row r="478">
          <cell r="F478">
            <v>4479045</v>
          </cell>
        </row>
        <row r="479">
          <cell r="A479" t="str">
            <v>SB22425</v>
          </cell>
          <cell r="B479" t="str">
            <v>Cognizant Hartford - Noida Facility</v>
          </cell>
        </row>
        <row r="479">
          <cell r="F479">
            <v>1019799</v>
          </cell>
        </row>
        <row r="480">
          <cell r="A480" t="str">
            <v>SB22426</v>
          </cell>
          <cell r="B480" t="str">
            <v>Cognizant Townhall Setup</v>
          </cell>
        </row>
        <row r="480">
          <cell r="F480">
            <v>229636</v>
          </cell>
        </row>
        <row r="481">
          <cell r="A481" t="str">
            <v>SB22427</v>
          </cell>
          <cell r="B481" t="str">
            <v>Cognizant Suncorp Visit Pune</v>
          </cell>
        </row>
        <row r="481">
          <cell r="F481">
            <v>242935</v>
          </cell>
        </row>
        <row r="482">
          <cell r="A482" t="str">
            <v>SB22428</v>
          </cell>
          <cell r="B482" t="str">
            <v>SAP Industry Summit at Westin, Powai</v>
          </cell>
        </row>
        <row r="482">
          <cell r="F482">
            <v>3412500</v>
          </cell>
        </row>
        <row r="483">
          <cell r="A483" t="str">
            <v>SB22429</v>
          </cell>
          <cell r="B483" t="str">
            <v>Intel 
Premium standee print</v>
          </cell>
        </row>
        <row r="483">
          <cell r="F483">
            <v>70875</v>
          </cell>
        </row>
        <row r="484">
          <cell r="A484" t="str">
            <v>SB22430</v>
          </cell>
          <cell r="B484" t="str">
            <v>Cellvest Launch </v>
          </cell>
        </row>
        <row r="484">
          <cell r="F484">
            <v>790956</v>
          </cell>
        </row>
        <row r="485">
          <cell r="A485" t="str">
            <v>SB22431</v>
          </cell>
          <cell r="B485" t="str">
            <v>Intel AIPC Workshop at ECO Training</v>
          </cell>
        </row>
        <row r="485">
          <cell r="F485">
            <v>586740</v>
          </cell>
        </row>
        <row r="486">
          <cell r="A486" t="str">
            <v>SB22432</v>
          </cell>
          <cell r="B486" t="str">
            <v>NCPA CONCERT</v>
          </cell>
        </row>
        <row r="486">
          <cell r="F486">
            <v>890340</v>
          </cell>
        </row>
        <row r="487">
          <cell r="A487" t="str">
            <v>SB22433</v>
          </cell>
          <cell r="B487" t="str">
            <v>SOFTCELL Netapp Event</v>
          </cell>
        </row>
        <row r="487">
          <cell r="F487">
            <v>317178</v>
          </cell>
        </row>
        <row r="488">
          <cell r="A488" t="str">
            <v>SB22434</v>
          </cell>
          <cell r="B488" t="str">
            <v>Amazon - LAT</v>
          </cell>
        </row>
        <row r="488">
          <cell r="F488">
            <v>207932</v>
          </cell>
        </row>
        <row r="489">
          <cell r="A489" t="str">
            <v>SB22435</v>
          </cell>
          <cell r="B489" t="str">
            <v>Tvs Shiprocket</v>
          </cell>
        </row>
        <row r="489">
          <cell r="F489">
            <v>21500</v>
          </cell>
        </row>
        <row r="490">
          <cell r="A490" t="str">
            <v>SB22436</v>
          </cell>
          <cell r="B490" t="str">
            <v>Adobe India Leadership Connect</v>
          </cell>
        </row>
        <row r="490">
          <cell r="F490">
            <v>840000</v>
          </cell>
        </row>
        <row r="491">
          <cell r="A491" t="str">
            <v>SB22437</v>
          </cell>
          <cell r="B491" t="str">
            <v>Aptra India Conference 2025</v>
          </cell>
        </row>
        <row r="491">
          <cell r="F491">
            <v>5130720</v>
          </cell>
        </row>
        <row r="492">
          <cell r="A492" t="str">
            <v>SB22438</v>
          </cell>
          <cell r="B492" t="str">
            <v>Netapp V5 Techsol Customer Event</v>
          </cell>
        </row>
        <row r="492">
          <cell r="F492">
            <v>593505</v>
          </cell>
        </row>
        <row r="493">
          <cell r="A493" t="str">
            <v>SB22439</v>
          </cell>
          <cell r="B493" t="str">
            <v>Red Hat Q1 Tech Webinar Series</v>
          </cell>
        </row>
        <row r="493">
          <cell r="F493">
            <v>1232800</v>
          </cell>
        </row>
        <row r="494">
          <cell r="A494" t="str">
            <v>SB22440</v>
          </cell>
          <cell r="B494" t="str">
            <v>Star India Kannada Screening</v>
          </cell>
        </row>
        <row r="494">
          <cell r="F494">
            <v>618622</v>
          </cell>
        </row>
        <row r="495">
          <cell r="A495" t="str">
            <v>SB21466</v>
          </cell>
          <cell r="B495" t="str">
            <v>TVS Event at Sheraton Grand White field</v>
          </cell>
        </row>
        <row r="496">
          <cell r="A496" t="str">
            <v>SB21942</v>
          </cell>
          <cell r="B496" t="str">
            <v>Regency AV Production</v>
          </cell>
        </row>
        <row r="497">
          <cell r="A497" t="str">
            <v>SB22441</v>
          </cell>
          <cell r="B497" t="str">
            <v>SAP Booth at NTLF 2025</v>
          </cell>
        </row>
        <row r="498">
          <cell r="A498" t="str">
            <v>SB22442</v>
          </cell>
          <cell r="B498" t="str">
            <v>IKEA - RAI Stall</v>
          </cell>
        </row>
        <row r="499">
          <cell r="A499" t="str">
            <v>SB22443</v>
          </cell>
          <cell r="B499" t="str">
            <v>THOUGHTWORKS BOOTH at the NASSCOM event</v>
          </cell>
        </row>
        <row r="500">
          <cell r="A500" t="str">
            <v>SB22444</v>
          </cell>
          <cell r="B500" t="str">
            <v>CIO Netskope_CIOKlub event</v>
          </cell>
        </row>
        <row r="501">
          <cell r="A501" t="str">
            <v>SB22445</v>
          </cell>
          <cell r="B501" t="str">
            <v>Tvs RRC &amp; MMC SOUTH</v>
          </cell>
        </row>
        <row r="502">
          <cell r="A502" t="str">
            <v>SB22446</v>
          </cell>
          <cell r="B502" t="str">
            <v>Cognizant MACY'S Client Visit</v>
          </cell>
        </row>
        <row r="503">
          <cell r="A503" t="str">
            <v>SB22447</v>
          </cell>
          <cell r="B503" t="str">
            <v>Neo4J Swags with arrangements</v>
          </cell>
        </row>
        <row r="504">
          <cell r="A504" t="str">
            <v>SB22448</v>
          </cell>
          <cell r="B504" t="str">
            <v>Adobe Make it</v>
          </cell>
        </row>
        <row r="505">
          <cell r="A505" t="str">
            <v>SB22449</v>
          </cell>
          <cell r="B505" t="str">
            <v>Siemens Digital Kiosk </v>
          </cell>
        </row>
        <row r="506">
          <cell r="A506" t="str">
            <v>SB22450</v>
          </cell>
          <cell r="B506" t="str">
            <v>SAP Build Day</v>
          </cell>
        </row>
        <row r="507">
          <cell r="A507" t="str">
            <v>SB22451</v>
          </cell>
          <cell r="B507" t="str">
            <v>Phonepe Converge</v>
          </cell>
        </row>
        <row r="508">
          <cell r="A508" t="str">
            <v>SB22452</v>
          </cell>
          <cell r="B508" t="str">
            <v>INPG Pinnacle R&amp;R</v>
          </cell>
        </row>
        <row r="509">
          <cell r="A509" t="str">
            <v>SB22453</v>
          </cell>
          <cell r="B509" t="str">
            <v>Indoor Showroom Inauguration</v>
          </cell>
        </row>
        <row r="510">
          <cell r="A510" t="str">
            <v>SB22454</v>
          </cell>
          <cell r="B510" t="str">
            <v>Amazon - LML</v>
          </cell>
        </row>
        <row r="511">
          <cell r="A511" t="str">
            <v>SB22455</v>
          </cell>
          <cell r="B511" t="str">
            <v>Vivo IQOO 10R Launch</v>
          </cell>
        </row>
        <row r="512">
          <cell r="A512" t="str">
            <v>SB22456</v>
          </cell>
          <cell r="B512" t="str">
            <v>DBS Bank - DBS Technology Roadshow</v>
          </cell>
        </row>
        <row r="513">
          <cell r="A513" t="str">
            <v>SB22457</v>
          </cell>
          <cell r="B513" t="str">
            <v>Cognizant Gurgaon Client Visit</v>
          </cell>
        </row>
        <row r="514">
          <cell r="A514" t="str">
            <v>SB22458</v>
          </cell>
          <cell r="B514" t="str">
            <v>DBS CEO Give Away</v>
          </cell>
        </row>
        <row r="515">
          <cell r="A515" t="str">
            <v>SB22459</v>
          </cell>
          <cell r="B515" t="str">
            <v>BCG Connect Day</v>
          </cell>
        </row>
        <row r="516">
          <cell r="A516" t="str">
            <v>SB22460</v>
          </cell>
          <cell r="B516" t="str">
            <v>HMI Townhall Event 2025</v>
          </cell>
        </row>
        <row r="517">
          <cell r="A517" t="str">
            <v>SB22461</v>
          </cell>
          <cell r="B517" t="str">
            <v>Holi 2025 : Pan India Celebration</v>
          </cell>
        </row>
        <row r="518">
          <cell r="A518" t="str">
            <v>SB22462</v>
          </cell>
          <cell r="B518" t="str">
            <v>Siemens DEI Tree Making</v>
          </cell>
        </row>
        <row r="519">
          <cell r="A519" t="str">
            <v>SB22463</v>
          </cell>
          <cell r="B519" t="str">
            <v>Cognizant NLG Client Visit</v>
          </cell>
        </row>
        <row r="520">
          <cell r="A520" t="str">
            <v>SB22464</v>
          </cell>
          <cell r="B520" t="str">
            <v>Natwest Nicola Town Hall Meet </v>
          </cell>
        </row>
        <row r="521">
          <cell r="A521" t="str">
            <v>SB22465</v>
          </cell>
          <cell r="B521" t="str">
            <v>HUL CEO Review </v>
          </cell>
        </row>
        <row r="522">
          <cell r="A522" t="str">
            <v>SB22466</v>
          </cell>
          <cell r="B522" t="str">
            <v>Shella Kurlon Business Meet</v>
          </cell>
        </row>
        <row r="523">
          <cell r="A523" t="str">
            <v>SB22467</v>
          </cell>
          <cell r="B523" t="str">
            <v>Cognizant EDJ Client visit.</v>
          </cell>
        </row>
        <row r="524">
          <cell r="A524" t="str">
            <v>SB22468</v>
          </cell>
          <cell r="B524" t="str">
            <v>Cognizant Nation Wide.</v>
          </cell>
        </row>
        <row r="525">
          <cell r="A525" t="str">
            <v>SB22469</v>
          </cell>
          <cell r="B525" t="str">
            <v>Cognizant RBC Client Visit 2025</v>
          </cell>
        </row>
        <row r="526">
          <cell r="A526" t="str">
            <v>SB22470</v>
          </cell>
          <cell r="B526" t="str">
            <v>Novo Nordisk Townhall</v>
          </cell>
        </row>
        <row r="527">
          <cell r="A527" t="str">
            <v>SB22471</v>
          </cell>
          <cell r="B527" t="str">
            <v>BIAL Partner Connect 6.0</v>
          </cell>
        </row>
        <row r="528">
          <cell r="A528" t="str">
            <v>SB22472</v>
          </cell>
          <cell r="B528" t="str">
            <v>Wella Trendvision</v>
          </cell>
        </row>
        <row r="529">
          <cell r="A529" t="str">
            <v>SB22473</v>
          </cell>
          <cell r="B529" t="str">
            <v>Embassy of Ireland on 17th March 2025</v>
          </cell>
        </row>
        <row r="530">
          <cell r="A530" t="str">
            <v>SB22474</v>
          </cell>
          <cell r="B530" t="str">
            <v>HPCL Women's Day celebration </v>
          </cell>
        </row>
        <row r="531">
          <cell r="A531" t="str">
            <v>SB22475</v>
          </cell>
          <cell r="B531" t="str">
            <v>Hero International Women's Day</v>
          </cell>
        </row>
        <row r="532">
          <cell r="A532" t="str">
            <v>SB22476</v>
          </cell>
          <cell r="B532" t="str">
            <v>Ducati Panigale V4 Launch</v>
          </cell>
        </row>
        <row r="533">
          <cell r="A533" t="str">
            <v>SB22477</v>
          </cell>
          <cell r="B533" t="str">
            <v>Google YT Shopping X Tech</v>
          </cell>
        </row>
        <row r="534">
          <cell r="A534" t="str">
            <v>SB22478</v>
          </cell>
          <cell r="B534" t="str">
            <v>Signify Plaque and Certificates</v>
          </cell>
        </row>
        <row r="535">
          <cell r="A535" t="str">
            <v>SB22479</v>
          </cell>
          <cell r="B535" t="str">
            <v>Brookfield IPC Event,</v>
          </cell>
        </row>
        <row r="536">
          <cell r="A536" t="str">
            <v>SB22480</v>
          </cell>
          <cell r="B536" t="str">
            <v>DBS Piyush Gupta Farewell Photographer</v>
          </cell>
        </row>
        <row r="537">
          <cell r="A537" t="str">
            <v>SB22481</v>
          </cell>
          <cell r="B537" t="str">
            <v>Eicher Womens Day activation</v>
          </cell>
        </row>
        <row r="538">
          <cell r="A538" t="str">
            <v>SB22482</v>
          </cell>
          <cell r="B538" t="str">
            <v>Eurogrip RRC Activity FEB 2025</v>
          </cell>
        </row>
        <row r="539">
          <cell r="A539" t="str">
            <v>SB22483</v>
          </cell>
          <cell r="B539" t="str">
            <v>Hero Xoom Media Drive</v>
          </cell>
        </row>
        <row r="540">
          <cell r="A540" t="str">
            <v>SB22484</v>
          </cell>
          <cell r="B540" t="str">
            <v>DBS T&amp;O Townhall</v>
          </cell>
        </row>
        <row r="541">
          <cell r="A541" t="str">
            <v>SB22485</v>
          </cell>
          <cell r="B541" t="str">
            <v>Jamf CIO Summit event</v>
          </cell>
        </row>
        <row r="542">
          <cell r="A542" t="str">
            <v>SB22486</v>
          </cell>
          <cell r="B542" t="str">
            <v>Siemens Townhall</v>
          </cell>
        </row>
        <row r="543">
          <cell r="A543" t="str">
            <v>SB22487</v>
          </cell>
          <cell r="B543" t="str">
            <v>Amazon Holi Event</v>
          </cell>
        </row>
        <row r="544">
          <cell r="A544" t="str">
            <v>SB22488</v>
          </cell>
          <cell r="B544" t="str">
            <v>NetApp_CrossGen_RIL_Kochi_eventCustomer Event</v>
          </cell>
        </row>
        <row r="545">
          <cell r="A545" t="str">
            <v>SB22489</v>
          </cell>
          <cell r="B545" t="str">
            <v>Amazon OTS Townhall Meeting.</v>
          </cell>
        </row>
        <row r="546">
          <cell r="A546" t="str">
            <v>SB22490</v>
          </cell>
          <cell r="B546" t="str">
            <v>DBS Sun board Printings</v>
          </cell>
        </row>
        <row r="547">
          <cell r="A547" t="str">
            <v>SB22491</v>
          </cell>
          <cell r="B547" t="str">
            <v>Hul  Magnum x LFW</v>
          </cell>
        </row>
        <row r="548">
          <cell r="A548" t="str">
            <v>SB22492</v>
          </cell>
          <cell r="B548" t="str">
            <v>DBS Badminton Players  Meet &amp; Greet</v>
          </cell>
        </row>
        <row r="549">
          <cell r="A549" t="str">
            <v>SB22493</v>
          </cell>
          <cell r="B549" t="str">
            <v>DBS Virtual Photobooth</v>
          </cell>
        </row>
        <row r="550">
          <cell r="A550" t="str">
            <v>SB22494</v>
          </cell>
          <cell r="B550" t="str">
            <v>Siemens GBS Townhall </v>
          </cell>
        </row>
        <row r="551">
          <cell r="A551" t="str">
            <v>SB22495</v>
          </cell>
          <cell r="B551" t="str">
            <v>HUL SC Conference 2025</v>
          </cell>
        </row>
        <row r="552">
          <cell r="A552" t="str">
            <v>SB22496</v>
          </cell>
          <cell r="B552" t="str">
            <v>HUL MacBook Purchas</v>
          </cell>
        </row>
        <row r="553">
          <cell r="A553" t="str">
            <v>SB22497</v>
          </cell>
          <cell r="B553" t="str">
            <v>Hul JBP Meet 2025</v>
          </cell>
        </row>
        <row r="554">
          <cell r="A554" t="str">
            <v>SB22498</v>
          </cell>
          <cell r="B554" t="str">
            <v>OnePlus SFS pop-up</v>
          </cell>
        </row>
        <row r="555">
          <cell r="A555" t="str">
            <v>SB22499</v>
          </cell>
          <cell r="B555" t="str">
            <v>OnePlus Jamnight @ IIT DTU</v>
          </cell>
        </row>
        <row r="556">
          <cell r="A556" t="str">
            <v>SB22500</v>
          </cell>
          <cell r="B556" t="str">
            <v>Tata Motors Stealth Mall Activation</v>
          </cell>
        </row>
        <row r="557">
          <cell r="A557" t="str">
            <v>SB22501</v>
          </cell>
          <cell r="B557" t="str">
            <v>Siemens MO Townhall</v>
          </cell>
        </row>
        <row r="558">
          <cell r="A558" t="str">
            <v>SB22502</v>
          </cell>
          <cell r="B558" t="str">
            <v>Siemens Elevate at Siemens Office </v>
          </cell>
        </row>
        <row r="559">
          <cell r="A559" t="str">
            <v>SB22503</v>
          </cell>
          <cell r="B559" t="str">
            <v>HUL North Branch Meet 2025</v>
          </cell>
        </row>
        <row r="560">
          <cell r="A560" t="str">
            <v>SB22504</v>
          </cell>
          <cell r="B560" t="str">
            <v>Amazon - AA Leadership Connect </v>
          </cell>
        </row>
        <row r="561">
          <cell r="A561" t="str">
            <v>SB22505</v>
          </cell>
          <cell r="B561" t="str">
            <v>Jio with arrangements</v>
          </cell>
        </row>
        <row r="562">
          <cell r="A562" t="str">
            <v>SB22506</v>
          </cell>
          <cell r="B562" t="str">
            <v>DBS India Townhall Q1 2025</v>
          </cell>
        </row>
        <row r="563">
          <cell r="A563" t="str">
            <v>SB22507</v>
          </cell>
          <cell r="B563" t="str">
            <v>Intel Premium standee delivered</v>
          </cell>
        </row>
        <row r="564">
          <cell r="A564" t="str">
            <v>SB22508</v>
          </cell>
          <cell r="B564" t="str">
            <v>Intel AIPC Workshop</v>
          </cell>
        </row>
        <row r="565">
          <cell r="A565" t="str">
            <v>SB22509</v>
          </cell>
          <cell r="B565" t="str">
            <v>Aircraft launch</v>
          </cell>
        </row>
        <row r="566">
          <cell r="A566" t="str">
            <v>SB22510</v>
          </cell>
          <cell r="B566" t="str">
            <v>Siemens Townhall</v>
          </cell>
        </row>
        <row r="567">
          <cell r="A567" t="str">
            <v>SB22511</v>
          </cell>
          <cell r="B567" t="str">
            <v>Accenture  Interns Welcome Networking Dinner</v>
          </cell>
        </row>
        <row r="568">
          <cell r="A568" t="str">
            <v>SB22512</v>
          </cell>
          <cell r="B568" t="str">
            <v>Nvidia 2025</v>
          </cell>
        </row>
        <row r="569">
          <cell r="A569" t="str">
            <v>SB22513</v>
          </cell>
          <cell r="B569" t="str">
            <v>VCF Experience Days and VMUG</v>
          </cell>
        </row>
        <row r="570">
          <cell r="A570" t="str">
            <v>SB22514</v>
          </cell>
          <cell r="B570" t="str">
            <v>Accenture RSA Super Star Awards</v>
          </cell>
        </row>
        <row r="571">
          <cell r="A571" t="str">
            <v>SB22515</v>
          </cell>
          <cell r="B571" t="str">
            <v>Acrylic Name Badge Pune Visit</v>
          </cell>
        </row>
        <row r="572">
          <cell r="A572" t="str">
            <v>SB22516</v>
          </cell>
          <cell r="B572" t="str">
            <v>Accenture IHG Client Visit</v>
          </cell>
        </row>
        <row r="573">
          <cell r="A573" t="str">
            <v>SB22517</v>
          </cell>
          <cell r="B573" t="str">
            <v>Hitachi CIO Klub Chennai chapter event</v>
          </cell>
        </row>
        <row r="574">
          <cell r="A574" t="str">
            <v>SB22518</v>
          </cell>
          <cell r="B574" t="str">
            <v>TATA debossed diaries &amp; pens</v>
          </cell>
        </row>
        <row r="575">
          <cell r="A575" t="str">
            <v>SB22519</v>
          </cell>
          <cell r="B575" t="str">
            <v>TATA debossed Logo Installation</v>
          </cell>
        </row>
        <row r="576">
          <cell r="A576" t="str">
            <v>SB22520</v>
          </cell>
          <cell r="B576" t="str">
            <v>Towards Workshop - Delhi</v>
          </cell>
        </row>
        <row r="577">
          <cell r="A577" t="str">
            <v>SB22521</v>
          </cell>
          <cell r="B577" t="str">
            <v>Hul Indulekha - Good Hair Day</v>
          </cell>
        </row>
        <row r="578">
          <cell r="A578" t="str">
            <v>SB22522</v>
          </cell>
          <cell r="B578" t="str">
            <v>Maruti Flatbed Requirement</v>
          </cell>
        </row>
        <row r="579">
          <cell r="A579" t="str">
            <v>SB22523</v>
          </cell>
          <cell r="B579" t="str">
            <v>RNTBCI Cohort 2 Start Up Pitch awards</v>
          </cell>
        </row>
        <row r="580">
          <cell r="A580" t="str">
            <v>SB22524</v>
          </cell>
          <cell r="B580" t="str">
            <v>Amazon - eCF Leadership 2025 </v>
          </cell>
        </row>
        <row r="581">
          <cell r="A581" t="str">
            <v>SB22525</v>
          </cell>
          <cell r="B581" t="str">
            <v>GlaxoSmithKline Certificates &amp; Trophies</v>
          </cell>
        </row>
        <row r="582">
          <cell r="A582" t="str">
            <v>SB22526</v>
          </cell>
          <cell r="B582" t="str">
            <v>Accenture International Women's Day 2025</v>
          </cell>
        </row>
        <row r="583">
          <cell r="A583" t="str">
            <v>SB22527</v>
          </cell>
          <cell r="B583" t="str">
            <v>GitHub connect - Razorpay in Bangalore</v>
          </cell>
        </row>
        <row r="584">
          <cell r="A584" t="str">
            <v>SB22528</v>
          </cell>
          <cell r="B584" t="str">
            <v>Microsoft townhall</v>
          </cell>
        </row>
        <row r="585">
          <cell r="A585" t="str">
            <v>SB22529</v>
          </cell>
          <cell r="B585" t="str">
            <v>Cognizant Allianz Client Visit </v>
          </cell>
        </row>
        <row r="586">
          <cell r="A586" t="str">
            <v>SB22530</v>
          </cell>
          <cell r="B586" t="str">
            <v>Photographer requirement for Sonata Software - Meet </v>
          </cell>
        </row>
        <row r="587">
          <cell r="A587" t="str">
            <v>SB22531</v>
          </cell>
          <cell r="B587" t="str">
            <v>TVS VEHICLE MOBILITY Sign Board</v>
          </cell>
        </row>
        <row r="588">
          <cell r="A588" t="str">
            <v>SB22532</v>
          </cell>
          <cell r="B588" t="str">
            <v>Natwest Logistics Town Hall Meet </v>
          </cell>
        </row>
        <row r="589">
          <cell r="A589" t="str">
            <v>SB22533</v>
          </cell>
          <cell r="B589" t="str">
            <v>Amazon trifold Posters</v>
          </cell>
        </row>
        <row r="590">
          <cell r="A590" t="str">
            <v>SB22534</v>
          </cell>
          <cell r="B590" t="str">
            <v>Cognizant US Bank Client Visit</v>
          </cell>
        </row>
        <row r="591">
          <cell r="A591" t="str">
            <v>SB22535</v>
          </cell>
          <cell r="B591" t="str">
            <v>Cognizant US Bank Client Visit</v>
          </cell>
        </row>
        <row r="592">
          <cell r="A592" t="str">
            <v>SB22536</v>
          </cell>
          <cell r="B592" t="str">
            <v>Citi Bank - Photographer</v>
          </cell>
        </row>
        <row r="593">
          <cell r="A593" t="str">
            <v>SB22537</v>
          </cell>
          <cell r="B593" t="str">
            <v> Siemens Dahod Ministry Visit</v>
          </cell>
        </row>
        <row r="594">
          <cell r="A594" t="str">
            <v>SB22538</v>
          </cell>
          <cell r="B594" t="str">
            <v>Mahindra GSO Offsite Decor</v>
          </cell>
        </row>
        <row r="595">
          <cell r="A595" t="str">
            <v>SB22539</v>
          </cell>
          <cell r="B595" t="str">
            <v>Amway Doug DeVos India Leadership Summit</v>
          </cell>
        </row>
        <row r="596">
          <cell r="A596" t="str">
            <v>SB22540</v>
          </cell>
          <cell r="B596" t="str">
            <v>SAP NOW 2025</v>
          </cell>
        </row>
        <row r="597">
          <cell r="A597" t="str">
            <v>SB22541</v>
          </cell>
          <cell r="B597" t="str">
            <v>Networking Event @ IPL Chinnaswamy Stadium</v>
          </cell>
        </row>
        <row r="598">
          <cell r="A598" t="str">
            <v>SB22542</v>
          </cell>
          <cell r="B598" t="str">
            <v>Confluent Booklet Printing</v>
          </cell>
        </row>
        <row r="599">
          <cell r="A599" t="str">
            <v>SB22543</v>
          </cell>
          <cell r="B599" t="str">
            <v>BROOKFIELD POWAI - CUSTOMER EXPERIENCE JOURNEY</v>
          </cell>
        </row>
        <row r="600">
          <cell r="A600" t="str">
            <v>SB22544</v>
          </cell>
          <cell r="B600" t="str">
            <v>Intel GPTW activities</v>
          </cell>
        </row>
        <row r="601">
          <cell r="A601" t="str">
            <v>SB22545</v>
          </cell>
          <cell r="B601" t="str">
            <v>Hitachi SKO 25</v>
          </cell>
        </row>
        <row r="602">
          <cell r="A602" t="str">
            <v>SB22546</v>
          </cell>
          <cell r="B602" t="str">
            <v>Cognizant Computershare Client Visit</v>
          </cell>
        </row>
        <row r="603">
          <cell r="A603" t="str">
            <v>SB22547</v>
          </cell>
          <cell r="B603" t="str">
            <v>Amazon Booth - Soul Sante</v>
          </cell>
        </row>
        <row r="604">
          <cell r="A604" t="str">
            <v>SB22548</v>
          </cell>
          <cell r="B604" t="str">
            <v>LSIP - Pickleball Tournament</v>
          </cell>
        </row>
        <row r="605">
          <cell r="A605" t="str">
            <v>SB22549</v>
          </cell>
          <cell r="B605" t="str">
            <v>Siemens CEO Townhall Event</v>
          </cell>
        </row>
        <row r="606">
          <cell r="A606" t="str">
            <v>SB22550</v>
          </cell>
          <cell r="B606" t="str">
            <v>Metro Cash &amp; Carry - Annual Meet</v>
          </cell>
        </row>
        <row r="607">
          <cell r="A607" t="str">
            <v>SB22551</v>
          </cell>
          <cell r="B607" t="str">
            <v>OnePlus pop-up</v>
          </cell>
        </row>
        <row r="608">
          <cell r="A608" t="str">
            <v>SB22552</v>
          </cell>
          <cell r="B608" t="str">
            <v>Hul  Grat Fest 2025</v>
          </cell>
        </row>
        <row r="609">
          <cell r="A609" t="str">
            <v>SB22553</v>
          </cell>
          <cell r="B609" t="str">
            <v>Siemens SRE Townhall</v>
          </cell>
        </row>
        <row r="610">
          <cell r="A610" t="str">
            <v>SB22554</v>
          </cell>
          <cell r="B610" t="str">
            <v>GOC - Backdrop Installation</v>
          </cell>
        </row>
        <row r="611">
          <cell r="A611" t="str">
            <v>SB22555</v>
          </cell>
          <cell r="B611" t="str">
            <v>Amazon AFBP Graduation Ceremony</v>
          </cell>
        </row>
        <row r="612">
          <cell r="A612" t="str">
            <v>SB22556</v>
          </cell>
          <cell r="B612" t="str">
            <v>Amazon Smart Wallet Launch</v>
          </cell>
        </row>
        <row r="613">
          <cell r="A613" t="str">
            <v>SB22557</v>
          </cell>
          <cell r="B613" t="str">
            <v>OnePlus Jam Night in Delhi</v>
          </cell>
        </row>
        <row r="614">
          <cell r="A614" t="str">
            <v>SB22558</v>
          </cell>
          <cell r="B614" t="str">
            <v>Cognizant Nationwide Client Visit</v>
          </cell>
        </row>
        <row r="615">
          <cell r="A615" t="str">
            <v>SB22559</v>
          </cell>
          <cell r="B615" t="str">
            <v>HPE Cloud Connect </v>
          </cell>
        </row>
        <row r="616">
          <cell r="A616" t="str">
            <v>SB22560</v>
          </cell>
          <cell r="B616" t="str">
            <v>HPE Aruba Networking Day</v>
          </cell>
        </row>
        <row r="617">
          <cell r="A617" t="str">
            <v>SB22561</v>
          </cell>
          <cell r="B617" t="str">
            <v>Dell - Indian Express events in May - 21, 22, 28 &amp; 30th May</v>
          </cell>
        </row>
        <row r="618">
          <cell r="A618" t="str">
            <v>SB22562</v>
          </cell>
          <cell r="B618" t="str">
            <v>Dell - Indian Express events in June - 4, 12 &amp; 18th June.</v>
          </cell>
        </row>
        <row r="619">
          <cell r="A619" t="str">
            <v>SB22563</v>
          </cell>
          <cell r="B619" t="str">
            <v>Dell - Indian Express events in July - 2, 9 &amp; 16th July</v>
          </cell>
        </row>
        <row r="620">
          <cell r="A620" t="str">
            <v>SB22564</v>
          </cell>
          <cell r="B620" t="str">
            <v>BP India LT Dinner</v>
          </cell>
        </row>
        <row r="621">
          <cell r="A621" t="str">
            <v>SB22565</v>
          </cell>
          <cell r="B621" t="str">
            <v>Apparel Fashion Tech World</v>
          </cell>
        </row>
        <row r="622">
          <cell r="A622" t="str">
            <v>SB22566</v>
          </cell>
          <cell r="B622" t="str">
            <v>HUL MT Conference 2025</v>
          </cell>
        </row>
        <row r="623">
          <cell r="A623" t="str">
            <v>SB22567</v>
          </cell>
          <cell r="B623" t="str">
            <v>DBS Plasma Installation</v>
          </cell>
        </row>
        <row r="624">
          <cell r="A624" t="str">
            <v>SB22568</v>
          </cell>
          <cell r="B624" t="str">
            <v>Tata Motors Investor Day 2025</v>
          </cell>
        </row>
        <row r="625">
          <cell r="A625" t="str">
            <v>SB22569</v>
          </cell>
          <cell r="B625" t="str">
            <v>Vivo V50e in Mumbai</v>
          </cell>
        </row>
        <row r="626">
          <cell r="A626" t="str">
            <v>SB22570</v>
          </cell>
          <cell r="B626" t="str">
            <v>Accenture Photographer Requirement - Multi City</v>
          </cell>
        </row>
        <row r="627">
          <cell r="A627" t="str">
            <v>SB22571</v>
          </cell>
          <cell r="B627" t="str">
            <v>Intel Booth at Start Up Mahakumbh</v>
          </cell>
        </row>
        <row r="628">
          <cell r="A628" t="str">
            <v>SB22572</v>
          </cell>
          <cell r="B628" t="str">
            <v>Team Bonding - Astrazeneca</v>
          </cell>
        </row>
        <row r="629">
          <cell r="A629" t="str">
            <v>SB22573</v>
          </cell>
          <cell r="B629" t="str">
            <v>Amazon Townhall Meeting</v>
          </cell>
        </row>
        <row r="630">
          <cell r="A630" t="str">
            <v>SB22574</v>
          </cell>
          <cell r="B630" t="str">
            <v>OnePlus OEF</v>
          </cell>
        </row>
        <row r="631">
          <cell r="A631" t="str">
            <v>SB22575</v>
          </cell>
          <cell r="B631" t="str">
            <v>BP All India Townhall 2025</v>
          </cell>
        </row>
        <row r="632">
          <cell r="A632" t="str">
            <v>SB22576</v>
          </cell>
          <cell r="B632" t="str">
            <v>RNTBCI Gemba visit</v>
          </cell>
        </row>
        <row r="633">
          <cell r="A633" t="str">
            <v>SB22577</v>
          </cell>
          <cell r="B633" t="str">
            <v>Hero DIC Zonal Meet</v>
          </cell>
        </row>
        <row r="634">
          <cell r="A634" t="str">
            <v>SB22578</v>
          </cell>
          <cell r="B634" t="str">
            <v>Siemens Switch board Factory 50 years</v>
          </cell>
        </row>
        <row r="635">
          <cell r="A635" t="str">
            <v>SB22579</v>
          </cell>
          <cell r="B635" t="str">
            <v>CIO Summit event</v>
          </cell>
        </row>
        <row r="636">
          <cell r="A636" t="str">
            <v>SB22580</v>
          </cell>
          <cell r="B636" t="str">
            <v>Towards CIO Roundtable in Bangalore</v>
          </cell>
        </row>
        <row r="637">
          <cell r="A637" t="str">
            <v>SB22581</v>
          </cell>
          <cell r="B637" t="str">
            <v>Booking the hotel Aloft New Delhi </v>
          </cell>
        </row>
        <row r="638">
          <cell r="A638" t="str">
            <v>SB22582</v>
          </cell>
          <cell r="B638" t="str">
            <v>BP Exploration</v>
          </cell>
        </row>
        <row r="639">
          <cell r="A639" t="str">
            <v>SB22583</v>
          </cell>
          <cell r="B639" t="str">
            <v>DBS Webinar session with Navneet Munot</v>
          </cell>
        </row>
        <row r="640">
          <cell r="A640" t="str">
            <v>SB22584</v>
          </cell>
          <cell r="B640" t="str">
            <v>Asus P series Launch</v>
          </cell>
        </row>
        <row r="641">
          <cell r="A641" t="str">
            <v>SB22585</v>
          </cell>
          <cell r="B641" t="str">
            <v>Tata Giveaways</v>
          </cell>
        </row>
        <row r="642">
          <cell r="A642" t="str">
            <v>SB22586</v>
          </cell>
          <cell r="B642" t="str">
            <v>Hul R&amp;D Leadership Forum</v>
          </cell>
        </row>
        <row r="643">
          <cell r="A643" t="str">
            <v>SB22587</v>
          </cell>
          <cell r="B643" t="str">
            <v>Towards Giveaway Production</v>
          </cell>
        </row>
        <row r="644">
          <cell r="A644" t="str">
            <v>SB22588</v>
          </cell>
          <cell r="B644" t="str">
            <v>Superhealth Hospital Branding</v>
          </cell>
        </row>
        <row r="645">
          <cell r="A645" t="str">
            <v>SB22589</v>
          </cell>
          <cell r="B645" t="str">
            <v>Amazon - L 7 Recognition </v>
          </cell>
        </row>
        <row r="646">
          <cell r="A646" t="str">
            <v>SB22590</v>
          </cell>
          <cell r="B646" t="str">
            <v>Dell ISG Launch in Pune</v>
          </cell>
        </row>
        <row r="647">
          <cell r="A647" t="str">
            <v>SB22591</v>
          </cell>
          <cell r="B647" t="str">
            <v>Dell CSG Launch in Hyderabad</v>
          </cell>
        </row>
        <row r="648">
          <cell r="A648" t="str">
            <v>SB22592</v>
          </cell>
          <cell r="B648" t="str">
            <v>Adobe Director Summit</v>
          </cell>
        </row>
        <row r="649">
          <cell r="A649" t="str">
            <v>SB22593</v>
          </cell>
          <cell r="B649" t="str">
            <v>Cognizant Client Visit Raheja</v>
          </cell>
        </row>
        <row r="650">
          <cell r="A650" t="str">
            <v>SB22594</v>
          </cell>
          <cell r="B650" t="str">
            <v>Siemens 100 years traction: Bharat Mandapam Stall</v>
          </cell>
        </row>
        <row r="651">
          <cell r="A651" t="str">
            <v>SB22595</v>
          </cell>
          <cell r="B651" t="str">
            <v>IKEA - May Activity</v>
          </cell>
        </row>
        <row r="652">
          <cell r="A652" t="str">
            <v>SB22596</v>
          </cell>
          <cell r="B652" t="str">
            <v>Red Hat Tech Talk Event Series</v>
          </cell>
        </row>
        <row r="653">
          <cell r="A653" t="str">
            <v>SB22597</v>
          </cell>
          <cell r="B653" t="str">
            <v>Tvs Shiprocket Recharge</v>
          </cell>
        </row>
        <row r="654">
          <cell r="A654" t="str">
            <v>SB22599</v>
          </cell>
          <cell r="B654" t="str">
            <v>SAP Innovation Days</v>
          </cell>
        </row>
        <row r="655">
          <cell r="A655" t="str">
            <v>SB22600</v>
          </cell>
          <cell r="B655" t="str">
            <v>Accenture Client event</v>
          </cell>
        </row>
        <row r="656">
          <cell r="A656" t="str">
            <v>SB22601</v>
          </cell>
          <cell r="B656" t="str">
            <v>proposal for Novo Nordisk Q1 Digest </v>
          </cell>
        </row>
        <row r="657">
          <cell r="A657" t="str">
            <v>SB22602</v>
          </cell>
          <cell r="B657" t="str">
            <v>HUL - B&amp;W JBP Myntra Meet 2025</v>
          </cell>
        </row>
        <row r="658">
          <cell r="A658" t="str">
            <v>SB22603</v>
          </cell>
          <cell r="B658" t="str">
            <v>Siemens Individual PVC card with QR code</v>
          </cell>
        </row>
        <row r="659">
          <cell r="A659" t="str">
            <v>SB22604</v>
          </cell>
          <cell r="B659" t="str">
            <v>Amazon rockstars Gurgaon</v>
          </cell>
        </row>
        <row r="660">
          <cell r="A660" t="str">
            <v>SB22605</v>
          </cell>
          <cell r="B660" t="str">
            <v>Intel Premium standee print</v>
          </cell>
        </row>
        <row r="661">
          <cell r="A661" t="str">
            <v>SB22606</v>
          </cell>
          <cell r="B661" t="str">
            <v>TCS W10K 2025</v>
          </cell>
        </row>
        <row r="662">
          <cell r="A662" t="str">
            <v>SB22607</v>
          </cell>
          <cell r="B662" t="str">
            <v>ServiceNow Giveaways</v>
          </cell>
        </row>
        <row r="663">
          <cell r="A663" t="str">
            <v>SB22608</v>
          </cell>
          <cell r="B663" t="str">
            <v>Siemens Mobility Works</v>
          </cell>
        </row>
        <row r="664">
          <cell r="A664" t="str">
            <v>SB22609</v>
          </cell>
          <cell r="B664" t="str">
            <v>IKEA - April Activity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lesinvoice@shobizhav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8"/>
  <sheetViews>
    <sheetView tabSelected="1" zoomScale="68" zoomScaleNormal="68" workbookViewId="0">
      <pane xSplit="1" ySplit="1" topLeftCell="B2" activePane="bottomRight" state="frozen"/>
      <selection/>
      <selection pane="topRight"/>
      <selection pane="bottomLeft"/>
      <selection pane="bottomRight" activeCell="F7" sqref="F7"/>
    </sheetView>
  </sheetViews>
  <sheetFormatPr defaultColWidth="8.72727272727273" defaultRowHeight="14.5"/>
  <cols>
    <col min="1" max="2" width="14.4545454545455" style="22" customWidth="1"/>
    <col min="3" max="6" width="19.2727272727273" style="22" customWidth="1"/>
    <col min="7" max="7" width="62.3636363636364" style="22" customWidth="1"/>
    <col min="8" max="8" width="55.7272727272727" style="22" customWidth="1"/>
    <col min="9" max="9" width="45.6363636363636" style="22" customWidth="1"/>
    <col min="10" max="10" width="20.6363636363636" style="22" customWidth="1"/>
    <col min="11" max="11" width="18.1818181818182" style="22" customWidth="1"/>
    <col min="12" max="12" width="21.4545454545455" style="22" customWidth="1"/>
    <col min="13" max="14" width="8.72727272727273" style="22"/>
    <col min="15" max="15" width="15.5454545454545" style="22" customWidth="1"/>
    <col min="16" max="16" width="17.9090909090909" style="22" customWidth="1"/>
    <col min="17" max="17" width="15.5454545454545" style="22" customWidth="1"/>
    <col min="18" max="18" width="18.8181818181818" style="22" customWidth="1"/>
    <col min="19" max="19" width="16.7272727272727" style="22" customWidth="1"/>
    <col min="20" max="20" width="15.3636363636364" style="22" customWidth="1"/>
    <col min="21" max="21" width="15.0909090909091" style="22" customWidth="1"/>
    <col min="22" max="22" width="16.5454545454545" style="22" customWidth="1"/>
    <col min="23" max="23" width="27.5454545454545" style="22" customWidth="1"/>
    <col min="24" max="16384" width="8.72727272727273" style="22"/>
  </cols>
  <sheetData>
    <row r="1" ht="15" spans="1:23">
      <c r="A1" s="23" t="s">
        <v>0</v>
      </c>
      <c r="B1" s="23" t="s">
        <v>1</v>
      </c>
      <c r="C1" s="23" t="s">
        <v>2</v>
      </c>
      <c r="D1" s="23" t="s">
        <v>2</v>
      </c>
      <c r="E1" s="23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6" t="s">
        <v>9</v>
      </c>
      <c r="L1" s="27" t="s">
        <v>10</v>
      </c>
      <c r="M1" s="24" t="s">
        <v>11</v>
      </c>
      <c r="N1" s="24" t="s">
        <v>12</v>
      </c>
      <c r="O1" s="23" t="s">
        <v>13</v>
      </c>
      <c r="P1" s="28" t="s">
        <v>14</v>
      </c>
      <c r="Q1" s="28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</row>
    <row r="2" spans="1:23">
      <c r="A2" s="25" t="s">
        <v>22</v>
      </c>
      <c r="B2" s="25">
        <f>VLOOKUP(A2,[1]ProjectsResults!$D:$E,2,FALSE)</f>
        <v>10619</v>
      </c>
      <c r="C2" s="22">
        <f>VLOOKUP(A2,[2]Sheet2!$D:$E,2,FALSE)</f>
        <v>9925</v>
      </c>
      <c r="D2" s="22">
        <v>9925</v>
      </c>
      <c r="E2" s="22">
        <f>VLOOKUP(A2,[3]Sheet2!$A:$F,6,FALSE)</f>
        <v>0</v>
      </c>
      <c r="G2" s="25" t="s">
        <v>23</v>
      </c>
      <c r="H2" s="25" t="s">
        <v>24</v>
      </c>
      <c r="I2" s="22" t="s">
        <v>25</v>
      </c>
      <c r="J2" s="29" t="s">
        <v>26</v>
      </c>
      <c r="K2" s="29" t="s">
        <v>27</v>
      </c>
      <c r="L2" s="29" t="s">
        <v>28</v>
      </c>
      <c r="P2" s="30">
        <v>45378</v>
      </c>
      <c r="Q2" s="30">
        <v>45657</v>
      </c>
      <c r="R2" s="22" t="s">
        <v>29</v>
      </c>
      <c r="S2" s="29" t="s">
        <v>30</v>
      </c>
      <c r="T2" s="22" t="s">
        <v>31</v>
      </c>
      <c r="U2" s="25" t="s">
        <v>32</v>
      </c>
      <c r="V2" s="22" t="s">
        <v>33</v>
      </c>
      <c r="W2" s="32" t="s">
        <v>34</v>
      </c>
    </row>
    <row r="3" spans="1:23">
      <c r="A3" s="22" t="s">
        <v>35</v>
      </c>
      <c r="B3" s="25">
        <f>VLOOKUP(A3,[1]ProjectsResults!$D:$E,2,FALSE)</f>
        <v>9918</v>
      </c>
      <c r="C3" s="22">
        <f>VLOOKUP(A3,[2]Sheet2!$D:$E,2,FALSE)</f>
        <v>8728</v>
      </c>
      <c r="D3" s="22">
        <v>8728</v>
      </c>
      <c r="E3" s="22">
        <f>VLOOKUP(A3,[3]Sheet2!$A:$F,6,FALSE)</f>
        <v>4417437</v>
      </c>
      <c r="G3" s="22" t="s">
        <v>36</v>
      </c>
      <c r="H3" s="22" t="s">
        <v>37</v>
      </c>
      <c r="I3" s="22" t="s">
        <v>25</v>
      </c>
      <c r="J3" s="29" t="s">
        <v>38</v>
      </c>
      <c r="K3" s="29" t="s">
        <v>38</v>
      </c>
      <c r="L3" s="29" t="s">
        <v>28</v>
      </c>
      <c r="P3" s="30">
        <v>45473</v>
      </c>
      <c r="Q3" s="30">
        <v>45473</v>
      </c>
      <c r="R3" s="22" t="s">
        <v>29</v>
      </c>
      <c r="S3" s="29" t="s">
        <v>30</v>
      </c>
      <c r="T3" s="22" t="s">
        <v>31</v>
      </c>
      <c r="U3" s="25" t="s">
        <v>32</v>
      </c>
      <c r="V3" s="22" t="s">
        <v>33</v>
      </c>
      <c r="W3" s="32" t="s">
        <v>34</v>
      </c>
    </row>
    <row r="4" spans="1:23">
      <c r="A4" s="22" t="s">
        <v>39</v>
      </c>
      <c r="B4" s="25">
        <f>VLOOKUP(A4,[1]ProjectsResults!$D:$E,2,FALSE)</f>
        <v>9919</v>
      </c>
      <c r="C4" s="22">
        <f>VLOOKUP(A4,[2]Sheet2!$D:$E,2,FALSE)</f>
        <v>8729</v>
      </c>
      <c r="D4" s="22">
        <v>8729</v>
      </c>
      <c r="E4" s="22">
        <f>VLOOKUP(A4,[3]Sheet2!$A:$F,6,FALSE)</f>
        <v>1330560</v>
      </c>
      <c r="G4" s="22" t="s">
        <v>40</v>
      </c>
      <c r="H4" s="22" t="s">
        <v>41</v>
      </c>
      <c r="I4" s="22" t="s">
        <v>25</v>
      </c>
      <c r="J4" s="29" t="s">
        <v>42</v>
      </c>
      <c r="K4" s="29" t="s">
        <v>43</v>
      </c>
      <c r="L4" s="29" t="s">
        <v>28</v>
      </c>
      <c r="P4" s="30">
        <v>45680</v>
      </c>
      <c r="Q4" s="30">
        <v>45686</v>
      </c>
      <c r="R4" s="22" t="s">
        <v>29</v>
      </c>
      <c r="S4" s="29" t="s">
        <v>30</v>
      </c>
      <c r="T4" s="22" t="s">
        <v>31</v>
      </c>
      <c r="U4" s="25" t="s">
        <v>32</v>
      </c>
      <c r="V4" s="22" t="s">
        <v>33</v>
      </c>
      <c r="W4" s="32" t="s">
        <v>34</v>
      </c>
    </row>
    <row r="5" spans="1:23">
      <c r="A5" s="22" t="s">
        <v>44</v>
      </c>
      <c r="B5" s="25">
        <f>VLOOKUP(A5,[1]ProjectsResults!$D:$E,2,FALSE)</f>
        <v>9920</v>
      </c>
      <c r="C5" s="22">
        <f>VLOOKUP(A5,[2]Sheet2!$D:$E,2,FALSE)</f>
        <v>8730</v>
      </c>
      <c r="D5" s="22">
        <v>8730</v>
      </c>
      <c r="E5" s="22">
        <f>VLOOKUP(A5,[3]Sheet2!$A:$F,6,FALSE)</f>
        <v>401218.4</v>
      </c>
      <c r="G5" s="22" t="s">
        <v>45</v>
      </c>
      <c r="H5" s="22" t="s">
        <v>46</v>
      </c>
      <c r="I5" s="22" t="s">
        <v>25</v>
      </c>
      <c r="J5" s="29" t="s">
        <v>47</v>
      </c>
      <c r="K5" s="29" t="s">
        <v>48</v>
      </c>
      <c r="L5" s="29" t="s">
        <v>28</v>
      </c>
      <c r="P5" s="30">
        <v>45470</v>
      </c>
      <c r="Q5" s="30">
        <v>45470</v>
      </c>
      <c r="R5" s="22" t="s">
        <v>29</v>
      </c>
      <c r="S5" s="29" t="s">
        <v>30</v>
      </c>
      <c r="T5" s="22" t="s">
        <v>49</v>
      </c>
      <c r="U5" s="25" t="s">
        <v>32</v>
      </c>
      <c r="V5" s="22" t="s">
        <v>50</v>
      </c>
      <c r="W5" s="32" t="s">
        <v>34</v>
      </c>
    </row>
    <row r="6" spans="1:23">
      <c r="A6" s="22" t="s">
        <v>51</v>
      </c>
      <c r="B6" s="25">
        <f>VLOOKUP(A6,[1]ProjectsResults!$D:$E,2,FALSE)</f>
        <v>9921</v>
      </c>
      <c r="C6" s="22">
        <f>VLOOKUP(A6,[2]Sheet2!$D:$E,2,FALSE)</f>
        <v>8731</v>
      </c>
      <c r="D6" s="22">
        <v>8731</v>
      </c>
      <c r="E6" s="22">
        <f>VLOOKUP(A6,[3]Sheet2!$A:$F,6,FALSE)</f>
        <v>3109238</v>
      </c>
      <c r="G6" s="22" t="s">
        <v>52</v>
      </c>
      <c r="H6" s="22" t="s">
        <v>53</v>
      </c>
      <c r="I6" s="22" t="s">
        <v>25</v>
      </c>
      <c r="J6" s="29" t="s">
        <v>38</v>
      </c>
      <c r="K6" s="29" t="s">
        <v>38</v>
      </c>
      <c r="L6" s="29" t="s">
        <v>28</v>
      </c>
      <c r="P6" s="30">
        <v>45534</v>
      </c>
      <c r="Q6" s="30">
        <v>45534</v>
      </c>
      <c r="R6" s="22" t="s">
        <v>29</v>
      </c>
      <c r="S6" s="29" t="s">
        <v>30</v>
      </c>
      <c r="T6" s="22" t="s">
        <v>31</v>
      </c>
      <c r="U6" s="25" t="s">
        <v>32</v>
      </c>
      <c r="V6" s="22" t="s">
        <v>33</v>
      </c>
      <c r="W6" s="32" t="s">
        <v>34</v>
      </c>
    </row>
    <row r="7" spans="1:23">
      <c r="A7" s="22" t="s">
        <v>54</v>
      </c>
      <c r="B7" s="25">
        <f>VLOOKUP(A7,[1]ProjectsResults!$D:$E,2,FALSE)</f>
        <v>9922</v>
      </c>
      <c r="C7" s="22">
        <f>VLOOKUP(A7,[2]Sheet2!$D:$E,2,FALSE)</f>
        <v>8732</v>
      </c>
      <c r="D7" s="22">
        <v>8732</v>
      </c>
      <c r="E7" s="22">
        <f>VLOOKUP(A7,[3]Sheet2!$A:$F,6,FALSE)</f>
        <v>415514</v>
      </c>
      <c r="G7" s="22" t="s">
        <v>55</v>
      </c>
      <c r="H7" s="22" t="s">
        <v>41</v>
      </c>
      <c r="I7" s="22" t="s">
        <v>25</v>
      </c>
      <c r="J7" s="29" t="s">
        <v>42</v>
      </c>
      <c r="K7" s="29" t="s">
        <v>43</v>
      </c>
      <c r="L7" s="29" t="s">
        <v>28</v>
      </c>
      <c r="P7" s="30">
        <v>45623</v>
      </c>
      <c r="Q7" s="30">
        <v>45625</v>
      </c>
      <c r="R7" s="22" t="s">
        <v>29</v>
      </c>
      <c r="S7" s="29" t="s">
        <v>30</v>
      </c>
      <c r="T7" s="22" t="s">
        <v>31</v>
      </c>
      <c r="U7" s="25" t="s">
        <v>32</v>
      </c>
      <c r="V7" s="22" t="s">
        <v>33</v>
      </c>
      <c r="W7" s="32" t="s">
        <v>34</v>
      </c>
    </row>
    <row r="8" spans="1:23">
      <c r="A8" s="22" t="s">
        <v>56</v>
      </c>
      <c r="B8" s="25">
        <f>VLOOKUP(A8,[1]ProjectsResults!$D:$E,2,FALSE)</f>
        <v>9923</v>
      </c>
      <c r="C8" s="22">
        <f>VLOOKUP(A8,[2]Sheet2!$D:$E,2,FALSE)</f>
        <v>8733</v>
      </c>
      <c r="D8" s="22">
        <v>8733</v>
      </c>
      <c r="E8" s="22">
        <f>VLOOKUP(A8,[3]Sheet2!$A:$F,6,FALSE)</f>
        <v>162635</v>
      </c>
      <c r="G8" s="22" t="s">
        <v>57</v>
      </c>
      <c r="H8" s="22" t="s">
        <v>58</v>
      </c>
      <c r="I8" s="22" t="s">
        <v>25</v>
      </c>
      <c r="J8" s="29" t="s">
        <v>47</v>
      </c>
      <c r="K8" s="29" t="s">
        <v>48</v>
      </c>
      <c r="L8" s="29" t="s">
        <v>28</v>
      </c>
      <c r="P8" s="30">
        <v>45484</v>
      </c>
      <c r="Q8" s="30">
        <v>45484</v>
      </c>
      <c r="R8" s="22" t="s">
        <v>29</v>
      </c>
      <c r="S8" s="29" t="s">
        <v>30</v>
      </c>
      <c r="T8" s="22" t="s">
        <v>49</v>
      </c>
      <c r="U8" s="25" t="s">
        <v>32</v>
      </c>
      <c r="V8" s="22" t="s">
        <v>50</v>
      </c>
      <c r="W8" s="32" t="s">
        <v>34</v>
      </c>
    </row>
    <row r="9" spans="1:23">
      <c r="A9" s="22" t="s">
        <v>59</v>
      </c>
      <c r="B9" s="25">
        <f>VLOOKUP(A9,[1]ProjectsResults!$D:$E,2,FALSE)</f>
        <v>9924</v>
      </c>
      <c r="C9" s="22">
        <f>VLOOKUP(A9,[2]Sheet2!$D:$E,2,FALSE)</f>
        <v>8734</v>
      </c>
      <c r="D9" s="22">
        <v>8734</v>
      </c>
      <c r="E9" s="22">
        <f>VLOOKUP(A9,[3]Sheet2!$A:$F,6,FALSE)</f>
        <v>2413600</v>
      </c>
      <c r="G9" s="22" t="s">
        <v>60</v>
      </c>
      <c r="H9" s="22" t="s">
        <v>61</v>
      </c>
      <c r="I9" s="22" t="s">
        <v>25</v>
      </c>
      <c r="J9" s="29" t="s">
        <v>47</v>
      </c>
      <c r="K9" s="29" t="s">
        <v>62</v>
      </c>
      <c r="L9" s="29" t="s">
        <v>28</v>
      </c>
      <c r="P9" s="30">
        <v>45492</v>
      </c>
      <c r="Q9" s="30">
        <v>45492</v>
      </c>
      <c r="R9" s="22" t="s">
        <v>29</v>
      </c>
      <c r="S9" s="29" t="s">
        <v>30</v>
      </c>
      <c r="T9" s="22" t="s">
        <v>49</v>
      </c>
      <c r="U9" s="25" t="s">
        <v>32</v>
      </c>
      <c r="V9" s="22" t="s">
        <v>50</v>
      </c>
      <c r="W9" s="32" t="s">
        <v>34</v>
      </c>
    </row>
    <row r="10" spans="1:23">
      <c r="A10" s="22" t="s">
        <v>63</v>
      </c>
      <c r="B10" s="25">
        <f>VLOOKUP(A10,[1]ProjectsResults!$D:$E,2,FALSE)</f>
        <v>9925</v>
      </c>
      <c r="C10" s="22">
        <f>VLOOKUP(A10,[2]Sheet2!$D:$E,2,FALSE)</f>
        <v>8735</v>
      </c>
      <c r="D10" s="22">
        <v>8735</v>
      </c>
      <c r="E10" s="22">
        <f>VLOOKUP(A10,[3]Sheet2!$A:$F,6,FALSE)</f>
        <v>489783</v>
      </c>
      <c r="G10" s="22" t="s">
        <v>64</v>
      </c>
      <c r="H10" s="22" t="s">
        <v>65</v>
      </c>
      <c r="I10" s="22" t="s">
        <v>25</v>
      </c>
      <c r="J10" s="29" t="s">
        <v>47</v>
      </c>
      <c r="K10" s="29" t="s">
        <v>66</v>
      </c>
      <c r="L10" s="29" t="s">
        <v>28</v>
      </c>
      <c r="P10" s="30">
        <v>45511</v>
      </c>
      <c r="Q10" s="30">
        <v>45514</v>
      </c>
      <c r="R10" s="22" t="s">
        <v>29</v>
      </c>
      <c r="S10" s="29" t="s">
        <v>30</v>
      </c>
      <c r="T10" s="22" t="s">
        <v>49</v>
      </c>
      <c r="U10" s="25" t="s">
        <v>32</v>
      </c>
      <c r="V10" s="22" t="s">
        <v>50</v>
      </c>
      <c r="W10" s="32" t="s">
        <v>34</v>
      </c>
    </row>
    <row r="11" spans="1:23">
      <c r="A11" s="22" t="s">
        <v>67</v>
      </c>
      <c r="B11" s="25">
        <f>VLOOKUP(A11,[1]ProjectsResults!$D:$E,2,FALSE)</f>
        <v>9926</v>
      </c>
      <c r="C11" s="22">
        <f>VLOOKUP(A11,[2]Sheet2!$D:$E,2,FALSE)</f>
        <v>8736</v>
      </c>
      <c r="D11" s="22">
        <v>8736</v>
      </c>
      <c r="E11" s="22">
        <f>VLOOKUP(A11,[3]Sheet2!$A:$F,6,FALSE)</f>
        <v>1933840</v>
      </c>
      <c r="G11" s="22" t="s">
        <v>68</v>
      </c>
      <c r="H11" s="22" t="s">
        <v>53</v>
      </c>
      <c r="I11" s="22" t="s">
        <v>25</v>
      </c>
      <c r="J11" s="29" t="s">
        <v>38</v>
      </c>
      <c r="K11" s="29" t="s">
        <v>38</v>
      </c>
      <c r="L11" s="29" t="s">
        <v>28</v>
      </c>
      <c r="P11" s="30">
        <v>45626</v>
      </c>
      <c r="Q11" s="30">
        <v>45626</v>
      </c>
      <c r="R11" s="22" t="s">
        <v>29</v>
      </c>
      <c r="S11" s="29" t="s">
        <v>30</v>
      </c>
      <c r="T11" s="22" t="s">
        <v>31</v>
      </c>
      <c r="U11" s="25" t="s">
        <v>32</v>
      </c>
      <c r="V11" s="22" t="s">
        <v>33</v>
      </c>
      <c r="W11" s="32" t="s">
        <v>34</v>
      </c>
    </row>
    <row r="12" spans="1:23">
      <c r="A12" s="22" t="s">
        <v>69</v>
      </c>
      <c r="B12" s="25">
        <f>VLOOKUP(A12,[1]ProjectsResults!$D:$E,2,FALSE)</f>
        <v>9927</v>
      </c>
      <c r="C12" s="22">
        <f>VLOOKUP(A12,[2]Sheet2!$D:$E,2,FALSE)</f>
        <v>8737</v>
      </c>
      <c r="D12" s="22">
        <v>8737</v>
      </c>
      <c r="E12" s="22">
        <f>VLOOKUP(A12,[3]Sheet2!$A:$F,6,FALSE)</f>
        <v>11400000</v>
      </c>
      <c r="G12" s="22" t="s">
        <v>70</v>
      </c>
      <c r="H12" s="22" t="s">
        <v>71</v>
      </c>
      <c r="I12" s="22" t="s">
        <v>25</v>
      </c>
      <c r="J12" s="29" t="s">
        <v>72</v>
      </c>
      <c r="K12" s="29" t="s">
        <v>73</v>
      </c>
      <c r="L12" s="29" t="s">
        <v>28</v>
      </c>
      <c r="P12" s="30">
        <v>45560</v>
      </c>
      <c r="Q12" s="30">
        <v>45560</v>
      </c>
      <c r="R12" s="22" t="s">
        <v>29</v>
      </c>
      <c r="S12" s="29" t="s">
        <v>30</v>
      </c>
      <c r="T12" s="22" t="s">
        <v>74</v>
      </c>
      <c r="U12" s="25" t="s">
        <v>32</v>
      </c>
      <c r="V12" s="22" t="s">
        <v>75</v>
      </c>
      <c r="W12" s="32" t="s">
        <v>34</v>
      </c>
    </row>
    <row r="13" spans="1:23">
      <c r="A13" s="22" t="s">
        <v>76</v>
      </c>
      <c r="B13" s="25">
        <f>VLOOKUP(A13,[1]ProjectsResults!$D:$E,2,FALSE)</f>
        <v>9928</v>
      </c>
      <c r="C13" s="22">
        <f>VLOOKUP(A13,[2]Sheet2!$D:$E,2,FALSE)</f>
        <v>8738</v>
      </c>
      <c r="D13" s="22">
        <v>8738</v>
      </c>
      <c r="E13" s="22">
        <f>VLOOKUP(A13,[3]Sheet2!$A:$F,6,FALSE)</f>
        <v>24389088</v>
      </c>
      <c r="G13" s="22" t="s">
        <v>77</v>
      </c>
      <c r="H13" s="22" t="s">
        <v>37</v>
      </c>
      <c r="I13" s="31" t="s">
        <v>25</v>
      </c>
      <c r="J13" s="29" t="s">
        <v>38</v>
      </c>
      <c r="K13" s="29" t="s">
        <v>38</v>
      </c>
      <c r="L13" s="29" t="s">
        <v>28</v>
      </c>
      <c r="P13" s="30">
        <v>45586</v>
      </c>
      <c r="Q13" s="30">
        <v>45587</v>
      </c>
      <c r="R13" s="22" t="s">
        <v>29</v>
      </c>
      <c r="S13" s="29" t="s">
        <v>30</v>
      </c>
      <c r="T13" s="22" t="s">
        <v>31</v>
      </c>
      <c r="U13" s="25" t="s">
        <v>32</v>
      </c>
      <c r="V13" s="22" t="s">
        <v>33</v>
      </c>
      <c r="W13" s="32" t="s">
        <v>34</v>
      </c>
    </row>
    <row r="14" spans="1:23">
      <c r="A14" s="22" t="s">
        <v>78</v>
      </c>
      <c r="B14" s="25">
        <f>VLOOKUP(A14,[1]ProjectsResults!$D:$E,2,FALSE)</f>
        <v>9929</v>
      </c>
      <c r="C14" s="22">
        <f>VLOOKUP(A14,[2]Sheet2!$D:$E,2,FALSE)</f>
        <v>8739</v>
      </c>
      <c r="D14" s="22">
        <v>8739</v>
      </c>
      <c r="E14" s="22">
        <f>VLOOKUP(A14,[3]Sheet2!$A:$F,6,FALSE)</f>
        <v>409750</v>
      </c>
      <c r="G14" s="22" t="s">
        <v>79</v>
      </c>
      <c r="H14" s="22" t="s">
        <v>53</v>
      </c>
      <c r="I14" s="22" t="s">
        <v>25</v>
      </c>
      <c r="J14" s="29" t="s">
        <v>38</v>
      </c>
      <c r="K14" s="29" t="s">
        <v>38</v>
      </c>
      <c r="L14" s="29" t="s">
        <v>28</v>
      </c>
      <c r="P14" s="30">
        <v>45611</v>
      </c>
      <c r="Q14" s="30">
        <v>45611</v>
      </c>
      <c r="R14" s="22" t="s">
        <v>29</v>
      </c>
      <c r="S14" s="29" t="s">
        <v>30</v>
      </c>
      <c r="T14" s="22" t="s">
        <v>31</v>
      </c>
      <c r="U14" s="25" t="s">
        <v>32</v>
      </c>
      <c r="V14" s="22" t="s">
        <v>33</v>
      </c>
      <c r="W14" s="32" t="s">
        <v>34</v>
      </c>
    </row>
    <row r="15" spans="1:23">
      <c r="A15" s="22" t="s">
        <v>80</v>
      </c>
      <c r="B15" s="25">
        <f>VLOOKUP(A15,[1]ProjectsResults!$D:$E,2,FALSE)</f>
        <v>9930</v>
      </c>
      <c r="C15" s="22">
        <f>VLOOKUP(A15,[2]Sheet2!$D:$E,2,FALSE)</f>
        <v>8740</v>
      </c>
      <c r="D15" s="22">
        <v>8740</v>
      </c>
      <c r="E15" s="22">
        <f>VLOOKUP(A15,[3]Sheet2!$A:$F,6,FALSE)</f>
        <v>2527500</v>
      </c>
      <c r="G15" s="22" t="s">
        <v>81</v>
      </c>
      <c r="H15" s="22" t="s">
        <v>82</v>
      </c>
      <c r="I15" s="22" t="s">
        <v>25</v>
      </c>
      <c r="J15" s="29" t="s">
        <v>72</v>
      </c>
      <c r="K15" s="29" t="s">
        <v>83</v>
      </c>
      <c r="L15" s="29" t="s">
        <v>28</v>
      </c>
      <c r="P15" s="30">
        <v>45565</v>
      </c>
      <c r="Q15" s="30">
        <v>45565</v>
      </c>
      <c r="R15" s="22" t="s">
        <v>29</v>
      </c>
      <c r="S15" s="29" t="s">
        <v>30</v>
      </c>
      <c r="T15" s="22" t="s">
        <v>74</v>
      </c>
      <c r="U15" s="25" t="s">
        <v>32</v>
      </c>
      <c r="V15" s="22" t="s">
        <v>75</v>
      </c>
      <c r="W15" s="33" t="s">
        <v>34</v>
      </c>
    </row>
    <row r="16" spans="1:23">
      <c r="A16" s="22" t="s">
        <v>84</v>
      </c>
      <c r="B16" s="25">
        <f>VLOOKUP(A16,[1]ProjectsResults!$D:$E,2,FALSE)</f>
        <v>9931</v>
      </c>
      <c r="C16" s="22">
        <f>VLOOKUP(A16,[2]Sheet2!$D:$E,2,FALSE)</f>
        <v>8741</v>
      </c>
      <c r="D16" s="22">
        <v>8741</v>
      </c>
      <c r="E16" s="22">
        <f>VLOOKUP(A16,[3]Sheet2!$A:$F,6,FALSE)</f>
        <v>67831</v>
      </c>
      <c r="G16" s="22" t="s">
        <v>85</v>
      </c>
      <c r="H16" s="22" t="s">
        <v>86</v>
      </c>
      <c r="I16" s="22" t="s">
        <v>25</v>
      </c>
      <c r="J16" s="29" t="s">
        <v>42</v>
      </c>
      <c r="K16" s="29" t="s">
        <v>87</v>
      </c>
      <c r="L16" s="29" t="s">
        <v>28</v>
      </c>
      <c r="P16" s="30">
        <v>45512</v>
      </c>
      <c r="Q16" s="30">
        <v>45512</v>
      </c>
      <c r="R16" s="22" t="s">
        <v>29</v>
      </c>
      <c r="S16" s="29" t="s">
        <v>30</v>
      </c>
      <c r="T16" s="22" t="s">
        <v>31</v>
      </c>
      <c r="U16" s="25" t="s">
        <v>32</v>
      </c>
      <c r="V16" s="22" t="s">
        <v>33</v>
      </c>
      <c r="W16" s="32" t="s">
        <v>34</v>
      </c>
    </row>
    <row r="17" spans="1:23">
      <c r="A17" s="22" t="s">
        <v>88</v>
      </c>
      <c r="B17" s="25">
        <f>VLOOKUP(A17,[1]ProjectsResults!$D:$E,2,FALSE)</f>
        <v>9932</v>
      </c>
      <c r="C17" s="22">
        <f>VLOOKUP(A17,[2]Sheet2!$D:$E,2,FALSE)</f>
        <v>8742</v>
      </c>
      <c r="D17" s="22">
        <v>8742</v>
      </c>
      <c r="E17" s="22">
        <f>VLOOKUP(A17,[3]Sheet2!$A:$F,6,FALSE)</f>
        <v>344008695.65</v>
      </c>
      <c r="G17" s="22" t="s">
        <v>89</v>
      </c>
      <c r="H17" s="22" t="s">
        <v>90</v>
      </c>
      <c r="I17" s="22" t="s">
        <v>25</v>
      </c>
      <c r="J17" s="29" t="s">
        <v>91</v>
      </c>
      <c r="K17" s="29" t="s">
        <v>92</v>
      </c>
      <c r="L17" s="29" t="s">
        <v>28</v>
      </c>
      <c r="P17" s="30">
        <v>45588</v>
      </c>
      <c r="Q17" s="30">
        <v>45590</v>
      </c>
      <c r="R17" s="22" t="s">
        <v>29</v>
      </c>
      <c r="S17" s="29" t="s">
        <v>30</v>
      </c>
      <c r="T17" s="22" t="s">
        <v>31</v>
      </c>
      <c r="U17" s="25" t="s">
        <v>32</v>
      </c>
      <c r="V17" s="22" t="s">
        <v>33</v>
      </c>
      <c r="W17" s="32" t="s">
        <v>34</v>
      </c>
    </row>
    <row r="18" spans="1:23">
      <c r="A18" s="22" t="s">
        <v>93</v>
      </c>
      <c r="B18" s="25">
        <f>VLOOKUP(A18,[1]ProjectsResults!$D:$E,2,FALSE)</f>
        <v>9933</v>
      </c>
      <c r="C18" s="22">
        <f>VLOOKUP(A18,[2]Sheet2!$D:$E,2,FALSE)</f>
        <v>8743</v>
      </c>
      <c r="D18" s="22">
        <v>8743</v>
      </c>
      <c r="E18" s="22">
        <f>VLOOKUP(A18,[3]Sheet2!$A:$F,6,FALSE)</f>
        <v>43169821</v>
      </c>
      <c r="G18" s="22" t="s">
        <v>94</v>
      </c>
      <c r="H18" s="22" t="s">
        <v>95</v>
      </c>
      <c r="I18" s="22" t="s">
        <v>25</v>
      </c>
      <c r="J18" s="29" t="s">
        <v>96</v>
      </c>
      <c r="K18" s="29" t="s">
        <v>72</v>
      </c>
      <c r="L18" s="29" t="s">
        <v>28</v>
      </c>
      <c r="P18" s="30">
        <v>45631</v>
      </c>
      <c r="Q18" s="30">
        <v>45632</v>
      </c>
      <c r="R18" s="22" t="s">
        <v>29</v>
      </c>
      <c r="S18" s="29" t="s">
        <v>30</v>
      </c>
      <c r="T18" s="22" t="s">
        <v>74</v>
      </c>
      <c r="U18" s="25" t="s">
        <v>32</v>
      </c>
      <c r="V18" s="22" t="s">
        <v>75</v>
      </c>
      <c r="W18" s="32" t="s">
        <v>34</v>
      </c>
    </row>
    <row r="19" spans="1:23">
      <c r="A19" s="22" t="s">
        <v>97</v>
      </c>
      <c r="B19" s="25">
        <f>VLOOKUP(A19,[1]ProjectsResults!$D:$E,2,FALSE)</f>
        <v>9934</v>
      </c>
      <c r="C19" s="22">
        <f>VLOOKUP(A19,[2]Sheet2!$D:$E,2,FALSE)</f>
        <v>8744</v>
      </c>
      <c r="D19" s="22">
        <v>8744</v>
      </c>
      <c r="E19" s="22">
        <f>VLOOKUP(A19,[3]Sheet2!$A:$F,6,FALSE)</f>
        <v>3297085</v>
      </c>
      <c r="G19" s="22" t="s">
        <v>98</v>
      </c>
      <c r="H19" s="22" t="s">
        <v>99</v>
      </c>
      <c r="I19" s="22" t="s">
        <v>25</v>
      </c>
      <c r="J19" s="29" t="s">
        <v>42</v>
      </c>
      <c r="K19" s="29" t="s">
        <v>43</v>
      </c>
      <c r="L19" s="29" t="s">
        <v>28</v>
      </c>
      <c r="P19" s="30">
        <v>45553</v>
      </c>
      <c r="Q19" s="30">
        <v>45554</v>
      </c>
      <c r="R19" s="22" t="s">
        <v>29</v>
      </c>
      <c r="S19" s="29" t="s">
        <v>30</v>
      </c>
      <c r="T19" s="22" t="s">
        <v>31</v>
      </c>
      <c r="U19" s="25" t="s">
        <v>32</v>
      </c>
      <c r="V19" s="22" t="s">
        <v>33</v>
      </c>
      <c r="W19" s="32" t="s">
        <v>34</v>
      </c>
    </row>
    <row r="20" spans="1:23">
      <c r="A20" s="22" t="s">
        <v>100</v>
      </c>
      <c r="B20" s="25">
        <f>VLOOKUP(A20,[1]ProjectsResults!$D:$E,2,FALSE)</f>
        <v>9935</v>
      </c>
      <c r="C20" s="22">
        <f>VLOOKUP(A20,[2]Sheet2!$D:$E,2,FALSE)</f>
        <v>8745</v>
      </c>
      <c r="D20" s="22">
        <v>8745</v>
      </c>
      <c r="E20" s="22">
        <f>VLOOKUP(A20,[3]Sheet2!$A:$F,6,FALSE)</f>
        <v>5035200</v>
      </c>
      <c r="G20" s="22" t="s">
        <v>101</v>
      </c>
      <c r="H20" s="22" t="s">
        <v>102</v>
      </c>
      <c r="I20" s="22" t="s">
        <v>25</v>
      </c>
      <c r="J20" s="29" t="s">
        <v>38</v>
      </c>
      <c r="K20" s="29" t="s">
        <v>38</v>
      </c>
      <c r="L20" s="29" t="s">
        <v>28</v>
      </c>
      <c r="P20" s="30">
        <v>45597</v>
      </c>
      <c r="Q20" s="30">
        <v>45597</v>
      </c>
      <c r="R20" s="22" t="s">
        <v>29</v>
      </c>
      <c r="S20" s="29" t="s">
        <v>30</v>
      </c>
      <c r="T20" s="22" t="s">
        <v>31</v>
      </c>
      <c r="U20" s="25" t="s">
        <v>32</v>
      </c>
      <c r="V20" s="22" t="s">
        <v>33</v>
      </c>
      <c r="W20" s="32" t="s">
        <v>34</v>
      </c>
    </row>
    <row r="21" spans="1:23">
      <c r="A21" s="22" t="s">
        <v>103</v>
      </c>
      <c r="B21" s="25">
        <f>VLOOKUP(A21,[1]ProjectsResults!$D:$E,2,FALSE)</f>
        <v>9936</v>
      </c>
      <c r="C21" s="22">
        <f>VLOOKUP(A21,[2]Sheet2!$D:$E,2,FALSE)</f>
        <v>8746</v>
      </c>
      <c r="D21" s="22">
        <v>8746</v>
      </c>
      <c r="E21" s="22">
        <f>VLOOKUP(A21,[3]Sheet2!$A:$F,6,FALSE)</f>
        <v>4000000</v>
      </c>
      <c r="G21" s="22" t="s">
        <v>104</v>
      </c>
      <c r="H21" s="22" t="s">
        <v>105</v>
      </c>
      <c r="I21" s="22" t="s">
        <v>25</v>
      </c>
      <c r="J21" s="29" t="s">
        <v>42</v>
      </c>
      <c r="K21" s="29" t="s">
        <v>43</v>
      </c>
      <c r="L21" s="29" t="s">
        <v>28</v>
      </c>
      <c r="P21" s="30">
        <v>45651</v>
      </c>
      <c r="Q21" s="30">
        <v>45651</v>
      </c>
      <c r="R21" s="22" t="s">
        <v>29</v>
      </c>
      <c r="S21" s="29" t="s">
        <v>30</v>
      </c>
      <c r="T21" s="22" t="s">
        <v>31</v>
      </c>
      <c r="U21" s="25" t="s">
        <v>32</v>
      </c>
      <c r="V21" s="22" t="s">
        <v>33</v>
      </c>
      <c r="W21" s="32" t="s">
        <v>34</v>
      </c>
    </row>
    <row r="22" spans="1:23">
      <c r="A22" s="22" t="s">
        <v>106</v>
      </c>
      <c r="B22" s="25">
        <f>VLOOKUP(A22,[1]ProjectsResults!$D:$E,2,FALSE)</f>
        <v>9937</v>
      </c>
      <c r="C22" s="22">
        <f>VLOOKUP(A22,[2]Sheet2!$D:$E,2,FALSE)</f>
        <v>8747</v>
      </c>
      <c r="D22" s="22">
        <v>8747</v>
      </c>
      <c r="E22" s="22">
        <f>VLOOKUP(A22,[3]Sheet2!$A:$F,6,FALSE)</f>
        <v>263375</v>
      </c>
      <c r="G22" s="22" t="s">
        <v>107</v>
      </c>
      <c r="H22" s="22" t="s">
        <v>46</v>
      </c>
      <c r="I22" s="22" t="s">
        <v>25</v>
      </c>
      <c r="J22" s="29" t="s">
        <v>47</v>
      </c>
      <c r="K22" s="29" t="s">
        <v>48</v>
      </c>
      <c r="L22" s="29" t="s">
        <v>28</v>
      </c>
      <c r="P22" s="30">
        <v>45541</v>
      </c>
      <c r="Q22" s="30">
        <v>45541</v>
      </c>
      <c r="R22" s="22" t="s">
        <v>29</v>
      </c>
      <c r="S22" s="29" t="s">
        <v>30</v>
      </c>
      <c r="T22" s="22" t="s">
        <v>49</v>
      </c>
      <c r="U22" s="25" t="s">
        <v>32</v>
      </c>
      <c r="V22" s="22" t="s">
        <v>50</v>
      </c>
      <c r="W22" s="32" t="s">
        <v>34</v>
      </c>
    </row>
    <row r="23" spans="1:23">
      <c r="A23" s="22" t="s">
        <v>108</v>
      </c>
      <c r="B23" s="25">
        <f>VLOOKUP(A23,[1]ProjectsResults!$D:$E,2,FALSE)</f>
        <v>9938</v>
      </c>
      <c r="C23" s="22">
        <f>VLOOKUP(A23,[2]Sheet2!$D:$E,2,FALSE)</f>
        <v>8748</v>
      </c>
      <c r="D23" s="22">
        <v>8748</v>
      </c>
      <c r="E23" s="22">
        <f>VLOOKUP(A23,[3]Sheet2!$A:$F,6,FALSE)</f>
        <v>3174924.93</v>
      </c>
      <c r="G23" s="22" t="s">
        <v>109</v>
      </c>
      <c r="H23" s="22" t="s">
        <v>102</v>
      </c>
      <c r="I23" s="22" t="s">
        <v>25</v>
      </c>
      <c r="J23" s="29" t="s">
        <v>38</v>
      </c>
      <c r="K23" s="29" t="s">
        <v>38</v>
      </c>
      <c r="L23" s="29" t="s">
        <v>28</v>
      </c>
      <c r="P23" s="30">
        <v>45626</v>
      </c>
      <c r="Q23" s="30">
        <v>45626</v>
      </c>
      <c r="R23" s="22" t="s">
        <v>29</v>
      </c>
      <c r="S23" s="29" t="s">
        <v>30</v>
      </c>
      <c r="T23" s="22" t="s">
        <v>31</v>
      </c>
      <c r="U23" s="25" t="s">
        <v>32</v>
      </c>
      <c r="V23" s="22" t="s">
        <v>33</v>
      </c>
      <c r="W23" s="32" t="s">
        <v>34</v>
      </c>
    </row>
    <row r="24" spans="1:23">
      <c r="A24" s="22" t="s">
        <v>110</v>
      </c>
      <c r="B24" s="25">
        <f>VLOOKUP(A24,[1]ProjectsResults!$D:$E,2,FALSE)</f>
        <v>9939</v>
      </c>
      <c r="C24" s="22">
        <f>VLOOKUP(A24,[2]Sheet2!$D:$E,2,FALSE)</f>
        <v>8749</v>
      </c>
      <c r="D24" s="22">
        <v>8749</v>
      </c>
      <c r="E24" s="22">
        <f>VLOOKUP(A24,[3]Sheet2!$A:$F,6,FALSE)</f>
        <v>415000</v>
      </c>
      <c r="G24" s="22" t="s">
        <v>111</v>
      </c>
      <c r="H24" s="22" t="s">
        <v>102</v>
      </c>
      <c r="I24" s="22" t="s">
        <v>25</v>
      </c>
      <c r="J24" s="29" t="s">
        <v>38</v>
      </c>
      <c r="K24" s="29" t="s">
        <v>38</v>
      </c>
      <c r="L24" s="29" t="s">
        <v>28</v>
      </c>
      <c r="P24" s="30">
        <v>45626</v>
      </c>
      <c r="Q24" s="30">
        <v>45626</v>
      </c>
      <c r="R24" s="22" t="s">
        <v>29</v>
      </c>
      <c r="S24" s="29" t="s">
        <v>30</v>
      </c>
      <c r="T24" s="22" t="s">
        <v>31</v>
      </c>
      <c r="U24" s="25" t="s">
        <v>32</v>
      </c>
      <c r="V24" s="22" t="s">
        <v>33</v>
      </c>
      <c r="W24" s="32" t="s">
        <v>34</v>
      </c>
    </row>
    <row r="25" spans="1:23">
      <c r="A25" s="22" t="s">
        <v>112</v>
      </c>
      <c r="B25" s="25">
        <f>VLOOKUP(A25,[1]ProjectsResults!$D:$E,2,FALSE)</f>
        <v>9940</v>
      </c>
      <c r="C25" s="22">
        <f>VLOOKUP(A25,[2]Sheet2!$D:$E,2,FALSE)</f>
        <v>8750</v>
      </c>
      <c r="D25" s="22">
        <v>8750</v>
      </c>
      <c r="E25" s="22">
        <f>VLOOKUP(A25,[3]Sheet2!$A:$F,6,FALSE)</f>
        <v>180070</v>
      </c>
      <c r="G25" s="22" t="s">
        <v>113</v>
      </c>
      <c r="H25" s="22" t="s">
        <v>114</v>
      </c>
      <c r="I25" s="22" t="s">
        <v>25</v>
      </c>
      <c r="J25" s="29" t="s">
        <v>115</v>
      </c>
      <c r="K25" s="29" t="s">
        <v>116</v>
      </c>
      <c r="L25" s="29" t="s">
        <v>28</v>
      </c>
      <c r="P25" s="30">
        <v>45546</v>
      </c>
      <c r="Q25" s="30">
        <v>45548</v>
      </c>
      <c r="R25" s="22" t="s">
        <v>29</v>
      </c>
      <c r="S25" s="29" t="s">
        <v>30</v>
      </c>
      <c r="T25" s="22" t="s">
        <v>49</v>
      </c>
      <c r="U25" s="25" t="s">
        <v>32</v>
      </c>
      <c r="V25" s="22" t="s">
        <v>117</v>
      </c>
      <c r="W25" s="32" t="s">
        <v>34</v>
      </c>
    </row>
    <row r="26" spans="1:23">
      <c r="A26" s="22" t="s">
        <v>118</v>
      </c>
      <c r="B26" s="25">
        <f>VLOOKUP(A26,[1]ProjectsResults!$D:$E,2,FALSE)</f>
        <v>9941</v>
      </c>
      <c r="C26" s="22">
        <f>VLOOKUP(A26,[2]Sheet2!$D:$E,2,FALSE)</f>
        <v>8751</v>
      </c>
      <c r="D26" s="22">
        <v>8751</v>
      </c>
      <c r="E26" s="22">
        <f>VLOOKUP(A26,[3]Sheet2!$A:$F,6,FALSE)</f>
        <v>0</v>
      </c>
      <c r="G26" s="22" t="s">
        <v>119</v>
      </c>
      <c r="H26" s="22" t="s">
        <v>105</v>
      </c>
      <c r="I26" s="22" t="s">
        <v>25</v>
      </c>
      <c r="J26" s="29" t="s">
        <v>42</v>
      </c>
      <c r="K26" s="29" t="s">
        <v>43</v>
      </c>
      <c r="L26" s="29" t="s">
        <v>28</v>
      </c>
      <c r="P26" s="30">
        <v>45626</v>
      </c>
      <c r="Q26" s="30">
        <v>45626</v>
      </c>
      <c r="R26" s="22" t="s">
        <v>29</v>
      </c>
      <c r="S26" s="29" t="s">
        <v>30</v>
      </c>
      <c r="T26" s="22" t="s">
        <v>31</v>
      </c>
      <c r="U26" s="25" t="s">
        <v>32</v>
      </c>
      <c r="V26" s="22" t="s">
        <v>33</v>
      </c>
      <c r="W26" s="32" t="s">
        <v>34</v>
      </c>
    </row>
    <row r="27" spans="1:23">
      <c r="A27" s="22" t="s">
        <v>120</v>
      </c>
      <c r="B27" s="25">
        <f>VLOOKUP(A27,[1]ProjectsResults!$D:$E,2,FALSE)</f>
        <v>9942</v>
      </c>
      <c r="C27" s="22">
        <f>VLOOKUP(A27,[2]Sheet2!$D:$E,2,FALSE)</f>
        <v>8752</v>
      </c>
      <c r="D27" s="22">
        <v>8752</v>
      </c>
      <c r="E27" s="22">
        <f>VLOOKUP(A27,[3]Sheet2!$A:$F,6,FALSE)</f>
        <v>2397035.4</v>
      </c>
      <c r="G27" s="22" t="s">
        <v>121</v>
      </c>
      <c r="H27" s="22" t="s">
        <v>86</v>
      </c>
      <c r="I27" s="22" t="s">
        <v>25</v>
      </c>
      <c r="J27" s="29" t="s">
        <v>42</v>
      </c>
      <c r="K27" s="29" t="s">
        <v>87</v>
      </c>
      <c r="L27" s="29" t="s">
        <v>28</v>
      </c>
      <c r="P27" s="30">
        <v>45626</v>
      </c>
      <c r="Q27" s="30">
        <v>45626</v>
      </c>
      <c r="R27" s="22" t="s">
        <v>29</v>
      </c>
      <c r="S27" s="29" t="s">
        <v>30</v>
      </c>
      <c r="T27" s="22" t="s">
        <v>31</v>
      </c>
      <c r="U27" s="25" t="s">
        <v>32</v>
      </c>
      <c r="V27" s="22" t="s">
        <v>33</v>
      </c>
      <c r="W27" s="32" t="s">
        <v>34</v>
      </c>
    </row>
    <row r="28" spans="1:23">
      <c r="A28" s="22" t="s">
        <v>122</v>
      </c>
      <c r="B28" s="25">
        <f>VLOOKUP(A28,[1]ProjectsResults!$D:$E,2,FALSE)</f>
        <v>9943</v>
      </c>
      <c r="C28" s="22">
        <f>VLOOKUP(A28,[2]Sheet2!$D:$E,2,FALSE)</f>
        <v>8753</v>
      </c>
      <c r="D28" s="22">
        <v>8753</v>
      </c>
      <c r="E28" s="22">
        <f>VLOOKUP(A28,[3]Sheet2!$A:$F,6,FALSE)</f>
        <v>123389.25</v>
      </c>
      <c r="G28" s="22" t="s">
        <v>123</v>
      </c>
      <c r="H28" s="22" t="s">
        <v>37</v>
      </c>
      <c r="I28" s="22" t="s">
        <v>25</v>
      </c>
      <c r="J28" s="29" t="s">
        <v>38</v>
      </c>
      <c r="K28" s="29" t="s">
        <v>38</v>
      </c>
      <c r="L28" s="29" t="s">
        <v>28</v>
      </c>
      <c r="P28" s="30">
        <v>45626</v>
      </c>
      <c r="Q28" s="30">
        <v>45626</v>
      </c>
      <c r="R28" s="22" t="s">
        <v>29</v>
      </c>
      <c r="S28" s="29" t="s">
        <v>30</v>
      </c>
      <c r="T28" s="22" t="s">
        <v>31</v>
      </c>
      <c r="U28" s="25" t="s">
        <v>32</v>
      </c>
      <c r="V28" s="22" t="s">
        <v>33</v>
      </c>
      <c r="W28" s="32" t="s">
        <v>34</v>
      </c>
    </row>
    <row r="29" spans="1:23">
      <c r="A29" s="22" t="s">
        <v>124</v>
      </c>
      <c r="B29" s="25">
        <f>VLOOKUP(A29,[1]ProjectsResults!$D:$E,2,FALSE)</f>
        <v>9944</v>
      </c>
      <c r="C29" s="22">
        <f>VLOOKUP(A29,[2]Sheet2!$D:$E,2,FALSE)</f>
        <v>8754</v>
      </c>
      <c r="D29" s="22">
        <v>8754</v>
      </c>
      <c r="E29" s="22">
        <f>VLOOKUP(A29,[3]Sheet2!$A:$F,6,FALSE)</f>
        <v>5718840</v>
      </c>
      <c r="G29" s="22" t="s">
        <v>125</v>
      </c>
      <c r="H29" s="22" t="s">
        <v>95</v>
      </c>
      <c r="I29" s="22" t="s">
        <v>25</v>
      </c>
      <c r="J29" s="29" t="s">
        <v>72</v>
      </c>
      <c r="K29" s="29" t="s">
        <v>96</v>
      </c>
      <c r="L29" s="29" t="s">
        <v>28</v>
      </c>
      <c r="P29" s="30">
        <v>45546</v>
      </c>
      <c r="Q29" s="30">
        <v>45590</v>
      </c>
      <c r="R29" s="22" t="s">
        <v>29</v>
      </c>
      <c r="S29" s="29" t="s">
        <v>30</v>
      </c>
      <c r="T29" s="22" t="s">
        <v>74</v>
      </c>
      <c r="U29" s="25" t="s">
        <v>32</v>
      </c>
      <c r="V29" s="22" t="s">
        <v>75</v>
      </c>
      <c r="W29" s="32" t="s">
        <v>34</v>
      </c>
    </row>
    <row r="30" spans="1:23">
      <c r="A30" s="25" t="s">
        <v>126</v>
      </c>
      <c r="B30" s="25">
        <f>VLOOKUP(A30,[1]ProjectsResults!$D:$E,2,FALSE)</f>
        <v>10620</v>
      </c>
      <c r="C30" s="22">
        <f>VLOOKUP(A30,[2]Sheet2!$D:$E,2,FALSE)</f>
        <v>9926</v>
      </c>
      <c r="D30" s="22">
        <v>9926</v>
      </c>
      <c r="E30" s="22">
        <f>VLOOKUP(A30,[3]Sheet2!$A:$F,6,FALSE)</f>
        <v>0</v>
      </c>
      <c r="G30" s="22" t="s">
        <v>127</v>
      </c>
      <c r="H30" s="22" t="s">
        <v>128</v>
      </c>
      <c r="I30" s="22" t="s">
        <v>25</v>
      </c>
      <c r="J30" s="29" t="s">
        <v>47</v>
      </c>
      <c r="K30" s="22" t="s">
        <v>129</v>
      </c>
      <c r="L30" s="29" t="s">
        <v>28</v>
      </c>
      <c r="P30" s="30">
        <v>45546</v>
      </c>
      <c r="Q30" s="30">
        <v>45546</v>
      </c>
      <c r="R30" s="22" t="s">
        <v>29</v>
      </c>
      <c r="S30" s="29" t="s">
        <v>30</v>
      </c>
      <c r="T30" s="22" t="s">
        <v>49</v>
      </c>
      <c r="U30" s="25" t="s">
        <v>32</v>
      </c>
      <c r="V30" s="22" t="s">
        <v>50</v>
      </c>
      <c r="W30" s="32" t="s">
        <v>34</v>
      </c>
    </row>
    <row r="31" spans="1:23">
      <c r="A31" s="22" t="s">
        <v>130</v>
      </c>
      <c r="B31" s="25">
        <f>VLOOKUP(A31,[1]ProjectsResults!$D:$E,2,FALSE)</f>
        <v>9945</v>
      </c>
      <c r="C31" s="22">
        <f>VLOOKUP(A31,[2]Sheet2!$D:$E,2,FALSE)</f>
        <v>8755</v>
      </c>
      <c r="D31" s="22">
        <v>8755</v>
      </c>
      <c r="E31" s="22">
        <f>VLOOKUP(A31,[3]Sheet2!$A:$F,6,FALSE)</f>
        <v>1712265.28</v>
      </c>
      <c r="G31" s="22" t="s">
        <v>45</v>
      </c>
      <c r="H31" s="22" t="s">
        <v>58</v>
      </c>
      <c r="I31" s="22" t="s">
        <v>25</v>
      </c>
      <c r="J31" s="29" t="s">
        <v>47</v>
      </c>
      <c r="K31" s="29" t="s">
        <v>48</v>
      </c>
      <c r="L31" s="29" t="s">
        <v>28</v>
      </c>
      <c r="P31" s="30">
        <v>45550</v>
      </c>
      <c r="Q31" s="30">
        <v>45550</v>
      </c>
      <c r="R31" s="22" t="s">
        <v>29</v>
      </c>
      <c r="S31" s="29" t="s">
        <v>30</v>
      </c>
      <c r="T31" s="22" t="s">
        <v>49</v>
      </c>
      <c r="U31" s="25" t="s">
        <v>32</v>
      </c>
      <c r="V31" s="22" t="s">
        <v>50</v>
      </c>
      <c r="W31" s="32" t="s">
        <v>34</v>
      </c>
    </row>
    <row r="32" spans="1:23">
      <c r="A32" s="22" t="s">
        <v>131</v>
      </c>
      <c r="B32" s="25">
        <f>VLOOKUP(A32,[1]ProjectsResults!$D:$E,2,FALSE)</f>
        <v>9946</v>
      </c>
      <c r="C32" s="22">
        <f>VLOOKUP(A32,[2]Sheet2!$D:$E,2,FALSE)</f>
        <v>8756</v>
      </c>
      <c r="D32" s="22">
        <v>8756</v>
      </c>
      <c r="E32" s="22">
        <f>VLOOKUP(A32,[3]Sheet2!$A:$F,6,FALSE)</f>
        <v>2246564.16</v>
      </c>
      <c r="G32" s="22" t="s">
        <v>132</v>
      </c>
      <c r="H32" s="22" t="s">
        <v>133</v>
      </c>
      <c r="I32" s="22" t="s">
        <v>25</v>
      </c>
      <c r="J32" s="29" t="s">
        <v>47</v>
      </c>
      <c r="K32" s="29" t="s">
        <v>134</v>
      </c>
      <c r="L32" s="29" t="s">
        <v>28</v>
      </c>
      <c r="P32" s="30">
        <v>45552</v>
      </c>
      <c r="Q32" s="30">
        <v>45553</v>
      </c>
      <c r="R32" s="22" t="s">
        <v>29</v>
      </c>
      <c r="S32" s="29" t="s">
        <v>30</v>
      </c>
      <c r="T32" s="22" t="s">
        <v>49</v>
      </c>
      <c r="U32" s="25" t="s">
        <v>32</v>
      </c>
      <c r="V32" s="22" t="s">
        <v>50</v>
      </c>
      <c r="W32" s="32" t="s">
        <v>34</v>
      </c>
    </row>
    <row r="33" spans="1:23">
      <c r="A33" s="22" t="s">
        <v>135</v>
      </c>
      <c r="B33" s="25">
        <f>VLOOKUP(A33,[1]ProjectsResults!$D:$E,2,FALSE)</f>
        <v>9947</v>
      </c>
      <c r="C33" s="22">
        <f>VLOOKUP(A33,[2]Sheet2!$D:$E,2,FALSE)</f>
        <v>8757</v>
      </c>
      <c r="D33" s="22">
        <v>8757</v>
      </c>
      <c r="E33" s="22">
        <f>VLOOKUP(A33,[3]Sheet2!$A:$F,6,FALSE)</f>
        <v>566389</v>
      </c>
      <c r="G33" s="22" t="s">
        <v>136</v>
      </c>
      <c r="H33" s="22" t="s">
        <v>137</v>
      </c>
      <c r="I33" s="22" t="s">
        <v>25</v>
      </c>
      <c r="J33" s="29" t="s">
        <v>47</v>
      </c>
      <c r="K33" s="29" t="s">
        <v>66</v>
      </c>
      <c r="L33" s="29" t="s">
        <v>28</v>
      </c>
      <c r="P33" s="30">
        <v>45555</v>
      </c>
      <c r="Q33" s="30">
        <v>45555</v>
      </c>
      <c r="R33" s="22" t="s">
        <v>29</v>
      </c>
      <c r="S33" s="29" t="s">
        <v>30</v>
      </c>
      <c r="T33" s="22" t="s">
        <v>49</v>
      </c>
      <c r="U33" s="25" t="s">
        <v>32</v>
      </c>
      <c r="V33" s="22" t="s">
        <v>50</v>
      </c>
      <c r="W33" s="32" t="s">
        <v>34</v>
      </c>
    </row>
    <row r="34" spans="1:23">
      <c r="A34" s="22" t="s">
        <v>138</v>
      </c>
      <c r="B34" s="25">
        <f>VLOOKUP(A34,[1]ProjectsResults!$D:$E,2,FALSE)</f>
        <v>9948</v>
      </c>
      <c r="C34" s="22">
        <f>VLOOKUP(A34,[2]Sheet2!$D:$E,2,FALSE)</f>
        <v>8758</v>
      </c>
      <c r="D34" s="22">
        <v>8758</v>
      </c>
      <c r="E34" s="22">
        <f>VLOOKUP(A34,[3]Sheet2!$A:$F,6,FALSE)</f>
        <v>1241937</v>
      </c>
      <c r="G34" s="22" t="s">
        <v>139</v>
      </c>
      <c r="H34" s="22" t="s">
        <v>140</v>
      </c>
      <c r="I34" s="22" t="s">
        <v>25</v>
      </c>
      <c r="J34" s="29" t="s">
        <v>141</v>
      </c>
      <c r="K34" s="29" t="s">
        <v>141</v>
      </c>
      <c r="L34" s="29" t="s">
        <v>28</v>
      </c>
      <c r="P34" s="30">
        <v>45548</v>
      </c>
      <c r="Q34" s="30">
        <v>45614</v>
      </c>
      <c r="R34" s="22" t="s">
        <v>29</v>
      </c>
      <c r="S34" s="29" t="s">
        <v>30</v>
      </c>
      <c r="T34" s="22" t="s">
        <v>74</v>
      </c>
      <c r="U34" s="25" t="s">
        <v>32</v>
      </c>
      <c r="V34" s="22" t="s">
        <v>75</v>
      </c>
      <c r="W34" s="32" t="s">
        <v>34</v>
      </c>
    </row>
    <row r="35" spans="1:23">
      <c r="A35" s="22" t="s">
        <v>142</v>
      </c>
      <c r="B35" s="25">
        <f>VLOOKUP(A35,[1]ProjectsResults!$D:$E,2,FALSE)</f>
        <v>9949</v>
      </c>
      <c r="C35" s="22">
        <f>VLOOKUP(A35,[2]Sheet2!$D:$E,2,FALSE)</f>
        <v>8759</v>
      </c>
      <c r="D35" s="22">
        <v>8759</v>
      </c>
      <c r="E35" s="22">
        <f>VLOOKUP(A35,[3]Sheet2!$A:$F,6,FALSE)</f>
        <v>7890000</v>
      </c>
      <c r="G35" s="22" t="s">
        <v>143</v>
      </c>
      <c r="H35" s="22" t="s">
        <v>144</v>
      </c>
      <c r="I35" s="22" t="s">
        <v>25</v>
      </c>
      <c r="J35" s="29" t="s">
        <v>47</v>
      </c>
      <c r="K35" s="29" t="s">
        <v>62</v>
      </c>
      <c r="L35" s="29" t="s">
        <v>28</v>
      </c>
      <c r="P35" s="30">
        <v>45633</v>
      </c>
      <c r="Q35" s="30">
        <v>45633</v>
      </c>
      <c r="R35" s="22" t="s">
        <v>29</v>
      </c>
      <c r="S35" s="29" t="s">
        <v>30</v>
      </c>
      <c r="T35" s="22" t="s">
        <v>49</v>
      </c>
      <c r="U35" s="25" t="s">
        <v>32</v>
      </c>
      <c r="V35" s="22" t="s">
        <v>50</v>
      </c>
      <c r="W35" s="32" t="s">
        <v>34</v>
      </c>
    </row>
    <row r="36" spans="1:23">
      <c r="A36" s="22" t="s">
        <v>145</v>
      </c>
      <c r="B36" s="25">
        <f>VLOOKUP(A36,[1]ProjectsResults!$D:$E,2,FALSE)</f>
        <v>9950</v>
      </c>
      <c r="C36" s="22">
        <f>VLOOKUP(A36,[2]Sheet2!$D:$E,2,FALSE)</f>
        <v>8760</v>
      </c>
      <c r="D36" s="22">
        <v>8760</v>
      </c>
      <c r="E36" s="22">
        <f>VLOOKUP(A36,[3]Sheet2!$A:$F,6,FALSE)</f>
        <v>335680</v>
      </c>
      <c r="G36" s="22" t="s">
        <v>146</v>
      </c>
      <c r="H36" s="22" t="s">
        <v>102</v>
      </c>
      <c r="I36" s="22" t="s">
        <v>25</v>
      </c>
      <c r="J36" s="29" t="s">
        <v>38</v>
      </c>
      <c r="K36" s="29" t="s">
        <v>38</v>
      </c>
      <c r="L36" s="29" t="s">
        <v>28</v>
      </c>
      <c r="P36" s="30">
        <v>45626</v>
      </c>
      <c r="Q36" s="30">
        <v>45626</v>
      </c>
      <c r="R36" s="22" t="s">
        <v>29</v>
      </c>
      <c r="S36" s="29" t="s">
        <v>30</v>
      </c>
      <c r="T36" s="22" t="s">
        <v>31</v>
      </c>
      <c r="U36" s="25" t="s">
        <v>32</v>
      </c>
      <c r="V36" s="22" t="s">
        <v>33</v>
      </c>
      <c r="W36" s="32" t="s">
        <v>34</v>
      </c>
    </row>
    <row r="37" spans="1:23">
      <c r="A37" s="22" t="s">
        <v>147</v>
      </c>
      <c r="B37" s="25">
        <f>VLOOKUP(A37,[1]ProjectsResults!$D:$E,2,FALSE)</f>
        <v>9951</v>
      </c>
      <c r="C37" s="22">
        <f>VLOOKUP(A37,[2]Sheet2!$D:$E,2,FALSE)</f>
        <v>8761</v>
      </c>
      <c r="D37" s="22">
        <v>8761</v>
      </c>
      <c r="E37" s="22">
        <f>VLOOKUP(A37,[3]Sheet2!$A:$F,6,FALSE)</f>
        <v>480306</v>
      </c>
      <c r="G37" s="22" t="s">
        <v>148</v>
      </c>
      <c r="H37" s="22" t="s">
        <v>86</v>
      </c>
      <c r="I37" s="22" t="s">
        <v>25</v>
      </c>
      <c r="J37" s="29" t="s">
        <v>42</v>
      </c>
      <c r="K37" s="29" t="s">
        <v>149</v>
      </c>
      <c r="L37" s="29" t="s">
        <v>28</v>
      </c>
      <c r="P37" s="30">
        <v>45621</v>
      </c>
      <c r="Q37" s="30">
        <v>45621</v>
      </c>
      <c r="R37" s="22" t="s">
        <v>29</v>
      </c>
      <c r="S37" s="29" t="s">
        <v>30</v>
      </c>
      <c r="T37" s="22" t="s">
        <v>31</v>
      </c>
      <c r="U37" s="25" t="s">
        <v>32</v>
      </c>
      <c r="V37" s="22" t="s">
        <v>33</v>
      </c>
      <c r="W37" s="32" t="s">
        <v>34</v>
      </c>
    </row>
    <row r="38" spans="1:23">
      <c r="A38" s="22" t="s">
        <v>150</v>
      </c>
      <c r="B38" s="25">
        <f>VLOOKUP(A38,[1]ProjectsResults!$D:$E,2,FALSE)</f>
        <v>9952</v>
      </c>
      <c r="C38" s="22">
        <f>VLOOKUP(A38,[2]Sheet2!$D:$E,2,FALSE)</f>
        <v>8762</v>
      </c>
      <c r="D38" s="22">
        <v>8762</v>
      </c>
      <c r="E38" s="22">
        <f>VLOOKUP(A38,[3]Sheet2!$A:$F,6,FALSE)</f>
        <v>850000</v>
      </c>
      <c r="G38" s="22" t="s">
        <v>151</v>
      </c>
      <c r="H38" s="22" t="s">
        <v>82</v>
      </c>
      <c r="I38" s="22" t="s">
        <v>25</v>
      </c>
      <c r="J38" s="29" t="s">
        <v>83</v>
      </c>
      <c r="K38" s="29" t="s">
        <v>72</v>
      </c>
      <c r="L38" s="29" t="s">
        <v>28</v>
      </c>
      <c r="P38" s="30">
        <v>45562</v>
      </c>
      <c r="Q38" s="30">
        <v>45562</v>
      </c>
      <c r="R38" s="22" t="s">
        <v>29</v>
      </c>
      <c r="S38" s="29" t="s">
        <v>30</v>
      </c>
      <c r="T38" s="22" t="s">
        <v>74</v>
      </c>
      <c r="U38" s="25" t="s">
        <v>32</v>
      </c>
      <c r="V38" s="22" t="s">
        <v>75</v>
      </c>
      <c r="W38" s="32" t="s">
        <v>34</v>
      </c>
    </row>
    <row r="39" spans="1:23">
      <c r="A39" s="22" t="s">
        <v>152</v>
      </c>
      <c r="B39" s="25">
        <f>VLOOKUP(A39,[1]ProjectsResults!$D:$E,2,FALSE)</f>
        <v>9953</v>
      </c>
      <c r="C39" s="22">
        <f>VLOOKUP(A39,[2]Sheet2!$D:$E,2,FALSE)</f>
        <v>8763</v>
      </c>
      <c r="D39" s="22">
        <v>8763</v>
      </c>
      <c r="E39" s="22">
        <f>VLOOKUP(A39,[3]Sheet2!$A:$F,6,FALSE)</f>
        <v>25313041</v>
      </c>
      <c r="G39" s="22" t="s">
        <v>153</v>
      </c>
      <c r="H39" s="22" t="s">
        <v>154</v>
      </c>
      <c r="I39" s="22" t="s">
        <v>25</v>
      </c>
      <c r="J39" s="29" t="s">
        <v>155</v>
      </c>
      <c r="K39" s="29" t="s">
        <v>156</v>
      </c>
      <c r="L39" s="29" t="s">
        <v>28</v>
      </c>
      <c r="P39" s="30">
        <v>45568</v>
      </c>
      <c r="Q39" s="30">
        <v>45568</v>
      </c>
      <c r="R39" s="22" t="s">
        <v>29</v>
      </c>
      <c r="S39" s="29" t="s">
        <v>30</v>
      </c>
      <c r="T39" s="22" t="s">
        <v>74</v>
      </c>
      <c r="U39" s="25" t="s">
        <v>32</v>
      </c>
      <c r="V39" s="22" t="s">
        <v>75</v>
      </c>
      <c r="W39" s="32" t="s">
        <v>34</v>
      </c>
    </row>
    <row r="40" spans="1:23">
      <c r="A40" s="22" t="s">
        <v>157</v>
      </c>
      <c r="B40" s="25">
        <f>VLOOKUP(A40,[1]ProjectsResults!$D:$E,2,FALSE)</f>
        <v>9954</v>
      </c>
      <c r="C40" s="22">
        <f>VLOOKUP(A40,[2]Sheet2!$D:$E,2,FALSE)</f>
        <v>9342</v>
      </c>
      <c r="D40" s="22">
        <v>9342</v>
      </c>
      <c r="E40" s="22">
        <f>VLOOKUP(A40,[3]Sheet2!$A:$F,6,FALSE)</f>
        <v>27520</v>
      </c>
      <c r="G40" s="22" t="s">
        <v>158</v>
      </c>
      <c r="H40" s="22" t="s">
        <v>159</v>
      </c>
      <c r="I40" s="22" t="s">
        <v>25</v>
      </c>
      <c r="J40" s="29" t="s">
        <v>115</v>
      </c>
      <c r="K40" s="29" t="s">
        <v>160</v>
      </c>
      <c r="L40" s="29" t="s">
        <v>28</v>
      </c>
      <c r="P40" s="30">
        <v>45558</v>
      </c>
      <c r="Q40" s="30">
        <v>45559</v>
      </c>
      <c r="R40" s="22" t="s">
        <v>29</v>
      </c>
      <c r="S40" s="29" t="s">
        <v>30</v>
      </c>
      <c r="T40" s="22" t="s">
        <v>49</v>
      </c>
      <c r="U40" s="25" t="s">
        <v>32</v>
      </c>
      <c r="V40" s="22" t="s">
        <v>117</v>
      </c>
      <c r="W40" s="32" t="s">
        <v>34</v>
      </c>
    </row>
    <row r="41" spans="1:23">
      <c r="A41" s="22" t="s">
        <v>161</v>
      </c>
      <c r="B41" s="25">
        <f>VLOOKUP(A41,[1]ProjectsResults!$D:$E,2,FALSE)</f>
        <v>9955</v>
      </c>
      <c r="C41" s="22">
        <f>VLOOKUP(A41,[2]Sheet2!$D:$E,2,FALSE)</f>
        <v>8764</v>
      </c>
      <c r="D41" s="22">
        <v>8764</v>
      </c>
      <c r="E41" s="22">
        <f>VLOOKUP(A41,[3]Sheet2!$A:$F,6,FALSE)</f>
        <v>32750</v>
      </c>
      <c r="G41" s="22" t="s">
        <v>162</v>
      </c>
      <c r="H41" s="22" t="s">
        <v>163</v>
      </c>
      <c r="I41" s="22" t="s">
        <v>25</v>
      </c>
      <c r="J41" s="29" t="s">
        <v>115</v>
      </c>
      <c r="K41" s="29" t="s">
        <v>164</v>
      </c>
      <c r="L41" s="29" t="s">
        <v>28</v>
      </c>
      <c r="P41" s="30">
        <v>45555</v>
      </c>
      <c r="Q41" s="30">
        <v>45555</v>
      </c>
      <c r="R41" s="22" t="s">
        <v>29</v>
      </c>
      <c r="S41" s="29" t="s">
        <v>30</v>
      </c>
      <c r="T41" s="22" t="s">
        <v>49</v>
      </c>
      <c r="U41" s="25" t="s">
        <v>32</v>
      </c>
      <c r="V41" s="22" t="s">
        <v>117</v>
      </c>
      <c r="W41" s="32" t="s">
        <v>34</v>
      </c>
    </row>
    <row r="42" spans="1:23">
      <c r="A42" s="22" t="s">
        <v>165</v>
      </c>
      <c r="B42" s="25">
        <f>VLOOKUP(A42,[1]ProjectsResults!$D:$E,2,FALSE)</f>
        <v>9956</v>
      </c>
      <c r="C42" s="22">
        <f>VLOOKUP(A42,[2]Sheet2!$D:$E,2,FALSE)</f>
        <v>8765</v>
      </c>
      <c r="D42" s="22">
        <v>8765</v>
      </c>
      <c r="E42" s="22">
        <f>VLOOKUP(A42,[3]Sheet2!$A:$F,6,FALSE)</f>
        <v>150000</v>
      </c>
      <c r="G42" s="22" t="s">
        <v>166</v>
      </c>
      <c r="H42" s="22" t="s">
        <v>167</v>
      </c>
      <c r="I42" s="22" t="s">
        <v>25</v>
      </c>
      <c r="J42" s="29" t="s">
        <v>168</v>
      </c>
      <c r="K42" s="29" t="s">
        <v>169</v>
      </c>
      <c r="L42" s="29" t="s">
        <v>28</v>
      </c>
      <c r="P42" s="30">
        <v>45561</v>
      </c>
      <c r="Q42" s="30">
        <v>45562</v>
      </c>
      <c r="R42" s="22" t="s">
        <v>29</v>
      </c>
      <c r="S42" s="29" t="s">
        <v>30</v>
      </c>
      <c r="T42" s="22" t="s">
        <v>31</v>
      </c>
      <c r="U42" s="25" t="s">
        <v>32</v>
      </c>
      <c r="V42" s="22" t="s">
        <v>33</v>
      </c>
      <c r="W42" s="32" t="s">
        <v>34</v>
      </c>
    </row>
    <row r="43" spans="1:23">
      <c r="A43" s="22" t="s">
        <v>170</v>
      </c>
      <c r="B43" s="25">
        <f>VLOOKUP(A43,[1]ProjectsResults!$D:$E,2,FALSE)</f>
        <v>9957</v>
      </c>
      <c r="C43" s="22">
        <f>VLOOKUP(A43,[2]Sheet2!$D:$E,2,FALSE)</f>
        <v>8766</v>
      </c>
      <c r="D43" s="22">
        <v>8766</v>
      </c>
      <c r="E43" s="22">
        <f>VLOOKUP(A43,[3]Sheet2!$A:$F,6,FALSE)</f>
        <v>269236</v>
      </c>
      <c r="G43" s="22" t="s">
        <v>171</v>
      </c>
      <c r="H43" s="22" t="s">
        <v>114</v>
      </c>
      <c r="I43" s="22" t="s">
        <v>25</v>
      </c>
      <c r="J43" s="29" t="s">
        <v>115</v>
      </c>
      <c r="K43" s="29" t="s">
        <v>164</v>
      </c>
      <c r="L43" s="29" t="s">
        <v>28</v>
      </c>
      <c r="P43" s="30">
        <v>45560</v>
      </c>
      <c r="Q43" s="30">
        <v>45925</v>
      </c>
      <c r="R43" s="22" t="s">
        <v>29</v>
      </c>
      <c r="S43" s="29" t="s">
        <v>30</v>
      </c>
      <c r="T43" s="22" t="s">
        <v>49</v>
      </c>
      <c r="U43" s="25" t="s">
        <v>32</v>
      </c>
      <c r="V43" s="22" t="s">
        <v>117</v>
      </c>
      <c r="W43" s="32" t="s">
        <v>34</v>
      </c>
    </row>
    <row r="44" spans="1:23">
      <c r="A44" s="22" t="s">
        <v>172</v>
      </c>
      <c r="B44" s="25">
        <f>VLOOKUP(A44,[1]ProjectsResults!$D:$E,2,FALSE)</f>
        <v>9958</v>
      </c>
      <c r="C44" s="22">
        <f>VLOOKUP(A44,[2]Sheet2!$D:$E,2,FALSE)</f>
        <v>9343</v>
      </c>
      <c r="D44" s="22">
        <v>9343</v>
      </c>
      <c r="E44" s="22">
        <f>VLOOKUP(A44,[3]Sheet2!$A:$F,6,FALSE)</f>
        <v>31390</v>
      </c>
      <c r="G44" s="22" t="s">
        <v>173</v>
      </c>
      <c r="H44" s="22" t="s">
        <v>159</v>
      </c>
      <c r="I44" s="22" t="s">
        <v>25</v>
      </c>
      <c r="J44" s="29" t="s">
        <v>115</v>
      </c>
      <c r="K44" s="29" t="s">
        <v>160</v>
      </c>
      <c r="L44" s="29" t="s">
        <v>28</v>
      </c>
      <c r="P44" s="30">
        <v>45557</v>
      </c>
      <c r="Q44" s="30">
        <v>45557</v>
      </c>
      <c r="R44" s="22" t="s">
        <v>29</v>
      </c>
      <c r="S44" s="29" t="s">
        <v>30</v>
      </c>
      <c r="T44" s="22" t="s">
        <v>49</v>
      </c>
      <c r="U44" s="25" t="s">
        <v>32</v>
      </c>
      <c r="V44" s="22" t="s">
        <v>117</v>
      </c>
      <c r="W44" s="32" t="s">
        <v>34</v>
      </c>
    </row>
    <row r="45" spans="1:23">
      <c r="A45" s="22" t="s">
        <v>174</v>
      </c>
      <c r="B45" s="25">
        <f>VLOOKUP(A45,[1]ProjectsResults!$D:$E,2,FALSE)</f>
        <v>9959</v>
      </c>
      <c r="C45" s="22">
        <f>VLOOKUP(A45,[2]Sheet2!$D:$E,2,FALSE)</f>
        <v>8767</v>
      </c>
      <c r="D45" s="22">
        <v>8767</v>
      </c>
      <c r="E45" s="22">
        <f>VLOOKUP(A45,[3]Sheet2!$A:$F,6,FALSE)</f>
        <v>819005</v>
      </c>
      <c r="G45" s="22" t="s">
        <v>175</v>
      </c>
      <c r="H45" s="22" t="s">
        <v>114</v>
      </c>
      <c r="I45" s="22" t="s">
        <v>25</v>
      </c>
      <c r="J45" s="29" t="s">
        <v>115</v>
      </c>
      <c r="K45" s="29" t="s">
        <v>164</v>
      </c>
      <c r="L45" s="29" t="s">
        <v>28</v>
      </c>
      <c r="P45" s="30">
        <v>45560</v>
      </c>
      <c r="Q45" s="30">
        <v>45560</v>
      </c>
      <c r="R45" s="22" t="s">
        <v>29</v>
      </c>
      <c r="S45" s="29" t="s">
        <v>30</v>
      </c>
      <c r="T45" s="22" t="s">
        <v>49</v>
      </c>
      <c r="U45" s="25" t="s">
        <v>32</v>
      </c>
      <c r="V45" s="22" t="s">
        <v>117</v>
      </c>
      <c r="W45" s="32" t="s">
        <v>34</v>
      </c>
    </row>
    <row r="46" spans="1:23">
      <c r="A46" s="22" t="s">
        <v>176</v>
      </c>
      <c r="B46" s="25">
        <f>VLOOKUP(A46,[1]ProjectsResults!$D:$E,2,FALSE)</f>
        <v>9960</v>
      </c>
      <c r="C46" s="22">
        <f>VLOOKUP(A46,[2]Sheet2!$D:$E,2,FALSE)</f>
        <v>8768</v>
      </c>
      <c r="D46" s="22">
        <v>8768</v>
      </c>
      <c r="E46" s="22">
        <f>VLOOKUP(A46,[3]Sheet2!$A:$F,6,FALSE)</f>
        <v>628998.66</v>
      </c>
      <c r="G46" s="22" t="s">
        <v>177</v>
      </c>
      <c r="H46" s="22" t="s">
        <v>178</v>
      </c>
      <c r="I46" s="22" t="s">
        <v>25</v>
      </c>
      <c r="J46" s="29" t="s">
        <v>42</v>
      </c>
      <c r="K46" s="29" t="s">
        <v>179</v>
      </c>
      <c r="L46" s="29" t="s">
        <v>28</v>
      </c>
      <c r="P46" s="30">
        <v>45561</v>
      </c>
      <c r="Q46" s="30">
        <v>45561</v>
      </c>
      <c r="R46" s="22" t="s">
        <v>29</v>
      </c>
      <c r="S46" s="29" t="s">
        <v>30</v>
      </c>
      <c r="T46" s="22" t="s">
        <v>31</v>
      </c>
      <c r="U46" s="25" t="s">
        <v>32</v>
      </c>
      <c r="V46" s="22" t="s">
        <v>33</v>
      </c>
      <c r="W46" s="32" t="s">
        <v>34</v>
      </c>
    </row>
    <row r="47" spans="1:23">
      <c r="A47" s="22" t="s">
        <v>180</v>
      </c>
      <c r="B47" s="25">
        <f>VLOOKUP(A47,[1]ProjectsResults!$D:$E,2,FALSE)</f>
        <v>9961</v>
      </c>
      <c r="C47" s="22">
        <f>VLOOKUP(A47,[2]Sheet2!$D:$E,2,FALSE)</f>
        <v>8769</v>
      </c>
      <c r="D47" s="22">
        <v>8769</v>
      </c>
      <c r="E47" s="22">
        <f>VLOOKUP(A47,[3]Sheet2!$A:$F,6,FALSE)</f>
        <v>4963500</v>
      </c>
      <c r="G47" s="22" t="s">
        <v>181</v>
      </c>
      <c r="H47" s="22" t="s">
        <v>65</v>
      </c>
      <c r="I47" s="22" t="s">
        <v>25</v>
      </c>
      <c r="J47" s="29" t="s">
        <v>182</v>
      </c>
      <c r="K47" s="29" t="s">
        <v>183</v>
      </c>
      <c r="L47" s="29" t="s">
        <v>28</v>
      </c>
      <c r="P47" s="30">
        <v>45603</v>
      </c>
      <c r="Q47" s="30">
        <v>45603</v>
      </c>
      <c r="R47" s="22" t="s">
        <v>29</v>
      </c>
      <c r="S47" s="29" t="s">
        <v>30</v>
      </c>
      <c r="T47" s="22" t="s">
        <v>31</v>
      </c>
      <c r="U47" s="25" t="s">
        <v>32</v>
      </c>
      <c r="V47" s="22" t="s">
        <v>33</v>
      </c>
      <c r="W47" s="32" t="s">
        <v>34</v>
      </c>
    </row>
    <row r="48" spans="1:23">
      <c r="A48" s="22" t="s">
        <v>184</v>
      </c>
      <c r="B48" s="25">
        <f>VLOOKUP(A48,[1]ProjectsResults!$D:$E,2,FALSE)</f>
        <v>9962</v>
      </c>
      <c r="C48" s="22">
        <f>VLOOKUP(A48,[2]Sheet2!$D:$E,2,FALSE)</f>
        <v>8770</v>
      </c>
      <c r="D48" s="22">
        <v>8770</v>
      </c>
      <c r="E48" s="22">
        <f>VLOOKUP(A48,[3]Sheet2!$A:$F,6,FALSE)</f>
        <v>9930859.96</v>
      </c>
      <c r="G48" s="22" t="s">
        <v>185</v>
      </c>
      <c r="H48" s="22" t="s">
        <v>65</v>
      </c>
      <c r="I48" s="22" t="s">
        <v>25</v>
      </c>
      <c r="J48" s="29" t="s">
        <v>182</v>
      </c>
      <c r="K48" s="29" t="s">
        <v>183</v>
      </c>
      <c r="L48" s="29" t="s">
        <v>28</v>
      </c>
      <c r="P48" s="30">
        <v>45623</v>
      </c>
      <c r="Q48" s="30">
        <v>45624</v>
      </c>
      <c r="R48" s="22" t="s">
        <v>29</v>
      </c>
      <c r="S48" s="29" t="s">
        <v>30</v>
      </c>
      <c r="T48" s="22" t="s">
        <v>31</v>
      </c>
      <c r="U48" s="25" t="s">
        <v>32</v>
      </c>
      <c r="V48" s="22" t="s">
        <v>33</v>
      </c>
      <c r="W48" s="32" t="s">
        <v>34</v>
      </c>
    </row>
    <row r="49" spans="1:23">
      <c r="A49" s="22" t="s">
        <v>186</v>
      </c>
      <c r="B49" s="25">
        <f>VLOOKUP(A49,[1]ProjectsResults!$D:$E,2,FALSE)</f>
        <v>9963</v>
      </c>
      <c r="C49" s="22">
        <f>VLOOKUP(A49,[2]Sheet2!$D:$E,2,FALSE)</f>
        <v>8771</v>
      </c>
      <c r="D49" s="22">
        <v>8771</v>
      </c>
      <c r="E49" s="22">
        <f>VLOOKUP(A49,[3]Sheet2!$A:$F,6,FALSE)</f>
        <v>520190</v>
      </c>
      <c r="G49" s="22" t="s">
        <v>187</v>
      </c>
      <c r="H49" s="22" t="s">
        <v>188</v>
      </c>
      <c r="I49" s="22" t="s">
        <v>25</v>
      </c>
      <c r="J49" s="29" t="s">
        <v>189</v>
      </c>
      <c r="K49" s="29" t="s">
        <v>190</v>
      </c>
      <c r="L49" s="29" t="s">
        <v>28</v>
      </c>
      <c r="P49" s="30">
        <v>45559</v>
      </c>
      <c r="Q49" s="30">
        <v>45559</v>
      </c>
      <c r="R49" s="22" t="s">
        <v>29</v>
      </c>
      <c r="S49" s="29" t="s">
        <v>30</v>
      </c>
      <c r="T49" s="22" t="s">
        <v>74</v>
      </c>
      <c r="U49" s="25" t="s">
        <v>32</v>
      </c>
      <c r="V49" s="22" t="s">
        <v>75</v>
      </c>
      <c r="W49" s="32" t="s">
        <v>34</v>
      </c>
    </row>
    <row r="50" spans="1:23">
      <c r="A50" s="22" t="s">
        <v>191</v>
      </c>
      <c r="B50" s="25">
        <f>VLOOKUP(A50,[1]ProjectsResults!$D:$E,2,FALSE)</f>
        <v>9964</v>
      </c>
      <c r="C50" s="22">
        <f>VLOOKUP(A50,[2]Sheet2!$D:$E,2,FALSE)</f>
        <v>8772</v>
      </c>
      <c r="D50" s="22">
        <v>8772</v>
      </c>
      <c r="E50" s="22">
        <f>VLOOKUP(A50,[3]Sheet2!$A:$F,6,FALSE)</f>
        <v>3034350</v>
      </c>
      <c r="G50" s="22" t="s">
        <v>192</v>
      </c>
      <c r="H50" s="22" t="s">
        <v>105</v>
      </c>
      <c r="I50" s="22" t="s">
        <v>25</v>
      </c>
      <c r="J50" s="29" t="s">
        <v>42</v>
      </c>
      <c r="K50" s="29" t="s">
        <v>43</v>
      </c>
      <c r="L50" s="29" t="s">
        <v>28</v>
      </c>
      <c r="P50" s="30">
        <v>45574</v>
      </c>
      <c r="Q50" s="30">
        <v>45574</v>
      </c>
      <c r="R50" s="22" t="s">
        <v>29</v>
      </c>
      <c r="S50" s="29" t="s">
        <v>30</v>
      </c>
      <c r="T50" s="22" t="s">
        <v>31</v>
      </c>
      <c r="U50" s="25" t="s">
        <v>32</v>
      </c>
      <c r="V50" s="22" t="s">
        <v>33</v>
      </c>
      <c r="W50" s="32" t="s">
        <v>34</v>
      </c>
    </row>
    <row r="51" spans="1:23">
      <c r="A51" s="22" t="s">
        <v>193</v>
      </c>
      <c r="B51" s="25">
        <f>VLOOKUP(A51,[1]ProjectsResults!$D:$E,2,FALSE)</f>
        <v>9965</v>
      </c>
      <c r="C51" s="22">
        <f>VLOOKUP(A51,[2]Sheet2!$D:$E,2,FALSE)</f>
        <v>8773</v>
      </c>
      <c r="D51" s="22">
        <v>8773</v>
      </c>
      <c r="E51" s="22">
        <f>VLOOKUP(A51,[3]Sheet2!$A:$F,6,FALSE)</f>
        <v>402500</v>
      </c>
      <c r="G51" s="22" t="s">
        <v>194</v>
      </c>
      <c r="H51" s="22" t="s">
        <v>195</v>
      </c>
      <c r="I51" s="22" t="s">
        <v>25</v>
      </c>
      <c r="J51" s="29" t="s">
        <v>47</v>
      </c>
      <c r="K51" s="29" t="s">
        <v>196</v>
      </c>
      <c r="L51" s="29" t="s">
        <v>28</v>
      </c>
      <c r="P51" s="30">
        <v>45563</v>
      </c>
      <c r="Q51" s="30">
        <v>45564</v>
      </c>
      <c r="R51" s="22" t="s">
        <v>29</v>
      </c>
      <c r="S51" s="29" t="s">
        <v>30</v>
      </c>
      <c r="T51" s="22" t="s">
        <v>49</v>
      </c>
      <c r="U51" s="25" t="s">
        <v>32</v>
      </c>
      <c r="V51" s="22" t="s">
        <v>50</v>
      </c>
      <c r="W51" s="32" t="s">
        <v>34</v>
      </c>
    </row>
    <row r="52" spans="1:23">
      <c r="A52" s="22" t="s">
        <v>197</v>
      </c>
      <c r="B52" s="25">
        <f>VLOOKUP(A52,[1]ProjectsResults!$D:$E,2,FALSE)</f>
        <v>9966</v>
      </c>
      <c r="C52" s="22">
        <f>VLOOKUP(A52,[2]Sheet2!$D:$E,2,FALSE)</f>
        <v>8774</v>
      </c>
      <c r="D52" s="22">
        <v>8774</v>
      </c>
      <c r="E52" s="22">
        <f>VLOOKUP(A52,[3]Sheet2!$A:$F,6,FALSE)</f>
        <v>300840</v>
      </c>
      <c r="G52" s="22" t="s">
        <v>198</v>
      </c>
      <c r="H52" s="22" t="s">
        <v>137</v>
      </c>
      <c r="I52" s="22" t="s">
        <v>25</v>
      </c>
      <c r="J52" s="29" t="s">
        <v>47</v>
      </c>
      <c r="K52" s="29" t="s">
        <v>196</v>
      </c>
      <c r="L52" s="29" t="s">
        <v>28</v>
      </c>
      <c r="P52" s="30">
        <v>45563</v>
      </c>
      <c r="Q52" s="30">
        <v>45563</v>
      </c>
      <c r="R52" s="22" t="s">
        <v>29</v>
      </c>
      <c r="S52" s="29" t="s">
        <v>30</v>
      </c>
      <c r="T52" s="22" t="s">
        <v>49</v>
      </c>
      <c r="U52" s="25" t="s">
        <v>32</v>
      </c>
      <c r="V52" s="22" t="s">
        <v>50</v>
      </c>
      <c r="W52" s="32" t="s">
        <v>34</v>
      </c>
    </row>
    <row r="53" spans="1:23">
      <c r="A53" s="22" t="s">
        <v>199</v>
      </c>
      <c r="B53" s="25">
        <f>VLOOKUP(A53,[1]ProjectsResults!$D:$E,2,FALSE)</f>
        <v>9967</v>
      </c>
      <c r="C53" s="22">
        <f>VLOOKUP(A53,[2]Sheet2!$D:$E,2,FALSE)</f>
        <v>8775</v>
      </c>
      <c r="D53" s="22">
        <v>8775</v>
      </c>
      <c r="E53" s="22">
        <f>VLOOKUP(A53,[3]Sheet2!$A:$F,6,FALSE)</f>
        <v>1995730.62</v>
      </c>
      <c r="G53" s="22" t="s">
        <v>200</v>
      </c>
      <c r="H53" s="22" t="s">
        <v>201</v>
      </c>
      <c r="I53" s="22" t="s">
        <v>25</v>
      </c>
      <c r="J53" s="29" t="s">
        <v>47</v>
      </c>
      <c r="K53" s="29" t="s">
        <v>66</v>
      </c>
      <c r="L53" s="29" t="s">
        <v>28</v>
      </c>
      <c r="P53" s="30">
        <v>45568</v>
      </c>
      <c r="Q53" s="30">
        <v>45568</v>
      </c>
      <c r="R53" s="22" t="s">
        <v>29</v>
      </c>
      <c r="S53" s="29" t="s">
        <v>30</v>
      </c>
      <c r="T53" s="22" t="s">
        <v>49</v>
      </c>
      <c r="U53" s="25" t="s">
        <v>32</v>
      </c>
      <c r="V53" s="22" t="s">
        <v>50</v>
      </c>
      <c r="W53" s="32" t="s">
        <v>34</v>
      </c>
    </row>
    <row r="54" spans="1:23">
      <c r="A54" s="22" t="s">
        <v>202</v>
      </c>
      <c r="B54" s="25">
        <f>VLOOKUP(A54,[1]ProjectsResults!$D:$E,2,FALSE)</f>
        <v>9968</v>
      </c>
      <c r="C54" s="22">
        <f>VLOOKUP(A54,[2]Sheet2!$D:$E,2,FALSE)</f>
        <v>8776</v>
      </c>
      <c r="D54" s="22">
        <v>8776</v>
      </c>
      <c r="E54" s="22">
        <f>VLOOKUP(A54,[3]Sheet2!$A:$F,6,FALSE)</f>
        <v>3666447</v>
      </c>
      <c r="G54" s="22" t="s">
        <v>203</v>
      </c>
      <c r="H54" s="22" t="s">
        <v>204</v>
      </c>
      <c r="I54" s="22" t="s">
        <v>25</v>
      </c>
      <c r="J54" s="29" t="s">
        <v>155</v>
      </c>
      <c r="K54" s="29" t="s">
        <v>205</v>
      </c>
      <c r="L54" s="29" t="s">
        <v>28</v>
      </c>
      <c r="P54" s="30">
        <v>45562</v>
      </c>
      <c r="Q54" s="30">
        <v>45564</v>
      </c>
      <c r="R54" s="22" t="s">
        <v>29</v>
      </c>
      <c r="S54" s="29" t="s">
        <v>30</v>
      </c>
      <c r="T54" s="22" t="s">
        <v>74</v>
      </c>
      <c r="U54" s="25" t="s">
        <v>32</v>
      </c>
      <c r="V54" s="22" t="s">
        <v>75</v>
      </c>
      <c r="W54" s="33" t="s">
        <v>34</v>
      </c>
    </row>
    <row r="55" spans="1:23">
      <c r="A55" s="22" t="s">
        <v>206</v>
      </c>
      <c r="B55" s="25">
        <f>VLOOKUP(A55,[1]ProjectsResults!$D:$E,2,FALSE)</f>
        <v>9969</v>
      </c>
      <c r="C55" s="22">
        <f>VLOOKUP(A55,[2]Sheet2!$D:$E,2,FALSE)</f>
        <v>8777</v>
      </c>
      <c r="D55" s="22">
        <v>8777</v>
      </c>
      <c r="E55" s="22">
        <f>VLOOKUP(A55,[3]Sheet2!$A:$F,6,FALSE)</f>
        <v>53120</v>
      </c>
      <c r="G55" s="22" t="s">
        <v>207</v>
      </c>
      <c r="H55" s="22" t="s">
        <v>208</v>
      </c>
      <c r="I55" s="22" t="s">
        <v>25</v>
      </c>
      <c r="J55" s="29" t="s">
        <v>209</v>
      </c>
      <c r="K55" s="29" t="s">
        <v>210</v>
      </c>
      <c r="L55" s="29" t="s">
        <v>28</v>
      </c>
      <c r="P55" s="30">
        <v>45560</v>
      </c>
      <c r="Q55" s="30">
        <v>45560</v>
      </c>
      <c r="R55" s="22" t="s">
        <v>29</v>
      </c>
      <c r="S55" s="29" t="s">
        <v>30</v>
      </c>
      <c r="T55" s="22" t="s">
        <v>31</v>
      </c>
      <c r="U55" s="25" t="s">
        <v>211</v>
      </c>
      <c r="V55" s="22" t="s">
        <v>33</v>
      </c>
      <c r="W55" s="32" t="s">
        <v>34</v>
      </c>
    </row>
    <row r="56" spans="1:23">
      <c r="A56" s="22" t="s">
        <v>212</v>
      </c>
      <c r="B56" s="25">
        <f>VLOOKUP(A56,[1]ProjectsResults!$D:$E,2,FALSE)</f>
        <v>9970</v>
      </c>
      <c r="C56" s="22">
        <f>VLOOKUP(A56,[2]Sheet2!$D:$E,2,FALSE)</f>
        <v>8778</v>
      </c>
      <c r="D56" s="22">
        <v>8778</v>
      </c>
      <c r="E56" s="22">
        <f>VLOOKUP(A56,[3]Sheet2!$A:$F,6,FALSE)</f>
        <v>825000</v>
      </c>
      <c r="G56" s="22" t="s">
        <v>213</v>
      </c>
      <c r="H56" s="22" t="s">
        <v>65</v>
      </c>
      <c r="I56" s="22" t="s">
        <v>25</v>
      </c>
      <c r="J56" s="29" t="s">
        <v>182</v>
      </c>
      <c r="K56" s="29" t="s">
        <v>92</v>
      </c>
      <c r="L56" s="29" t="s">
        <v>28</v>
      </c>
      <c r="P56" s="30">
        <v>45581</v>
      </c>
      <c r="Q56" s="30">
        <v>45583</v>
      </c>
      <c r="R56" s="22" t="s">
        <v>29</v>
      </c>
      <c r="S56" s="29" t="s">
        <v>30</v>
      </c>
      <c r="T56" s="22" t="s">
        <v>31</v>
      </c>
      <c r="U56" s="25" t="s">
        <v>32</v>
      </c>
      <c r="V56" s="22" t="s">
        <v>33</v>
      </c>
      <c r="W56" s="32" t="s">
        <v>34</v>
      </c>
    </row>
    <row r="57" spans="1:23">
      <c r="A57" s="22" t="s">
        <v>214</v>
      </c>
      <c r="B57" s="25">
        <f>VLOOKUP(A57,[1]ProjectsResults!$D:$E,2,FALSE)</f>
        <v>9971</v>
      </c>
      <c r="C57" s="22">
        <f>VLOOKUP(A57,[2]Sheet2!$D:$E,2,FALSE)</f>
        <v>8779</v>
      </c>
      <c r="D57" s="22">
        <v>8779</v>
      </c>
      <c r="E57" s="22">
        <f>VLOOKUP(A57,[3]Sheet2!$A:$F,6,FALSE)</f>
        <v>2245584</v>
      </c>
      <c r="G57" s="22" t="s">
        <v>215</v>
      </c>
      <c r="H57" s="22" t="s">
        <v>105</v>
      </c>
      <c r="I57" s="22" t="s">
        <v>25</v>
      </c>
      <c r="J57" s="29" t="s">
        <v>42</v>
      </c>
      <c r="K57" s="29" t="s">
        <v>43</v>
      </c>
      <c r="L57" s="29" t="s">
        <v>28</v>
      </c>
      <c r="P57" s="30">
        <v>45580</v>
      </c>
      <c r="Q57" s="30">
        <v>45580</v>
      </c>
      <c r="R57" s="22" t="s">
        <v>29</v>
      </c>
      <c r="S57" s="29" t="s">
        <v>30</v>
      </c>
      <c r="T57" s="22" t="s">
        <v>31</v>
      </c>
      <c r="U57" s="25" t="s">
        <v>32</v>
      </c>
      <c r="V57" s="22" t="s">
        <v>33</v>
      </c>
      <c r="W57" s="32" t="s">
        <v>34</v>
      </c>
    </row>
    <row r="58" spans="1:23">
      <c r="A58" s="22" t="s">
        <v>216</v>
      </c>
      <c r="B58" s="25">
        <f>VLOOKUP(A58,[1]ProjectsResults!$D:$E,2,FALSE)</f>
        <v>9972</v>
      </c>
      <c r="C58" s="22">
        <f>VLOOKUP(A58,[2]Sheet2!$D:$E,2,FALSE)</f>
        <v>8780</v>
      </c>
      <c r="D58" s="22">
        <v>8780</v>
      </c>
      <c r="E58" s="22">
        <f>VLOOKUP(A58,[3]Sheet2!$A:$F,6,FALSE)</f>
        <v>304464</v>
      </c>
      <c r="G58" s="22" t="s">
        <v>217</v>
      </c>
      <c r="H58" s="22" t="s">
        <v>86</v>
      </c>
      <c r="I58" s="22" t="s">
        <v>25</v>
      </c>
      <c r="J58" s="29" t="s">
        <v>42</v>
      </c>
      <c r="K58" s="29" t="s">
        <v>218</v>
      </c>
      <c r="L58" s="29" t="s">
        <v>28</v>
      </c>
      <c r="P58" s="30">
        <v>45562</v>
      </c>
      <c r="Q58" s="30">
        <v>45562</v>
      </c>
      <c r="R58" s="22" t="s">
        <v>29</v>
      </c>
      <c r="S58" s="29" t="s">
        <v>30</v>
      </c>
      <c r="T58" s="22" t="s">
        <v>31</v>
      </c>
      <c r="U58" s="25" t="s">
        <v>32</v>
      </c>
      <c r="V58" s="22" t="s">
        <v>33</v>
      </c>
      <c r="W58" s="32" t="s">
        <v>34</v>
      </c>
    </row>
    <row r="59" spans="1:23">
      <c r="A59" s="22" t="s">
        <v>219</v>
      </c>
      <c r="B59" s="25">
        <f>VLOOKUP(A59,[1]ProjectsResults!$D:$E,2,FALSE)</f>
        <v>9973</v>
      </c>
      <c r="C59" s="22">
        <f>VLOOKUP(A59,[2]Sheet2!$D:$E,2,FALSE)</f>
        <v>8781</v>
      </c>
      <c r="D59" s="22">
        <v>8781</v>
      </c>
      <c r="E59" s="22">
        <f>VLOOKUP(A59,[3]Sheet2!$A:$F,6,FALSE)</f>
        <v>181887.5</v>
      </c>
      <c r="G59" s="22" t="s">
        <v>220</v>
      </c>
      <c r="H59" s="22" t="s">
        <v>195</v>
      </c>
      <c r="I59" s="22" t="s">
        <v>25</v>
      </c>
      <c r="J59" s="29" t="s">
        <v>47</v>
      </c>
      <c r="K59" s="29" t="s">
        <v>196</v>
      </c>
      <c r="L59" s="29" t="s">
        <v>28</v>
      </c>
      <c r="P59" s="30">
        <v>45562</v>
      </c>
      <c r="Q59" s="30">
        <v>45562</v>
      </c>
      <c r="R59" s="22" t="s">
        <v>29</v>
      </c>
      <c r="S59" s="29" t="s">
        <v>30</v>
      </c>
      <c r="T59" s="22" t="s">
        <v>49</v>
      </c>
      <c r="U59" s="25" t="s">
        <v>32</v>
      </c>
      <c r="V59" s="22" t="s">
        <v>50</v>
      </c>
      <c r="W59" s="32" t="s">
        <v>34</v>
      </c>
    </row>
    <row r="60" spans="1:23">
      <c r="A60" s="22" t="s">
        <v>221</v>
      </c>
      <c r="B60" s="25">
        <f>VLOOKUP(A60,[1]ProjectsResults!$D:$E,2,FALSE)</f>
        <v>9974</v>
      </c>
      <c r="C60" s="22">
        <f>VLOOKUP(A60,[2]Sheet2!$D:$E,2,FALSE)</f>
        <v>8782</v>
      </c>
      <c r="D60" s="22">
        <v>8782</v>
      </c>
      <c r="E60" s="22">
        <f>VLOOKUP(A60,[3]Sheet2!$A:$F,6,FALSE)</f>
        <v>3302404</v>
      </c>
      <c r="G60" s="22" t="s">
        <v>222</v>
      </c>
      <c r="H60" s="22" t="s">
        <v>223</v>
      </c>
      <c r="I60" s="22" t="s">
        <v>25</v>
      </c>
      <c r="J60" s="29" t="s">
        <v>189</v>
      </c>
      <c r="K60" s="29" t="s">
        <v>190</v>
      </c>
      <c r="L60" s="29" t="s">
        <v>28</v>
      </c>
      <c r="P60" s="30">
        <v>45564</v>
      </c>
      <c r="Q60" s="30">
        <v>45566</v>
      </c>
      <c r="R60" s="22" t="s">
        <v>29</v>
      </c>
      <c r="S60" s="29" t="s">
        <v>30</v>
      </c>
      <c r="T60" s="22" t="s">
        <v>74</v>
      </c>
      <c r="U60" s="25" t="s">
        <v>32</v>
      </c>
      <c r="V60" s="22" t="s">
        <v>75</v>
      </c>
      <c r="W60" s="32" t="s">
        <v>34</v>
      </c>
    </row>
    <row r="61" spans="1:23">
      <c r="A61" s="22" t="s">
        <v>224</v>
      </c>
      <c r="B61" s="25">
        <f>VLOOKUP(A61,[1]ProjectsResults!$D:$E,2,FALSE)</f>
        <v>9975</v>
      </c>
      <c r="C61" s="22">
        <f>VLOOKUP(A61,[2]Sheet2!$D:$E,2,FALSE)</f>
        <v>9685</v>
      </c>
      <c r="D61" s="22">
        <v>9685</v>
      </c>
      <c r="E61" s="22">
        <f>VLOOKUP(A61,[3]Sheet2!$A:$F,6,FALSE)</f>
        <v>72600</v>
      </c>
      <c r="G61" s="22" t="s">
        <v>225</v>
      </c>
      <c r="H61" s="22" t="s">
        <v>226</v>
      </c>
      <c r="I61" s="22" t="s">
        <v>25</v>
      </c>
      <c r="J61" s="29" t="s">
        <v>47</v>
      </c>
      <c r="K61" s="29" t="s">
        <v>227</v>
      </c>
      <c r="L61" s="29" t="s">
        <v>28</v>
      </c>
      <c r="P61" s="30">
        <v>45562</v>
      </c>
      <c r="Q61" s="30">
        <v>45562</v>
      </c>
      <c r="R61" s="22" t="s">
        <v>29</v>
      </c>
      <c r="S61" s="29" t="s">
        <v>30</v>
      </c>
      <c r="T61" s="22" t="s">
        <v>49</v>
      </c>
      <c r="U61" s="25" t="s">
        <v>32</v>
      </c>
      <c r="V61" s="22" t="s">
        <v>50</v>
      </c>
      <c r="W61" s="32" t="s">
        <v>34</v>
      </c>
    </row>
    <row r="62" spans="1:23">
      <c r="A62" s="22" t="s">
        <v>228</v>
      </c>
      <c r="B62" s="25">
        <f>VLOOKUP(A62,[1]ProjectsResults!$D:$E,2,FALSE)</f>
        <v>9976</v>
      </c>
      <c r="C62" s="22">
        <f>VLOOKUP(A62,[2]Sheet2!$D:$E,2,FALSE)</f>
        <v>8783</v>
      </c>
      <c r="D62" s="22">
        <v>8783</v>
      </c>
      <c r="E62" s="22">
        <f>VLOOKUP(A62,[3]Sheet2!$A:$F,6,FALSE)</f>
        <v>1570800</v>
      </c>
      <c r="G62" s="22" t="s">
        <v>229</v>
      </c>
      <c r="H62" s="22" t="s">
        <v>58</v>
      </c>
      <c r="I62" s="22" t="s">
        <v>25</v>
      </c>
      <c r="J62" s="29" t="s">
        <v>47</v>
      </c>
      <c r="K62" s="29" t="s">
        <v>129</v>
      </c>
      <c r="L62" s="29" t="s">
        <v>28</v>
      </c>
      <c r="P62" s="30">
        <v>45564</v>
      </c>
      <c r="Q62" s="30">
        <v>45564</v>
      </c>
      <c r="R62" s="22" t="s">
        <v>29</v>
      </c>
      <c r="S62" s="29" t="s">
        <v>30</v>
      </c>
      <c r="T62" s="22" t="s">
        <v>49</v>
      </c>
      <c r="U62" s="25" t="s">
        <v>32</v>
      </c>
      <c r="V62" s="22" t="s">
        <v>50</v>
      </c>
      <c r="W62" s="32" t="s">
        <v>34</v>
      </c>
    </row>
    <row r="63" spans="1:23">
      <c r="A63" s="22" t="s">
        <v>230</v>
      </c>
      <c r="B63" s="25">
        <f>VLOOKUP(A63,[1]ProjectsResults!$D:$E,2,FALSE)</f>
        <v>9977</v>
      </c>
      <c r="C63" s="22">
        <f>VLOOKUP(A63,[2]Sheet2!$D:$E,2,FALSE)</f>
        <v>8784</v>
      </c>
      <c r="D63" s="22">
        <v>8784</v>
      </c>
      <c r="E63" s="22">
        <f>VLOOKUP(A63,[3]Sheet2!$A:$F,6,FALSE)</f>
        <v>166100</v>
      </c>
      <c r="G63" s="22" t="s">
        <v>231</v>
      </c>
      <c r="H63" s="22" t="s">
        <v>232</v>
      </c>
      <c r="I63" s="22" t="s">
        <v>25</v>
      </c>
      <c r="J63" s="29" t="s">
        <v>115</v>
      </c>
      <c r="K63" s="29" t="s">
        <v>164</v>
      </c>
      <c r="L63" s="29" t="s">
        <v>28</v>
      </c>
      <c r="P63" s="30">
        <v>45562</v>
      </c>
      <c r="Q63" s="30">
        <v>45562</v>
      </c>
      <c r="R63" s="22" t="s">
        <v>29</v>
      </c>
      <c r="S63" s="29" t="s">
        <v>30</v>
      </c>
      <c r="T63" s="22" t="s">
        <v>49</v>
      </c>
      <c r="U63" s="25" t="s">
        <v>32</v>
      </c>
      <c r="V63" s="22" t="s">
        <v>117</v>
      </c>
      <c r="W63" s="32" t="s">
        <v>34</v>
      </c>
    </row>
    <row r="64" spans="1:23">
      <c r="A64" s="22" t="s">
        <v>233</v>
      </c>
      <c r="B64" s="25">
        <f>VLOOKUP(A64,[1]ProjectsResults!$D:$E,2,FALSE)</f>
        <v>9978</v>
      </c>
      <c r="C64" s="22">
        <f>VLOOKUP(A64,[2]Sheet2!$D:$E,2,FALSE)</f>
        <v>8785</v>
      </c>
      <c r="D64" s="22">
        <v>8785</v>
      </c>
      <c r="E64" s="22">
        <f>VLOOKUP(A64,[3]Sheet2!$A:$F,6,FALSE)</f>
        <v>3465250</v>
      </c>
      <c r="G64" s="22" t="s">
        <v>234</v>
      </c>
      <c r="H64" s="22" t="s">
        <v>235</v>
      </c>
      <c r="I64" s="22" t="s">
        <v>25</v>
      </c>
      <c r="J64" s="29" t="s">
        <v>168</v>
      </c>
      <c r="K64" s="29" t="s">
        <v>169</v>
      </c>
      <c r="L64" s="29" t="s">
        <v>28</v>
      </c>
      <c r="P64" s="30">
        <v>45589</v>
      </c>
      <c r="Q64" s="30">
        <v>45589</v>
      </c>
      <c r="R64" s="22" t="s">
        <v>29</v>
      </c>
      <c r="S64" s="29" t="s">
        <v>30</v>
      </c>
      <c r="T64" s="22" t="s">
        <v>31</v>
      </c>
      <c r="U64" s="25" t="s">
        <v>32</v>
      </c>
      <c r="V64" s="22" t="s">
        <v>33</v>
      </c>
      <c r="W64" s="32" t="s">
        <v>34</v>
      </c>
    </row>
    <row r="65" spans="1:23">
      <c r="A65" s="22" t="s">
        <v>236</v>
      </c>
      <c r="B65" s="25">
        <f>VLOOKUP(A65,[1]ProjectsResults!$D:$E,2,FALSE)</f>
        <v>9979</v>
      </c>
      <c r="C65" s="22">
        <f>VLOOKUP(A65,[2]Sheet2!$D:$E,2,FALSE)</f>
        <v>8786</v>
      </c>
      <c r="D65" s="22">
        <v>8786</v>
      </c>
      <c r="E65" s="22">
        <f>VLOOKUP(A65,[3]Sheet2!$A:$F,6,FALSE)</f>
        <v>0</v>
      </c>
      <c r="G65" s="22" t="s">
        <v>237</v>
      </c>
      <c r="H65" s="22" t="s">
        <v>86</v>
      </c>
      <c r="I65" s="22" t="s">
        <v>25</v>
      </c>
      <c r="J65" s="29" t="s">
        <v>42</v>
      </c>
      <c r="K65" s="29" t="s">
        <v>238</v>
      </c>
      <c r="L65" s="29" t="s">
        <v>28</v>
      </c>
      <c r="P65" s="30">
        <v>45571</v>
      </c>
      <c r="Q65" s="30">
        <v>45571</v>
      </c>
      <c r="R65" s="22" t="s">
        <v>29</v>
      </c>
      <c r="S65" s="29" t="s">
        <v>30</v>
      </c>
      <c r="T65" s="22" t="s">
        <v>31</v>
      </c>
      <c r="U65" s="25" t="s">
        <v>32</v>
      </c>
      <c r="V65" s="22" t="s">
        <v>33</v>
      </c>
      <c r="W65" s="32" t="s">
        <v>34</v>
      </c>
    </row>
    <row r="66" spans="1:23">
      <c r="A66" s="22" t="s">
        <v>239</v>
      </c>
      <c r="B66" s="25">
        <f>VLOOKUP(A66,[1]ProjectsResults!$D:$E,2,FALSE)</f>
        <v>9980</v>
      </c>
      <c r="C66" s="22">
        <f>VLOOKUP(A66,[2]Sheet2!$D:$E,2,FALSE)</f>
        <v>8787</v>
      </c>
      <c r="D66" s="22">
        <v>8787</v>
      </c>
      <c r="E66" s="22">
        <f>VLOOKUP(A66,[3]Sheet2!$A:$F,6,FALSE)</f>
        <v>876090.86</v>
      </c>
      <c r="G66" s="22" t="s">
        <v>240</v>
      </c>
      <c r="H66" s="22" t="s">
        <v>241</v>
      </c>
      <c r="I66" s="22" t="s">
        <v>25</v>
      </c>
      <c r="J66" s="29" t="s">
        <v>47</v>
      </c>
      <c r="K66" s="29" t="s">
        <v>242</v>
      </c>
      <c r="L66" s="29" t="s">
        <v>28</v>
      </c>
      <c r="P66" s="30">
        <v>45569</v>
      </c>
      <c r="Q66" s="30">
        <v>45569</v>
      </c>
      <c r="R66" s="22" t="s">
        <v>29</v>
      </c>
      <c r="S66" s="29" t="s">
        <v>30</v>
      </c>
      <c r="T66" s="22" t="s">
        <v>49</v>
      </c>
      <c r="U66" s="25" t="s">
        <v>32</v>
      </c>
      <c r="V66" s="22" t="s">
        <v>50</v>
      </c>
      <c r="W66" s="32" t="s">
        <v>34</v>
      </c>
    </row>
    <row r="67" spans="1:23">
      <c r="A67" s="22" t="s">
        <v>243</v>
      </c>
      <c r="B67" s="25">
        <f>VLOOKUP(A67,[1]ProjectsResults!$D:$E,2,FALSE)</f>
        <v>9981</v>
      </c>
      <c r="C67" s="22">
        <f>VLOOKUP(A67,[2]Sheet2!$D:$E,2,FALSE)</f>
        <v>8788</v>
      </c>
      <c r="D67" s="22">
        <v>8788</v>
      </c>
      <c r="E67" s="22">
        <f>VLOOKUP(A67,[3]Sheet2!$A:$F,6,FALSE)</f>
        <v>1528120</v>
      </c>
      <c r="G67" s="22" t="s">
        <v>244</v>
      </c>
      <c r="H67" s="22" t="s">
        <v>58</v>
      </c>
      <c r="I67" s="22" t="s">
        <v>25</v>
      </c>
      <c r="J67" s="29" t="s">
        <v>47</v>
      </c>
      <c r="K67" s="29" t="s">
        <v>227</v>
      </c>
      <c r="L67" s="29" t="s">
        <v>28</v>
      </c>
      <c r="P67" s="30">
        <v>45566</v>
      </c>
      <c r="Q67" s="30">
        <v>45566</v>
      </c>
      <c r="R67" s="22" t="s">
        <v>29</v>
      </c>
      <c r="S67" s="29" t="s">
        <v>30</v>
      </c>
      <c r="T67" s="22" t="s">
        <v>49</v>
      </c>
      <c r="U67" s="25" t="s">
        <v>32</v>
      </c>
      <c r="V67" s="22" t="s">
        <v>50</v>
      </c>
      <c r="W67" s="32" t="s">
        <v>34</v>
      </c>
    </row>
    <row r="68" spans="1:23">
      <c r="A68" s="22" t="s">
        <v>245</v>
      </c>
      <c r="B68" s="25">
        <f>VLOOKUP(A68,[1]ProjectsResults!$D:$E,2,FALSE)</f>
        <v>9982</v>
      </c>
      <c r="C68" s="22">
        <f>VLOOKUP(A68,[2]Sheet2!$D:$E,2,FALSE)</f>
        <v>8789</v>
      </c>
      <c r="D68" s="22">
        <v>8789</v>
      </c>
      <c r="E68" s="22">
        <f>VLOOKUP(A68,[3]Sheet2!$A:$F,6,FALSE)</f>
        <v>626789</v>
      </c>
      <c r="G68" s="22" t="s">
        <v>246</v>
      </c>
      <c r="H68" s="22" t="s">
        <v>86</v>
      </c>
      <c r="I68" s="22" t="s">
        <v>25</v>
      </c>
      <c r="J68" s="29" t="s">
        <v>42</v>
      </c>
      <c r="K68" s="29" t="s">
        <v>238</v>
      </c>
      <c r="L68" s="29" t="s">
        <v>28</v>
      </c>
      <c r="P68" s="30">
        <v>45603</v>
      </c>
      <c r="Q68" s="30">
        <v>45603</v>
      </c>
      <c r="R68" s="22" t="s">
        <v>29</v>
      </c>
      <c r="S68" s="29" t="s">
        <v>30</v>
      </c>
      <c r="T68" s="22" t="s">
        <v>31</v>
      </c>
      <c r="U68" s="25" t="s">
        <v>32</v>
      </c>
      <c r="V68" s="22" t="s">
        <v>33</v>
      </c>
      <c r="W68" s="32" t="s">
        <v>34</v>
      </c>
    </row>
    <row r="69" spans="1:23">
      <c r="A69" s="22" t="s">
        <v>247</v>
      </c>
      <c r="B69" s="25">
        <f>VLOOKUP(A69,[1]ProjectsResults!$D:$E,2,FALSE)</f>
        <v>9983</v>
      </c>
      <c r="C69" s="22">
        <f>VLOOKUP(A69,[2]Sheet2!$D:$E,2,FALSE)</f>
        <v>8790</v>
      </c>
      <c r="D69" s="22">
        <v>8790</v>
      </c>
      <c r="E69" s="22">
        <f>VLOOKUP(A69,[3]Sheet2!$A:$F,6,FALSE)</f>
        <v>774974</v>
      </c>
      <c r="G69" s="22" t="s">
        <v>248</v>
      </c>
      <c r="H69" s="22" t="s">
        <v>249</v>
      </c>
      <c r="I69" s="22" t="s">
        <v>25</v>
      </c>
      <c r="J69" s="29" t="s">
        <v>250</v>
      </c>
      <c r="K69" s="29" t="s">
        <v>251</v>
      </c>
      <c r="L69" s="29" t="s">
        <v>28</v>
      </c>
      <c r="P69" s="30">
        <v>45566</v>
      </c>
      <c r="Q69" s="30">
        <v>45566</v>
      </c>
      <c r="R69" s="22" t="s">
        <v>29</v>
      </c>
      <c r="S69" s="29" t="s">
        <v>30</v>
      </c>
      <c r="T69" s="22" t="s">
        <v>31</v>
      </c>
      <c r="U69" s="25" t="s">
        <v>32</v>
      </c>
      <c r="V69" s="22" t="s">
        <v>33</v>
      </c>
      <c r="W69" s="32" t="s">
        <v>34</v>
      </c>
    </row>
    <row r="70" spans="1:23">
      <c r="A70" s="22" t="s">
        <v>252</v>
      </c>
      <c r="B70" s="25">
        <f>VLOOKUP(A70,[1]ProjectsResults!$D:$E,2,FALSE)</f>
        <v>9984</v>
      </c>
      <c r="C70" s="22">
        <f>VLOOKUP(A70,[2]Sheet2!$D:$E,2,FALSE)</f>
        <v>8791</v>
      </c>
      <c r="D70" s="22">
        <v>8791</v>
      </c>
      <c r="E70" s="22">
        <f>VLOOKUP(A70,[3]Sheet2!$A:$F,6,FALSE)</f>
        <v>693500</v>
      </c>
      <c r="G70" s="22" t="s">
        <v>253</v>
      </c>
      <c r="H70" s="22" t="s">
        <v>249</v>
      </c>
      <c r="I70" s="22" t="s">
        <v>25</v>
      </c>
      <c r="J70" s="29" t="s">
        <v>250</v>
      </c>
      <c r="K70" s="34" t="s">
        <v>254</v>
      </c>
      <c r="L70" s="29" t="s">
        <v>28</v>
      </c>
      <c r="P70" s="30">
        <v>45566</v>
      </c>
      <c r="Q70" s="30">
        <v>45566</v>
      </c>
      <c r="R70" s="22" t="s">
        <v>29</v>
      </c>
      <c r="S70" s="29" t="s">
        <v>30</v>
      </c>
      <c r="T70" s="22" t="s">
        <v>31</v>
      </c>
      <c r="U70" s="25" t="s">
        <v>32</v>
      </c>
      <c r="V70" s="22" t="s">
        <v>33</v>
      </c>
      <c r="W70" s="32" t="s">
        <v>34</v>
      </c>
    </row>
    <row r="71" spans="1:23">
      <c r="A71" s="22" t="s">
        <v>255</v>
      </c>
      <c r="B71" s="25">
        <f>VLOOKUP(A71,[1]ProjectsResults!$D:$E,2,FALSE)</f>
        <v>9985</v>
      </c>
      <c r="C71" s="22">
        <f>VLOOKUP(A71,[2]Sheet2!$D:$E,2,FALSE)</f>
        <v>8792</v>
      </c>
      <c r="D71" s="22">
        <v>8792</v>
      </c>
      <c r="E71" s="22">
        <f>VLOOKUP(A71,[3]Sheet2!$A:$F,6,FALSE)</f>
        <v>112725</v>
      </c>
      <c r="G71" s="22" t="s">
        <v>256</v>
      </c>
      <c r="H71" s="22" t="s">
        <v>257</v>
      </c>
      <c r="I71" s="22" t="s">
        <v>25</v>
      </c>
      <c r="J71" s="29" t="s">
        <v>38</v>
      </c>
      <c r="K71" s="29" t="s">
        <v>38</v>
      </c>
      <c r="L71" s="29" t="s">
        <v>28</v>
      </c>
      <c r="P71" s="30">
        <v>45567</v>
      </c>
      <c r="Q71" s="30">
        <v>45567</v>
      </c>
      <c r="R71" s="22" t="s">
        <v>29</v>
      </c>
      <c r="S71" s="29" t="s">
        <v>30</v>
      </c>
      <c r="T71" s="22" t="s">
        <v>31</v>
      </c>
      <c r="U71" s="25" t="s">
        <v>32</v>
      </c>
      <c r="V71" s="22" t="s">
        <v>33</v>
      </c>
      <c r="W71" s="32" t="s">
        <v>34</v>
      </c>
    </row>
    <row r="72" spans="1:23">
      <c r="A72" s="22" t="s">
        <v>258</v>
      </c>
      <c r="B72" s="25">
        <f>VLOOKUP(A72,[1]ProjectsResults!$D:$E,2,FALSE)</f>
        <v>9986</v>
      </c>
      <c r="C72" s="22">
        <f>VLOOKUP(A72,[2]Sheet2!$D:$E,2,FALSE)</f>
        <v>8793</v>
      </c>
      <c r="D72" s="22">
        <v>8793</v>
      </c>
      <c r="E72" s="22">
        <f>VLOOKUP(A72,[3]Sheet2!$A:$F,6,FALSE)</f>
        <v>1245000</v>
      </c>
      <c r="G72" s="22" t="s">
        <v>259</v>
      </c>
      <c r="H72" s="22" t="s">
        <v>102</v>
      </c>
      <c r="I72" s="22" t="s">
        <v>25</v>
      </c>
      <c r="J72" s="29" t="s">
        <v>38</v>
      </c>
      <c r="K72" s="29" t="s">
        <v>38</v>
      </c>
      <c r="L72" s="29" t="s">
        <v>28</v>
      </c>
      <c r="P72" s="30">
        <v>45566</v>
      </c>
      <c r="Q72" s="30">
        <v>45566</v>
      </c>
      <c r="R72" s="22" t="s">
        <v>29</v>
      </c>
      <c r="S72" s="29" t="s">
        <v>30</v>
      </c>
      <c r="T72" s="22" t="s">
        <v>31</v>
      </c>
      <c r="U72" s="25" t="s">
        <v>32</v>
      </c>
      <c r="V72" s="22" t="s">
        <v>33</v>
      </c>
      <c r="W72" s="32" t="s">
        <v>34</v>
      </c>
    </row>
    <row r="73" spans="1:23">
      <c r="A73" s="22" t="s">
        <v>260</v>
      </c>
      <c r="B73" s="25">
        <f>VLOOKUP(A73,[1]ProjectsResults!$D:$E,2,FALSE)</f>
        <v>9987</v>
      </c>
      <c r="C73" s="22">
        <f>VLOOKUP(A73,[2]Sheet2!$D:$E,2,FALSE)</f>
        <v>8794</v>
      </c>
      <c r="D73" s="22">
        <v>8794</v>
      </c>
      <c r="E73" s="22">
        <f>VLOOKUP(A73,[3]Sheet2!$A:$F,6,FALSE)</f>
        <v>71500</v>
      </c>
      <c r="G73" s="22" t="s">
        <v>261</v>
      </c>
      <c r="H73" s="22" t="s">
        <v>262</v>
      </c>
      <c r="I73" s="22" t="s">
        <v>25</v>
      </c>
      <c r="J73" s="29" t="s">
        <v>42</v>
      </c>
      <c r="K73" s="29" t="s">
        <v>179</v>
      </c>
      <c r="L73" s="29" t="s">
        <v>28</v>
      </c>
      <c r="P73" s="30">
        <v>45566</v>
      </c>
      <c r="Q73" s="30">
        <v>45566</v>
      </c>
      <c r="R73" s="22" t="s">
        <v>29</v>
      </c>
      <c r="S73" s="29" t="s">
        <v>30</v>
      </c>
      <c r="T73" s="22" t="s">
        <v>31</v>
      </c>
      <c r="U73" s="25" t="s">
        <v>32</v>
      </c>
      <c r="V73" s="22" t="s">
        <v>33</v>
      </c>
      <c r="W73" s="32" t="s">
        <v>34</v>
      </c>
    </row>
    <row r="74" spans="1:23">
      <c r="A74" s="22" t="s">
        <v>263</v>
      </c>
      <c r="B74" s="25">
        <f>VLOOKUP(A74,[1]ProjectsResults!$D:$E,2,FALSE)</f>
        <v>9988</v>
      </c>
      <c r="C74" s="22">
        <f>VLOOKUP(A74,[2]Sheet2!$D:$E,2,FALSE)</f>
        <v>8795</v>
      </c>
      <c r="D74" s="22">
        <v>8795</v>
      </c>
      <c r="E74" s="22">
        <f>VLOOKUP(A74,[3]Sheet2!$A:$F,6,FALSE)</f>
        <v>511164</v>
      </c>
      <c r="G74" s="22" t="s">
        <v>264</v>
      </c>
      <c r="H74" s="22" t="s">
        <v>265</v>
      </c>
      <c r="I74" s="22" t="s">
        <v>25</v>
      </c>
      <c r="J74" s="29" t="s">
        <v>115</v>
      </c>
      <c r="K74" s="29" t="s">
        <v>164</v>
      </c>
      <c r="L74" s="29" t="s">
        <v>28</v>
      </c>
      <c r="P74" s="30">
        <v>45581</v>
      </c>
      <c r="Q74" s="30">
        <v>45583</v>
      </c>
      <c r="R74" s="22" t="s">
        <v>29</v>
      </c>
      <c r="S74" s="29" t="s">
        <v>30</v>
      </c>
      <c r="T74" s="22" t="s">
        <v>49</v>
      </c>
      <c r="U74" s="25" t="s">
        <v>32</v>
      </c>
      <c r="V74" s="22" t="s">
        <v>117</v>
      </c>
      <c r="W74" s="32" t="s">
        <v>34</v>
      </c>
    </row>
    <row r="75" spans="1:23">
      <c r="A75" s="22" t="s">
        <v>266</v>
      </c>
      <c r="B75" s="25">
        <f>VLOOKUP(A75,[1]ProjectsResults!$D:$E,2,FALSE)</f>
        <v>9989</v>
      </c>
      <c r="C75" s="22">
        <f>VLOOKUP(A75,[2]Sheet2!$D:$E,2,FALSE)</f>
        <v>9344</v>
      </c>
      <c r="D75" s="22">
        <v>9344</v>
      </c>
      <c r="E75" s="22">
        <f>VLOOKUP(A75,[3]Sheet2!$A:$F,6,FALSE)</f>
        <v>10750</v>
      </c>
      <c r="G75" s="22" t="s">
        <v>267</v>
      </c>
      <c r="H75" s="22" t="s">
        <v>159</v>
      </c>
      <c r="I75" s="22" t="s">
        <v>25</v>
      </c>
      <c r="J75" s="29" t="s">
        <v>115</v>
      </c>
      <c r="K75" s="29" t="s">
        <v>160</v>
      </c>
      <c r="L75" s="29" t="s">
        <v>28</v>
      </c>
      <c r="P75" s="30">
        <v>45567</v>
      </c>
      <c r="Q75" s="30">
        <v>45567</v>
      </c>
      <c r="R75" s="22" t="s">
        <v>29</v>
      </c>
      <c r="S75" s="29" t="s">
        <v>30</v>
      </c>
      <c r="T75" s="22" t="s">
        <v>49</v>
      </c>
      <c r="U75" s="25" t="s">
        <v>32</v>
      </c>
      <c r="V75" s="22" t="s">
        <v>117</v>
      </c>
      <c r="W75" s="32" t="s">
        <v>34</v>
      </c>
    </row>
    <row r="76" spans="1:23">
      <c r="A76" s="22" t="s">
        <v>268</v>
      </c>
      <c r="B76" s="25">
        <f>VLOOKUP(A76,[1]ProjectsResults!$D:$E,2,FALSE)</f>
        <v>9990</v>
      </c>
      <c r="C76" s="22">
        <f>VLOOKUP(A76,[2]Sheet2!$D:$E,2,FALSE)</f>
        <v>8796</v>
      </c>
      <c r="D76" s="22">
        <v>8796</v>
      </c>
      <c r="E76" s="22">
        <f>VLOOKUP(A76,[3]Sheet2!$A:$F,6,FALSE)</f>
        <v>2297922</v>
      </c>
      <c r="G76" s="22" t="s">
        <v>269</v>
      </c>
      <c r="H76" s="22" t="s">
        <v>270</v>
      </c>
      <c r="I76" s="22" t="s">
        <v>25</v>
      </c>
      <c r="J76" s="29" t="s">
        <v>271</v>
      </c>
      <c r="K76" s="29" t="s">
        <v>272</v>
      </c>
      <c r="L76" s="29" t="s">
        <v>28</v>
      </c>
      <c r="P76" s="30">
        <v>45569</v>
      </c>
      <c r="Q76" s="30">
        <v>45569</v>
      </c>
      <c r="R76" s="22" t="s">
        <v>29</v>
      </c>
      <c r="S76" s="29" t="s">
        <v>30</v>
      </c>
      <c r="T76" s="22" t="s">
        <v>74</v>
      </c>
      <c r="U76" s="25" t="s">
        <v>32</v>
      </c>
      <c r="V76" s="22" t="s">
        <v>75</v>
      </c>
      <c r="W76" s="32" t="s">
        <v>34</v>
      </c>
    </row>
    <row r="77" spans="1:23">
      <c r="A77" s="22" t="s">
        <v>273</v>
      </c>
      <c r="B77" s="25">
        <f>VLOOKUP(A77,[1]ProjectsResults!$D:$E,2,FALSE)</f>
        <v>9991</v>
      </c>
      <c r="C77" s="22">
        <f>VLOOKUP(A77,[2]Sheet2!$D:$E,2,FALSE)</f>
        <v>8797</v>
      </c>
      <c r="D77" s="22">
        <v>8797</v>
      </c>
      <c r="E77" s="22">
        <f>VLOOKUP(A77,[3]Sheet2!$A:$F,6,FALSE)</f>
        <v>30536</v>
      </c>
      <c r="G77" s="22" t="s">
        <v>274</v>
      </c>
      <c r="H77" s="22" t="s">
        <v>58</v>
      </c>
      <c r="I77" s="22" t="s">
        <v>25</v>
      </c>
      <c r="J77" s="29" t="s">
        <v>47</v>
      </c>
      <c r="K77" s="29" t="s">
        <v>227</v>
      </c>
      <c r="L77" s="29" t="s">
        <v>28</v>
      </c>
      <c r="P77" s="30">
        <v>45568</v>
      </c>
      <c r="Q77" s="30">
        <v>45568</v>
      </c>
      <c r="R77" s="22" t="s">
        <v>29</v>
      </c>
      <c r="S77" s="29" t="s">
        <v>30</v>
      </c>
      <c r="T77" s="22" t="s">
        <v>49</v>
      </c>
      <c r="U77" s="25" t="s">
        <v>32</v>
      </c>
      <c r="V77" s="22" t="s">
        <v>50</v>
      </c>
      <c r="W77" s="32" t="s">
        <v>34</v>
      </c>
    </row>
    <row r="78" spans="1:23">
      <c r="A78" s="22" t="s">
        <v>275</v>
      </c>
      <c r="B78" s="25">
        <f>VLOOKUP(A78,[1]ProjectsResults!$D:$E,2,FALSE)</f>
        <v>9992</v>
      </c>
      <c r="C78" s="22">
        <f>VLOOKUP(A78,[2]Sheet2!$D:$E,2,FALSE)</f>
        <v>8798</v>
      </c>
      <c r="D78" s="22">
        <v>8798</v>
      </c>
      <c r="E78" s="22">
        <f>VLOOKUP(A78,[3]Sheet2!$A:$F,6,FALSE)</f>
        <v>471436.95</v>
      </c>
      <c r="G78" s="22" t="s">
        <v>276</v>
      </c>
      <c r="H78" s="22" t="s">
        <v>86</v>
      </c>
      <c r="I78" s="22" t="s">
        <v>25</v>
      </c>
      <c r="J78" s="29" t="s">
        <v>42</v>
      </c>
      <c r="K78" s="29" t="s">
        <v>87</v>
      </c>
      <c r="L78" s="29" t="s">
        <v>28</v>
      </c>
      <c r="P78" s="30">
        <v>45574</v>
      </c>
      <c r="Q78" s="30">
        <v>45574</v>
      </c>
      <c r="R78" s="22" t="s">
        <v>29</v>
      </c>
      <c r="S78" s="29" t="s">
        <v>30</v>
      </c>
      <c r="T78" s="22" t="s">
        <v>31</v>
      </c>
      <c r="U78" s="25" t="s">
        <v>32</v>
      </c>
      <c r="V78" s="22" t="s">
        <v>33</v>
      </c>
      <c r="W78" s="32" t="s">
        <v>34</v>
      </c>
    </row>
    <row r="79" spans="1:23">
      <c r="A79" s="22" t="s">
        <v>277</v>
      </c>
      <c r="B79" s="25">
        <f>VLOOKUP(A79,[1]ProjectsResults!$D:$E,2,FALSE)</f>
        <v>9993</v>
      </c>
      <c r="C79" s="22">
        <f>VLOOKUP(A79,[2]Sheet2!$D:$E,2,FALSE)</f>
        <v>8799</v>
      </c>
      <c r="D79" s="22">
        <v>8799</v>
      </c>
      <c r="E79" s="22">
        <f>VLOOKUP(A79,[3]Sheet2!$A:$F,6,FALSE)</f>
        <v>3392565.5</v>
      </c>
      <c r="G79" s="22" t="s">
        <v>278</v>
      </c>
      <c r="H79" s="22" t="s">
        <v>86</v>
      </c>
      <c r="I79" s="22" t="s">
        <v>25</v>
      </c>
      <c r="J79" s="29" t="s">
        <v>42</v>
      </c>
      <c r="K79" s="29" t="s">
        <v>149</v>
      </c>
      <c r="L79" s="29" t="s">
        <v>28</v>
      </c>
      <c r="P79" s="30">
        <v>45572</v>
      </c>
      <c r="Q79" s="30">
        <v>45589</v>
      </c>
      <c r="R79" s="22" t="s">
        <v>29</v>
      </c>
      <c r="S79" s="29" t="s">
        <v>30</v>
      </c>
      <c r="T79" s="22" t="s">
        <v>31</v>
      </c>
      <c r="U79" s="25" t="s">
        <v>32</v>
      </c>
      <c r="V79" s="22" t="s">
        <v>33</v>
      </c>
      <c r="W79" s="32" t="s">
        <v>34</v>
      </c>
    </row>
    <row r="80" spans="1:23">
      <c r="A80" s="22" t="s">
        <v>279</v>
      </c>
      <c r="B80" s="25">
        <f>VLOOKUP(A80,[1]ProjectsResults!$D:$E,2,FALSE)</f>
        <v>9994</v>
      </c>
      <c r="C80" s="22">
        <f>VLOOKUP(A80,[2]Sheet2!$D:$E,2,FALSE)</f>
        <v>8800</v>
      </c>
      <c r="D80" s="22">
        <v>8800</v>
      </c>
      <c r="E80" s="22">
        <f>VLOOKUP(A80,[3]Sheet2!$A:$F,6,FALSE)</f>
        <v>1596210</v>
      </c>
      <c r="G80" s="22" t="s">
        <v>280</v>
      </c>
      <c r="H80" s="22" t="s">
        <v>249</v>
      </c>
      <c r="I80" s="22" t="s">
        <v>25</v>
      </c>
      <c r="J80" s="29" t="s">
        <v>250</v>
      </c>
      <c r="K80" s="29" t="s">
        <v>281</v>
      </c>
      <c r="L80" s="29" t="s">
        <v>28</v>
      </c>
      <c r="P80" s="30">
        <v>45573</v>
      </c>
      <c r="Q80" s="30">
        <v>45574</v>
      </c>
      <c r="R80" s="22" t="s">
        <v>29</v>
      </c>
      <c r="S80" s="29" t="s">
        <v>30</v>
      </c>
      <c r="T80" s="22" t="s">
        <v>31</v>
      </c>
      <c r="U80" s="25" t="s">
        <v>32</v>
      </c>
      <c r="V80" s="22" t="s">
        <v>33</v>
      </c>
      <c r="W80" s="32" t="s">
        <v>34</v>
      </c>
    </row>
    <row r="81" spans="1:23">
      <c r="A81" s="22" t="s">
        <v>282</v>
      </c>
      <c r="B81" s="25">
        <f>VLOOKUP(A81,[1]ProjectsResults!$D:$E,2,FALSE)</f>
        <v>9995</v>
      </c>
      <c r="C81" s="22">
        <f>VLOOKUP(A81,[2]Sheet2!$D:$E,2,FALSE)</f>
        <v>8801</v>
      </c>
      <c r="D81" s="22">
        <v>8801</v>
      </c>
      <c r="E81" s="22">
        <f>VLOOKUP(A81,[3]Sheet2!$A:$F,6,FALSE)</f>
        <v>3366144</v>
      </c>
      <c r="G81" s="22" t="s">
        <v>283</v>
      </c>
      <c r="H81" s="22" t="s">
        <v>284</v>
      </c>
      <c r="I81" s="22" t="s">
        <v>25</v>
      </c>
      <c r="J81" s="29" t="s">
        <v>42</v>
      </c>
      <c r="K81" s="29" t="s">
        <v>285</v>
      </c>
      <c r="L81" s="29" t="s">
        <v>28</v>
      </c>
      <c r="P81" s="30">
        <v>45575</v>
      </c>
      <c r="Q81" s="30">
        <v>45575</v>
      </c>
      <c r="R81" s="22" t="s">
        <v>29</v>
      </c>
      <c r="S81" s="29" t="s">
        <v>30</v>
      </c>
      <c r="T81" s="22" t="s">
        <v>31</v>
      </c>
      <c r="U81" s="25" t="s">
        <v>32</v>
      </c>
      <c r="V81" s="22" t="s">
        <v>33</v>
      </c>
      <c r="W81" s="32" t="s">
        <v>34</v>
      </c>
    </row>
    <row r="82" spans="1:23">
      <c r="A82" s="22" t="s">
        <v>286</v>
      </c>
      <c r="B82" s="25">
        <f>VLOOKUP(A82,[1]ProjectsResults!$D:$E,2,FALSE)</f>
        <v>9996</v>
      </c>
      <c r="C82" s="22">
        <f>VLOOKUP(A82,[2]Sheet2!$D:$E,2,FALSE)</f>
        <v>8802</v>
      </c>
      <c r="D82" s="22">
        <v>8802</v>
      </c>
      <c r="E82" s="22">
        <f>VLOOKUP(A82,[3]Sheet2!$A:$F,6,FALSE)</f>
        <v>411290</v>
      </c>
      <c r="G82" s="22" t="s">
        <v>287</v>
      </c>
      <c r="H82" s="22" t="s">
        <v>114</v>
      </c>
      <c r="I82" s="22" t="s">
        <v>25</v>
      </c>
      <c r="J82" s="29" t="s">
        <v>115</v>
      </c>
      <c r="K82" s="29" t="s">
        <v>164</v>
      </c>
      <c r="L82" s="29" t="s">
        <v>28</v>
      </c>
      <c r="P82" s="30">
        <v>45573</v>
      </c>
      <c r="Q82" s="30">
        <v>45574</v>
      </c>
      <c r="R82" s="22" t="s">
        <v>29</v>
      </c>
      <c r="S82" s="29" t="s">
        <v>30</v>
      </c>
      <c r="T82" s="22" t="s">
        <v>49</v>
      </c>
      <c r="U82" s="25" t="s">
        <v>32</v>
      </c>
      <c r="V82" s="22" t="s">
        <v>117</v>
      </c>
      <c r="W82" s="32" t="s">
        <v>34</v>
      </c>
    </row>
    <row r="83" spans="1:23">
      <c r="A83" s="22" t="s">
        <v>288</v>
      </c>
      <c r="B83" s="25">
        <f>VLOOKUP(A83,[1]ProjectsResults!$D:$E,2,FALSE)</f>
        <v>9997</v>
      </c>
      <c r="C83" s="22">
        <f>VLOOKUP(A83,[2]Sheet2!$D:$E,2,FALSE)</f>
        <v>8803</v>
      </c>
      <c r="D83" s="22">
        <v>8803</v>
      </c>
      <c r="E83" s="22">
        <f>VLOOKUP(A83,[3]Sheet2!$A:$F,6,FALSE)</f>
        <v>2511414.4</v>
      </c>
      <c r="G83" s="22" t="s">
        <v>289</v>
      </c>
      <c r="H83" s="22" t="s">
        <v>114</v>
      </c>
      <c r="I83" s="22" t="s">
        <v>25</v>
      </c>
      <c r="J83" s="29" t="s">
        <v>115</v>
      </c>
      <c r="K83" s="29" t="s">
        <v>164</v>
      </c>
      <c r="L83" s="29" t="s">
        <v>28</v>
      </c>
      <c r="P83" s="30">
        <v>45581</v>
      </c>
      <c r="Q83" s="30">
        <v>45581</v>
      </c>
      <c r="R83" s="22" t="s">
        <v>29</v>
      </c>
      <c r="S83" s="29" t="s">
        <v>30</v>
      </c>
      <c r="T83" s="22" t="s">
        <v>49</v>
      </c>
      <c r="U83" s="25" t="s">
        <v>32</v>
      </c>
      <c r="V83" s="22" t="s">
        <v>117</v>
      </c>
      <c r="W83" s="32" t="s">
        <v>34</v>
      </c>
    </row>
    <row r="84" spans="1:23">
      <c r="A84" s="22" t="s">
        <v>290</v>
      </c>
      <c r="B84" s="25">
        <f>VLOOKUP(A84,[1]ProjectsResults!$D:$E,2,FALSE)</f>
        <v>9998</v>
      </c>
      <c r="C84" s="22">
        <f>VLOOKUP(A84,[2]Sheet2!$D:$E,2,FALSE)</f>
        <v>8804</v>
      </c>
      <c r="D84" s="22">
        <v>8804</v>
      </c>
      <c r="E84" s="22">
        <f>VLOOKUP(A84,[3]Sheet2!$A:$F,6,FALSE)</f>
        <v>5884010</v>
      </c>
      <c r="G84" s="22" t="s">
        <v>291</v>
      </c>
      <c r="H84" s="22" t="s">
        <v>95</v>
      </c>
      <c r="I84" s="22" t="s">
        <v>25</v>
      </c>
      <c r="J84" s="29" t="s">
        <v>72</v>
      </c>
      <c r="K84" s="29" t="s">
        <v>96</v>
      </c>
      <c r="L84" s="29" t="s">
        <v>28</v>
      </c>
      <c r="P84" s="30">
        <v>45583</v>
      </c>
      <c r="Q84" s="30">
        <v>45656</v>
      </c>
      <c r="R84" s="22" t="s">
        <v>29</v>
      </c>
      <c r="S84" s="29" t="s">
        <v>30</v>
      </c>
      <c r="T84" s="22" t="s">
        <v>74</v>
      </c>
      <c r="U84" s="25" t="s">
        <v>32</v>
      </c>
      <c r="V84" s="22" t="s">
        <v>75</v>
      </c>
      <c r="W84" s="32" t="s">
        <v>34</v>
      </c>
    </row>
    <row r="85" spans="1:23">
      <c r="A85" s="22" t="s">
        <v>292</v>
      </c>
      <c r="B85" s="25">
        <f>VLOOKUP(A85,[1]ProjectsResults!$D:$E,2,FALSE)</f>
        <v>9999</v>
      </c>
      <c r="C85" s="22">
        <f>VLOOKUP(A85,[2]Sheet2!$D:$E,2,FALSE)</f>
        <v>8805</v>
      </c>
      <c r="D85" s="22">
        <v>8805</v>
      </c>
      <c r="E85" s="22">
        <f>VLOOKUP(A85,[3]Sheet2!$A:$F,6,FALSE)</f>
        <v>4071097</v>
      </c>
      <c r="G85" s="22" t="s">
        <v>293</v>
      </c>
      <c r="H85" s="22" t="s">
        <v>95</v>
      </c>
      <c r="I85" s="22" t="s">
        <v>25</v>
      </c>
      <c r="J85" s="29" t="s">
        <v>72</v>
      </c>
      <c r="K85" s="29" t="s">
        <v>96</v>
      </c>
      <c r="L85" s="29" t="s">
        <v>28</v>
      </c>
      <c r="P85" s="30">
        <v>45588</v>
      </c>
      <c r="Q85" s="30">
        <v>45589</v>
      </c>
      <c r="R85" s="22" t="s">
        <v>29</v>
      </c>
      <c r="S85" s="29" t="s">
        <v>30</v>
      </c>
      <c r="T85" s="22" t="s">
        <v>74</v>
      </c>
      <c r="U85" s="25" t="s">
        <v>32</v>
      </c>
      <c r="V85" s="22" t="s">
        <v>75</v>
      </c>
      <c r="W85" s="32" t="s">
        <v>34</v>
      </c>
    </row>
    <row r="86" spans="1:23">
      <c r="A86" s="22" t="s">
        <v>294</v>
      </c>
      <c r="B86" s="25">
        <f>VLOOKUP(A86,[1]ProjectsResults!$D:$E,2,FALSE)</f>
        <v>10000</v>
      </c>
      <c r="C86" s="22">
        <f>VLOOKUP(A86,[2]Sheet2!$D:$E,2,FALSE)</f>
        <v>8806</v>
      </c>
      <c r="D86" s="22">
        <v>8806</v>
      </c>
      <c r="E86" s="22">
        <f>VLOOKUP(A86,[3]Sheet2!$A:$F,6,FALSE)</f>
        <v>92858.5</v>
      </c>
      <c r="G86" s="22" t="s">
        <v>295</v>
      </c>
      <c r="H86" s="22" t="s">
        <v>86</v>
      </c>
      <c r="I86" s="22" t="s">
        <v>25</v>
      </c>
      <c r="J86" s="29" t="s">
        <v>42</v>
      </c>
      <c r="K86" s="29" t="s">
        <v>238</v>
      </c>
      <c r="L86" s="29" t="s">
        <v>28</v>
      </c>
      <c r="P86" s="30">
        <v>45572</v>
      </c>
      <c r="Q86" s="30">
        <v>45572</v>
      </c>
      <c r="R86" s="22" t="s">
        <v>29</v>
      </c>
      <c r="S86" s="29" t="s">
        <v>30</v>
      </c>
      <c r="T86" s="22" t="s">
        <v>31</v>
      </c>
      <c r="U86" s="25" t="s">
        <v>32</v>
      </c>
      <c r="V86" s="22" t="s">
        <v>33</v>
      </c>
      <c r="W86" s="32" t="s">
        <v>34</v>
      </c>
    </row>
    <row r="87" spans="1:23">
      <c r="A87" s="22" t="s">
        <v>296</v>
      </c>
      <c r="B87" s="25">
        <f>VLOOKUP(A87,[1]ProjectsResults!$D:$E,2,FALSE)</f>
        <v>10001</v>
      </c>
      <c r="C87" s="22">
        <f>VLOOKUP(A87,[2]Sheet2!$D:$E,2,FALSE)</f>
        <v>9360</v>
      </c>
      <c r="D87" s="22">
        <v>9360</v>
      </c>
      <c r="E87" s="22">
        <f>VLOOKUP(A87,[3]Sheet2!$A:$F,6,FALSE)</f>
        <v>38484</v>
      </c>
      <c r="G87" s="22" t="s">
        <v>297</v>
      </c>
      <c r="H87" s="22" t="s">
        <v>159</v>
      </c>
      <c r="I87" s="22" t="s">
        <v>25</v>
      </c>
      <c r="J87" s="29" t="s">
        <v>115</v>
      </c>
      <c r="K87" s="29" t="s">
        <v>160</v>
      </c>
      <c r="L87" s="29" t="s">
        <v>28</v>
      </c>
      <c r="P87" s="30">
        <v>45572</v>
      </c>
      <c r="Q87" s="30">
        <v>45572</v>
      </c>
      <c r="R87" s="22" t="s">
        <v>29</v>
      </c>
      <c r="S87" s="29" t="s">
        <v>30</v>
      </c>
      <c r="T87" s="22" t="s">
        <v>49</v>
      </c>
      <c r="U87" s="25" t="s">
        <v>32</v>
      </c>
      <c r="V87" s="22" t="s">
        <v>117</v>
      </c>
      <c r="W87" s="32" t="s">
        <v>34</v>
      </c>
    </row>
    <row r="88" spans="1:23">
      <c r="A88" s="22" t="s">
        <v>298</v>
      </c>
      <c r="B88" s="25">
        <f>VLOOKUP(A88,[1]ProjectsResults!$D:$E,2,FALSE)</f>
        <v>10002</v>
      </c>
      <c r="C88" s="22">
        <f>VLOOKUP(A88,[2]Sheet2!$D:$E,2,FALSE)</f>
        <v>9345</v>
      </c>
      <c r="D88" s="22">
        <v>9345</v>
      </c>
      <c r="E88" s="22">
        <f>VLOOKUP(A88,[3]Sheet2!$A:$F,6,FALSE)</f>
        <v>111546</v>
      </c>
      <c r="G88" s="22" t="s">
        <v>299</v>
      </c>
      <c r="H88" s="22" t="s">
        <v>159</v>
      </c>
      <c r="I88" s="22" t="s">
        <v>25</v>
      </c>
      <c r="J88" s="29" t="s">
        <v>115</v>
      </c>
      <c r="K88" s="29" t="s">
        <v>160</v>
      </c>
      <c r="L88" s="29" t="s">
        <v>28</v>
      </c>
      <c r="P88" s="30">
        <v>45574</v>
      </c>
      <c r="Q88" s="30">
        <v>45574</v>
      </c>
      <c r="R88" s="22" t="s">
        <v>29</v>
      </c>
      <c r="S88" s="29" t="s">
        <v>30</v>
      </c>
      <c r="T88" s="22" t="s">
        <v>49</v>
      </c>
      <c r="U88" s="25" t="s">
        <v>32</v>
      </c>
      <c r="V88" s="22" t="s">
        <v>117</v>
      </c>
      <c r="W88" s="32" t="s">
        <v>34</v>
      </c>
    </row>
    <row r="89" spans="1:23">
      <c r="A89" s="22" t="s">
        <v>300</v>
      </c>
      <c r="B89" s="25">
        <f>VLOOKUP(A89,[1]ProjectsResults!$D:$E,2,FALSE)</f>
        <v>10003</v>
      </c>
      <c r="C89" s="22">
        <f>VLOOKUP(A89,[2]Sheet2!$D:$E,2,FALSE)</f>
        <v>9686</v>
      </c>
      <c r="D89" s="22">
        <v>9686</v>
      </c>
      <c r="E89" s="22">
        <f>VLOOKUP(A89,[3]Sheet2!$A:$F,6,FALSE)</f>
        <v>2315786</v>
      </c>
      <c r="G89" s="22" t="s">
        <v>301</v>
      </c>
      <c r="H89" s="22" t="s">
        <v>302</v>
      </c>
      <c r="I89" s="22" t="s">
        <v>25</v>
      </c>
      <c r="J89" s="29" t="s">
        <v>141</v>
      </c>
      <c r="K89" s="29" t="s">
        <v>72</v>
      </c>
      <c r="L89" s="29" t="s">
        <v>28</v>
      </c>
      <c r="P89" s="30">
        <v>45569</v>
      </c>
      <c r="Q89" s="30">
        <v>45569</v>
      </c>
      <c r="R89" s="22" t="s">
        <v>29</v>
      </c>
      <c r="S89" s="29" t="s">
        <v>30</v>
      </c>
      <c r="T89" s="22" t="s">
        <v>74</v>
      </c>
      <c r="U89" s="25" t="s">
        <v>32</v>
      </c>
      <c r="V89" s="22" t="s">
        <v>75</v>
      </c>
      <c r="W89" s="32" t="s">
        <v>34</v>
      </c>
    </row>
    <row r="90" spans="1:23">
      <c r="A90" s="22" t="s">
        <v>303</v>
      </c>
      <c r="B90" s="25">
        <f>VLOOKUP(A90,[1]ProjectsResults!$D:$E,2,FALSE)</f>
        <v>10004</v>
      </c>
      <c r="C90" s="22">
        <f>VLOOKUP(A90,[2]Sheet2!$D:$E,2,FALSE)</f>
        <v>9346</v>
      </c>
      <c r="D90" s="22">
        <v>9346</v>
      </c>
      <c r="E90" s="22">
        <f>VLOOKUP(A90,[3]Sheet2!$A:$F,6,FALSE)</f>
        <v>32250</v>
      </c>
      <c r="G90" s="22" t="s">
        <v>304</v>
      </c>
      <c r="H90" s="22" t="s">
        <v>159</v>
      </c>
      <c r="I90" s="22" t="s">
        <v>25</v>
      </c>
      <c r="J90" s="29" t="s">
        <v>115</v>
      </c>
      <c r="K90" s="29" t="s">
        <v>160</v>
      </c>
      <c r="L90" s="29" t="s">
        <v>28</v>
      </c>
      <c r="P90" s="30">
        <v>45572</v>
      </c>
      <c r="Q90" s="30">
        <v>45575</v>
      </c>
      <c r="R90" s="22" t="s">
        <v>29</v>
      </c>
      <c r="S90" s="29" t="s">
        <v>30</v>
      </c>
      <c r="T90" s="22" t="s">
        <v>49</v>
      </c>
      <c r="U90" s="25" t="s">
        <v>32</v>
      </c>
      <c r="V90" s="22" t="s">
        <v>117</v>
      </c>
      <c r="W90" s="32" t="s">
        <v>34</v>
      </c>
    </row>
    <row r="91" spans="1:23">
      <c r="A91" s="22" t="s">
        <v>305</v>
      </c>
      <c r="B91" s="25">
        <f>VLOOKUP(A91,[1]ProjectsResults!$D:$E,2,FALSE)</f>
        <v>10005</v>
      </c>
      <c r="C91" s="22">
        <f>VLOOKUP(A91,[2]Sheet2!$D:$E,2,FALSE)</f>
        <v>8807</v>
      </c>
      <c r="D91" s="22">
        <v>8807</v>
      </c>
      <c r="E91" s="22">
        <f>VLOOKUP(A91,[3]Sheet2!$A:$F,6,FALSE)</f>
        <v>1976243</v>
      </c>
      <c r="G91" s="22" t="s">
        <v>306</v>
      </c>
      <c r="H91" s="22" t="s">
        <v>307</v>
      </c>
      <c r="I91" s="22" t="s">
        <v>25</v>
      </c>
      <c r="J91" s="29" t="s">
        <v>47</v>
      </c>
      <c r="K91" s="29" t="s">
        <v>66</v>
      </c>
      <c r="L91" s="29" t="s">
        <v>28</v>
      </c>
      <c r="P91" s="30">
        <v>45574</v>
      </c>
      <c r="Q91" s="30">
        <v>45574</v>
      </c>
      <c r="R91" s="22" t="s">
        <v>29</v>
      </c>
      <c r="S91" s="29" t="s">
        <v>30</v>
      </c>
      <c r="T91" s="22" t="s">
        <v>49</v>
      </c>
      <c r="U91" s="25" t="s">
        <v>32</v>
      </c>
      <c r="V91" s="22" t="s">
        <v>50</v>
      </c>
      <c r="W91" s="32" t="s">
        <v>34</v>
      </c>
    </row>
    <row r="92" spans="1:23">
      <c r="A92" s="22" t="s">
        <v>308</v>
      </c>
      <c r="B92" s="25">
        <f>VLOOKUP(A92,[1]ProjectsResults!$D:$E,2,FALSE)</f>
        <v>10006</v>
      </c>
      <c r="C92" s="22">
        <f>VLOOKUP(A92,[2]Sheet2!$D:$E,2,FALSE)</f>
        <v>8808</v>
      </c>
      <c r="D92" s="22">
        <v>8808</v>
      </c>
      <c r="E92" s="22">
        <f>VLOOKUP(A92,[3]Sheet2!$A:$F,6,FALSE)</f>
        <v>3973402</v>
      </c>
      <c r="G92" s="22" t="s">
        <v>309</v>
      </c>
      <c r="H92" s="22" t="s">
        <v>249</v>
      </c>
      <c r="I92" s="22" t="s">
        <v>25</v>
      </c>
      <c r="J92" s="29" t="s">
        <v>250</v>
      </c>
      <c r="K92" s="29" t="s">
        <v>310</v>
      </c>
      <c r="L92" s="29" t="s">
        <v>28</v>
      </c>
      <c r="P92" s="30">
        <v>45574</v>
      </c>
      <c r="Q92" s="30">
        <v>45578</v>
      </c>
      <c r="R92" s="22" t="s">
        <v>29</v>
      </c>
      <c r="S92" s="29" t="s">
        <v>30</v>
      </c>
      <c r="T92" s="22" t="s">
        <v>31</v>
      </c>
      <c r="U92" s="25" t="s">
        <v>32</v>
      </c>
      <c r="V92" s="22" t="s">
        <v>33</v>
      </c>
      <c r="W92" s="32" t="s">
        <v>34</v>
      </c>
    </row>
    <row r="93" spans="1:23">
      <c r="A93" s="22" t="s">
        <v>311</v>
      </c>
      <c r="B93" s="25">
        <f>VLOOKUP(A93,[1]ProjectsResults!$D:$E,2,FALSE)</f>
        <v>10007</v>
      </c>
      <c r="C93" s="22">
        <f>VLOOKUP(A93,[2]Sheet2!$D:$E,2,FALSE)</f>
        <v>8809</v>
      </c>
      <c r="D93" s="22">
        <v>8809</v>
      </c>
      <c r="E93" s="22">
        <f>VLOOKUP(A93,[3]Sheet2!$A:$F,6,FALSE)</f>
        <v>240889</v>
      </c>
      <c r="G93" s="22" t="s">
        <v>312</v>
      </c>
      <c r="H93" s="22" t="s">
        <v>313</v>
      </c>
      <c r="I93" s="22" t="s">
        <v>25</v>
      </c>
      <c r="J93" s="29" t="s">
        <v>168</v>
      </c>
      <c r="K93" s="29" t="s">
        <v>314</v>
      </c>
      <c r="L93" s="29" t="s">
        <v>28</v>
      </c>
      <c r="P93" s="30">
        <v>45580</v>
      </c>
      <c r="Q93" s="30">
        <v>45580</v>
      </c>
      <c r="R93" s="22" t="s">
        <v>29</v>
      </c>
      <c r="S93" s="29" t="s">
        <v>30</v>
      </c>
      <c r="T93" s="22" t="s">
        <v>31</v>
      </c>
      <c r="U93" s="25" t="s">
        <v>32</v>
      </c>
      <c r="V93" s="22" t="s">
        <v>33</v>
      </c>
      <c r="W93" s="32" t="s">
        <v>34</v>
      </c>
    </row>
    <row r="94" spans="1:23">
      <c r="A94" s="22" t="s">
        <v>315</v>
      </c>
      <c r="B94" s="25">
        <f>VLOOKUP(A94,[1]ProjectsResults!$D:$E,2,FALSE)</f>
        <v>10008</v>
      </c>
      <c r="C94" s="22">
        <f>VLOOKUP(A94,[2]Sheet2!$D:$E,2,FALSE)</f>
        <v>8810</v>
      </c>
      <c r="D94" s="22">
        <v>8810</v>
      </c>
      <c r="E94" s="22">
        <f>VLOOKUP(A94,[3]Sheet2!$A:$F,6,FALSE)</f>
        <v>42795151</v>
      </c>
      <c r="G94" s="22" t="s">
        <v>316</v>
      </c>
      <c r="H94" s="22" t="s">
        <v>317</v>
      </c>
      <c r="I94" s="22" t="s">
        <v>25</v>
      </c>
      <c r="J94" s="29" t="s">
        <v>318</v>
      </c>
      <c r="K94" s="29" t="s">
        <v>271</v>
      </c>
      <c r="L94" s="29" t="s">
        <v>28</v>
      </c>
      <c r="P94" s="30">
        <v>45604</v>
      </c>
      <c r="Q94" s="30">
        <v>45604</v>
      </c>
      <c r="R94" s="22" t="s">
        <v>29</v>
      </c>
      <c r="S94" s="29" t="s">
        <v>30</v>
      </c>
      <c r="T94" s="22" t="s">
        <v>74</v>
      </c>
      <c r="U94" s="25" t="s">
        <v>32</v>
      </c>
      <c r="V94" s="22" t="s">
        <v>75</v>
      </c>
      <c r="W94" s="32" t="s">
        <v>34</v>
      </c>
    </row>
    <row r="95" spans="1:23">
      <c r="A95" s="22" t="s">
        <v>319</v>
      </c>
      <c r="B95" s="25">
        <f>VLOOKUP(A95,[1]ProjectsResults!$D:$E,2,FALSE)</f>
        <v>10009</v>
      </c>
      <c r="C95" s="22">
        <f>VLOOKUP(A95,[2]Sheet2!$D:$E,2,FALSE)</f>
        <v>8811</v>
      </c>
      <c r="D95" s="22">
        <v>8811</v>
      </c>
      <c r="E95" s="22">
        <f>VLOOKUP(A95,[3]Sheet2!$A:$F,6,FALSE)</f>
        <v>2675778</v>
      </c>
      <c r="G95" s="22" t="s">
        <v>320</v>
      </c>
      <c r="H95" s="22" t="s">
        <v>317</v>
      </c>
      <c r="I95" s="22" t="s">
        <v>25</v>
      </c>
      <c r="J95" s="29" t="s">
        <v>318</v>
      </c>
      <c r="K95" s="29" t="s">
        <v>271</v>
      </c>
      <c r="L95" s="29" t="s">
        <v>28</v>
      </c>
      <c r="P95" s="30">
        <v>45575</v>
      </c>
      <c r="Q95" s="30">
        <v>45575</v>
      </c>
      <c r="R95" s="22" t="s">
        <v>29</v>
      </c>
      <c r="S95" s="29" t="s">
        <v>30</v>
      </c>
      <c r="T95" s="22" t="s">
        <v>74</v>
      </c>
      <c r="U95" s="25" t="s">
        <v>32</v>
      </c>
      <c r="V95" s="22" t="s">
        <v>75</v>
      </c>
      <c r="W95" s="32" t="s">
        <v>34</v>
      </c>
    </row>
    <row r="96" spans="1:23">
      <c r="A96" s="22" t="s">
        <v>321</v>
      </c>
      <c r="B96" s="25">
        <f>VLOOKUP(A96,[1]ProjectsResults!$D:$E,2,FALSE)</f>
        <v>10010</v>
      </c>
      <c r="C96" s="22">
        <f>VLOOKUP(A96,[2]Sheet2!$D:$E,2,FALSE)</f>
        <v>8812</v>
      </c>
      <c r="D96" s="22">
        <v>8812</v>
      </c>
      <c r="E96" s="22">
        <f>VLOOKUP(A96,[3]Sheet2!$A:$F,6,FALSE)</f>
        <v>3280032</v>
      </c>
      <c r="G96" s="22" t="s">
        <v>322</v>
      </c>
      <c r="H96" s="22" t="s">
        <v>82</v>
      </c>
      <c r="I96" s="22" t="s">
        <v>25</v>
      </c>
      <c r="J96" s="29" t="s">
        <v>72</v>
      </c>
      <c r="K96" s="29" t="s">
        <v>83</v>
      </c>
      <c r="L96" s="29" t="s">
        <v>28</v>
      </c>
      <c r="P96" s="30">
        <v>45604</v>
      </c>
      <c r="Q96" s="30">
        <v>45610</v>
      </c>
      <c r="R96" s="22" t="s">
        <v>29</v>
      </c>
      <c r="S96" s="29" t="s">
        <v>30</v>
      </c>
      <c r="T96" s="22" t="s">
        <v>74</v>
      </c>
      <c r="U96" s="25" t="s">
        <v>32</v>
      </c>
      <c r="V96" s="22" t="s">
        <v>75</v>
      </c>
      <c r="W96" s="32" t="s">
        <v>34</v>
      </c>
    </row>
    <row r="97" spans="1:23">
      <c r="A97" s="22" t="s">
        <v>323</v>
      </c>
      <c r="B97" s="25">
        <f>VLOOKUP(A97,[1]ProjectsResults!$D:$E,2,FALSE)</f>
        <v>10011</v>
      </c>
      <c r="C97" s="22">
        <f>VLOOKUP(A97,[2]Sheet2!$D:$E,2,FALSE)</f>
        <v>8813</v>
      </c>
      <c r="D97" s="22">
        <v>8813</v>
      </c>
      <c r="E97" s="22">
        <f>VLOOKUP(A97,[3]Sheet2!$A:$F,6,FALSE)</f>
        <v>348662</v>
      </c>
      <c r="G97" s="22" t="s">
        <v>324</v>
      </c>
      <c r="H97" s="22" t="s">
        <v>95</v>
      </c>
      <c r="I97" s="22" t="s">
        <v>25</v>
      </c>
      <c r="J97" s="29" t="s">
        <v>72</v>
      </c>
      <c r="K97" s="29" t="s">
        <v>96</v>
      </c>
      <c r="L97" s="29" t="s">
        <v>28</v>
      </c>
      <c r="P97" s="30">
        <v>45574</v>
      </c>
      <c r="Q97" s="30">
        <v>45575</v>
      </c>
      <c r="R97" s="22" t="s">
        <v>29</v>
      </c>
      <c r="S97" s="29" t="s">
        <v>30</v>
      </c>
      <c r="T97" s="22" t="s">
        <v>74</v>
      </c>
      <c r="U97" s="25" t="s">
        <v>32</v>
      </c>
      <c r="V97" s="22" t="s">
        <v>75</v>
      </c>
      <c r="W97" s="32" t="s">
        <v>34</v>
      </c>
    </row>
    <row r="98" spans="1:23">
      <c r="A98" s="22" t="s">
        <v>325</v>
      </c>
      <c r="B98" s="25">
        <f>VLOOKUP(A98,[1]ProjectsResults!$D:$E,2,FALSE)</f>
        <v>10012</v>
      </c>
      <c r="C98" s="22">
        <f>VLOOKUP(A98,[2]Sheet2!$D:$E,2,FALSE)</f>
        <v>8814</v>
      </c>
      <c r="D98" s="22">
        <v>8814</v>
      </c>
      <c r="E98" s="22">
        <f>VLOOKUP(A98,[3]Sheet2!$A:$F,6,FALSE)</f>
        <v>4426556.53</v>
      </c>
      <c r="G98" s="22" t="s">
        <v>326</v>
      </c>
      <c r="H98" s="22" t="s">
        <v>327</v>
      </c>
      <c r="I98" s="22" t="s">
        <v>25</v>
      </c>
      <c r="J98" s="29" t="s">
        <v>168</v>
      </c>
      <c r="K98" s="29" t="s">
        <v>328</v>
      </c>
      <c r="L98" s="29" t="s">
        <v>28</v>
      </c>
      <c r="P98" s="30">
        <v>45579</v>
      </c>
      <c r="Q98" s="30">
        <v>45580</v>
      </c>
      <c r="R98" s="22" t="s">
        <v>29</v>
      </c>
      <c r="S98" s="29" t="s">
        <v>30</v>
      </c>
      <c r="T98" s="22" t="s">
        <v>31</v>
      </c>
      <c r="U98" s="25" t="s">
        <v>32</v>
      </c>
      <c r="V98" s="22" t="s">
        <v>33</v>
      </c>
      <c r="W98" s="32" t="s">
        <v>34</v>
      </c>
    </row>
    <row r="99" spans="1:23">
      <c r="A99" s="22" t="s">
        <v>329</v>
      </c>
      <c r="B99" s="25">
        <f>VLOOKUP(A99,[1]ProjectsResults!$D:$E,2,FALSE)</f>
        <v>10013</v>
      </c>
      <c r="C99" s="22">
        <f>VLOOKUP(A99,[2]Sheet2!$D:$E,2,FALSE)</f>
        <v>8815</v>
      </c>
      <c r="D99" s="22">
        <v>8815</v>
      </c>
      <c r="E99" s="22">
        <f>VLOOKUP(A99,[3]Sheet2!$A:$F,6,FALSE)</f>
        <v>6225923</v>
      </c>
      <c r="G99" s="22" t="s">
        <v>330</v>
      </c>
      <c r="H99" s="22" t="s">
        <v>331</v>
      </c>
      <c r="I99" s="22" t="s">
        <v>25</v>
      </c>
      <c r="J99" s="29" t="s">
        <v>141</v>
      </c>
      <c r="K99" s="29" t="s">
        <v>72</v>
      </c>
      <c r="L99" s="29" t="s">
        <v>28</v>
      </c>
      <c r="P99" s="30">
        <v>45592</v>
      </c>
      <c r="Q99" s="30">
        <v>45598</v>
      </c>
      <c r="R99" s="22" t="s">
        <v>29</v>
      </c>
      <c r="S99" s="29" t="s">
        <v>30</v>
      </c>
      <c r="T99" s="22" t="s">
        <v>74</v>
      </c>
      <c r="U99" s="25" t="s">
        <v>32</v>
      </c>
      <c r="V99" s="22" t="s">
        <v>75</v>
      </c>
      <c r="W99" s="32" t="s">
        <v>34</v>
      </c>
    </row>
    <row r="100" spans="1:23">
      <c r="A100" s="22" t="s">
        <v>332</v>
      </c>
      <c r="B100" s="25">
        <f>VLOOKUP(A100,[1]ProjectsResults!$D:$E,2,FALSE)</f>
        <v>10014</v>
      </c>
      <c r="C100" s="22">
        <f>VLOOKUP(A100,[2]Sheet2!$D:$E,2,FALSE)</f>
        <v>8816</v>
      </c>
      <c r="D100" s="22">
        <v>8816</v>
      </c>
      <c r="E100" s="22">
        <f>VLOOKUP(A100,[3]Sheet2!$A:$F,6,FALSE)</f>
        <v>256360</v>
      </c>
      <c r="G100" s="22" t="s">
        <v>333</v>
      </c>
      <c r="H100" s="22" t="s">
        <v>334</v>
      </c>
      <c r="I100" s="22" t="s">
        <v>25</v>
      </c>
      <c r="J100" s="29" t="s">
        <v>168</v>
      </c>
      <c r="K100" s="29" t="s">
        <v>328</v>
      </c>
      <c r="L100" s="29" t="s">
        <v>28</v>
      </c>
      <c r="P100" s="30">
        <v>45574</v>
      </c>
      <c r="Q100" s="30">
        <v>45574</v>
      </c>
      <c r="R100" s="22" t="s">
        <v>29</v>
      </c>
      <c r="S100" s="29" t="s">
        <v>30</v>
      </c>
      <c r="T100" s="22" t="s">
        <v>31</v>
      </c>
      <c r="U100" s="25" t="s">
        <v>32</v>
      </c>
      <c r="V100" s="22" t="s">
        <v>33</v>
      </c>
      <c r="W100" s="32" t="s">
        <v>34</v>
      </c>
    </row>
    <row r="101" spans="1:23">
      <c r="A101" s="22" t="s">
        <v>335</v>
      </c>
      <c r="B101" s="25">
        <f>VLOOKUP(A101,[1]ProjectsResults!$D:$E,2,FALSE)</f>
        <v>10015</v>
      </c>
      <c r="C101" s="22">
        <f>VLOOKUP(A101,[2]Sheet2!$D:$E,2,FALSE)</f>
        <v>8817</v>
      </c>
      <c r="D101" s="22">
        <v>8817</v>
      </c>
      <c r="E101" s="22">
        <f>VLOOKUP(A101,[3]Sheet2!$A:$F,6,FALSE)</f>
        <v>1359963</v>
      </c>
      <c r="G101" s="22" t="s">
        <v>336</v>
      </c>
      <c r="H101" s="22" t="s">
        <v>58</v>
      </c>
      <c r="I101" s="22" t="s">
        <v>25</v>
      </c>
      <c r="J101" s="29" t="s">
        <v>47</v>
      </c>
      <c r="K101" s="29" t="s">
        <v>337</v>
      </c>
      <c r="L101" s="29" t="s">
        <v>28</v>
      </c>
      <c r="P101" s="30">
        <v>45603</v>
      </c>
      <c r="Q101" s="30">
        <v>45603</v>
      </c>
      <c r="R101" s="22" t="s">
        <v>29</v>
      </c>
      <c r="S101" s="29" t="s">
        <v>30</v>
      </c>
      <c r="T101" s="22" t="s">
        <v>49</v>
      </c>
      <c r="U101" s="25" t="s">
        <v>32</v>
      </c>
      <c r="V101" s="22" t="s">
        <v>50</v>
      </c>
      <c r="W101" s="32" t="s">
        <v>34</v>
      </c>
    </row>
    <row r="102" spans="1:23">
      <c r="A102" s="22" t="s">
        <v>338</v>
      </c>
      <c r="B102" s="25">
        <f>VLOOKUP(A102,[1]ProjectsResults!$D:$E,2,FALSE)</f>
        <v>10016</v>
      </c>
      <c r="C102" s="22">
        <f>VLOOKUP(A102,[2]Sheet2!$D:$E,2,FALSE)</f>
        <v>8818</v>
      </c>
      <c r="D102" s="22">
        <v>8818</v>
      </c>
      <c r="E102" s="22">
        <f>VLOOKUP(A102,[3]Sheet2!$A:$F,6,FALSE)</f>
        <v>18645</v>
      </c>
      <c r="G102" s="22" t="s">
        <v>339</v>
      </c>
      <c r="H102" s="22" t="s">
        <v>58</v>
      </c>
      <c r="I102" s="22" t="s">
        <v>25</v>
      </c>
      <c r="J102" s="29" t="s">
        <v>47</v>
      </c>
      <c r="K102" s="29" t="s">
        <v>196</v>
      </c>
      <c r="L102" s="29" t="s">
        <v>28</v>
      </c>
      <c r="P102" s="30">
        <v>45581</v>
      </c>
      <c r="Q102" s="30">
        <v>45582</v>
      </c>
      <c r="R102" s="22" t="s">
        <v>29</v>
      </c>
      <c r="S102" s="29" t="s">
        <v>30</v>
      </c>
      <c r="T102" s="22" t="s">
        <v>49</v>
      </c>
      <c r="U102" s="25" t="s">
        <v>32</v>
      </c>
      <c r="V102" s="22" t="s">
        <v>50</v>
      </c>
      <c r="W102" s="32" t="s">
        <v>34</v>
      </c>
    </row>
    <row r="103" spans="1:23">
      <c r="A103" s="22" t="s">
        <v>340</v>
      </c>
      <c r="B103" s="25">
        <f>VLOOKUP(A103,[1]ProjectsResults!$D:$E,2,FALSE)</f>
        <v>10017</v>
      </c>
      <c r="C103" s="22">
        <f>VLOOKUP(A103,[2]Sheet2!$D:$E,2,FALSE)</f>
        <v>8819</v>
      </c>
      <c r="D103" s="22">
        <v>8819</v>
      </c>
      <c r="E103" s="22">
        <f>VLOOKUP(A103,[3]Sheet2!$A:$F,6,FALSE)</f>
        <v>103831.4</v>
      </c>
      <c r="G103" s="22" t="s">
        <v>341</v>
      </c>
      <c r="H103" s="22" t="s">
        <v>86</v>
      </c>
      <c r="I103" s="22" t="s">
        <v>25</v>
      </c>
      <c r="J103" s="29" t="s">
        <v>42</v>
      </c>
      <c r="K103" s="29" t="s">
        <v>149</v>
      </c>
      <c r="L103" s="29" t="s">
        <v>28</v>
      </c>
      <c r="P103" s="30">
        <v>45580</v>
      </c>
      <c r="Q103" s="30">
        <v>45580</v>
      </c>
      <c r="R103" s="22" t="s">
        <v>29</v>
      </c>
      <c r="S103" s="29" t="s">
        <v>30</v>
      </c>
      <c r="T103" s="22" t="s">
        <v>31</v>
      </c>
      <c r="U103" s="25" t="s">
        <v>32</v>
      </c>
      <c r="V103" s="22" t="s">
        <v>33</v>
      </c>
      <c r="W103" s="32" t="s">
        <v>34</v>
      </c>
    </row>
    <row r="104" spans="1:23">
      <c r="A104" s="22" t="s">
        <v>342</v>
      </c>
      <c r="B104" s="25">
        <f>VLOOKUP(A104,[1]ProjectsResults!$D:$E,2,FALSE)</f>
        <v>10018</v>
      </c>
      <c r="C104" s="22">
        <f>VLOOKUP(A104,[2]Sheet2!$D:$E,2,FALSE)</f>
        <v>8820</v>
      </c>
      <c r="D104" s="22">
        <v>8820</v>
      </c>
      <c r="E104" s="22">
        <f>VLOOKUP(A104,[3]Sheet2!$A:$F,6,FALSE)</f>
        <v>76252.58</v>
      </c>
      <c r="G104" s="22" t="s">
        <v>86</v>
      </c>
      <c r="H104" s="22" t="s">
        <v>86</v>
      </c>
      <c r="I104" s="22" t="s">
        <v>25</v>
      </c>
      <c r="J104" s="29" t="s">
        <v>42</v>
      </c>
      <c r="K104" s="29" t="s">
        <v>238</v>
      </c>
      <c r="L104" s="29" t="s">
        <v>28</v>
      </c>
      <c r="P104" s="30">
        <v>45576</v>
      </c>
      <c r="Q104" s="30">
        <v>45576</v>
      </c>
      <c r="R104" s="22" t="s">
        <v>29</v>
      </c>
      <c r="S104" s="29" t="s">
        <v>30</v>
      </c>
      <c r="T104" s="22" t="s">
        <v>31</v>
      </c>
      <c r="U104" s="25" t="s">
        <v>32</v>
      </c>
      <c r="V104" s="22" t="s">
        <v>33</v>
      </c>
      <c r="W104" s="32" t="s">
        <v>34</v>
      </c>
    </row>
    <row r="105" spans="1:23">
      <c r="A105" s="22" t="s">
        <v>343</v>
      </c>
      <c r="B105" s="25">
        <f>VLOOKUP(A105,[1]ProjectsResults!$D:$E,2,FALSE)</f>
        <v>10019</v>
      </c>
      <c r="C105" s="22">
        <f>VLOOKUP(A105,[2]Sheet2!$D:$E,2,FALSE)</f>
        <v>8821</v>
      </c>
      <c r="D105" s="22">
        <v>8821</v>
      </c>
      <c r="E105" s="22">
        <f>VLOOKUP(A105,[3]Sheet2!$A:$F,6,FALSE)</f>
        <v>3111324</v>
      </c>
      <c r="G105" s="22" t="s">
        <v>344</v>
      </c>
      <c r="H105" s="22" t="s">
        <v>345</v>
      </c>
      <c r="I105" s="22" t="s">
        <v>25</v>
      </c>
      <c r="J105" s="29" t="s">
        <v>72</v>
      </c>
      <c r="K105" s="29" t="s">
        <v>141</v>
      </c>
      <c r="L105" s="29" t="s">
        <v>28</v>
      </c>
      <c r="P105" s="30">
        <v>45607</v>
      </c>
      <c r="Q105" s="30">
        <v>45607</v>
      </c>
      <c r="R105" s="22" t="s">
        <v>29</v>
      </c>
      <c r="S105" s="29" t="s">
        <v>30</v>
      </c>
      <c r="T105" s="22" t="s">
        <v>74</v>
      </c>
      <c r="U105" s="25" t="s">
        <v>32</v>
      </c>
      <c r="V105" s="22" t="s">
        <v>75</v>
      </c>
      <c r="W105" s="32" t="s">
        <v>34</v>
      </c>
    </row>
    <row r="106" spans="1:23">
      <c r="A106" s="22" t="s">
        <v>346</v>
      </c>
      <c r="B106" s="25">
        <f>VLOOKUP(A106,[1]ProjectsResults!$D:$E,2,FALSE)</f>
        <v>10020</v>
      </c>
      <c r="C106" s="22">
        <f>VLOOKUP(A106,[2]Sheet2!$D:$E,2,FALSE)</f>
        <v>8822</v>
      </c>
      <c r="D106" s="22">
        <v>8822</v>
      </c>
      <c r="E106" s="22">
        <f>VLOOKUP(A106,[3]Sheet2!$A:$F,6,FALSE)</f>
        <v>3616045.4</v>
      </c>
      <c r="G106" s="22" t="s">
        <v>347</v>
      </c>
      <c r="H106" s="22" t="s">
        <v>348</v>
      </c>
      <c r="I106" s="22" t="s">
        <v>25</v>
      </c>
      <c r="J106" s="29" t="s">
        <v>168</v>
      </c>
      <c r="K106" s="29" t="s">
        <v>328</v>
      </c>
      <c r="L106" s="29" t="s">
        <v>28</v>
      </c>
      <c r="P106" s="30">
        <v>45609</v>
      </c>
      <c r="Q106" s="30">
        <v>45623</v>
      </c>
      <c r="R106" s="22" t="s">
        <v>29</v>
      </c>
      <c r="S106" s="29" t="s">
        <v>30</v>
      </c>
      <c r="T106" s="22" t="s">
        <v>31</v>
      </c>
      <c r="U106" s="25" t="s">
        <v>32</v>
      </c>
      <c r="V106" s="22" t="s">
        <v>33</v>
      </c>
      <c r="W106" s="32" t="s">
        <v>34</v>
      </c>
    </row>
    <row r="107" spans="1:23">
      <c r="A107" s="22" t="s">
        <v>349</v>
      </c>
      <c r="B107" s="25">
        <f>VLOOKUP(A107,[1]ProjectsResults!$D:$E,2,FALSE)</f>
        <v>10021</v>
      </c>
      <c r="C107" s="22">
        <f>VLOOKUP(A107,[2]Sheet2!$D:$E,2,FALSE)</f>
        <v>8823</v>
      </c>
      <c r="D107" s="22">
        <v>8823</v>
      </c>
      <c r="E107" s="22">
        <f>VLOOKUP(A107,[3]Sheet2!$A:$F,6,FALSE)</f>
        <v>1804963</v>
      </c>
      <c r="G107" s="22" t="s">
        <v>350</v>
      </c>
      <c r="H107" s="22" t="s">
        <v>351</v>
      </c>
      <c r="I107" s="22" t="s">
        <v>25</v>
      </c>
      <c r="J107" s="29" t="s">
        <v>155</v>
      </c>
      <c r="K107" s="29" t="s">
        <v>352</v>
      </c>
      <c r="L107" s="29" t="s">
        <v>28</v>
      </c>
      <c r="P107" s="30">
        <v>45582</v>
      </c>
      <c r="Q107" s="30">
        <v>45584</v>
      </c>
      <c r="R107" s="22" t="s">
        <v>29</v>
      </c>
      <c r="S107" s="29" t="s">
        <v>30</v>
      </c>
      <c r="T107" s="22" t="s">
        <v>74</v>
      </c>
      <c r="U107" s="25" t="s">
        <v>32</v>
      </c>
      <c r="V107" s="22" t="s">
        <v>75</v>
      </c>
      <c r="W107" s="32" t="s">
        <v>34</v>
      </c>
    </row>
    <row r="108" spans="1:23">
      <c r="A108" s="22" t="s">
        <v>353</v>
      </c>
      <c r="B108" s="25">
        <f>VLOOKUP(A108,[1]ProjectsResults!$D:$E,2,FALSE)</f>
        <v>10022</v>
      </c>
      <c r="C108" s="22">
        <f>VLOOKUP(A108,[2]Sheet2!$D:$E,2,FALSE)</f>
        <v>8824</v>
      </c>
      <c r="D108" s="22">
        <v>8824</v>
      </c>
      <c r="E108" s="22">
        <f>VLOOKUP(A108,[3]Sheet2!$A:$F,6,FALSE)</f>
        <v>1926650</v>
      </c>
      <c r="G108" s="22" t="s">
        <v>354</v>
      </c>
      <c r="H108" s="22" t="s">
        <v>355</v>
      </c>
      <c r="I108" s="22" t="s">
        <v>25</v>
      </c>
      <c r="J108" s="29" t="s">
        <v>115</v>
      </c>
      <c r="K108" s="29" t="s">
        <v>356</v>
      </c>
      <c r="L108" s="29" t="s">
        <v>28</v>
      </c>
      <c r="P108" s="30">
        <v>45590</v>
      </c>
      <c r="Q108" s="30">
        <v>45590</v>
      </c>
      <c r="R108" s="22" t="s">
        <v>29</v>
      </c>
      <c r="S108" s="29" t="s">
        <v>30</v>
      </c>
      <c r="T108" s="22" t="s">
        <v>49</v>
      </c>
      <c r="U108" s="25" t="s">
        <v>32</v>
      </c>
      <c r="V108" s="22" t="s">
        <v>117</v>
      </c>
      <c r="W108" s="32" t="s">
        <v>34</v>
      </c>
    </row>
    <row r="109" spans="1:23">
      <c r="A109" s="22" t="s">
        <v>357</v>
      </c>
      <c r="B109" s="25">
        <f>VLOOKUP(A109,[1]ProjectsResults!$D:$E,2,FALSE)</f>
        <v>10023</v>
      </c>
      <c r="C109" s="22">
        <f>VLOOKUP(A109,[2]Sheet2!$D:$E,2,FALSE)</f>
        <v>8825</v>
      </c>
      <c r="D109" s="22">
        <v>8825</v>
      </c>
      <c r="E109" s="22">
        <f>VLOOKUP(A109,[3]Sheet2!$A:$F,6,FALSE)</f>
        <v>3734337</v>
      </c>
      <c r="G109" s="22" t="s">
        <v>358</v>
      </c>
      <c r="H109" s="22" t="s">
        <v>249</v>
      </c>
      <c r="I109" s="22" t="s">
        <v>25</v>
      </c>
      <c r="J109" s="29" t="s">
        <v>250</v>
      </c>
      <c r="K109" s="29" t="s">
        <v>310</v>
      </c>
      <c r="L109" s="29" t="s">
        <v>28</v>
      </c>
      <c r="P109" s="30">
        <v>45579</v>
      </c>
      <c r="Q109" s="30">
        <v>45579</v>
      </c>
      <c r="R109" s="22" t="s">
        <v>29</v>
      </c>
      <c r="S109" s="29" t="s">
        <v>30</v>
      </c>
      <c r="T109" s="22" t="s">
        <v>31</v>
      </c>
      <c r="U109" s="25" t="s">
        <v>32</v>
      </c>
      <c r="V109" s="22" t="s">
        <v>33</v>
      </c>
      <c r="W109" s="32" t="s">
        <v>34</v>
      </c>
    </row>
    <row r="110" spans="1:23">
      <c r="A110" s="22" t="s">
        <v>359</v>
      </c>
      <c r="B110" s="25">
        <f>VLOOKUP(A110,[1]ProjectsResults!$D:$E,2,FALSE)</f>
        <v>10024</v>
      </c>
      <c r="C110" s="22">
        <f>VLOOKUP(A110,[2]Sheet2!$D:$E,2,FALSE)</f>
        <v>8826</v>
      </c>
      <c r="D110" s="22">
        <v>8826</v>
      </c>
      <c r="E110" s="22">
        <f>VLOOKUP(A110,[3]Sheet2!$A:$F,6,FALSE)</f>
        <v>1036409</v>
      </c>
      <c r="G110" s="22" t="s">
        <v>360</v>
      </c>
      <c r="H110" s="22" t="s">
        <v>361</v>
      </c>
      <c r="I110" s="22" t="s">
        <v>25</v>
      </c>
      <c r="J110" s="29" t="s">
        <v>42</v>
      </c>
      <c r="K110" s="29" t="s">
        <v>285</v>
      </c>
      <c r="L110" s="29" t="s">
        <v>28</v>
      </c>
      <c r="P110" s="30">
        <v>45580</v>
      </c>
      <c r="Q110" s="30">
        <v>45581</v>
      </c>
      <c r="R110" s="22" t="s">
        <v>29</v>
      </c>
      <c r="S110" s="29" t="s">
        <v>30</v>
      </c>
      <c r="T110" s="22" t="s">
        <v>31</v>
      </c>
      <c r="U110" s="25" t="s">
        <v>32</v>
      </c>
      <c r="V110" s="22" t="s">
        <v>33</v>
      </c>
      <c r="W110" s="32" t="s">
        <v>34</v>
      </c>
    </row>
    <row r="111" spans="1:23">
      <c r="A111" s="22" t="s">
        <v>362</v>
      </c>
      <c r="B111" s="25">
        <f>VLOOKUP(A111,[1]ProjectsResults!$D:$E,2,FALSE)</f>
        <v>10025</v>
      </c>
      <c r="C111" s="22">
        <f>VLOOKUP(A111,[2]Sheet2!$D:$E,2,FALSE)</f>
        <v>8827</v>
      </c>
      <c r="D111" s="22">
        <v>8827</v>
      </c>
      <c r="E111" s="22">
        <f>VLOOKUP(A111,[3]Sheet2!$A:$F,6,FALSE)</f>
        <v>940337.2</v>
      </c>
      <c r="G111" s="22" t="s">
        <v>363</v>
      </c>
      <c r="H111" s="22" t="s">
        <v>364</v>
      </c>
      <c r="I111" s="22" t="s">
        <v>25</v>
      </c>
      <c r="J111" s="29" t="s">
        <v>47</v>
      </c>
      <c r="K111" s="29" t="s">
        <v>365</v>
      </c>
      <c r="L111" s="29" t="s">
        <v>28</v>
      </c>
      <c r="P111" s="30">
        <v>45624</v>
      </c>
      <c r="Q111" s="30">
        <v>45624</v>
      </c>
      <c r="R111" s="22" t="s">
        <v>29</v>
      </c>
      <c r="S111" s="29" t="s">
        <v>30</v>
      </c>
      <c r="T111" s="22" t="s">
        <v>49</v>
      </c>
      <c r="U111" s="25" t="s">
        <v>32</v>
      </c>
      <c r="V111" s="22" t="s">
        <v>50</v>
      </c>
      <c r="W111" s="32" t="s">
        <v>34</v>
      </c>
    </row>
    <row r="112" spans="1:23">
      <c r="A112" s="22" t="s">
        <v>366</v>
      </c>
      <c r="B112" s="25">
        <f>VLOOKUP(A112,[1]ProjectsResults!$D:$E,2,FALSE)</f>
        <v>10026</v>
      </c>
      <c r="C112" s="22">
        <f>VLOOKUP(A112,[2]Sheet2!$D:$E,2,FALSE)</f>
        <v>8828</v>
      </c>
      <c r="D112" s="22">
        <v>8828</v>
      </c>
      <c r="E112" s="22">
        <f>VLOOKUP(A112,[3]Sheet2!$A:$F,6,FALSE)</f>
        <v>131841</v>
      </c>
      <c r="G112" s="22" t="s">
        <v>367</v>
      </c>
      <c r="H112" s="22" t="s">
        <v>331</v>
      </c>
      <c r="I112" s="22" t="s">
        <v>25</v>
      </c>
      <c r="J112" s="29" t="s">
        <v>72</v>
      </c>
      <c r="K112" s="29" t="s">
        <v>141</v>
      </c>
      <c r="L112" s="29" t="s">
        <v>28</v>
      </c>
      <c r="P112" s="30">
        <v>45580</v>
      </c>
      <c r="Q112" s="30">
        <v>45580</v>
      </c>
      <c r="R112" s="22" t="s">
        <v>29</v>
      </c>
      <c r="S112" s="29" t="s">
        <v>30</v>
      </c>
      <c r="T112" s="22" t="s">
        <v>74</v>
      </c>
      <c r="U112" s="25" t="s">
        <v>32</v>
      </c>
      <c r="V112" s="22" t="s">
        <v>75</v>
      </c>
      <c r="W112" s="32" t="s">
        <v>34</v>
      </c>
    </row>
    <row r="113" spans="1:23">
      <c r="A113" s="22" t="s">
        <v>368</v>
      </c>
      <c r="B113" s="25">
        <f>VLOOKUP(A113,[1]ProjectsResults!$D:$E,2,FALSE)</f>
        <v>10027</v>
      </c>
      <c r="C113" s="22">
        <f>VLOOKUP(A113,[2]Sheet2!$D:$E,2,FALSE)</f>
        <v>8829</v>
      </c>
      <c r="D113" s="22">
        <v>8829</v>
      </c>
      <c r="E113" s="22">
        <f>VLOOKUP(A113,[3]Sheet2!$A:$F,6,FALSE)</f>
        <v>1646855.78</v>
      </c>
      <c r="G113" s="22" t="s">
        <v>369</v>
      </c>
      <c r="H113" s="22" t="s">
        <v>86</v>
      </c>
      <c r="I113" s="22" t="s">
        <v>25</v>
      </c>
      <c r="J113" s="29" t="s">
        <v>42</v>
      </c>
      <c r="K113" s="29" t="s">
        <v>149</v>
      </c>
      <c r="L113" s="29" t="s">
        <v>28</v>
      </c>
      <c r="P113" s="30">
        <v>45593</v>
      </c>
      <c r="Q113" s="30">
        <v>45593</v>
      </c>
      <c r="R113" s="22" t="s">
        <v>29</v>
      </c>
      <c r="S113" s="29" t="s">
        <v>30</v>
      </c>
      <c r="T113" s="22" t="s">
        <v>31</v>
      </c>
      <c r="U113" s="25" t="s">
        <v>32</v>
      </c>
      <c r="V113" s="22" t="s">
        <v>33</v>
      </c>
      <c r="W113" s="32" t="s">
        <v>34</v>
      </c>
    </row>
    <row r="114" spans="1:23">
      <c r="A114" s="22" t="s">
        <v>370</v>
      </c>
      <c r="B114" s="25">
        <f>VLOOKUP(A114,[1]ProjectsResults!$D:$E,2,FALSE)</f>
        <v>10028</v>
      </c>
      <c r="C114" s="22">
        <f>VLOOKUP(A114,[2]Sheet2!$D:$E,2,FALSE)</f>
        <v>8830</v>
      </c>
      <c r="D114" s="22">
        <v>8830</v>
      </c>
      <c r="E114" s="22">
        <f>VLOOKUP(A114,[3]Sheet2!$A:$F,6,FALSE)</f>
        <v>694788.5</v>
      </c>
      <c r="G114" s="22" t="s">
        <v>371</v>
      </c>
      <c r="H114" s="22" t="s">
        <v>372</v>
      </c>
      <c r="I114" s="22" t="s">
        <v>25</v>
      </c>
      <c r="J114" s="29" t="s">
        <v>42</v>
      </c>
      <c r="K114" s="29" t="s">
        <v>373</v>
      </c>
      <c r="L114" s="29" t="s">
        <v>28</v>
      </c>
      <c r="P114" s="30">
        <v>45585</v>
      </c>
      <c r="Q114" s="30">
        <v>45585</v>
      </c>
      <c r="R114" s="22" t="s">
        <v>29</v>
      </c>
      <c r="S114" s="29" t="s">
        <v>30</v>
      </c>
      <c r="T114" s="22" t="s">
        <v>31</v>
      </c>
      <c r="U114" s="25" t="s">
        <v>32</v>
      </c>
      <c r="V114" s="22" t="s">
        <v>33</v>
      </c>
      <c r="W114" s="32" t="s">
        <v>34</v>
      </c>
    </row>
    <row r="115" spans="1:23">
      <c r="A115" s="22" t="s">
        <v>374</v>
      </c>
      <c r="B115" s="25">
        <f>VLOOKUP(A115,[1]ProjectsResults!$D:$E,2,FALSE)</f>
        <v>10029</v>
      </c>
      <c r="C115" s="22">
        <f>VLOOKUP(A115,[2]Sheet2!$D:$E,2,FALSE)</f>
        <v>8831</v>
      </c>
      <c r="D115" s="22">
        <v>8831</v>
      </c>
      <c r="E115" s="22">
        <f>VLOOKUP(A115,[3]Sheet2!$A:$F,6,FALSE)</f>
        <v>670367</v>
      </c>
      <c r="G115" s="22" t="s">
        <v>375</v>
      </c>
      <c r="H115" s="22" t="s">
        <v>105</v>
      </c>
      <c r="I115" s="22" t="s">
        <v>25</v>
      </c>
      <c r="J115" s="29" t="s">
        <v>42</v>
      </c>
      <c r="K115" s="29" t="s">
        <v>43</v>
      </c>
      <c r="L115" s="29" t="s">
        <v>28</v>
      </c>
      <c r="P115" s="30">
        <v>45584</v>
      </c>
      <c r="Q115" s="30">
        <v>45584</v>
      </c>
      <c r="R115" s="22" t="s">
        <v>29</v>
      </c>
      <c r="S115" s="29" t="s">
        <v>30</v>
      </c>
      <c r="T115" s="22" t="s">
        <v>31</v>
      </c>
      <c r="U115" s="25" t="s">
        <v>32</v>
      </c>
      <c r="V115" s="22" t="s">
        <v>33</v>
      </c>
      <c r="W115" s="32" t="s">
        <v>34</v>
      </c>
    </row>
    <row r="116" spans="1:23">
      <c r="A116" s="22" t="s">
        <v>376</v>
      </c>
      <c r="B116" s="25">
        <f>VLOOKUP(A116,[1]ProjectsResults!$D:$E,2,FALSE)</f>
        <v>10030</v>
      </c>
      <c r="C116" s="22">
        <f>VLOOKUP(A116,[2]Sheet2!$D:$E,2,FALSE)</f>
        <v>8832</v>
      </c>
      <c r="D116" s="22">
        <v>8832</v>
      </c>
      <c r="E116" s="22">
        <f>VLOOKUP(A116,[3]Sheet2!$A:$F,6,FALSE)</f>
        <v>1486833</v>
      </c>
      <c r="G116" s="22" t="s">
        <v>377</v>
      </c>
      <c r="H116" s="22" t="s">
        <v>188</v>
      </c>
      <c r="I116" s="22" t="s">
        <v>25</v>
      </c>
      <c r="J116" s="29" t="s">
        <v>47</v>
      </c>
      <c r="K116" s="29" t="s">
        <v>227</v>
      </c>
      <c r="L116" s="29" t="s">
        <v>28</v>
      </c>
      <c r="P116" s="30">
        <v>45672</v>
      </c>
      <c r="Q116" s="30">
        <v>45672</v>
      </c>
      <c r="R116" s="22" t="s">
        <v>29</v>
      </c>
      <c r="S116" s="29" t="s">
        <v>30</v>
      </c>
      <c r="T116" s="22" t="s">
        <v>49</v>
      </c>
      <c r="U116" s="25" t="s">
        <v>32</v>
      </c>
      <c r="V116" s="22" t="s">
        <v>50</v>
      </c>
      <c r="W116" s="32" t="s">
        <v>34</v>
      </c>
    </row>
    <row r="117" spans="1:23">
      <c r="A117" s="22" t="s">
        <v>378</v>
      </c>
      <c r="B117" s="25">
        <f>VLOOKUP(A117,[1]ProjectsResults!$D:$E,2,FALSE)</f>
        <v>10031</v>
      </c>
      <c r="C117" s="22">
        <f>VLOOKUP(A117,[2]Sheet2!$D:$E,2,FALSE)</f>
        <v>8833</v>
      </c>
      <c r="D117" s="22">
        <v>8833</v>
      </c>
      <c r="E117" s="22">
        <f>VLOOKUP(A117,[3]Sheet2!$A:$F,6,FALSE)</f>
        <v>221914</v>
      </c>
      <c r="G117" s="22" t="s">
        <v>379</v>
      </c>
      <c r="H117" s="22" t="s">
        <v>114</v>
      </c>
      <c r="I117" s="22" t="s">
        <v>25</v>
      </c>
      <c r="J117" s="29" t="s">
        <v>115</v>
      </c>
      <c r="K117" s="29" t="s">
        <v>164</v>
      </c>
      <c r="L117" s="29" t="s">
        <v>28</v>
      </c>
      <c r="P117" s="30">
        <v>45588</v>
      </c>
      <c r="Q117" s="30">
        <v>45588</v>
      </c>
      <c r="R117" s="22" t="s">
        <v>29</v>
      </c>
      <c r="S117" s="29" t="s">
        <v>30</v>
      </c>
      <c r="T117" s="22" t="s">
        <v>49</v>
      </c>
      <c r="U117" s="25" t="s">
        <v>32</v>
      </c>
      <c r="V117" s="22" t="s">
        <v>117</v>
      </c>
      <c r="W117" s="32" t="s">
        <v>34</v>
      </c>
    </row>
    <row r="118" spans="1:23">
      <c r="A118" s="22" t="s">
        <v>380</v>
      </c>
      <c r="B118" s="25">
        <f>VLOOKUP(A118,[1]ProjectsResults!$D:$E,2,FALSE)</f>
        <v>10032</v>
      </c>
      <c r="C118" s="22">
        <f>VLOOKUP(A118,[2]Sheet2!$D:$E,2,FALSE)</f>
        <v>8834</v>
      </c>
      <c r="D118" s="22">
        <v>8834</v>
      </c>
      <c r="E118" s="22">
        <f>VLOOKUP(A118,[3]Sheet2!$A:$F,6,FALSE)</f>
        <v>619239.5</v>
      </c>
      <c r="G118" s="22" t="s">
        <v>381</v>
      </c>
      <c r="H118" s="22" t="s">
        <v>114</v>
      </c>
      <c r="I118" s="22" t="s">
        <v>25</v>
      </c>
      <c r="J118" s="29" t="s">
        <v>115</v>
      </c>
      <c r="K118" s="29" t="s">
        <v>164</v>
      </c>
      <c r="L118" s="29" t="s">
        <v>28</v>
      </c>
      <c r="P118" s="30">
        <v>45588</v>
      </c>
      <c r="Q118" s="30">
        <v>45588</v>
      </c>
      <c r="R118" s="22" t="s">
        <v>29</v>
      </c>
      <c r="S118" s="29" t="s">
        <v>30</v>
      </c>
      <c r="T118" s="22" t="s">
        <v>49</v>
      </c>
      <c r="U118" s="25" t="s">
        <v>32</v>
      </c>
      <c r="V118" s="22" t="s">
        <v>117</v>
      </c>
      <c r="W118" s="32" t="s">
        <v>34</v>
      </c>
    </row>
    <row r="119" spans="1:23">
      <c r="A119" s="22" t="s">
        <v>382</v>
      </c>
      <c r="B119" s="25">
        <f>VLOOKUP(A119,[1]ProjectsResults!$D:$E,2,FALSE)</f>
        <v>10033</v>
      </c>
      <c r="C119" s="22">
        <f>VLOOKUP(A119,[2]Sheet2!$D:$E,2,FALSE)</f>
        <v>8835</v>
      </c>
      <c r="D119" s="22">
        <v>8835</v>
      </c>
      <c r="E119" s="22">
        <f>VLOOKUP(A119,[3]Sheet2!$A:$F,6,FALSE)</f>
        <v>884349</v>
      </c>
      <c r="G119" s="22" t="s">
        <v>383</v>
      </c>
      <c r="H119" s="22" t="s">
        <v>384</v>
      </c>
      <c r="I119" s="22" t="s">
        <v>25</v>
      </c>
      <c r="J119" s="29" t="s">
        <v>42</v>
      </c>
      <c r="K119" s="29" t="s">
        <v>238</v>
      </c>
      <c r="L119" s="29" t="s">
        <v>28</v>
      </c>
      <c r="P119" s="30">
        <v>45588</v>
      </c>
      <c r="Q119" s="30">
        <v>45590</v>
      </c>
      <c r="R119" s="22" t="s">
        <v>29</v>
      </c>
      <c r="S119" s="29" t="s">
        <v>30</v>
      </c>
      <c r="T119" s="22" t="s">
        <v>31</v>
      </c>
      <c r="U119" s="25" t="s">
        <v>32</v>
      </c>
      <c r="V119" s="22" t="s">
        <v>33</v>
      </c>
      <c r="W119" s="32" t="s">
        <v>34</v>
      </c>
    </row>
    <row r="120" spans="1:23">
      <c r="A120" s="22" t="s">
        <v>385</v>
      </c>
      <c r="B120" s="25">
        <f>VLOOKUP(A120,[1]ProjectsResults!$D:$E,2,FALSE)</f>
        <v>10034</v>
      </c>
      <c r="C120" s="22">
        <f>VLOOKUP(A120,[2]Sheet2!$D:$E,2,FALSE)</f>
        <v>8836</v>
      </c>
      <c r="D120" s="22">
        <v>8836</v>
      </c>
      <c r="E120" s="22">
        <f>VLOOKUP(A120,[3]Sheet2!$A:$F,6,FALSE)</f>
        <v>3679065.08</v>
      </c>
      <c r="G120" s="22" t="s">
        <v>386</v>
      </c>
      <c r="H120" s="22" t="s">
        <v>249</v>
      </c>
      <c r="I120" s="22" t="s">
        <v>25</v>
      </c>
      <c r="J120" s="29" t="s">
        <v>250</v>
      </c>
      <c r="K120" s="29" t="s">
        <v>251</v>
      </c>
      <c r="L120" s="29" t="s">
        <v>28</v>
      </c>
      <c r="P120" s="30">
        <v>45584</v>
      </c>
      <c r="Q120" s="30">
        <v>45584</v>
      </c>
      <c r="R120" s="22" t="s">
        <v>29</v>
      </c>
      <c r="S120" s="29" t="s">
        <v>30</v>
      </c>
      <c r="T120" s="22" t="s">
        <v>31</v>
      </c>
      <c r="U120" s="25" t="s">
        <v>32</v>
      </c>
      <c r="V120" s="22" t="s">
        <v>33</v>
      </c>
      <c r="W120" s="32" t="s">
        <v>34</v>
      </c>
    </row>
    <row r="121" spans="1:23">
      <c r="A121" s="22" t="s">
        <v>387</v>
      </c>
      <c r="B121" s="25">
        <f>VLOOKUP(A121,[1]ProjectsResults!$D:$E,2,FALSE)</f>
        <v>10035</v>
      </c>
      <c r="C121" s="22">
        <f>VLOOKUP(A121,[2]Sheet2!$D:$E,2,FALSE)</f>
        <v>8837</v>
      </c>
      <c r="D121" s="22">
        <v>8837</v>
      </c>
      <c r="E121" s="22">
        <f>VLOOKUP(A121,[3]Sheet2!$A:$F,6,FALSE)</f>
        <v>664855.5</v>
      </c>
      <c r="G121" s="22" t="s">
        <v>388</v>
      </c>
      <c r="H121" s="22" t="s">
        <v>137</v>
      </c>
      <c r="I121" s="22" t="s">
        <v>25</v>
      </c>
      <c r="J121" s="29" t="s">
        <v>47</v>
      </c>
      <c r="K121" s="29" t="s">
        <v>242</v>
      </c>
      <c r="L121" s="29" t="s">
        <v>28</v>
      </c>
      <c r="P121" s="30">
        <v>45588</v>
      </c>
      <c r="Q121" s="30">
        <v>45588</v>
      </c>
      <c r="R121" s="22" t="s">
        <v>29</v>
      </c>
      <c r="S121" s="29" t="s">
        <v>30</v>
      </c>
      <c r="T121" s="22" t="s">
        <v>49</v>
      </c>
      <c r="U121" s="25" t="s">
        <v>32</v>
      </c>
      <c r="V121" s="22" t="s">
        <v>50</v>
      </c>
      <c r="W121" s="32" t="s">
        <v>34</v>
      </c>
    </row>
    <row r="122" spans="1:23">
      <c r="A122" s="22" t="s">
        <v>389</v>
      </c>
      <c r="B122" s="25">
        <f>VLOOKUP(A122,[1]ProjectsResults!$D:$E,2,FALSE)</f>
        <v>10036</v>
      </c>
      <c r="C122" s="22">
        <f>VLOOKUP(A122,[2]Sheet2!$D:$E,2,FALSE)</f>
        <v>8838</v>
      </c>
      <c r="D122" s="22">
        <v>8838</v>
      </c>
      <c r="E122" s="22">
        <f>VLOOKUP(A122,[3]Sheet2!$A:$F,6,FALSE)</f>
        <v>0</v>
      </c>
      <c r="G122" s="22" t="s">
        <v>390</v>
      </c>
      <c r="H122" s="22" t="s">
        <v>313</v>
      </c>
      <c r="I122" s="22" t="s">
        <v>25</v>
      </c>
      <c r="J122" s="29" t="s">
        <v>168</v>
      </c>
      <c r="K122" s="29" t="s">
        <v>314</v>
      </c>
      <c r="L122" s="29" t="s">
        <v>28</v>
      </c>
      <c r="P122" s="30">
        <v>45589</v>
      </c>
      <c r="Q122" s="30">
        <v>45589</v>
      </c>
      <c r="R122" s="22" t="s">
        <v>29</v>
      </c>
      <c r="S122" s="29" t="s">
        <v>30</v>
      </c>
      <c r="T122" s="22" t="s">
        <v>31</v>
      </c>
      <c r="U122" s="25" t="s">
        <v>32</v>
      </c>
      <c r="V122" s="22" t="s">
        <v>33</v>
      </c>
      <c r="W122" s="32" t="s">
        <v>34</v>
      </c>
    </row>
    <row r="123" spans="1:23">
      <c r="A123" s="22" t="s">
        <v>391</v>
      </c>
      <c r="B123" s="25">
        <f>VLOOKUP(A123,[1]ProjectsResults!$D:$E,2,FALSE)</f>
        <v>10037</v>
      </c>
      <c r="C123" s="22">
        <f>VLOOKUP(A123,[2]Sheet2!$D:$E,2,FALSE)</f>
        <v>8839</v>
      </c>
      <c r="D123" s="22">
        <v>8839</v>
      </c>
      <c r="E123" s="22">
        <f>VLOOKUP(A123,[3]Sheet2!$A:$F,6,FALSE)</f>
        <v>742134.4</v>
      </c>
      <c r="G123" s="22" t="s">
        <v>392</v>
      </c>
      <c r="H123" s="22" t="s">
        <v>393</v>
      </c>
      <c r="I123" s="22" t="s">
        <v>25</v>
      </c>
      <c r="J123" s="29" t="s">
        <v>38</v>
      </c>
      <c r="K123" s="29" t="s">
        <v>38</v>
      </c>
      <c r="L123" s="29" t="s">
        <v>28</v>
      </c>
      <c r="P123" s="30">
        <v>45589</v>
      </c>
      <c r="Q123" s="30">
        <v>45590</v>
      </c>
      <c r="R123" s="22" t="s">
        <v>29</v>
      </c>
      <c r="S123" s="29" t="s">
        <v>30</v>
      </c>
      <c r="T123" s="22" t="s">
        <v>31</v>
      </c>
      <c r="U123" s="25" t="s">
        <v>32</v>
      </c>
      <c r="V123" s="22" t="s">
        <v>33</v>
      </c>
      <c r="W123" s="32" t="s">
        <v>34</v>
      </c>
    </row>
    <row r="124" spans="1:23">
      <c r="A124" s="22" t="s">
        <v>394</v>
      </c>
      <c r="B124" s="25">
        <f>VLOOKUP(A124,[1]ProjectsResults!$D:$E,2,FALSE)</f>
        <v>10038</v>
      </c>
      <c r="C124" s="22">
        <f>VLOOKUP(A124,[2]Sheet2!$D:$E,2,FALSE)</f>
        <v>8840</v>
      </c>
      <c r="D124" s="22">
        <v>8840</v>
      </c>
      <c r="E124" s="22">
        <f>VLOOKUP(A124,[3]Sheet2!$A:$F,6,FALSE)</f>
        <v>1005156</v>
      </c>
      <c r="G124" s="22" t="s">
        <v>395</v>
      </c>
      <c r="H124" s="22" t="s">
        <v>396</v>
      </c>
      <c r="I124" s="22" t="s">
        <v>25</v>
      </c>
      <c r="J124" s="29" t="s">
        <v>115</v>
      </c>
      <c r="K124" s="29" t="s">
        <v>356</v>
      </c>
      <c r="L124" s="29" t="s">
        <v>28</v>
      </c>
      <c r="P124" s="30">
        <v>45588</v>
      </c>
      <c r="Q124" s="30">
        <v>45589</v>
      </c>
      <c r="R124" s="22" t="s">
        <v>29</v>
      </c>
      <c r="S124" s="29" t="s">
        <v>30</v>
      </c>
      <c r="T124" s="22" t="s">
        <v>49</v>
      </c>
      <c r="U124" s="25" t="s">
        <v>32</v>
      </c>
      <c r="V124" s="22" t="s">
        <v>117</v>
      </c>
      <c r="W124" s="32" t="s">
        <v>34</v>
      </c>
    </row>
    <row r="125" spans="1:23">
      <c r="A125" s="22" t="s">
        <v>397</v>
      </c>
      <c r="B125" s="25">
        <f>VLOOKUP(A125,[1]ProjectsResults!$D:$E,2,FALSE)</f>
        <v>10039</v>
      </c>
      <c r="C125" s="22">
        <f>VLOOKUP(A125,[2]Sheet2!$D:$E,2,FALSE)</f>
        <v>9347</v>
      </c>
      <c r="D125" s="22">
        <v>9347</v>
      </c>
      <c r="E125" s="22">
        <f>VLOOKUP(A125,[3]Sheet2!$A:$F,6,FALSE)</f>
        <v>191232</v>
      </c>
      <c r="G125" s="22" t="s">
        <v>398</v>
      </c>
      <c r="H125" s="22" t="s">
        <v>159</v>
      </c>
      <c r="I125" s="22" t="s">
        <v>25</v>
      </c>
      <c r="J125" s="29" t="s">
        <v>115</v>
      </c>
      <c r="K125" s="29" t="s">
        <v>160</v>
      </c>
      <c r="L125" s="29" t="s">
        <v>28</v>
      </c>
      <c r="P125" s="30">
        <v>45589</v>
      </c>
      <c r="Q125" s="30">
        <v>45589</v>
      </c>
      <c r="R125" s="22" t="s">
        <v>29</v>
      </c>
      <c r="S125" s="29" t="s">
        <v>30</v>
      </c>
      <c r="T125" s="22" t="s">
        <v>49</v>
      </c>
      <c r="U125" s="25" t="s">
        <v>32</v>
      </c>
      <c r="V125" s="22" t="s">
        <v>117</v>
      </c>
      <c r="W125" s="32" t="s">
        <v>34</v>
      </c>
    </row>
    <row r="126" spans="1:23">
      <c r="A126" s="22" t="s">
        <v>399</v>
      </c>
      <c r="B126" s="25">
        <f>VLOOKUP(A126,[1]ProjectsResults!$D:$E,2,FALSE)</f>
        <v>10040</v>
      </c>
      <c r="C126" s="22">
        <f>VLOOKUP(A126,[2]Sheet2!$D:$E,2,FALSE)</f>
        <v>8841</v>
      </c>
      <c r="D126" s="22">
        <v>8841</v>
      </c>
      <c r="E126" s="22">
        <f>VLOOKUP(A126,[3]Sheet2!$A:$F,6,FALSE)</f>
        <v>541683</v>
      </c>
      <c r="G126" s="22" t="s">
        <v>400</v>
      </c>
      <c r="H126" s="22" t="s">
        <v>86</v>
      </c>
      <c r="I126" s="22" t="s">
        <v>25</v>
      </c>
      <c r="J126" s="29" t="s">
        <v>42</v>
      </c>
      <c r="K126" s="29" t="s">
        <v>149</v>
      </c>
      <c r="L126" s="29" t="s">
        <v>28</v>
      </c>
      <c r="P126" s="30">
        <v>45602</v>
      </c>
      <c r="Q126" s="30">
        <v>45602</v>
      </c>
      <c r="R126" s="22" t="s">
        <v>29</v>
      </c>
      <c r="S126" s="29" t="s">
        <v>30</v>
      </c>
      <c r="T126" s="22" t="s">
        <v>31</v>
      </c>
      <c r="U126" s="25" t="s">
        <v>32</v>
      </c>
      <c r="V126" s="22" t="s">
        <v>33</v>
      </c>
      <c r="W126" s="32" t="s">
        <v>34</v>
      </c>
    </row>
    <row r="127" spans="1:23">
      <c r="A127" s="22" t="s">
        <v>401</v>
      </c>
      <c r="B127" s="25">
        <f>VLOOKUP(A127,[1]ProjectsResults!$D:$E,2,FALSE)</f>
        <v>10041</v>
      </c>
      <c r="C127" s="22">
        <f>VLOOKUP(A127,[2]Sheet2!$D:$E,2,FALSE)</f>
        <v>8842</v>
      </c>
      <c r="D127" s="22">
        <v>8842</v>
      </c>
      <c r="E127" s="22">
        <f>VLOOKUP(A127,[3]Sheet2!$A:$F,6,FALSE)</f>
        <v>842319.8</v>
      </c>
      <c r="G127" s="22" t="s">
        <v>402</v>
      </c>
      <c r="H127" s="22" t="s">
        <v>403</v>
      </c>
      <c r="I127" s="22" t="s">
        <v>25</v>
      </c>
      <c r="J127" s="29" t="s">
        <v>47</v>
      </c>
      <c r="K127" s="29" t="s">
        <v>242</v>
      </c>
      <c r="L127" s="29" t="s">
        <v>28</v>
      </c>
      <c r="P127" s="30">
        <v>45585</v>
      </c>
      <c r="Q127" s="30">
        <v>45587</v>
      </c>
      <c r="R127" s="22" t="s">
        <v>29</v>
      </c>
      <c r="S127" s="29" t="s">
        <v>30</v>
      </c>
      <c r="T127" s="22" t="s">
        <v>49</v>
      </c>
      <c r="U127" s="25" t="s">
        <v>32</v>
      </c>
      <c r="V127" s="22" t="s">
        <v>50</v>
      </c>
      <c r="W127" s="32" t="s">
        <v>34</v>
      </c>
    </row>
    <row r="128" spans="1:23">
      <c r="A128" s="22" t="s">
        <v>404</v>
      </c>
      <c r="B128" s="25">
        <f>VLOOKUP(A128,[1]ProjectsResults!$D:$E,2,FALSE)</f>
        <v>10042</v>
      </c>
      <c r="C128" s="22">
        <f>VLOOKUP(A128,[2]Sheet2!$D:$E,2,FALSE)</f>
        <v>9687</v>
      </c>
      <c r="D128" s="22">
        <v>9687</v>
      </c>
      <c r="E128" s="22">
        <f>VLOOKUP(A128,[3]Sheet2!$A:$F,6,FALSE)</f>
        <v>822332</v>
      </c>
      <c r="G128" s="22" t="s">
        <v>405</v>
      </c>
      <c r="H128" s="22" t="s">
        <v>406</v>
      </c>
      <c r="I128" s="22" t="s">
        <v>25</v>
      </c>
      <c r="J128" s="29" t="s">
        <v>168</v>
      </c>
      <c r="K128" s="29" t="s">
        <v>407</v>
      </c>
      <c r="L128" s="29" t="s">
        <v>28</v>
      </c>
      <c r="P128" s="30">
        <v>45586</v>
      </c>
      <c r="Q128" s="30">
        <v>45586</v>
      </c>
      <c r="R128" s="22" t="s">
        <v>29</v>
      </c>
      <c r="S128" s="29" t="s">
        <v>30</v>
      </c>
      <c r="T128" s="22" t="s">
        <v>31</v>
      </c>
      <c r="U128" s="25" t="s">
        <v>32</v>
      </c>
      <c r="V128" s="22" t="s">
        <v>33</v>
      </c>
      <c r="W128" s="32" t="s">
        <v>34</v>
      </c>
    </row>
    <row r="129" spans="1:23">
      <c r="A129" s="22" t="s">
        <v>408</v>
      </c>
      <c r="B129" s="25">
        <f>VLOOKUP(A129,[1]ProjectsResults!$D:$E,2,FALSE)</f>
        <v>10043</v>
      </c>
      <c r="C129" s="22">
        <f>VLOOKUP(A129,[2]Sheet2!$D:$E,2,FALSE)</f>
        <v>8843</v>
      </c>
      <c r="D129" s="22">
        <v>8843</v>
      </c>
      <c r="E129" s="22">
        <f>VLOOKUP(A129,[3]Sheet2!$A:$F,6,FALSE)</f>
        <v>632808</v>
      </c>
      <c r="G129" s="22" t="s">
        <v>409</v>
      </c>
      <c r="H129" s="22" t="s">
        <v>114</v>
      </c>
      <c r="I129" s="22" t="s">
        <v>25</v>
      </c>
      <c r="J129" s="29" t="s">
        <v>115</v>
      </c>
      <c r="K129" s="29" t="s">
        <v>160</v>
      </c>
      <c r="L129" s="29" t="s">
        <v>28</v>
      </c>
      <c r="P129" s="30">
        <v>45586</v>
      </c>
      <c r="Q129" s="30">
        <v>45587</v>
      </c>
      <c r="R129" s="22" t="s">
        <v>29</v>
      </c>
      <c r="S129" s="29" t="s">
        <v>30</v>
      </c>
      <c r="T129" s="22" t="s">
        <v>49</v>
      </c>
      <c r="U129" s="25" t="s">
        <v>32</v>
      </c>
      <c r="V129" s="22" t="s">
        <v>117</v>
      </c>
      <c r="W129" s="32" t="s">
        <v>34</v>
      </c>
    </row>
    <row r="130" spans="1:23">
      <c r="A130" s="22" t="s">
        <v>410</v>
      </c>
      <c r="B130" s="25">
        <f>VLOOKUP(A130,[1]ProjectsResults!$D:$E,2,FALSE)</f>
        <v>10044</v>
      </c>
      <c r="C130" s="22">
        <f>VLOOKUP(A130,[2]Sheet2!$D:$E,2,FALSE)</f>
        <v>8844</v>
      </c>
      <c r="D130" s="22">
        <v>8844</v>
      </c>
      <c r="E130" s="22">
        <f>VLOOKUP(A130,[3]Sheet2!$A:$F,6,FALSE)</f>
        <v>2145113.96</v>
      </c>
      <c r="G130" s="22" t="s">
        <v>411</v>
      </c>
      <c r="H130" s="22" t="s">
        <v>114</v>
      </c>
      <c r="I130" s="22" t="s">
        <v>25</v>
      </c>
      <c r="J130" s="29" t="s">
        <v>115</v>
      </c>
      <c r="K130" s="29" t="s">
        <v>160</v>
      </c>
      <c r="L130" s="29" t="s">
        <v>28</v>
      </c>
      <c r="P130" s="30">
        <v>45589</v>
      </c>
      <c r="Q130" s="30">
        <v>45589</v>
      </c>
      <c r="R130" s="22" t="s">
        <v>29</v>
      </c>
      <c r="S130" s="29" t="s">
        <v>30</v>
      </c>
      <c r="T130" s="22" t="s">
        <v>49</v>
      </c>
      <c r="U130" s="25" t="s">
        <v>32</v>
      </c>
      <c r="V130" s="22" t="s">
        <v>117</v>
      </c>
      <c r="W130" s="32" t="s">
        <v>34</v>
      </c>
    </row>
    <row r="131" spans="1:23">
      <c r="A131" s="22" t="s">
        <v>412</v>
      </c>
      <c r="B131" s="25">
        <f>VLOOKUP(A131,[1]ProjectsResults!$D:$E,2,FALSE)</f>
        <v>10045</v>
      </c>
      <c r="C131" s="22">
        <f>VLOOKUP(A131,[2]Sheet2!$D:$E,2,FALSE)</f>
        <v>8845</v>
      </c>
      <c r="D131" s="22">
        <v>8845</v>
      </c>
      <c r="E131" s="22">
        <f>VLOOKUP(A131,[3]Sheet2!$A:$F,6,FALSE)</f>
        <v>10520500</v>
      </c>
      <c r="G131" s="22" t="s">
        <v>413</v>
      </c>
      <c r="H131" s="22" t="s">
        <v>188</v>
      </c>
      <c r="I131" s="22" t="s">
        <v>25</v>
      </c>
      <c r="J131" s="29" t="s">
        <v>190</v>
      </c>
      <c r="K131" s="29" t="s">
        <v>189</v>
      </c>
      <c r="L131" s="29" t="s">
        <v>28</v>
      </c>
      <c r="P131" s="30">
        <v>45587</v>
      </c>
      <c r="Q131" s="30">
        <v>45590</v>
      </c>
      <c r="R131" s="22" t="s">
        <v>29</v>
      </c>
      <c r="S131" s="29" t="s">
        <v>30</v>
      </c>
      <c r="T131" s="22" t="s">
        <v>74</v>
      </c>
      <c r="U131" s="25" t="s">
        <v>32</v>
      </c>
      <c r="V131" s="22" t="s">
        <v>75</v>
      </c>
      <c r="W131" s="32" t="s">
        <v>34</v>
      </c>
    </row>
    <row r="132" spans="1:23">
      <c r="A132" s="22" t="s">
        <v>414</v>
      </c>
      <c r="B132" s="25">
        <f>VLOOKUP(A132,[1]ProjectsResults!$D:$E,2,FALSE)</f>
        <v>10046</v>
      </c>
      <c r="C132" s="22">
        <f>VLOOKUP(A132,[2]Sheet2!$D:$E,2,FALSE)</f>
        <v>8846</v>
      </c>
      <c r="D132" s="22">
        <v>8846</v>
      </c>
      <c r="E132" s="22">
        <f>VLOOKUP(A132,[3]Sheet2!$A:$F,6,FALSE)</f>
        <v>2500730</v>
      </c>
      <c r="G132" s="22" t="s">
        <v>415</v>
      </c>
      <c r="H132" s="22" t="s">
        <v>249</v>
      </c>
      <c r="I132" s="22" t="s">
        <v>25</v>
      </c>
      <c r="J132" s="29" t="s">
        <v>250</v>
      </c>
      <c r="K132" s="29" t="s">
        <v>310</v>
      </c>
      <c r="L132" s="29" t="s">
        <v>28</v>
      </c>
      <c r="P132" s="30">
        <v>45590</v>
      </c>
      <c r="Q132" s="30">
        <v>45592</v>
      </c>
      <c r="R132" s="22" t="s">
        <v>29</v>
      </c>
      <c r="S132" s="29" t="s">
        <v>30</v>
      </c>
      <c r="T132" s="22" t="s">
        <v>31</v>
      </c>
      <c r="U132" s="25" t="s">
        <v>32</v>
      </c>
      <c r="V132" s="22" t="s">
        <v>33</v>
      </c>
      <c r="W132" s="32" t="s">
        <v>34</v>
      </c>
    </row>
    <row r="133" spans="1:23">
      <c r="A133" s="22" t="s">
        <v>416</v>
      </c>
      <c r="B133" s="25">
        <f>VLOOKUP(A133,[1]ProjectsResults!$D:$E,2,FALSE)</f>
        <v>10047</v>
      </c>
      <c r="C133" s="22">
        <f>VLOOKUP(A133,[2]Sheet2!$D:$E,2,FALSE)</f>
        <v>8847</v>
      </c>
      <c r="D133" s="22">
        <v>8847</v>
      </c>
      <c r="E133" s="22">
        <f>VLOOKUP(A133,[3]Sheet2!$A:$F,6,FALSE)</f>
        <v>3106091</v>
      </c>
      <c r="G133" s="22" t="s">
        <v>417</v>
      </c>
      <c r="H133" s="22" t="s">
        <v>307</v>
      </c>
      <c r="I133" s="22" t="s">
        <v>25</v>
      </c>
      <c r="J133" s="29" t="s">
        <v>47</v>
      </c>
      <c r="K133" s="29" t="s">
        <v>66</v>
      </c>
      <c r="L133" s="29" t="s">
        <v>28</v>
      </c>
      <c r="P133" s="30">
        <v>45591</v>
      </c>
      <c r="Q133" s="30">
        <v>45591</v>
      </c>
      <c r="R133" s="22" t="s">
        <v>29</v>
      </c>
      <c r="S133" s="29" t="s">
        <v>30</v>
      </c>
      <c r="T133" s="22" t="s">
        <v>49</v>
      </c>
      <c r="U133" s="25" t="s">
        <v>32</v>
      </c>
      <c r="V133" s="22" t="s">
        <v>50</v>
      </c>
      <c r="W133" s="32" t="s">
        <v>34</v>
      </c>
    </row>
    <row r="134" spans="1:23">
      <c r="A134" s="22" t="s">
        <v>418</v>
      </c>
      <c r="B134" s="25">
        <f>VLOOKUP(A134,[1]ProjectsResults!$D:$E,2,FALSE)</f>
        <v>10048</v>
      </c>
      <c r="C134" s="22">
        <f>VLOOKUP(A134,[2]Sheet2!$D:$E,2,FALSE)</f>
        <v>8848</v>
      </c>
      <c r="D134" s="22">
        <v>8848</v>
      </c>
      <c r="E134" s="22">
        <f>VLOOKUP(A134,[3]Sheet2!$A:$F,6,FALSE)</f>
        <v>321915</v>
      </c>
      <c r="G134" s="22" t="s">
        <v>419</v>
      </c>
      <c r="H134" s="22" t="s">
        <v>420</v>
      </c>
      <c r="I134" s="22" t="s">
        <v>25</v>
      </c>
      <c r="J134" s="29" t="s">
        <v>47</v>
      </c>
      <c r="K134" s="29" t="s">
        <v>227</v>
      </c>
      <c r="L134" s="29" t="s">
        <v>28</v>
      </c>
      <c r="P134" s="30">
        <v>45588</v>
      </c>
      <c r="Q134" s="30">
        <v>45588</v>
      </c>
      <c r="R134" s="22" t="s">
        <v>29</v>
      </c>
      <c r="S134" s="29" t="s">
        <v>30</v>
      </c>
      <c r="T134" s="22" t="s">
        <v>49</v>
      </c>
      <c r="U134" s="25" t="s">
        <v>32</v>
      </c>
      <c r="V134" s="22" t="s">
        <v>50</v>
      </c>
      <c r="W134" s="32" t="s">
        <v>34</v>
      </c>
    </row>
    <row r="135" spans="1:23">
      <c r="A135" s="22" t="s">
        <v>421</v>
      </c>
      <c r="B135" s="25">
        <f>VLOOKUP(A135,[1]ProjectsResults!$D:$E,2,FALSE)</f>
        <v>10049</v>
      </c>
      <c r="C135" s="22">
        <f>VLOOKUP(A135,[2]Sheet2!$D:$E,2,FALSE)</f>
        <v>8849</v>
      </c>
      <c r="D135" s="22">
        <v>8849</v>
      </c>
      <c r="E135" s="22">
        <f>VLOOKUP(A135,[3]Sheet2!$A:$F,6,FALSE)</f>
        <v>174900</v>
      </c>
      <c r="G135" s="22" t="s">
        <v>422</v>
      </c>
      <c r="H135" s="22" t="s">
        <v>423</v>
      </c>
      <c r="I135" s="22" t="s">
        <v>25</v>
      </c>
      <c r="J135" s="29" t="s">
        <v>272</v>
      </c>
      <c r="K135" s="29" t="s">
        <v>271</v>
      </c>
      <c r="L135" s="29" t="s">
        <v>28</v>
      </c>
      <c r="P135" s="30">
        <v>45589</v>
      </c>
      <c r="Q135" s="30">
        <v>45589</v>
      </c>
      <c r="R135" s="22" t="s">
        <v>29</v>
      </c>
      <c r="S135" s="29" t="s">
        <v>30</v>
      </c>
      <c r="T135" s="22" t="s">
        <v>74</v>
      </c>
      <c r="U135" s="25" t="s">
        <v>32</v>
      </c>
      <c r="V135" s="22" t="s">
        <v>75</v>
      </c>
      <c r="W135" s="32" t="s">
        <v>34</v>
      </c>
    </row>
    <row r="136" spans="1:23">
      <c r="A136" s="22" t="s">
        <v>424</v>
      </c>
      <c r="B136" s="25">
        <f>VLOOKUP(A136,[1]ProjectsResults!$D:$E,2,FALSE)</f>
        <v>10050</v>
      </c>
      <c r="C136" s="22">
        <f>VLOOKUP(A136,[2]Sheet2!$D:$E,2,FALSE)</f>
        <v>8850</v>
      </c>
      <c r="D136" s="22">
        <v>8850</v>
      </c>
      <c r="E136" s="22">
        <f>VLOOKUP(A136,[3]Sheet2!$A:$F,6,FALSE)</f>
        <v>245394.6</v>
      </c>
      <c r="G136" s="22" t="s">
        <v>425</v>
      </c>
      <c r="H136" s="22" t="s">
        <v>58</v>
      </c>
      <c r="I136" s="22" t="s">
        <v>25</v>
      </c>
      <c r="J136" s="29" t="s">
        <v>47</v>
      </c>
      <c r="K136" s="29" t="s">
        <v>48</v>
      </c>
      <c r="L136" s="29" t="s">
        <v>28</v>
      </c>
      <c r="P136" s="30">
        <v>45588</v>
      </c>
      <c r="Q136" s="30">
        <v>45588</v>
      </c>
      <c r="R136" s="22" t="s">
        <v>29</v>
      </c>
      <c r="S136" s="29" t="s">
        <v>30</v>
      </c>
      <c r="T136" s="22" t="s">
        <v>49</v>
      </c>
      <c r="U136" s="25" t="s">
        <v>32</v>
      </c>
      <c r="V136" s="22" t="s">
        <v>50</v>
      </c>
      <c r="W136" s="32" t="s">
        <v>34</v>
      </c>
    </row>
    <row r="137" spans="1:23">
      <c r="A137" s="22" t="s">
        <v>426</v>
      </c>
      <c r="B137" s="25">
        <f>VLOOKUP(A137,[1]ProjectsResults!$D:$E,2,FALSE)</f>
        <v>10051</v>
      </c>
      <c r="C137" s="22">
        <f>VLOOKUP(A137,[2]Sheet2!$D:$E,2,FALSE)</f>
        <v>8851</v>
      </c>
      <c r="D137" s="22">
        <v>8851</v>
      </c>
      <c r="E137" s="22">
        <f>VLOOKUP(A137,[3]Sheet2!$A:$F,6,FALSE)</f>
        <v>640783</v>
      </c>
      <c r="G137" s="22" t="s">
        <v>427</v>
      </c>
      <c r="H137" s="22" t="s">
        <v>114</v>
      </c>
      <c r="I137" s="22" t="s">
        <v>25</v>
      </c>
      <c r="J137" s="29" t="s">
        <v>115</v>
      </c>
      <c r="K137" s="29" t="s">
        <v>160</v>
      </c>
      <c r="L137" s="29" t="s">
        <v>28</v>
      </c>
      <c r="P137" s="30">
        <v>45588</v>
      </c>
      <c r="Q137" s="30">
        <v>45588</v>
      </c>
      <c r="R137" s="22" t="s">
        <v>29</v>
      </c>
      <c r="S137" s="29" t="s">
        <v>30</v>
      </c>
      <c r="T137" s="22" t="s">
        <v>49</v>
      </c>
      <c r="U137" s="25" t="s">
        <v>32</v>
      </c>
      <c r="V137" s="22" t="s">
        <v>117</v>
      </c>
      <c r="W137" s="32" t="s">
        <v>34</v>
      </c>
    </row>
    <row r="138" spans="1:23">
      <c r="A138" s="22" t="s">
        <v>428</v>
      </c>
      <c r="B138" s="25">
        <f>VLOOKUP(A138,[1]ProjectsResults!$D:$E,2,FALSE)</f>
        <v>10052</v>
      </c>
      <c r="C138" s="22">
        <f>VLOOKUP(A138,[2]Sheet2!$D:$E,2,FALSE)</f>
        <v>8852</v>
      </c>
      <c r="D138" s="22">
        <v>8852</v>
      </c>
      <c r="E138" s="22">
        <f>VLOOKUP(A138,[3]Sheet2!$A:$F,6,FALSE)</f>
        <v>14100000</v>
      </c>
      <c r="G138" s="22" t="s">
        <v>429</v>
      </c>
      <c r="H138" s="22" t="s">
        <v>71</v>
      </c>
      <c r="I138" s="22" t="s">
        <v>25</v>
      </c>
      <c r="J138" s="29" t="s">
        <v>73</v>
      </c>
      <c r="K138" s="29" t="s">
        <v>430</v>
      </c>
      <c r="L138" s="29" t="s">
        <v>28</v>
      </c>
      <c r="P138" s="30">
        <v>45626</v>
      </c>
      <c r="Q138" s="30">
        <v>45626</v>
      </c>
      <c r="R138" s="22" t="s">
        <v>29</v>
      </c>
      <c r="S138" s="29" t="s">
        <v>30</v>
      </c>
      <c r="T138" s="22" t="s">
        <v>74</v>
      </c>
      <c r="U138" s="25" t="s">
        <v>32</v>
      </c>
      <c r="V138" s="22" t="s">
        <v>75</v>
      </c>
      <c r="W138" s="32" t="s">
        <v>34</v>
      </c>
    </row>
    <row r="139" spans="1:23">
      <c r="A139" s="22" t="s">
        <v>431</v>
      </c>
      <c r="B139" s="25">
        <f>VLOOKUP(A139,[1]ProjectsResults!$D:$E,2,FALSE)</f>
        <v>10053</v>
      </c>
      <c r="C139" s="22">
        <f>VLOOKUP(A139,[2]Sheet2!$D:$E,2,FALSE)</f>
        <v>8853</v>
      </c>
      <c r="D139" s="22">
        <v>8853</v>
      </c>
      <c r="E139" s="22">
        <f>VLOOKUP(A139,[3]Sheet2!$A:$F,6,FALSE)</f>
        <v>6639050</v>
      </c>
      <c r="G139" s="22" t="s">
        <v>432</v>
      </c>
      <c r="H139" s="22" t="s">
        <v>433</v>
      </c>
      <c r="I139" s="22" t="s">
        <v>25</v>
      </c>
      <c r="J139" s="29" t="s">
        <v>73</v>
      </c>
      <c r="K139" s="29" t="s">
        <v>430</v>
      </c>
      <c r="L139" s="29" t="s">
        <v>28</v>
      </c>
      <c r="P139" s="30">
        <v>45623</v>
      </c>
      <c r="Q139" s="30">
        <v>45623</v>
      </c>
      <c r="R139" s="22" t="s">
        <v>29</v>
      </c>
      <c r="S139" s="29" t="s">
        <v>30</v>
      </c>
      <c r="T139" s="22" t="s">
        <v>74</v>
      </c>
      <c r="U139" s="25" t="s">
        <v>32</v>
      </c>
      <c r="V139" s="22" t="s">
        <v>75</v>
      </c>
      <c r="W139" s="32" t="s">
        <v>34</v>
      </c>
    </row>
    <row r="140" spans="1:23">
      <c r="A140" s="22" t="s">
        <v>434</v>
      </c>
      <c r="B140" s="25">
        <f>VLOOKUP(A140,[1]ProjectsResults!$D:$E,2,FALSE)</f>
        <v>10054</v>
      </c>
      <c r="C140" s="22">
        <f>VLOOKUP(A140,[2]Sheet2!$D:$E,2,FALSE)</f>
        <v>8854</v>
      </c>
      <c r="D140" s="22">
        <v>8854</v>
      </c>
      <c r="E140" s="22">
        <f>VLOOKUP(A140,[3]Sheet2!$A:$F,6,FALSE)</f>
        <v>21900000</v>
      </c>
      <c r="G140" s="22" t="s">
        <v>429</v>
      </c>
      <c r="H140" s="22" t="s">
        <v>71</v>
      </c>
      <c r="I140" s="22" t="s">
        <v>25</v>
      </c>
      <c r="J140" s="29" t="s">
        <v>73</v>
      </c>
      <c r="K140" s="29" t="s">
        <v>430</v>
      </c>
      <c r="L140" s="29" t="s">
        <v>28</v>
      </c>
      <c r="P140" s="30">
        <v>45648</v>
      </c>
      <c r="Q140" s="30">
        <v>45648</v>
      </c>
      <c r="R140" s="22" t="s">
        <v>29</v>
      </c>
      <c r="S140" s="29" t="s">
        <v>30</v>
      </c>
      <c r="T140" s="22" t="s">
        <v>74</v>
      </c>
      <c r="U140" s="25" t="s">
        <v>32</v>
      </c>
      <c r="V140" s="22" t="s">
        <v>75</v>
      </c>
      <c r="W140" s="32" t="s">
        <v>34</v>
      </c>
    </row>
    <row r="141" spans="1:23">
      <c r="A141" s="22" t="s">
        <v>435</v>
      </c>
      <c r="B141" s="25">
        <f>VLOOKUP(A141,[1]ProjectsResults!$D:$E,2,FALSE)</f>
        <v>10055</v>
      </c>
      <c r="C141" s="22">
        <f>VLOOKUP(A141,[2]Sheet2!$D:$E,2,FALSE)</f>
        <v>8855</v>
      </c>
      <c r="D141" s="22">
        <v>8855</v>
      </c>
      <c r="E141" s="22">
        <f>VLOOKUP(A141,[3]Sheet2!$A:$F,6,FALSE)</f>
        <v>25528081</v>
      </c>
      <c r="G141" s="22" t="s">
        <v>436</v>
      </c>
      <c r="H141" s="22" t="s">
        <v>437</v>
      </c>
      <c r="I141" s="22" t="s">
        <v>25</v>
      </c>
      <c r="J141" s="29" t="s">
        <v>271</v>
      </c>
      <c r="K141" s="29" t="s">
        <v>438</v>
      </c>
      <c r="L141" s="29" t="s">
        <v>28</v>
      </c>
      <c r="P141" s="30">
        <v>45636</v>
      </c>
      <c r="Q141" s="30">
        <v>45638</v>
      </c>
      <c r="R141" s="22" t="s">
        <v>29</v>
      </c>
      <c r="S141" s="29" t="s">
        <v>30</v>
      </c>
      <c r="T141" s="22" t="s">
        <v>74</v>
      </c>
      <c r="U141" s="25" t="s">
        <v>32</v>
      </c>
      <c r="V141" s="22" t="s">
        <v>75</v>
      </c>
      <c r="W141" s="32" t="s">
        <v>34</v>
      </c>
    </row>
    <row r="142" spans="1:23">
      <c r="A142" s="22" t="s">
        <v>439</v>
      </c>
      <c r="B142" s="25">
        <f>VLOOKUP(A142,[1]ProjectsResults!$D:$E,2,FALSE)</f>
        <v>10056</v>
      </c>
      <c r="C142" s="22">
        <f>VLOOKUP(A142,[2]Sheet2!$D:$E,2,FALSE)</f>
        <v>8856</v>
      </c>
      <c r="D142" s="22">
        <v>8856</v>
      </c>
      <c r="E142" s="22">
        <f>VLOOKUP(A142,[3]Sheet2!$A:$F,6,FALSE)</f>
        <v>540171.72</v>
      </c>
      <c r="G142" s="22" t="s">
        <v>440</v>
      </c>
      <c r="H142" s="22" t="s">
        <v>133</v>
      </c>
      <c r="I142" s="22" t="s">
        <v>25</v>
      </c>
      <c r="J142" s="29" t="s">
        <v>47</v>
      </c>
      <c r="K142" s="29" t="s">
        <v>242</v>
      </c>
      <c r="L142" s="29" t="s">
        <v>28</v>
      </c>
      <c r="P142" s="30">
        <v>45589</v>
      </c>
      <c r="Q142" s="30">
        <v>45590</v>
      </c>
      <c r="R142" s="22" t="s">
        <v>29</v>
      </c>
      <c r="S142" s="29" t="s">
        <v>30</v>
      </c>
      <c r="T142" s="22" t="s">
        <v>49</v>
      </c>
      <c r="U142" s="25" t="s">
        <v>32</v>
      </c>
      <c r="V142" s="22" t="s">
        <v>50</v>
      </c>
      <c r="W142" s="32" t="s">
        <v>34</v>
      </c>
    </row>
    <row r="143" spans="1:23">
      <c r="A143" s="22" t="s">
        <v>441</v>
      </c>
      <c r="B143" s="25">
        <f>VLOOKUP(A143,[1]ProjectsResults!$D:$E,2,FALSE)</f>
        <v>10057</v>
      </c>
      <c r="C143" s="22">
        <f>VLOOKUP(A143,[2]Sheet2!$D:$E,2,FALSE)</f>
        <v>8857</v>
      </c>
      <c r="D143" s="22">
        <v>8857</v>
      </c>
      <c r="E143" s="22">
        <f>VLOOKUP(A143,[3]Sheet2!$A:$F,6,FALSE)</f>
        <v>361900</v>
      </c>
      <c r="G143" s="22" t="s">
        <v>442</v>
      </c>
      <c r="H143" s="22" t="s">
        <v>443</v>
      </c>
      <c r="I143" s="22" t="s">
        <v>25</v>
      </c>
      <c r="J143" s="29" t="s">
        <v>47</v>
      </c>
      <c r="K143" s="29" t="s">
        <v>196</v>
      </c>
      <c r="L143" s="29" t="s">
        <v>28</v>
      </c>
      <c r="P143" s="30">
        <v>45589</v>
      </c>
      <c r="Q143" s="30">
        <v>45589</v>
      </c>
      <c r="R143" s="22" t="s">
        <v>29</v>
      </c>
      <c r="S143" s="29" t="s">
        <v>30</v>
      </c>
      <c r="T143" s="22" t="s">
        <v>49</v>
      </c>
      <c r="U143" s="25" t="s">
        <v>32</v>
      </c>
      <c r="V143" s="22" t="s">
        <v>50</v>
      </c>
      <c r="W143" s="32" t="s">
        <v>34</v>
      </c>
    </row>
    <row r="144" spans="1:23">
      <c r="A144" s="22" t="s">
        <v>444</v>
      </c>
      <c r="B144" s="25">
        <f>VLOOKUP(A144,[1]ProjectsResults!$D:$E,2,FALSE)</f>
        <v>10058</v>
      </c>
      <c r="C144" s="22">
        <f>VLOOKUP(A144,[2]Sheet2!$D:$E,2,FALSE)</f>
        <v>8858</v>
      </c>
      <c r="D144" s="22">
        <v>8858</v>
      </c>
      <c r="E144" s="22">
        <f>VLOOKUP(A144,[3]Sheet2!$A:$F,6,FALSE)</f>
        <v>70422</v>
      </c>
      <c r="G144" s="22" t="s">
        <v>445</v>
      </c>
      <c r="H144" s="22" t="s">
        <v>313</v>
      </c>
      <c r="I144" s="22" t="s">
        <v>25</v>
      </c>
      <c r="J144" s="29" t="s">
        <v>168</v>
      </c>
      <c r="K144" s="29" t="s">
        <v>446</v>
      </c>
      <c r="L144" s="29" t="s">
        <v>28</v>
      </c>
      <c r="P144" s="30">
        <v>45588</v>
      </c>
      <c r="Q144" s="30">
        <v>45588</v>
      </c>
      <c r="R144" s="22" t="s">
        <v>29</v>
      </c>
      <c r="S144" s="29" t="s">
        <v>30</v>
      </c>
      <c r="T144" s="22" t="s">
        <v>31</v>
      </c>
      <c r="U144" s="25" t="s">
        <v>32</v>
      </c>
      <c r="V144" s="22" t="s">
        <v>33</v>
      </c>
      <c r="W144" s="32" t="s">
        <v>34</v>
      </c>
    </row>
    <row r="145" spans="1:23">
      <c r="A145" s="22" t="s">
        <v>447</v>
      </c>
      <c r="B145" s="25">
        <f>VLOOKUP(A145,[1]ProjectsResults!$D:$E,2,FALSE)</f>
        <v>10059</v>
      </c>
      <c r="C145" s="22">
        <f>VLOOKUP(A145,[2]Sheet2!$D:$E,2,FALSE)</f>
        <v>8859</v>
      </c>
      <c r="D145" s="22">
        <v>8859</v>
      </c>
      <c r="E145" s="22">
        <f>VLOOKUP(A145,[3]Sheet2!$A:$F,6,FALSE)</f>
        <v>498305</v>
      </c>
      <c r="G145" s="22" t="s">
        <v>448</v>
      </c>
      <c r="H145" s="22" t="s">
        <v>235</v>
      </c>
      <c r="I145" s="22" t="s">
        <v>25</v>
      </c>
      <c r="J145" s="29" t="s">
        <v>38</v>
      </c>
      <c r="K145" s="29" t="s">
        <v>38</v>
      </c>
      <c r="L145" s="29" t="s">
        <v>28</v>
      </c>
      <c r="P145" s="30">
        <v>45626</v>
      </c>
      <c r="Q145" s="30">
        <v>45626</v>
      </c>
      <c r="R145" s="22" t="s">
        <v>29</v>
      </c>
      <c r="S145" s="29" t="s">
        <v>30</v>
      </c>
      <c r="T145" s="22" t="s">
        <v>31</v>
      </c>
      <c r="U145" s="25" t="s">
        <v>32</v>
      </c>
      <c r="V145" s="22" t="s">
        <v>33</v>
      </c>
      <c r="W145" s="32" t="s">
        <v>34</v>
      </c>
    </row>
    <row r="146" spans="1:23">
      <c r="A146" s="22" t="s">
        <v>449</v>
      </c>
      <c r="B146" s="25">
        <f>VLOOKUP(A146,[1]ProjectsResults!$D:$E,2,FALSE)</f>
        <v>10060</v>
      </c>
      <c r="C146" s="22">
        <f>VLOOKUP(A146,[2]Sheet2!$D:$E,2,FALSE)</f>
        <v>8860</v>
      </c>
      <c r="D146" s="22">
        <v>8860</v>
      </c>
      <c r="E146" s="22">
        <f>VLOOKUP(A146,[3]Sheet2!$A:$F,6,FALSE)</f>
        <v>300000</v>
      </c>
      <c r="G146" s="22" t="s">
        <v>450</v>
      </c>
      <c r="H146" s="22" t="s">
        <v>82</v>
      </c>
      <c r="I146" s="22" t="s">
        <v>25</v>
      </c>
      <c r="J146" s="29" t="s">
        <v>72</v>
      </c>
      <c r="K146" s="29" t="s">
        <v>83</v>
      </c>
      <c r="L146" s="29" t="s">
        <v>28</v>
      </c>
      <c r="P146" s="30">
        <v>45590</v>
      </c>
      <c r="Q146" s="30">
        <v>45590</v>
      </c>
      <c r="R146" s="22" t="s">
        <v>29</v>
      </c>
      <c r="S146" s="29" t="s">
        <v>30</v>
      </c>
      <c r="T146" s="22" t="s">
        <v>74</v>
      </c>
      <c r="U146" s="25" t="s">
        <v>32</v>
      </c>
      <c r="V146" s="22" t="s">
        <v>75</v>
      </c>
      <c r="W146" s="32" t="s">
        <v>34</v>
      </c>
    </row>
    <row r="147" spans="1:23">
      <c r="A147" s="22" t="s">
        <v>451</v>
      </c>
      <c r="B147" s="25">
        <f>VLOOKUP(A147,[1]ProjectsResults!$D:$E,2,FALSE)</f>
        <v>10061</v>
      </c>
      <c r="C147" s="22">
        <f>VLOOKUP(A147,[2]Sheet2!$D:$E,2,FALSE)</f>
        <v>8861</v>
      </c>
      <c r="D147" s="22">
        <v>8861</v>
      </c>
      <c r="E147" s="22">
        <f>VLOOKUP(A147,[3]Sheet2!$A:$F,6,FALSE)</f>
        <v>737748</v>
      </c>
      <c r="G147" s="22" t="s">
        <v>452</v>
      </c>
      <c r="H147" s="22" t="s">
        <v>453</v>
      </c>
      <c r="I147" s="22" t="s">
        <v>25</v>
      </c>
      <c r="J147" s="29" t="s">
        <v>42</v>
      </c>
      <c r="K147" s="29" t="s">
        <v>454</v>
      </c>
      <c r="L147" s="29" t="s">
        <v>28</v>
      </c>
      <c r="P147" s="30">
        <v>45603</v>
      </c>
      <c r="Q147" s="30">
        <v>45604</v>
      </c>
      <c r="R147" s="22" t="s">
        <v>29</v>
      </c>
      <c r="S147" s="29" t="s">
        <v>30</v>
      </c>
      <c r="T147" s="22" t="s">
        <v>31</v>
      </c>
      <c r="U147" s="25" t="s">
        <v>32</v>
      </c>
      <c r="V147" s="22" t="s">
        <v>33</v>
      </c>
      <c r="W147" s="32" t="s">
        <v>34</v>
      </c>
    </row>
    <row r="148" spans="1:23">
      <c r="A148" s="22" t="s">
        <v>455</v>
      </c>
      <c r="B148" s="25">
        <f>VLOOKUP(A148,[1]ProjectsResults!$D:$E,2,FALSE)</f>
        <v>10062</v>
      </c>
      <c r="C148" s="22">
        <f>VLOOKUP(A148,[2]Sheet2!$D:$E,2,FALSE)</f>
        <v>8862</v>
      </c>
      <c r="D148" s="22">
        <v>8862</v>
      </c>
      <c r="E148" s="22">
        <f>VLOOKUP(A148,[3]Sheet2!$A:$F,6,FALSE)</f>
        <v>16500000</v>
      </c>
      <c r="G148" s="22" t="s">
        <v>456</v>
      </c>
      <c r="H148" s="22" t="s">
        <v>86</v>
      </c>
      <c r="I148" s="22" t="s">
        <v>25</v>
      </c>
      <c r="J148" s="29" t="s">
        <v>42</v>
      </c>
      <c r="K148" s="29" t="s">
        <v>149</v>
      </c>
      <c r="L148" s="29" t="s">
        <v>28</v>
      </c>
      <c r="P148" s="30">
        <v>45608</v>
      </c>
      <c r="Q148" s="30">
        <v>45608</v>
      </c>
      <c r="R148" s="22" t="s">
        <v>29</v>
      </c>
      <c r="S148" s="29" t="s">
        <v>30</v>
      </c>
      <c r="T148" s="22" t="s">
        <v>31</v>
      </c>
      <c r="U148" s="25" t="s">
        <v>32</v>
      </c>
      <c r="V148" s="22" t="s">
        <v>33</v>
      </c>
      <c r="W148" s="32" t="s">
        <v>34</v>
      </c>
    </row>
    <row r="149" spans="1:23">
      <c r="A149" s="22" t="s">
        <v>457</v>
      </c>
      <c r="B149" s="25">
        <f>VLOOKUP(A149,[1]ProjectsResults!$D:$E,2,FALSE)</f>
        <v>10063</v>
      </c>
      <c r="C149" s="22">
        <f>VLOOKUP(A149,[2]Sheet2!$D:$E,2,FALSE)</f>
        <v>8863</v>
      </c>
      <c r="D149" s="22">
        <v>8863</v>
      </c>
      <c r="E149" s="22">
        <f>VLOOKUP(A149,[3]Sheet2!$A:$F,6,FALSE)</f>
        <v>9393104.58</v>
      </c>
      <c r="G149" s="22" t="s">
        <v>458</v>
      </c>
      <c r="H149" s="22" t="s">
        <v>420</v>
      </c>
      <c r="I149" s="22" t="s">
        <v>25</v>
      </c>
      <c r="J149" s="29" t="s">
        <v>47</v>
      </c>
      <c r="K149" s="29" t="s">
        <v>227</v>
      </c>
      <c r="L149" s="29" t="s">
        <v>28</v>
      </c>
      <c r="P149" s="30">
        <v>45602</v>
      </c>
      <c r="Q149" s="30">
        <v>45603</v>
      </c>
      <c r="R149" s="22" t="s">
        <v>29</v>
      </c>
      <c r="S149" s="29" t="s">
        <v>30</v>
      </c>
      <c r="T149" s="22" t="s">
        <v>49</v>
      </c>
      <c r="U149" s="25" t="s">
        <v>32</v>
      </c>
      <c r="V149" s="22" t="s">
        <v>50</v>
      </c>
      <c r="W149" s="32" t="s">
        <v>34</v>
      </c>
    </row>
    <row r="150" spans="1:23">
      <c r="A150" s="22" t="s">
        <v>459</v>
      </c>
      <c r="B150" s="25">
        <f>VLOOKUP(A150,[1]ProjectsResults!$D:$E,2,FALSE)</f>
        <v>10064</v>
      </c>
      <c r="C150" s="22">
        <f>VLOOKUP(A150,[2]Sheet2!$D:$E,2,FALSE)</f>
        <v>8864</v>
      </c>
      <c r="D150" s="22">
        <v>8864</v>
      </c>
      <c r="E150" s="22">
        <f>VLOOKUP(A150,[3]Sheet2!$A:$F,6,FALSE)</f>
        <v>2399999</v>
      </c>
      <c r="G150" s="22" t="s">
        <v>460</v>
      </c>
      <c r="H150" s="22" t="s">
        <v>461</v>
      </c>
      <c r="I150" s="22" t="s">
        <v>25</v>
      </c>
      <c r="J150" s="29" t="s">
        <v>462</v>
      </c>
      <c r="K150" s="29" t="s">
        <v>462</v>
      </c>
      <c r="L150" s="29" t="s">
        <v>28</v>
      </c>
      <c r="P150" s="30">
        <v>45610</v>
      </c>
      <c r="Q150" s="30">
        <v>45614</v>
      </c>
      <c r="R150" s="22" t="s">
        <v>29</v>
      </c>
      <c r="S150" s="29" t="s">
        <v>30</v>
      </c>
      <c r="T150" s="22" t="s">
        <v>74</v>
      </c>
      <c r="U150" s="25" t="s">
        <v>32</v>
      </c>
      <c r="V150" s="22" t="s">
        <v>75</v>
      </c>
      <c r="W150" s="32" t="s">
        <v>34</v>
      </c>
    </row>
    <row r="151" spans="1:23">
      <c r="A151" s="22" t="s">
        <v>463</v>
      </c>
      <c r="B151" s="25">
        <f>VLOOKUP(A151,[1]ProjectsResults!$D:$E,2,FALSE)</f>
        <v>10065</v>
      </c>
      <c r="C151" s="22">
        <f>VLOOKUP(A151,[2]Sheet2!$D:$E,2,FALSE)</f>
        <v>8865</v>
      </c>
      <c r="D151" s="22">
        <v>8865</v>
      </c>
      <c r="E151" s="22">
        <f>VLOOKUP(A151,[3]Sheet2!$A:$F,6,FALSE)</f>
        <v>121594</v>
      </c>
      <c r="G151" s="22" t="s">
        <v>464</v>
      </c>
      <c r="H151" s="22" t="s">
        <v>58</v>
      </c>
      <c r="I151" s="22" t="s">
        <v>25</v>
      </c>
      <c r="J151" s="29" t="s">
        <v>47</v>
      </c>
      <c r="K151" s="29" t="s">
        <v>48</v>
      </c>
      <c r="L151" s="29" t="s">
        <v>28</v>
      </c>
      <c r="P151" s="30">
        <v>45594</v>
      </c>
      <c r="Q151" s="30">
        <v>45594</v>
      </c>
      <c r="R151" s="22" t="s">
        <v>29</v>
      </c>
      <c r="S151" s="29" t="s">
        <v>30</v>
      </c>
      <c r="T151" s="22" t="s">
        <v>49</v>
      </c>
      <c r="U151" s="25" t="s">
        <v>32</v>
      </c>
      <c r="V151" s="22" t="s">
        <v>50</v>
      </c>
      <c r="W151" s="32" t="s">
        <v>34</v>
      </c>
    </row>
    <row r="152" spans="1:23">
      <c r="A152" s="22" t="s">
        <v>465</v>
      </c>
      <c r="B152" s="25">
        <f>VLOOKUP(A152,[1]ProjectsResults!$D:$E,2,FALSE)</f>
        <v>10066</v>
      </c>
      <c r="C152" s="22">
        <f>VLOOKUP(A152,[2]Sheet2!$D:$E,2,FALSE)</f>
        <v>8866</v>
      </c>
      <c r="D152" s="22">
        <v>8866</v>
      </c>
      <c r="E152" s="22">
        <f>VLOOKUP(A152,[3]Sheet2!$A:$F,6,FALSE)</f>
        <v>894242</v>
      </c>
      <c r="G152" s="22" t="s">
        <v>466</v>
      </c>
      <c r="H152" s="22" t="s">
        <v>249</v>
      </c>
      <c r="I152" s="22" t="s">
        <v>25</v>
      </c>
      <c r="J152" s="29" t="s">
        <v>272</v>
      </c>
      <c r="K152" s="29" t="s">
        <v>271</v>
      </c>
      <c r="L152" s="29" t="s">
        <v>28</v>
      </c>
      <c r="P152" s="30">
        <v>45594</v>
      </c>
      <c r="Q152" s="30">
        <v>45594</v>
      </c>
      <c r="R152" s="22" t="s">
        <v>29</v>
      </c>
      <c r="S152" s="29" t="s">
        <v>30</v>
      </c>
      <c r="T152" s="22" t="s">
        <v>74</v>
      </c>
      <c r="U152" s="25" t="s">
        <v>32</v>
      </c>
      <c r="V152" s="22" t="s">
        <v>75</v>
      </c>
      <c r="W152" s="32" t="s">
        <v>34</v>
      </c>
    </row>
    <row r="153" spans="1:23">
      <c r="A153" s="22" t="s">
        <v>467</v>
      </c>
      <c r="B153" s="25">
        <f>VLOOKUP(A153,[1]ProjectsResults!$D:$E,2,FALSE)</f>
        <v>10067</v>
      </c>
      <c r="C153" s="22">
        <f>VLOOKUP(A153,[2]Sheet2!$D:$E,2,FALSE)</f>
        <v>8867</v>
      </c>
      <c r="D153" s="22">
        <v>8867</v>
      </c>
      <c r="E153" s="22">
        <f>VLOOKUP(A153,[3]Sheet2!$A:$F,6,FALSE)</f>
        <v>107568</v>
      </c>
      <c r="G153" s="22" t="s">
        <v>468</v>
      </c>
      <c r="H153" s="22" t="s">
        <v>469</v>
      </c>
      <c r="I153" s="22" t="s">
        <v>25</v>
      </c>
      <c r="J153" s="29" t="s">
        <v>168</v>
      </c>
      <c r="K153" s="29" t="s">
        <v>446</v>
      </c>
      <c r="L153" s="29" t="s">
        <v>28</v>
      </c>
      <c r="P153" s="30">
        <v>45591</v>
      </c>
      <c r="Q153" s="30">
        <v>45591</v>
      </c>
      <c r="R153" s="22" t="s">
        <v>29</v>
      </c>
      <c r="S153" s="29" t="s">
        <v>30</v>
      </c>
      <c r="T153" s="22" t="s">
        <v>31</v>
      </c>
      <c r="U153" s="25" t="s">
        <v>32</v>
      </c>
      <c r="V153" s="22" t="s">
        <v>33</v>
      </c>
      <c r="W153" s="32" t="s">
        <v>34</v>
      </c>
    </row>
    <row r="154" spans="1:23">
      <c r="A154" s="22" t="s">
        <v>470</v>
      </c>
      <c r="B154" s="25">
        <f>VLOOKUP(A154,[1]ProjectsResults!$D:$E,2,FALSE)</f>
        <v>10068</v>
      </c>
      <c r="C154" s="22">
        <f>VLOOKUP(A154,[2]Sheet2!$D:$E,2,FALSE)</f>
        <v>8868</v>
      </c>
      <c r="D154" s="22">
        <v>8868</v>
      </c>
      <c r="E154" s="22">
        <f>VLOOKUP(A154,[3]Sheet2!$A:$F,6,FALSE)</f>
        <v>331771.68</v>
      </c>
      <c r="G154" s="22" t="s">
        <v>471</v>
      </c>
      <c r="H154" s="22" t="s">
        <v>472</v>
      </c>
      <c r="I154" s="22" t="s">
        <v>25</v>
      </c>
      <c r="J154" s="29" t="s">
        <v>47</v>
      </c>
      <c r="K154" s="29" t="s">
        <v>473</v>
      </c>
      <c r="L154" s="29" t="s">
        <v>28</v>
      </c>
      <c r="P154" s="30">
        <v>45594</v>
      </c>
      <c r="Q154" s="30">
        <v>45594</v>
      </c>
      <c r="R154" s="22" t="s">
        <v>29</v>
      </c>
      <c r="S154" s="29" t="s">
        <v>30</v>
      </c>
      <c r="T154" s="22" t="s">
        <v>49</v>
      </c>
      <c r="U154" s="25" t="s">
        <v>32</v>
      </c>
      <c r="V154" s="22" t="s">
        <v>50</v>
      </c>
      <c r="W154" s="32" t="s">
        <v>34</v>
      </c>
    </row>
    <row r="155" spans="1:23">
      <c r="A155" s="22" t="s">
        <v>474</v>
      </c>
      <c r="B155" s="25">
        <f>VLOOKUP(A155,[1]ProjectsResults!$D:$E,2,FALSE)</f>
        <v>10069</v>
      </c>
      <c r="C155" s="22">
        <f>VLOOKUP(A155,[2]Sheet2!$D:$E,2,FALSE)</f>
        <v>9348</v>
      </c>
      <c r="D155" s="22">
        <v>9348</v>
      </c>
      <c r="E155" s="22">
        <f>VLOOKUP(A155,[3]Sheet2!$A:$F,6,FALSE)</f>
        <v>3010</v>
      </c>
      <c r="G155" s="22" t="s">
        <v>475</v>
      </c>
      <c r="H155" s="22" t="s">
        <v>159</v>
      </c>
      <c r="I155" s="22" t="s">
        <v>25</v>
      </c>
      <c r="J155" s="29" t="s">
        <v>115</v>
      </c>
      <c r="K155" s="29" t="s">
        <v>160</v>
      </c>
      <c r="L155" s="29" t="s">
        <v>28</v>
      </c>
      <c r="P155" s="30">
        <v>45593</v>
      </c>
      <c r="Q155" s="30">
        <v>45593</v>
      </c>
      <c r="R155" s="22" t="s">
        <v>29</v>
      </c>
      <c r="S155" s="29" t="s">
        <v>30</v>
      </c>
      <c r="T155" s="22" t="s">
        <v>49</v>
      </c>
      <c r="U155" s="25" t="s">
        <v>32</v>
      </c>
      <c r="V155" s="22" t="s">
        <v>117</v>
      </c>
      <c r="W155" s="32" t="s">
        <v>34</v>
      </c>
    </row>
    <row r="156" spans="1:23">
      <c r="A156" s="22" t="s">
        <v>476</v>
      </c>
      <c r="B156" s="25">
        <f>VLOOKUP(A156,[1]ProjectsResults!$D:$E,2,FALSE)</f>
        <v>10070</v>
      </c>
      <c r="C156" s="22">
        <f>VLOOKUP(A156,[2]Sheet2!$D:$E,2,FALSE)</f>
        <v>8869</v>
      </c>
      <c r="D156" s="22">
        <v>8869</v>
      </c>
      <c r="E156" s="22">
        <f>VLOOKUP(A156,[3]Sheet2!$A:$F,6,FALSE)</f>
        <v>3677740</v>
      </c>
      <c r="G156" s="22" t="s">
        <v>477</v>
      </c>
      <c r="H156" s="22" t="s">
        <v>348</v>
      </c>
      <c r="I156" s="22" t="s">
        <v>25</v>
      </c>
      <c r="J156" s="29" t="s">
        <v>168</v>
      </c>
      <c r="K156" s="29" t="s">
        <v>328</v>
      </c>
      <c r="L156" s="29" t="s">
        <v>28</v>
      </c>
      <c r="P156" s="30">
        <v>45632</v>
      </c>
      <c r="Q156" s="30">
        <v>45632</v>
      </c>
      <c r="R156" s="22" t="s">
        <v>29</v>
      </c>
      <c r="S156" s="29" t="s">
        <v>30</v>
      </c>
      <c r="T156" s="22" t="s">
        <v>31</v>
      </c>
      <c r="U156" s="25" t="s">
        <v>32</v>
      </c>
      <c r="V156" s="22" t="s">
        <v>33</v>
      </c>
      <c r="W156" s="32" t="s">
        <v>34</v>
      </c>
    </row>
    <row r="157" spans="1:23">
      <c r="A157" s="22" t="s">
        <v>478</v>
      </c>
      <c r="B157" s="25">
        <f>VLOOKUP(A157,[1]ProjectsResults!$D:$E,2,FALSE)</f>
        <v>10071</v>
      </c>
      <c r="C157" s="22">
        <f>VLOOKUP(A157,[2]Sheet2!$D:$E,2,FALSE)</f>
        <v>9349</v>
      </c>
      <c r="D157" s="22">
        <v>9349</v>
      </c>
      <c r="E157" s="22">
        <f>VLOOKUP(A157,[3]Sheet2!$A:$F,6,FALSE)</f>
        <v>31847</v>
      </c>
      <c r="G157" s="22" t="s">
        <v>479</v>
      </c>
      <c r="H157" s="22" t="s">
        <v>159</v>
      </c>
      <c r="I157" s="22" t="s">
        <v>25</v>
      </c>
      <c r="J157" s="29" t="s">
        <v>115</v>
      </c>
      <c r="K157" s="29" t="s">
        <v>160</v>
      </c>
      <c r="L157" s="29" t="s">
        <v>28</v>
      </c>
      <c r="P157" s="30">
        <v>45593</v>
      </c>
      <c r="Q157" s="30">
        <v>45593</v>
      </c>
      <c r="R157" s="22" t="s">
        <v>29</v>
      </c>
      <c r="S157" s="29" t="s">
        <v>30</v>
      </c>
      <c r="T157" s="22" t="s">
        <v>49</v>
      </c>
      <c r="U157" s="25" t="s">
        <v>32</v>
      </c>
      <c r="V157" s="22" t="s">
        <v>117</v>
      </c>
      <c r="W157" s="32" t="s">
        <v>34</v>
      </c>
    </row>
    <row r="158" spans="1:23">
      <c r="A158" s="22" t="s">
        <v>480</v>
      </c>
      <c r="B158" s="25">
        <f>VLOOKUP(A158,[1]ProjectsResults!$D:$E,2,FALSE)</f>
        <v>10072</v>
      </c>
      <c r="C158" s="22">
        <f>VLOOKUP(A158,[2]Sheet2!$D:$E,2,FALSE)</f>
        <v>9688</v>
      </c>
      <c r="D158" s="22">
        <v>9688</v>
      </c>
      <c r="E158" s="22">
        <f>VLOOKUP(A158,[3]Sheet2!$A:$F,6,FALSE)</f>
        <v>1977366.7</v>
      </c>
      <c r="G158" s="22" t="s">
        <v>481</v>
      </c>
      <c r="H158" s="22" t="s">
        <v>482</v>
      </c>
      <c r="I158" s="22" t="s">
        <v>25</v>
      </c>
      <c r="J158" s="29" t="s">
        <v>42</v>
      </c>
      <c r="K158" s="29" t="s">
        <v>454</v>
      </c>
      <c r="L158" s="29" t="s">
        <v>28</v>
      </c>
      <c r="P158" s="30">
        <v>45617</v>
      </c>
      <c r="Q158" s="30">
        <v>45619</v>
      </c>
      <c r="R158" s="22" t="s">
        <v>29</v>
      </c>
      <c r="S158" s="29" t="s">
        <v>30</v>
      </c>
      <c r="T158" s="22" t="s">
        <v>31</v>
      </c>
      <c r="U158" s="25" t="s">
        <v>32</v>
      </c>
      <c r="V158" s="22" t="s">
        <v>33</v>
      </c>
      <c r="W158" s="32" t="s">
        <v>34</v>
      </c>
    </row>
    <row r="159" spans="1:23">
      <c r="A159" s="22" t="s">
        <v>483</v>
      </c>
      <c r="B159" s="25">
        <f>VLOOKUP(A159,[1]ProjectsResults!$D:$E,2,FALSE)</f>
        <v>10073</v>
      </c>
      <c r="C159" s="22">
        <f>VLOOKUP(A159,[2]Sheet2!$D:$E,2,FALSE)</f>
        <v>8870</v>
      </c>
      <c r="D159" s="22">
        <v>8870</v>
      </c>
      <c r="E159" s="22">
        <f>VLOOKUP(A159,[3]Sheet2!$A:$F,6,FALSE)</f>
        <v>364430</v>
      </c>
      <c r="G159" s="22" t="s">
        <v>484</v>
      </c>
      <c r="H159" s="22" t="s">
        <v>453</v>
      </c>
      <c r="I159" s="22" t="s">
        <v>25</v>
      </c>
      <c r="J159" s="29" t="s">
        <v>42</v>
      </c>
      <c r="K159" s="29" t="s">
        <v>373</v>
      </c>
      <c r="L159" s="29" t="s">
        <v>28</v>
      </c>
      <c r="P159" s="30">
        <v>45604</v>
      </c>
      <c r="Q159" s="30">
        <v>45604</v>
      </c>
      <c r="R159" s="22" t="s">
        <v>29</v>
      </c>
      <c r="S159" s="29" t="s">
        <v>30</v>
      </c>
      <c r="T159" s="22" t="s">
        <v>31</v>
      </c>
      <c r="U159" s="25" t="s">
        <v>32</v>
      </c>
      <c r="V159" s="22" t="s">
        <v>33</v>
      </c>
      <c r="W159" s="32" t="s">
        <v>34</v>
      </c>
    </row>
    <row r="160" spans="1:23">
      <c r="A160" s="22" t="s">
        <v>485</v>
      </c>
      <c r="B160" s="25">
        <f>VLOOKUP(A160,[1]ProjectsResults!$D:$E,2,FALSE)</f>
        <v>10074</v>
      </c>
      <c r="C160" s="22">
        <f>VLOOKUP(A160,[2]Sheet2!$D:$E,2,FALSE)</f>
        <v>8871</v>
      </c>
      <c r="D160" s="22">
        <v>8871</v>
      </c>
      <c r="E160" s="22">
        <f>VLOOKUP(A160,[3]Sheet2!$A:$F,6,FALSE)</f>
        <v>98450</v>
      </c>
      <c r="G160" s="22" t="s">
        <v>486</v>
      </c>
      <c r="H160" s="22" t="s">
        <v>453</v>
      </c>
      <c r="I160" s="22" t="s">
        <v>25</v>
      </c>
      <c r="J160" s="29" t="s">
        <v>42</v>
      </c>
      <c r="K160" s="29" t="s">
        <v>373</v>
      </c>
      <c r="L160" s="29" t="s">
        <v>28</v>
      </c>
      <c r="P160" s="30">
        <v>45597</v>
      </c>
      <c r="Q160" s="30">
        <v>45597</v>
      </c>
      <c r="R160" s="22" t="s">
        <v>29</v>
      </c>
      <c r="S160" s="29" t="s">
        <v>30</v>
      </c>
      <c r="T160" s="22" t="s">
        <v>31</v>
      </c>
      <c r="U160" s="25" t="s">
        <v>32</v>
      </c>
      <c r="V160" s="22" t="s">
        <v>33</v>
      </c>
      <c r="W160" s="32" t="s">
        <v>34</v>
      </c>
    </row>
    <row r="161" spans="1:23">
      <c r="A161" s="22" t="s">
        <v>487</v>
      </c>
      <c r="B161" s="25">
        <f>VLOOKUP(A161,[1]ProjectsResults!$D:$E,2,FALSE)</f>
        <v>10075</v>
      </c>
      <c r="C161" s="22">
        <f>VLOOKUP(A161,[2]Sheet2!$D:$E,2,FALSE)</f>
        <v>8872</v>
      </c>
      <c r="D161" s="22">
        <v>8872</v>
      </c>
      <c r="E161" s="22">
        <f>VLOOKUP(A161,[3]Sheet2!$A:$F,6,FALSE)</f>
        <v>3139842</v>
      </c>
      <c r="G161" s="22" t="s">
        <v>488</v>
      </c>
      <c r="H161" s="22" t="s">
        <v>453</v>
      </c>
      <c r="I161" s="22" t="s">
        <v>25</v>
      </c>
      <c r="J161" s="29" t="s">
        <v>42</v>
      </c>
      <c r="K161" s="29" t="s">
        <v>373</v>
      </c>
      <c r="L161" s="29" t="s">
        <v>28</v>
      </c>
      <c r="P161" s="30">
        <v>45644</v>
      </c>
      <c r="Q161" s="30">
        <v>45644</v>
      </c>
      <c r="R161" s="22" t="s">
        <v>29</v>
      </c>
      <c r="S161" s="29" t="s">
        <v>30</v>
      </c>
      <c r="T161" s="22" t="s">
        <v>31</v>
      </c>
      <c r="U161" s="25" t="s">
        <v>32</v>
      </c>
      <c r="V161" s="22" t="s">
        <v>33</v>
      </c>
      <c r="W161" s="32" t="s">
        <v>34</v>
      </c>
    </row>
    <row r="162" spans="1:23">
      <c r="A162" s="22" t="s">
        <v>489</v>
      </c>
      <c r="B162" s="25">
        <f>VLOOKUP(A162,[1]ProjectsResults!$D:$E,2,FALSE)</f>
        <v>10076</v>
      </c>
      <c r="C162" s="22">
        <f>VLOOKUP(A162,[2]Sheet2!$D:$E,2,FALSE)</f>
        <v>8873</v>
      </c>
      <c r="D162" s="22">
        <v>8873</v>
      </c>
      <c r="E162" s="22">
        <f>VLOOKUP(A162,[3]Sheet2!$A:$F,6,FALSE)</f>
        <v>2824355.95</v>
      </c>
      <c r="G162" s="22" t="s">
        <v>490</v>
      </c>
      <c r="H162" s="22" t="s">
        <v>37</v>
      </c>
      <c r="I162" s="22" t="s">
        <v>25</v>
      </c>
      <c r="J162" s="29" t="s">
        <v>38</v>
      </c>
      <c r="K162" s="29" t="s">
        <v>38</v>
      </c>
      <c r="L162" s="29" t="s">
        <v>28</v>
      </c>
      <c r="P162" s="30">
        <v>45626</v>
      </c>
      <c r="Q162" s="30">
        <v>45626</v>
      </c>
      <c r="R162" s="22" t="s">
        <v>29</v>
      </c>
      <c r="S162" s="29" t="s">
        <v>30</v>
      </c>
      <c r="T162" s="22" t="s">
        <v>31</v>
      </c>
      <c r="U162" s="25" t="s">
        <v>32</v>
      </c>
      <c r="V162" s="22" t="s">
        <v>33</v>
      </c>
      <c r="W162" s="32" t="s">
        <v>34</v>
      </c>
    </row>
    <row r="163" spans="1:23">
      <c r="A163" s="22" t="s">
        <v>491</v>
      </c>
      <c r="B163" s="25">
        <f>VLOOKUP(A163,[1]ProjectsResults!$D:$E,2,FALSE)</f>
        <v>10077</v>
      </c>
      <c r="C163" s="22">
        <f>VLOOKUP(A163,[2]Sheet2!$D:$E,2,FALSE)</f>
        <v>8874</v>
      </c>
      <c r="D163" s="22">
        <v>8874</v>
      </c>
      <c r="E163" s="22">
        <f>VLOOKUP(A163,[3]Sheet2!$A:$F,6,FALSE)</f>
        <v>275000</v>
      </c>
      <c r="G163" s="22" t="s">
        <v>492</v>
      </c>
      <c r="H163" s="22" t="s">
        <v>493</v>
      </c>
      <c r="I163" s="22" t="s">
        <v>25</v>
      </c>
      <c r="J163" s="29" t="s">
        <v>168</v>
      </c>
      <c r="K163" s="29" t="s">
        <v>494</v>
      </c>
      <c r="L163" s="29" t="s">
        <v>28</v>
      </c>
      <c r="P163" s="30">
        <v>45597</v>
      </c>
      <c r="Q163" s="30">
        <v>45597</v>
      </c>
      <c r="R163" s="22" t="s">
        <v>29</v>
      </c>
      <c r="S163" s="29" t="s">
        <v>30</v>
      </c>
      <c r="T163" s="22" t="s">
        <v>31</v>
      </c>
      <c r="U163" s="25" t="s">
        <v>32</v>
      </c>
      <c r="V163" s="22" t="s">
        <v>33</v>
      </c>
      <c r="W163" s="32" t="s">
        <v>34</v>
      </c>
    </row>
    <row r="164" spans="1:23">
      <c r="A164" s="22" t="s">
        <v>495</v>
      </c>
      <c r="B164" s="25">
        <f>VLOOKUP(A164,[1]ProjectsResults!$D:$E,2,FALSE)</f>
        <v>10078</v>
      </c>
      <c r="C164" s="22">
        <f>VLOOKUP(A164,[2]Sheet2!$D:$E,2,FALSE)</f>
        <v>8875</v>
      </c>
      <c r="D164" s="22">
        <v>8875</v>
      </c>
      <c r="E164" s="22">
        <f>VLOOKUP(A164,[3]Sheet2!$A:$F,6,FALSE)</f>
        <v>347099</v>
      </c>
      <c r="G164" s="22" t="s">
        <v>496</v>
      </c>
      <c r="H164" s="22" t="s">
        <v>351</v>
      </c>
      <c r="I164" s="22" t="s">
        <v>25</v>
      </c>
      <c r="J164" s="29" t="s">
        <v>352</v>
      </c>
      <c r="K164" s="29" t="s">
        <v>155</v>
      </c>
      <c r="L164" s="29" t="s">
        <v>28</v>
      </c>
      <c r="P164" s="30">
        <v>45597</v>
      </c>
      <c r="Q164" s="30">
        <v>45597</v>
      </c>
      <c r="R164" s="22" t="s">
        <v>29</v>
      </c>
      <c r="S164" s="29" t="s">
        <v>30</v>
      </c>
      <c r="T164" s="22" t="s">
        <v>74</v>
      </c>
      <c r="U164" s="25" t="s">
        <v>32</v>
      </c>
      <c r="V164" s="22" t="s">
        <v>75</v>
      </c>
      <c r="W164" s="32" t="s">
        <v>34</v>
      </c>
    </row>
    <row r="165" spans="1:23">
      <c r="A165" s="22" t="s">
        <v>497</v>
      </c>
      <c r="B165" s="25">
        <f>VLOOKUP(A165,[1]ProjectsResults!$D:$E,2,FALSE)</f>
        <v>10079</v>
      </c>
      <c r="C165" s="22">
        <f>VLOOKUP(A165,[2]Sheet2!$D:$E,2,FALSE)</f>
        <v>8876</v>
      </c>
      <c r="D165" s="22">
        <v>8876</v>
      </c>
      <c r="E165" s="22">
        <f>VLOOKUP(A165,[3]Sheet2!$A:$F,6,FALSE)</f>
        <v>4717462.5</v>
      </c>
      <c r="G165" s="22" t="s">
        <v>498</v>
      </c>
      <c r="H165" s="22" t="s">
        <v>499</v>
      </c>
      <c r="I165" s="22" t="s">
        <v>25</v>
      </c>
      <c r="J165" s="29" t="s">
        <v>168</v>
      </c>
      <c r="K165" s="29" t="s">
        <v>169</v>
      </c>
      <c r="L165" s="29" t="s">
        <v>28</v>
      </c>
      <c r="P165" s="30">
        <v>45604</v>
      </c>
      <c r="Q165" s="30">
        <v>45604</v>
      </c>
      <c r="R165" s="22" t="s">
        <v>29</v>
      </c>
      <c r="S165" s="29" t="s">
        <v>30</v>
      </c>
      <c r="T165" s="22" t="s">
        <v>31</v>
      </c>
      <c r="U165" s="25" t="s">
        <v>32</v>
      </c>
      <c r="V165" s="22" t="s">
        <v>33</v>
      </c>
      <c r="W165" s="32" t="s">
        <v>34</v>
      </c>
    </row>
    <row r="166" spans="1:23">
      <c r="A166" s="22" t="s">
        <v>500</v>
      </c>
      <c r="B166" s="25">
        <f>VLOOKUP(A166,[1]ProjectsResults!$D:$E,2,FALSE)</f>
        <v>10080</v>
      </c>
      <c r="C166" s="22">
        <f>VLOOKUP(A166,[2]Sheet2!$D:$E,2,FALSE)</f>
        <v>9570</v>
      </c>
      <c r="D166" s="22">
        <v>9570</v>
      </c>
      <c r="E166" s="22">
        <f>VLOOKUP(A166,[3]Sheet2!$A:$F,6,FALSE)</f>
        <v>10000000</v>
      </c>
      <c r="G166" s="22" t="s">
        <v>501</v>
      </c>
      <c r="H166" s="22" t="s">
        <v>502</v>
      </c>
      <c r="I166" s="22" t="s">
        <v>25</v>
      </c>
      <c r="J166" s="29" t="s">
        <v>72</v>
      </c>
      <c r="K166" s="29" t="s">
        <v>72</v>
      </c>
      <c r="L166" s="29" t="s">
        <v>28</v>
      </c>
      <c r="P166" s="30">
        <v>45610</v>
      </c>
      <c r="Q166" s="30">
        <v>45612</v>
      </c>
      <c r="R166" s="22" t="s">
        <v>29</v>
      </c>
      <c r="S166" s="29" t="s">
        <v>30</v>
      </c>
      <c r="T166" s="22" t="s">
        <v>74</v>
      </c>
      <c r="U166" s="25" t="s">
        <v>32</v>
      </c>
      <c r="V166" s="22" t="s">
        <v>75</v>
      </c>
      <c r="W166" s="32" t="s">
        <v>34</v>
      </c>
    </row>
    <row r="167" spans="1:23">
      <c r="A167" s="22" t="s">
        <v>503</v>
      </c>
      <c r="B167" s="25">
        <f>VLOOKUP(A167,[1]ProjectsResults!$D:$E,2,FALSE)</f>
        <v>10081</v>
      </c>
      <c r="C167" s="22">
        <f>VLOOKUP(A167,[2]Sheet2!$D:$E,2,FALSE)</f>
        <v>8877</v>
      </c>
      <c r="D167" s="22">
        <v>8877</v>
      </c>
      <c r="E167" s="22">
        <f>VLOOKUP(A167,[3]Sheet2!$A:$F,6,FALSE)</f>
        <v>0</v>
      </c>
      <c r="G167" s="22" t="s">
        <v>504</v>
      </c>
      <c r="H167" s="22" t="s">
        <v>37</v>
      </c>
      <c r="I167" s="22" t="s">
        <v>25</v>
      </c>
      <c r="J167" s="29" t="s">
        <v>38</v>
      </c>
      <c r="K167" s="29" t="s">
        <v>38</v>
      </c>
      <c r="L167" s="29" t="s">
        <v>28</v>
      </c>
      <c r="P167" s="30">
        <v>45646</v>
      </c>
      <c r="Q167" s="30">
        <v>45646</v>
      </c>
      <c r="R167" s="22" t="s">
        <v>29</v>
      </c>
      <c r="S167" s="29" t="s">
        <v>30</v>
      </c>
      <c r="T167" s="22" t="s">
        <v>31</v>
      </c>
      <c r="U167" s="25" t="s">
        <v>32</v>
      </c>
      <c r="V167" s="22" t="s">
        <v>33</v>
      </c>
      <c r="W167" s="32" t="s">
        <v>34</v>
      </c>
    </row>
    <row r="168" spans="1:23">
      <c r="A168" s="22" t="s">
        <v>505</v>
      </c>
      <c r="B168" s="25">
        <f>VLOOKUP(A168,[1]ProjectsResults!$D:$E,2,FALSE)</f>
        <v>10082</v>
      </c>
      <c r="C168" s="22">
        <f>VLOOKUP(A168,[2]Sheet2!$D:$E,2,FALSE)</f>
        <v>8878</v>
      </c>
      <c r="D168" s="22">
        <v>8878</v>
      </c>
      <c r="E168" s="22">
        <f>VLOOKUP(A168,[3]Sheet2!$A:$F,6,FALSE)</f>
        <v>15000</v>
      </c>
      <c r="G168" s="22" t="s">
        <v>506</v>
      </c>
      <c r="H168" s="22" t="s">
        <v>102</v>
      </c>
      <c r="I168" s="22" t="s">
        <v>25</v>
      </c>
      <c r="J168" s="29" t="s">
        <v>38</v>
      </c>
      <c r="K168" s="29" t="s">
        <v>38</v>
      </c>
      <c r="L168" s="29" t="s">
        <v>28</v>
      </c>
      <c r="P168" s="30">
        <v>45597</v>
      </c>
      <c r="Q168" s="30">
        <v>45597</v>
      </c>
      <c r="R168" s="22" t="s">
        <v>29</v>
      </c>
      <c r="S168" s="29" t="s">
        <v>30</v>
      </c>
      <c r="T168" s="22" t="s">
        <v>31</v>
      </c>
      <c r="U168" s="25" t="s">
        <v>32</v>
      </c>
      <c r="V168" s="22" t="s">
        <v>33</v>
      </c>
      <c r="W168" s="32" t="s">
        <v>34</v>
      </c>
    </row>
    <row r="169" spans="1:23">
      <c r="A169" s="22" t="s">
        <v>507</v>
      </c>
      <c r="B169" s="25">
        <f>VLOOKUP(A169,[1]ProjectsResults!$D:$E,2,FALSE)</f>
        <v>10083</v>
      </c>
      <c r="C169" s="22">
        <f>VLOOKUP(A169,[2]Sheet2!$D:$E,2,FALSE)</f>
        <v>8879</v>
      </c>
      <c r="D169" s="22">
        <v>8879</v>
      </c>
      <c r="E169" s="22">
        <f>VLOOKUP(A169,[3]Sheet2!$A:$F,6,FALSE)</f>
        <v>554777.5</v>
      </c>
      <c r="G169" s="22" t="s">
        <v>508</v>
      </c>
      <c r="H169" s="22" t="s">
        <v>348</v>
      </c>
      <c r="I169" s="22" t="s">
        <v>25</v>
      </c>
      <c r="J169" s="29" t="s">
        <v>168</v>
      </c>
      <c r="K169" s="29" t="s">
        <v>328</v>
      </c>
      <c r="L169" s="29" t="s">
        <v>28</v>
      </c>
      <c r="P169" s="30">
        <v>45611</v>
      </c>
      <c r="Q169" s="30">
        <v>45611</v>
      </c>
      <c r="R169" s="22" t="s">
        <v>29</v>
      </c>
      <c r="S169" s="29" t="s">
        <v>30</v>
      </c>
      <c r="T169" s="22" t="s">
        <v>31</v>
      </c>
      <c r="U169" s="25" t="s">
        <v>32</v>
      </c>
      <c r="V169" s="22" t="s">
        <v>33</v>
      </c>
      <c r="W169" s="32" t="s">
        <v>34</v>
      </c>
    </row>
    <row r="170" spans="1:23">
      <c r="A170" s="22" t="s">
        <v>509</v>
      </c>
      <c r="B170" s="25">
        <f>VLOOKUP(A170,[1]ProjectsResults!$D:$E,2,FALSE)</f>
        <v>10084</v>
      </c>
      <c r="C170" s="22">
        <f>VLOOKUP(A170,[2]Sheet2!$D:$E,2,FALSE)</f>
        <v>8880</v>
      </c>
      <c r="D170" s="22">
        <v>8880</v>
      </c>
      <c r="E170" s="22">
        <f>VLOOKUP(A170,[3]Sheet2!$A:$F,6,FALSE)</f>
        <v>335891.48</v>
      </c>
      <c r="G170" s="22" t="s">
        <v>510</v>
      </c>
      <c r="H170" s="22" t="s">
        <v>86</v>
      </c>
      <c r="I170" s="22" t="s">
        <v>25</v>
      </c>
      <c r="J170" s="29" t="s">
        <v>42</v>
      </c>
      <c r="K170" s="29" t="s">
        <v>149</v>
      </c>
      <c r="L170" s="29" t="s">
        <v>28</v>
      </c>
      <c r="P170" s="30">
        <v>45603</v>
      </c>
      <c r="Q170" s="30">
        <v>45603</v>
      </c>
      <c r="R170" s="22" t="s">
        <v>29</v>
      </c>
      <c r="S170" s="29" t="s">
        <v>30</v>
      </c>
      <c r="T170" s="22" t="s">
        <v>31</v>
      </c>
      <c r="U170" s="25" t="s">
        <v>32</v>
      </c>
      <c r="V170" s="22" t="s">
        <v>33</v>
      </c>
      <c r="W170" s="32" t="s">
        <v>34</v>
      </c>
    </row>
    <row r="171" spans="1:23">
      <c r="A171" s="22" t="s">
        <v>511</v>
      </c>
      <c r="B171" s="25">
        <f>VLOOKUP(A171,[1]ProjectsResults!$D:$E,2,FALSE)</f>
        <v>10085</v>
      </c>
      <c r="C171" s="22">
        <f>VLOOKUP(A171,[2]Sheet2!$D:$E,2,FALSE)</f>
        <v>8881</v>
      </c>
      <c r="D171" s="22">
        <v>8881</v>
      </c>
      <c r="E171" s="22">
        <f>VLOOKUP(A171,[3]Sheet2!$A:$F,6,FALSE)</f>
        <v>24200000</v>
      </c>
      <c r="G171" s="22" t="s">
        <v>512</v>
      </c>
      <c r="H171" s="22" t="s">
        <v>433</v>
      </c>
      <c r="I171" s="22" t="s">
        <v>25</v>
      </c>
      <c r="J171" s="29" t="s">
        <v>73</v>
      </c>
      <c r="K171" s="29" t="s">
        <v>430</v>
      </c>
      <c r="L171" s="29" t="s">
        <v>28</v>
      </c>
      <c r="P171" s="30">
        <v>45667</v>
      </c>
      <c r="Q171" s="30">
        <v>45679</v>
      </c>
      <c r="R171" s="22" t="s">
        <v>29</v>
      </c>
      <c r="S171" s="29" t="s">
        <v>30</v>
      </c>
      <c r="T171" s="22" t="s">
        <v>74</v>
      </c>
      <c r="U171" s="25" t="s">
        <v>32</v>
      </c>
      <c r="V171" s="22" t="s">
        <v>75</v>
      </c>
      <c r="W171" s="32" t="s">
        <v>34</v>
      </c>
    </row>
    <row r="172" spans="1:23">
      <c r="A172" s="22" t="s">
        <v>513</v>
      </c>
      <c r="B172" s="25">
        <f>VLOOKUP(A172,[1]ProjectsResults!$D:$E,2,FALSE)</f>
        <v>10086</v>
      </c>
      <c r="C172" s="22">
        <f>VLOOKUP(A172,[2]Sheet2!$D:$E,2,FALSE)</f>
        <v>8882</v>
      </c>
      <c r="D172" s="22">
        <v>8882</v>
      </c>
      <c r="E172" s="22">
        <f>VLOOKUP(A172,[3]Sheet2!$A:$F,6,FALSE)</f>
        <v>7293905</v>
      </c>
      <c r="G172" s="22" t="s">
        <v>514</v>
      </c>
      <c r="H172" s="22" t="s">
        <v>249</v>
      </c>
      <c r="I172" s="22" t="s">
        <v>25</v>
      </c>
      <c r="J172" s="29" t="s">
        <v>250</v>
      </c>
      <c r="K172" s="29" t="s">
        <v>251</v>
      </c>
      <c r="L172" s="29" t="s">
        <v>28</v>
      </c>
      <c r="P172" s="30">
        <v>45601</v>
      </c>
      <c r="Q172" s="30">
        <v>45601</v>
      </c>
      <c r="R172" s="22" t="s">
        <v>29</v>
      </c>
      <c r="S172" s="29" t="s">
        <v>30</v>
      </c>
      <c r="T172" s="22" t="s">
        <v>31</v>
      </c>
      <c r="U172" s="25" t="s">
        <v>32</v>
      </c>
      <c r="V172" s="22" t="s">
        <v>33</v>
      </c>
      <c r="W172" s="32" t="s">
        <v>34</v>
      </c>
    </row>
    <row r="173" spans="1:23">
      <c r="A173" s="22" t="s">
        <v>515</v>
      </c>
      <c r="B173" s="25">
        <f>VLOOKUP(A173,[1]ProjectsResults!$D:$E,2,FALSE)</f>
        <v>10087</v>
      </c>
      <c r="C173" s="22">
        <f>VLOOKUP(A173,[2]Sheet2!$D:$E,2,FALSE)</f>
        <v>8883</v>
      </c>
      <c r="D173" s="22">
        <v>8883</v>
      </c>
      <c r="E173" s="22">
        <f>VLOOKUP(A173,[3]Sheet2!$A:$F,6,FALSE)</f>
        <v>305986</v>
      </c>
      <c r="G173" s="22" t="s">
        <v>516</v>
      </c>
      <c r="H173" s="22" t="s">
        <v>249</v>
      </c>
      <c r="I173" s="22" t="s">
        <v>25</v>
      </c>
      <c r="J173" s="29" t="s">
        <v>250</v>
      </c>
      <c r="K173" s="29" t="s">
        <v>251</v>
      </c>
      <c r="L173" s="29" t="s">
        <v>28</v>
      </c>
      <c r="P173" s="30">
        <v>45601</v>
      </c>
      <c r="Q173" s="30">
        <v>45601</v>
      </c>
      <c r="R173" s="22" t="s">
        <v>29</v>
      </c>
      <c r="S173" s="29" t="s">
        <v>30</v>
      </c>
      <c r="T173" s="22" t="s">
        <v>31</v>
      </c>
      <c r="U173" s="25" t="s">
        <v>32</v>
      </c>
      <c r="V173" s="22" t="s">
        <v>33</v>
      </c>
      <c r="W173" s="32" t="s">
        <v>34</v>
      </c>
    </row>
    <row r="174" spans="1:23">
      <c r="A174" s="22" t="s">
        <v>517</v>
      </c>
      <c r="B174" s="25">
        <f>VLOOKUP(A174,[1]ProjectsResults!$D:$E,2,FALSE)</f>
        <v>10088</v>
      </c>
      <c r="C174" s="22">
        <f>VLOOKUP(A174,[2]Sheet2!$D:$E,2,FALSE)</f>
        <v>8884</v>
      </c>
      <c r="D174" s="22">
        <v>8884</v>
      </c>
      <c r="E174" s="22">
        <f>VLOOKUP(A174,[3]Sheet2!$A:$F,6,FALSE)</f>
        <v>2474175</v>
      </c>
      <c r="G174" s="22" t="s">
        <v>518</v>
      </c>
      <c r="H174" s="22" t="s">
        <v>105</v>
      </c>
      <c r="I174" s="22" t="s">
        <v>25</v>
      </c>
      <c r="J174" s="29" t="s">
        <v>42</v>
      </c>
      <c r="K174" s="29" t="s">
        <v>43</v>
      </c>
      <c r="L174" s="29" t="s">
        <v>28</v>
      </c>
      <c r="P174" s="30">
        <v>45610</v>
      </c>
      <c r="Q174" s="30">
        <v>45610</v>
      </c>
      <c r="R174" s="22" t="s">
        <v>29</v>
      </c>
      <c r="S174" s="29" t="s">
        <v>30</v>
      </c>
      <c r="T174" s="22" t="s">
        <v>31</v>
      </c>
      <c r="U174" s="25" t="s">
        <v>32</v>
      </c>
      <c r="V174" s="22" t="s">
        <v>33</v>
      </c>
      <c r="W174" s="32" t="s">
        <v>34</v>
      </c>
    </row>
    <row r="175" spans="1:23">
      <c r="A175" s="22" t="s">
        <v>519</v>
      </c>
      <c r="B175" s="25">
        <f>VLOOKUP(A175,[1]ProjectsResults!$D:$E,2,FALSE)</f>
        <v>10089</v>
      </c>
      <c r="C175" s="22">
        <f>VLOOKUP(A175,[2]Sheet2!$D:$E,2,FALSE)</f>
        <v>8885</v>
      </c>
      <c r="D175" s="22">
        <v>8885</v>
      </c>
      <c r="E175" s="22">
        <f>VLOOKUP(A175,[3]Sheet2!$A:$F,6,FALSE)</f>
        <v>2270075</v>
      </c>
      <c r="G175" s="22" t="s">
        <v>520</v>
      </c>
      <c r="H175" s="22" t="s">
        <v>348</v>
      </c>
      <c r="I175" s="22" t="s">
        <v>25</v>
      </c>
      <c r="J175" s="29" t="s">
        <v>168</v>
      </c>
      <c r="K175" s="29" t="s">
        <v>328</v>
      </c>
      <c r="L175" s="29" t="s">
        <v>28</v>
      </c>
      <c r="P175" s="30">
        <v>45610</v>
      </c>
      <c r="Q175" s="30">
        <v>45610</v>
      </c>
      <c r="R175" s="22" t="s">
        <v>29</v>
      </c>
      <c r="S175" s="29" t="s">
        <v>30</v>
      </c>
      <c r="T175" s="22" t="s">
        <v>31</v>
      </c>
      <c r="U175" s="25" t="s">
        <v>32</v>
      </c>
      <c r="V175" s="22" t="s">
        <v>33</v>
      </c>
      <c r="W175" s="32" t="s">
        <v>34</v>
      </c>
    </row>
    <row r="176" spans="1:23">
      <c r="A176" s="22" t="s">
        <v>521</v>
      </c>
      <c r="B176" s="25">
        <f>VLOOKUP(A176,[1]ProjectsResults!$D:$E,2,FALSE)</f>
        <v>10090</v>
      </c>
      <c r="C176" s="22">
        <f>VLOOKUP(A176,[2]Sheet2!$D:$E,2,FALSE)</f>
        <v>8886</v>
      </c>
      <c r="D176" s="22">
        <v>8886</v>
      </c>
      <c r="E176" s="22">
        <f>VLOOKUP(A176,[3]Sheet2!$A:$F,6,FALSE)</f>
        <v>2550110</v>
      </c>
      <c r="G176" s="22" t="s">
        <v>522</v>
      </c>
      <c r="H176" s="22" t="s">
        <v>493</v>
      </c>
      <c r="I176" s="22" t="s">
        <v>25</v>
      </c>
      <c r="J176" s="29" t="s">
        <v>168</v>
      </c>
      <c r="K176" s="29" t="s">
        <v>494</v>
      </c>
      <c r="L176" s="29" t="s">
        <v>28</v>
      </c>
      <c r="P176" s="30">
        <v>45618</v>
      </c>
      <c r="Q176" s="30">
        <v>45618</v>
      </c>
      <c r="R176" s="22" t="s">
        <v>29</v>
      </c>
      <c r="S176" s="29" t="s">
        <v>30</v>
      </c>
      <c r="T176" s="22" t="s">
        <v>31</v>
      </c>
      <c r="U176" s="25" t="s">
        <v>32</v>
      </c>
      <c r="V176" s="22" t="s">
        <v>33</v>
      </c>
      <c r="W176" s="32" t="s">
        <v>34</v>
      </c>
    </row>
    <row r="177" spans="1:23">
      <c r="A177" s="22" t="s">
        <v>523</v>
      </c>
      <c r="B177" s="25">
        <f>VLOOKUP(A177,[1]ProjectsResults!$D:$E,2,FALSE)</f>
        <v>10091</v>
      </c>
      <c r="C177" s="22">
        <f>VLOOKUP(A177,[2]Sheet2!$D:$E,2,FALSE)</f>
        <v>8887</v>
      </c>
      <c r="D177" s="22">
        <v>8887</v>
      </c>
      <c r="E177" s="22">
        <f>VLOOKUP(A177,[3]Sheet2!$A:$F,6,FALSE)</f>
        <v>3100000</v>
      </c>
      <c r="G177" s="22" t="s">
        <v>524</v>
      </c>
      <c r="H177" s="22" t="s">
        <v>249</v>
      </c>
      <c r="I177" s="22" t="s">
        <v>25</v>
      </c>
      <c r="J177" s="29" t="s">
        <v>250</v>
      </c>
      <c r="K177" s="29" t="s">
        <v>525</v>
      </c>
      <c r="L177" s="29" t="s">
        <v>28</v>
      </c>
      <c r="P177" s="30">
        <v>45604</v>
      </c>
      <c r="Q177" s="30">
        <v>45626</v>
      </c>
      <c r="R177" s="22" t="s">
        <v>29</v>
      </c>
      <c r="S177" s="29" t="s">
        <v>30</v>
      </c>
      <c r="T177" s="22" t="s">
        <v>31</v>
      </c>
      <c r="U177" s="25" t="s">
        <v>32</v>
      </c>
      <c r="V177" s="22" t="s">
        <v>33</v>
      </c>
      <c r="W177" s="32" t="s">
        <v>34</v>
      </c>
    </row>
    <row r="178" spans="1:23">
      <c r="A178" s="22" t="s">
        <v>526</v>
      </c>
      <c r="B178" s="25">
        <f>VLOOKUP(A178,[1]ProjectsResults!$D:$E,2,FALSE)</f>
        <v>10092</v>
      </c>
      <c r="C178" s="22">
        <f>VLOOKUP(A178,[2]Sheet2!$D:$E,2,FALSE)</f>
        <v>9689</v>
      </c>
      <c r="D178" s="22">
        <v>9689</v>
      </c>
      <c r="E178" s="22">
        <f>VLOOKUP(A178,[3]Sheet2!$A:$F,6,FALSE)</f>
        <v>2928934.14</v>
      </c>
      <c r="G178" s="22" t="s">
        <v>527</v>
      </c>
      <c r="H178" s="22" t="s">
        <v>528</v>
      </c>
      <c r="I178" s="22" t="s">
        <v>25</v>
      </c>
      <c r="J178" s="29" t="s">
        <v>38</v>
      </c>
      <c r="K178" s="29" t="s">
        <v>38</v>
      </c>
      <c r="L178" s="29" t="s">
        <v>28</v>
      </c>
      <c r="P178" s="30">
        <v>45626</v>
      </c>
      <c r="Q178" s="30">
        <v>45618</v>
      </c>
      <c r="R178" s="22" t="s">
        <v>29</v>
      </c>
      <c r="S178" s="29" t="s">
        <v>30</v>
      </c>
      <c r="T178" s="22" t="s">
        <v>31</v>
      </c>
      <c r="U178" s="25" t="s">
        <v>32</v>
      </c>
      <c r="V178" s="22" t="s">
        <v>33</v>
      </c>
      <c r="W178" s="32" t="s">
        <v>34</v>
      </c>
    </row>
    <row r="179" spans="1:23">
      <c r="A179" s="22" t="s">
        <v>529</v>
      </c>
      <c r="B179" s="25">
        <f>VLOOKUP(A179,[1]ProjectsResults!$D:$E,2,FALSE)</f>
        <v>10093</v>
      </c>
      <c r="C179" s="22">
        <f>VLOOKUP(A179,[2]Sheet2!$D:$E,2,FALSE)</f>
        <v>8888</v>
      </c>
      <c r="D179" s="22">
        <v>8888</v>
      </c>
      <c r="E179" s="22">
        <f>VLOOKUP(A179,[3]Sheet2!$A:$F,6,FALSE)</f>
        <v>179025</v>
      </c>
      <c r="G179" s="22" t="s">
        <v>530</v>
      </c>
      <c r="H179" s="22" t="s">
        <v>453</v>
      </c>
      <c r="I179" s="22" t="s">
        <v>25</v>
      </c>
      <c r="J179" s="29" t="s">
        <v>42</v>
      </c>
      <c r="K179" s="29" t="s">
        <v>454</v>
      </c>
      <c r="L179" s="29" t="s">
        <v>28</v>
      </c>
      <c r="P179" s="30">
        <v>45604</v>
      </c>
      <c r="Q179" s="30">
        <v>45604</v>
      </c>
      <c r="R179" s="22" t="s">
        <v>29</v>
      </c>
      <c r="S179" s="29" t="s">
        <v>30</v>
      </c>
      <c r="T179" s="22" t="s">
        <v>31</v>
      </c>
      <c r="U179" s="25" t="s">
        <v>32</v>
      </c>
      <c r="V179" s="22" t="s">
        <v>33</v>
      </c>
      <c r="W179" s="32" t="s">
        <v>34</v>
      </c>
    </row>
    <row r="180" spans="1:23">
      <c r="A180" s="22" t="s">
        <v>531</v>
      </c>
      <c r="B180" s="25">
        <f>VLOOKUP(A180,[1]ProjectsResults!$D:$E,2,FALSE)</f>
        <v>10094</v>
      </c>
      <c r="C180" s="22">
        <f>VLOOKUP(A180,[2]Sheet2!$D:$E,2,FALSE)</f>
        <v>8889</v>
      </c>
      <c r="D180" s="22">
        <v>8889</v>
      </c>
      <c r="E180" s="22">
        <f>VLOOKUP(A180,[3]Sheet2!$A:$F,6,FALSE)</f>
        <v>499917</v>
      </c>
      <c r="G180" s="22" t="s">
        <v>532</v>
      </c>
      <c r="H180" s="22" t="s">
        <v>453</v>
      </c>
      <c r="I180" s="22" t="s">
        <v>25</v>
      </c>
      <c r="J180" s="29" t="s">
        <v>42</v>
      </c>
      <c r="K180" s="29" t="s">
        <v>454</v>
      </c>
      <c r="L180" s="29" t="s">
        <v>28</v>
      </c>
      <c r="P180" s="30">
        <v>45607</v>
      </c>
      <c r="Q180" s="30">
        <v>45607</v>
      </c>
      <c r="R180" s="22" t="s">
        <v>29</v>
      </c>
      <c r="S180" s="29" t="s">
        <v>30</v>
      </c>
      <c r="T180" s="22" t="s">
        <v>31</v>
      </c>
      <c r="U180" s="25" t="s">
        <v>32</v>
      </c>
      <c r="V180" s="22" t="s">
        <v>33</v>
      </c>
      <c r="W180" s="32" t="s">
        <v>34</v>
      </c>
    </row>
    <row r="181" spans="1:23">
      <c r="A181" s="22" t="s">
        <v>533</v>
      </c>
      <c r="B181" s="25">
        <f>VLOOKUP(A181,[1]ProjectsResults!$D:$E,2,FALSE)</f>
        <v>10095</v>
      </c>
      <c r="C181" s="22">
        <f>VLOOKUP(A181,[2]Sheet2!$D:$E,2,FALSE)</f>
        <v>8890</v>
      </c>
      <c r="D181" s="22">
        <v>8890</v>
      </c>
      <c r="E181" s="22">
        <f>VLOOKUP(A181,[3]Sheet2!$A:$F,6,FALSE)</f>
        <v>88485</v>
      </c>
      <c r="G181" s="22" t="s">
        <v>534</v>
      </c>
      <c r="H181" s="22" t="s">
        <v>331</v>
      </c>
      <c r="I181" s="22" t="s">
        <v>25</v>
      </c>
      <c r="J181" s="29" t="s">
        <v>72</v>
      </c>
      <c r="K181" s="29" t="s">
        <v>141</v>
      </c>
      <c r="L181" s="29" t="s">
        <v>28</v>
      </c>
      <c r="P181" s="30">
        <v>45605</v>
      </c>
      <c r="Q181" s="30">
        <v>45606</v>
      </c>
      <c r="R181" s="22" t="s">
        <v>29</v>
      </c>
      <c r="S181" s="29" t="s">
        <v>30</v>
      </c>
      <c r="T181" s="22" t="s">
        <v>74</v>
      </c>
      <c r="U181" s="25" t="s">
        <v>32</v>
      </c>
      <c r="V181" s="22" t="s">
        <v>75</v>
      </c>
      <c r="W181" s="32" t="s">
        <v>34</v>
      </c>
    </row>
    <row r="182" spans="1:23">
      <c r="A182" s="22" t="s">
        <v>535</v>
      </c>
      <c r="B182" s="25">
        <f>VLOOKUP(A182,[1]ProjectsResults!$D:$E,2,FALSE)</f>
        <v>10096</v>
      </c>
      <c r="C182" s="22">
        <f>VLOOKUP(A182,[2]Sheet2!$D:$E,2,FALSE)</f>
        <v>8891</v>
      </c>
      <c r="D182" s="22">
        <v>8891</v>
      </c>
      <c r="E182" s="22">
        <f>VLOOKUP(A182,[3]Sheet2!$A:$F,6,FALSE)</f>
        <v>9678132</v>
      </c>
      <c r="G182" s="22" t="s">
        <v>536</v>
      </c>
      <c r="H182" s="22" t="s">
        <v>345</v>
      </c>
      <c r="I182" s="22" t="s">
        <v>25</v>
      </c>
      <c r="J182" s="29" t="s">
        <v>141</v>
      </c>
      <c r="K182" s="29" t="s">
        <v>537</v>
      </c>
      <c r="L182" s="29" t="s">
        <v>28</v>
      </c>
      <c r="P182" s="30">
        <v>45630</v>
      </c>
      <c r="Q182" s="30">
        <v>45633</v>
      </c>
      <c r="R182" s="22" t="s">
        <v>29</v>
      </c>
      <c r="S182" s="29" t="s">
        <v>30</v>
      </c>
      <c r="T182" s="22" t="s">
        <v>74</v>
      </c>
      <c r="U182" s="25" t="s">
        <v>32</v>
      </c>
      <c r="V182" s="22" t="s">
        <v>75</v>
      </c>
      <c r="W182" s="33" t="s">
        <v>34</v>
      </c>
    </row>
    <row r="183" spans="1:23">
      <c r="A183" s="22" t="s">
        <v>538</v>
      </c>
      <c r="B183" s="25">
        <f>VLOOKUP(A183,[1]ProjectsResults!$D:$E,2,FALSE)</f>
        <v>10097</v>
      </c>
      <c r="C183" s="22">
        <f>VLOOKUP(A183,[2]Sheet2!$D:$E,2,FALSE)</f>
        <v>8892</v>
      </c>
      <c r="D183" s="22">
        <v>8892</v>
      </c>
      <c r="E183" s="22">
        <f>VLOOKUP(A183,[3]Sheet2!$A:$F,6,FALSE)</f>
        <v>202950</v>
      </c>
      <c r="G183" s="22" t="s">
        <v>539</v>
      </c>
      <c r="H183" s="22" t="s">
        <v>540</v>
      </c>
      <c r="I183" s="22" t="s">
        <v>25</v>
      </c>
      <c r="J183" s="29" t="s">
        <v>115</v>
      </c>
      <c r="K183" s="29" t="s">
        <v>116</v>
      </c>
      <c r="L183" s="29" t="s">
        <v>28</v>
      </c>
      <c r="P183" s="30">
        <v>45601</v>
      </c>
      <c r="Q183" s="30">
        <v>45601</v>
      </c>
      <c r="R183" s="22" t="s">
        <v>29</v>
      </c>
      <c r="S183" s="29" t="s">
        <v>30</v>
      </c>
      <c r="T183" s="22" t="s">
        <v>49</v>
      </c>
      <c r="U183" s="25" t="s">
        <v>32</v>
      </c>
      <c r="V183" s="22" t="s">
        <v>117</v>
      </c>
      <c r="W183" s="32" t="s">
        <v>34</v>
      </c>
    </row>
    <row r="184" spans="1:23">
      <c r="A184" s="22" t="s">
        <v>541</v>
      </c>
      <c r="B184" s="25">
        <f>VLOOKUP(A184,[1]ProjectsResults!$D:$E,2,FALSE)</f>
        <v>10098</v>
      </c>
      <c r="C184" s="22">
        <f>VLOOKUP(A184,[2]Sheet2!$D:$E,2,FALSE)</f>
        <v>9690</v>
      </c>
      <c r="D184" s="22">
        <v>9690</v>
      </c>
      <c r="E184" s="22">
        <f>VLOOKUP(A184,[3]Sheet2!$A:$F,6,FALSE)</f>
        <v>99000</v>
      </c>
      <c r="G184" s="22" t="s">
        <v>542</v>
      </c>
      <c r="H184" s="22" t="s">
        <v>543</v>
      </c>
      <c r="I184" s="22" t="s">
        <v>25</v>
      </c>
      <c r="J184" s="29" t="s">
        <v>115</v>
      </c>
      <c r="K184" s="29" t="s">
        <v>116</v>
      </c>
      <c r="L184" s="29" t="s">
        <v>28</v>
      </c>
      <c r="P184" s="30">
        <v>45607</v>
      </c>
      <c r="Q184" s="30">
        <v>45607</v>
      </c>
      <c r="R184" s="22" t="s">
        <v>29</v>
      </c>
      <c r="S184" s="29" t="s">
        <v>30</v>
      </c>
      <c r="T184" s="22" t="s">
        <v>49</v>
      </c>
      <c r="U184" s="25" t="s">
        <v>32</v>
      </c>
      <c r="V184" s="22" t="s">
        <v>117</v>
      </c>
      <c r="W184" s="32" t="s">
        <v>34</v>
      </c>
    </row>
    <row r="185" spans="1:23">
      <c r="A185" s="22" t="s">
        <v>544</v>
      </c>
      <c r="B185" s="25">
        <f>VLOOKUP(A185,[1]ProjectsResults!$D:$E,2,FALSE)</f>
        <v>10099</v>
      </c>
      <c r="C185" s="22">
        <f>VLOOKUP(A185,[2]Sheet2!$D:$E,2,FALSE)</f>
        <v>8893</v>
      </c>
      <c r="D185" s="22">
        <v>8893</v>
      </c>
      <c r="E185" s="22">
        <f>VLOOKUP(A185,[3]Sheet2!$A:$F,6,FALSE)</f>
        <v>228066.3</v>
      </c>
      <c r="G185" s="22" t="s">
        <v>545</v>
      </c>
      <c r="H185" s="22" t="s">
        <v>546</v>
      </c>
      <c r="I185" s="22" t="s">
        <v>25</v>
      </c>
      <c r="J185" s="29" t="s">
        <v>168</v>
      </c>
      <c r="K185" s="29" t="s">
        <v>446</v>
      </c>
      <c r="L185" s="29" t="s">
        <v>28</v>
      </c>
      <c r="P185" s="30">
        <v>45606</v>
      </c>
      <c r="Q185" s="30">
        <v>45606</v>
      </c>
      <c r="R185" s="22" t="s">
        <v>29</v>
      </c>
      <c r="S185" s="29" t="s">
        <v>30</v>
      </c>
      <c r="T185" s="22" t="s">
        <v>31</v>
      </c>
      <c r="U185" s="25" t="s">
        <v>32</v>
      </c>
      <c r="V185" s="22" t="s">
        <v>33</v>
      </c>
      <c r="W185" s="32" t="s">
        <v>34</v>
      </c>
    </row>
    <row r="186" spans="1:23">
      <c r="A186" s="22" t="s">
        <v>547</v>
      </c>
      <c r="B186" s="25">
        <f>VLOOKUP(A186,[1]ProjectsResults!$D:$E,2,FALSE)</f>
        <v>10100</v>
      </c>
      <c r="C186" s="22">
        <f>VLOOKUP(A186,[2]Sheet2!$D:$E,2,FALSE)</f>
        <v>9350</v>
      </c>
      <c r="D186" s="22">
        <v>9350</v>
      </c>
      <c r="E186" s="22">
        <f>VLOOKUP(A186,[3]Sheet2!$A:$F,6,FALSE)</f>
        <v>1344395</v>
      </c>
      <c r="G186" s="22" t="s">
        <v>548</v>
      </c>
      <c r="H186" s="22" t="s">
        <v>159</v>
      </c>
      <c r="I186" s="22" t="s">
        <v>25</v>
      </c>
      <c r="J186" s="29" t="s">
        <v>115</v>
      </c>
      <c r="K186" s="29" t="s">
        <v>160</v>
      </c>
      <c r="L186" s="29" t="s">
        <v>28</v>
      </c>
      <c r="P186" s="30">
        <v>45617</v>
      </c>
      <c r="Q186" s="30">
        <v>45621</v>
      </c>
      <c r="R186" s="22" t="s">
        <v>29</v>
      </c>
      <c r="S186" s="29" t="s">
        <v>30</v>
      </c>
      <c r="T186" s="22" t="s">
        <v>49</v>
      </c>
      <c r="U186" s="25" t="s">
        <v>32</v>
      </c>
      <c r="V186" s="22" t="s">
        <v>117</v>
      </c>
      <c r="W186" s="32" t="s">
        <v>34</v>
      </c>
    </row>
    <row r="187" spans="1:23">
      <c r="A187" s="22" t="s">
        <v>549</v>
      </c>
      <c r="B187" s="25">
        <f>VLOOKUP(A187,[1]ProjectsResults!$D:$E,2,FALSE)</f>
        <v>10101</v>
      </c>
      <c r="C187" s="22">
        <f>VLOOKUP(A187,[2]Sheet2!$D:$E,2,FALSE)</f>
        <v>9691</v>
      </c>
      <c r="D187" s="22">
        <v>9691</v>
      </c>
      <c r="E187" s="22">
        <f>VLOOKUP(A187,[3]Sheet2!$A:$F,6,FALSE)</f>
        <v>13728189.2</v>
      </c>
      <c r="G187" s="22" t="s">
        <v>550</v>
      </c>
      <c r="H187" s="22" t="s">
        <v>551</v>
      </c>
      <c r="I187" s="22" t="s">
        <v>25</v>
      </c>
      <c r="J187" s="29" t="s">
        <v>47</v>
      </c>
      <c r="K187" s="29" t="s">
        <v>129</v>
      </c>
      <c r="L187" s="29" t="s">
        <v>28</v>
      </c>
      <c r="P187" s="30">
        <v>45620</v>
      </c>
      <c r="Q187" s="30">
        <v>45633</v>
      </c>
      <c r="R187" s="22" t="s">
        <v>29</v>
      </c>
      <c r="S187" s="29" t="s">
        <v>30</v>
      </c>
      <c r="T187" s="22" t="s">
        <v>49</v>
      </c>
      <c r="U187" s="25" t="s">
        <v>32</v>
      </c>
      <c r="V187" s="22" t="s">
        <v>50</v>
      </c>
      <c r="W187" s="32" t="s">
        <v>34</v>
      </c>
    </row>
    <row r="188" spans="1:23">
      <c r="A188" s="22" t="s">
        <v>552</v>
      </c>
      <c r="B188" s="25">
        <f>VLOOKUP(A188,[1]ProjectsResults!$D:$E,2,FALSE)</f>
        <v>10102</v>
      </c>
      <c r="C188" s="22">
        <f>VLOOKUP(A188,[2]Sheet2!$D:$E,2,FALSE)</f>
        <v>8894</v>
      </c>
      <c r="D188" s="22">
        <v>8894</v>
      </c>
      <c r="E188" s="22">
        <f>VLOOKUP(A188,[3]Sheet2!$A:$F,6,FALSE)</f>
        <v>1400000</v>
      </c>
      <c r="G188" s="22" t="s">
        <v>553</v>
      </c>
      <c r="H188" s="22" t="s">
        <v>249</v>
      </c>
      <c r="I188" s="22" t="s">
        <v>25</v>
      </c>
      <c r="J188" s="29" t="s">
        <v>250</v>
      </c>
      <c r="K188" s="29" t="s">
        <v>281</v>
      </c>
      <c r="L188" s="29" t="s">
        <v>28</v>
      </c>
      <c r="P188" s="30">
        <v>45604</v>
      </c>
      <c r="Q188" s="30">
        <v>45604</v>
      </c>
      <c r="R188" s="22" t="s">
        <v>29</v>
      </c>
      <c r="S188" s="29" t="s">
        <v>30</v>
      </c>
      <c r="T188" s="22" t="s">
        <v>31</v>
      </c>
      <c r="U188" s="25" t="s">
        <v>32</v>
      </c>
      <c r="V188" s="22" t="s">
        <v>33</v>
      </c>
      <c r="W188" s="32" t="s">
        <v>34</v>
      </c>
    </row>
    <row r="189" spans="1:23">
      <c r="A189" s="22" t="s">
        <v>554</v>
      </c>
      <c r="B189" s="25">
        <f>VLOOKUP(A189,[1]ProjectsResults!$D:$E,2,FALSE)</f>
        <v>10103</v>
      </c>
      <c r="C189" s="22">
        <f>VLOOKUP(A189,[2]Sheet2!$D:$E,2,FALSE)</f>
        <v>8895</v>
      </c>
      <c r="D189" s="22">
        <v>8895</v>
      </c>
      <c r="E189" s="22">
        <f>VLOOKUP(A189,[3]Sheet2!$A:$F,6,FALSE)</f>
        <v>203500</v>
      </c>
      <c r="G189" s="22" t="s">
        <v>555</v>
      </c>
      <c r="H189" s="22" t="s">
        <v>556</v>
      </c>
      <c r="I189" s="22" t="s">
        <v>25</v>
      </c>
      <c r="J189" s="29" t="s">
        <v>47</v>
      </c>
      <c r="K189" s="29" t="s">
        <v>557</v>
      </c>
      <c r="L189" s="29" t="s">
        <v>28</v>
      </c>
      <c r="P189" s="30">
        <v>45645</v>
      </c>
      <c r="Q189" s="30">
        <v>45645</v>
      </c>
      <c r="R189" s="22" t="s">
        <v>29</v>
      </c>
      <c r="S189" s="29" t="s">
        <v>30</v>
      </c>
      <c r="T189" s="22" t="s">
        <v>49</v>
      </c>
      <c r="U189" s="25" t="s">
        <v>32</v>
      </c>
      <c r="V189" s="22" t="s">
        <v>50</v>
      </c>
      <c r="W189" s="32" t="s">
        <v>34</v>
      </c>
    </row>
    <row r="190" spans="1:23">
      <c r="A190" s="22" t="s">
        <v>558</v>
      </c>
      <c r="B190" s="25">
        <f>VLOOKUP(A190,[1]ProjectsResults!$D:$E,2,FALSE)</f>
        <v>10104</v>
      </c>
      <c r="C190" s="22">
        <f>VLOOKUP(A190,[2]Sheet2!$D:$E,2,FALSE)</f>
        <v>8896</v>
      </c>
      <c r="D190" s="22">
        <v>8896</v>
      </c>
      <c r="E190" s="22">
        <f>VLOOKUP(A190,[3]Sheet2!$A:$F,6,FALSE)</f>
        <v>4495685</v>
      </c>
      <c r="G190" s="22" t="s">
        <v>559</v>
      </c>
      <c r="H190" s="22" t="s">
        <v>95</v>
      </c>
      <c r="I190" s="22" t="s">
        <v>25</v>
      </c>
      <c r="J190" s="29" t="s">
        <v>72</v>
      </c>
      <c r="K190" s="29" t="s">
        <v>96</v>
      </c>
      <c r="L190" s="29" t="s">
        <v>28</v>
      </c>
      <c r="P190" s="30">
        <v>45614</v>
      </c>
      <c r="Q190" s="30">
        <v>45616</v>
      </c>
      <c r="R190" s="22" t="s">
        <v>29</v>
      </c>
      <c r="S190" s="29" t="s">
        <v>30</v>
      </c>
      <c r="T190" s="22" t="s">
        <v>74</v>
      </c>
      <c r="U190" s="25" t="s">
        <v>32</v>
      </c>
      <c r="V190" s="22" t="s">
        <v>75</v>
      </c>
      <c r="W190" s="32" t="s">
        <v>34</v>
      </c>
    </row>
    <row r="191" spans="1:23">
      <c r="A191" s="22" t="s">
        <v>560</v>
      </c>
      <c r="B191" s="25">
        <f>VLOOKUP(A191,[1]ProjectsResults!$D:$E,2,FALSE)</f>
        <v>10105</v>
      </c>
      <c r="C191" s="22">
        <f>VLOOKUP(A191,[2]Sheet2!$D:$E,2,FALSE)</f>
        <v>8897</v>
      </c>
      <c r="D191" s="22">
        <v>8897</v>
      </c>
      <c r="E191" s="22">
        <f>VLOOKUP(A191,[3]Sheet2!$A:$F,6,FALSE)</f>
        <v>730920.45</v>
      </c>
      <c r="G191" s="22" t="s">
        <v>561</v>
      </c>
      <c r="H191" s="22" t="s">
        <v>58</v>
      </c>
      <c r="I191" s="22" t="s">
        <v>25</v>
      </c>
      <c r="J191" s="29" t="s">
        <v>47</v>
      </c>
      <c r="K191" s="29" t="s">
        <v>196</v>
      </c>
      <c r="L191" s="29" t="s">
        <v>28</v>
      </c>
      <c r="P191" s="30">
        <v>45607</v>
      </c>
      <c r="Q191" s="30">
        <v>45609</v>
      </c>
      <c r="R191" s="22" t="s">
        <v>29</v>
      </c>
      <c r="S191" s="29" t="s">
        <v>30</v>
      </c>
      <c r="T191" s="22" t="s">
        <v>49</v>
      </c>
      <c r="U191" s="25" t="s">
        <v>32</v>
      </c>
      <c r="V191" s="22" t="s">
        <v>50</v>
      </c>
      <c r="W191" s="32" t="s">
        <v>34</v>
      </c>
    </row>
    <row r="192" spans="1:23">
      <c r="A192" s="22" t="s">
        <v>562</v>
      </c>
      <c r="B192" s="25">
        <f>VLOOKUP(A192,[1]ProjectsResults!$D:$E,2,FALSE)</f>
        <v>10106</v>
      </c>
      <c r="C192" s="22">
        <f>VLOOKUP(A192,[2]Sheet2!$D:$E,2,FALSE)</f>
        <v>8898</v>
      </c>
      <c r="D192" s="22">
        <v>8898</v>
      </c>
      <c r="E192" s="22">
        <f>VLOOKUP(A192,[3]Sheet2!$A:$F,6,FALSE)</f>
        <v>734758.2</v>
      </c>
      <c r="G192" s="22" t="s">
        <v>563</v>
      </c>
      <c r="H192" s="22" t="s">
        <v>114</v>
      </c>
      <c r="I192" s="22" t="s">
        <v>25</v>
      </c>
      <c r="J192" s="29" t="s">
        <v>115</v>
      </c>
      <c r="K192" s="29" t="s">
        <v>164</v>
      </c>
      <c r="L192" s="29" t="s">
        <v>28</v>
      </c>
      <c r="P192" s="30">
        <v>45607</v>
      </c>
      <c r="Q192" s="30">
        <v>45608</v>
      </c>
      <c r="R192" s="22" t="s">
        <v>29</v>
      </c>
      <c r="S192" s="29" t="s">
        <v>30</v>
      </c>
      <c r="T192" s="22" t="s">
        <v>49</v>
      </c>
      <c r="U192" s="25" t="s">
        <v>32</v>
      </c>
      <c r="V192" s="22" t="s">
        <v>117</v>
      </c>
      <c r="W192" s="32" t="s">
        <v>34</v>
      </c>
    </row>
    <row r="193" spans="1:23">
      <c r="A193" s="22" t="s">
        <v>564</v>
      </c>
      <c r="B193" s="25">
        <f>VLOOKUP(A193,[1]ProjectsResults!$D:$E,2,FALSE)</f>
        <v>10107</v>
      </c>
      <c r="C193" s="22">
        <f>VLOOKUP(A193,[2]Sheet2!$D:$E,2,FALSE)</f>
        <v>9692</v>
      </c>
      <c r="D193" s="22">
        <v>9692</v>
      </c>
      <c r="E193" s="22">
        <f>VLOOKUP(A193,[3]Sheet2!$A:$F,6,FALSE)</f>
        <v>903788</v>
      </c>
      <c r="G193" s="22" t="s">
        <v>565</v>
      </c>
      <c r="H193" s="22" t="s">
        <v>566</v>
      </c>
      <c r="I193" s="22" t="s">
        <v>25</v>
      </c>
      <c r="J193" s="29" t="s">
        <v>42</v>
      </c>
      <c r="K193" s="29" t="s">
        <v>179</v>
      </c>
      <c r="L193" s="29" t="s">
        <v>28</v>
      </c>
      <c r="P193" s="30">
        <v>45614</v>
      </c>
      <c r="Q193" s="30">
        <v>45614</v>
      </c>
      <c r="R193" s="22" t="s">
        <v>29</v>
      </c>
      <c r="S193" s="29" t="s">
        <v>30</v>
      </c>
      <c r="T193" s="22" t="s">
        <v>31</v>
      </c>
      <c r="U193" s="25" t="s">
        <v>32</v>
      </c>
      <c r="V193" s="22" t="s">
        <v>33</v>
      </c>
      <c r="W193" s="32" t="s">
        <v>34</v>
      </c>
    </row>
    <row r="194" spans="1:23">
      <c r="A194" s="22" t="s">
        <v>567</v>
      </c>
      <c r="B194" s="25">
        <f>VLOOKUP(A194,[1]ProjectsResults!$D:$E,2,FALSE)</f>
        <v>10108</v>
      </c>
      <c r="C194" s="22">
        <f>VLOOKUP(A194,[2]Sheet2!$D:$E,2,FALSE)</f>
        <v>8899</v>
      </c>
      <c r="D194" s="22">
        <v>8899</v>
      </c>
      <c r="E194" s="22">
        <f>VLOOKUP(A194,[3]Sheet2!$A:$F,6,FALSE)</f>
        <v>31647</v>
      </c>
      <c r="G194" s="22" t="s">
        <v>568</v>
      </c>
      <c r="H194" s="22" t="s">
        <v>114</v>
      </c>
      <c r="I194" s="22" t="s">
        <v>25</v>
      </c>
      <c r="J194" s="29" t="s">
        <v>115</v>
      </c>
      <c r="K194" s="29" t="s">
        <v>164</v>
      </c>
      <c r="L194" s="29" t="s">
        <v>28</v>
      </c>
      <c r="P194" s="30">
        <v>45607</v>
      </c>
      <c r="Q194" s="30">
        <v>45608</v>
      </c>
      <c r="R194" s="22" t="s">
        <v>29</v>
      </c>
      <c r="S194" s="29" t="s">
        <v>30</v>
      </c>
      <c r="T194" s="22" t="s">
        <v>49</v>
      </c>
      <c r="U194" s="25" t="s">
        <v>32</v>
      </c>
      <c r="V194" s="22" t="s">
        <v>117</v>
      </c>
      <c r="W194" s="32" t="s">
        <v>34</v>
      </c>
    </row>
    <row r="195" spans="1:23">
      <c r="A195" s="22" t="s">
        <v>569</v>
      </c>
      <c r="B195" s="25">
        <f>VLOOKUP(A195,[1]ProjectsResults!$D:$E,2,FALSE)</f>
        <v>10109</v>
      </c>
      <c r="C195" s="22">
        <f>VLOOKUP(A195,[2]Sheet2!$D:$E,2,FALSE)</f>
        <v>8900</v>
      </c>
      <c r="D195" s="22">
        <v>8900</v>
      </c>
      <c r="E195" s="22">
        <f>VLOOKUP(A195,[3]Sheet2!$A:$F,6,FALSE)</f>
        <v>468237</v>
      </c>
      <c r="G195" s="22" t="s">
        <v>570</v>
      </c>
      <c r="H195" s="22" t="s">
        <v>348</v>
      </c>
      <c r="I195" s="22" t="s">
        <v>25</v>
      </c>
      <c r="J195" s="29" t="s">
        <v>47</v>
      </c>
      <c r="K195" s="29" t="s">
        <v>227</v>
      </c>
      <c r="L195" s="29" t="s">
        <v>28</v>
      </c>
      <c r="P195" s="30">
        <v>45607</v>
      </c>
      <c r="Q195" s="30">
        <v>45610</v>
      </c>
      <c r="R195" s="22" t="s">
        <v>29</v>
      </c>
      <c r="S195" s="29" t="s">
        <v>30</v>
      </c>
      <c r="T195" s="22" t="s">
        <v>49</v>
      </c>
      <c r="U195" s="25" t="s">
        <v>32</v>
      </c>
      <c r="V195" s="22" t="s">
        <v>50</v>
      </c>
      <c r="W195" s="32" t="s">
        <v>34</v>
      </c>
    </row>
    <row r="196" spans="1:23">
      <c r="A196" s="22" t="s">
        <v>571</v>
      </c>
      <c r="B196" s="25">
        <f>VLOOKUP(A196,[1]ProjectsResults!$D:$E,2,FALSE)</f>
        <v>10110</v>
      </c>
      <c r="C196" s="22">
        <f>VLOOKUP(A196,[2]Sheet2!$D:$E,2,FALSE)</f>
        <v>8901</v>
      </c>
      <c r="D196" s="22">
        <v>8901</v>
      </c>
      <c r="E196" s="22">
        <f>VLOOKUP(A196,[3]Sheet2!$A:$F,6,FALSE)</f>
        <v>367000</v>
      </c>
      <c r="G196" s="22" t="s">
        <v>572</v>
      </c>
      <c r="H196" s="22" t="s">
        <v>573</v>
      </c>
      <c r="I196" s="22" t="s">
        <v>25</v>
      </c>
      <c r="J196" s="29" t="s">
        <v>209</v>
      </c>
      <c r="K196" s="29" t="s">
        <v>210</v>
      </c>
      <c r="L196" s="29" t="s">
        <v>28</v>
      </c>
      <c r="P196" s="30">
        <v>45618</v>
      </c>
      <c r="Q196" s="30">
        <v>45620</v>
      </c>
      <c r="R196" s="22" t="s">
        <v>29</v>
      </c>
      <c r="S196" s="29" t="s">
        <v>30</v>
      </c>
      <c r="T196" s="22" t="s">
        <v>31</v>
      </c>
      <c r="U196" s="25" t="s">
        <v>211</v>
      </c>
      <c r="V196" s="22" t="s">
        <v>33</v>
      </c>
      <c r="W196" s="32" t="s">
        <v>34</v>
      </c>
    </row>
    <row r="197" spans="1:23">
      <c r="A197" s="22" t="s">
        <v>574</v>
      </c>
      <c r="B197" s="25">
        <f>VLOOKUP(A197,[1]ProjectsResults!$D:$E,2,FALSE)</f>
        <v>10111</v>
      </c>
      <c r="C197" s="22">
        <f>VLOOKUP(A197,[2]Sheet2!$D:$E,2,FALSE)</f>
        <v>8902</v>
      </c>
      <c r="D197" s="22">
        <v>8902</v>
      </c>
      <c r="E197" s="22">
        <f>VLOOKUP(A197,[3]Sheet2!$A:$F,6,FALSE)</f>
        <v>44440</v>
      </c>
      <c r="G197" s="22" t="s">
        <v>575</v>
      </c>
      <c r="H197" s="22" t="s">
        <v>114</v>
      </c>
      <c r="I197" s="22" t="s">
        <v>25</v>
      </c>
      <c r="J197" s="29" t="s">
        <v>115</v>
      </c>
      <c r="K197" s="29" t="s">
        <v>164</v>
      </c>
      <c r="L197" s="29" t="s">
        <v>28</v>
      </c>
      <c r="P197" s="30">
        <v>45614</v>
      </c>
      <c r="Q197" s="30">
        <v>45614</v>
      </c>
      <c r="R197" s="22" t="s">
        <v>29</v>
      </c>
      <c r="S197" s="29" t="s">
        <v>30</v>
      </c>
      <c r="T197" s="22" t="s">
        <v>49</v>
      </c>
      <c r="U197" s="25" t="s">
        <v>32</v>
      </c>
      <c r="V197" s="22" t="s">
        <v>117</v>
      </c>
      <c r="W197" s="32" t="s">
        <v>34</v>
      </c>
    </row>
    <row r="198" spans="1:23">
      <c r="A198" s="22" t="s">
        <v>576</v>
      </c>
      <c r="B198" s="25">
        <f>VLOOKUP(A198,[1]ProjectsResults!$D:$E,2,FALSE)</f>
        <v>10112</v>
      </c>
      <c r="C198" s="22">
        <f>VLOOKUP(A198,[2]Sheet2!$D:$E,2,FALSE)</f>
        <v>8903</v>
      </c>
      <c r="D198" s="22">
        <v>8903</v>
      </c>
      <c r="E198" s="22">
        <f>VLOOKUP(A198,[3]Sheet2!$A:$F,6,FALSE)</f>
        <v>800000</v>
      </c>
      <c r="G198" s="22" t="s">
        <v>577</v>
      </c>
      <c r="H198" s="22" t="s">
        <v>65</v>
      </c>
      <c r="I198" s="22" t="s">
        <v>25</v>
      </c>
      <c r="J198" s="29" t="s">
        <v>182</v>
      </c>
      <c r="K198" s="29" t="s">
        <v>92</v>
      </c>
      <c r="L198" s="29" t="s">
        <v>28</v>
      </c>
      <c r="P198" s="30">
        <v>45618</v>
      </c>
      <c r="Q198" s="30">
        <v>45618</v>
      </c>
      <c r="R198" s="22" t="s">
        <v>29</v>
      </c>
      <c r="S198" s="29" t="s">
        <v>30</v>
      </c>
      <c r="T198" s="22" t="s">
        <v>31</v>
      </c>
      <c r="U198" s="25" t="s">
        <v>32</v>
      </c>
      <c r="V198" s="22" t="s">
        <v>33</v>
      </c>
      <c r="W198" s="32" t="s">
        <v>34</v>
      </c>
    </row>
    <row r="199" spans="1:23">
      <c r="A199" s="22" t="s">
        <v>578</v>
      </c>
      <c r="B199" s="25">
        <f>VLOOKUP(A199,[1]ProjectsResults!$D:$E,2,FALSE)</f>
        <v>10113</v>
      </c>
      <c r="C199" s="22">
        <f>VLOOKUP(A199,[2]Sheet2!$D:$E,2,FALSE)</f>
        <v>8904</v>
      </c>
      <c r="D199" s="22">
        <v>8904</v>
      </c>
      <c r="E199" s="22">
        <f>VLOOKUP(A199,[3]Sheet2!$A:$F,6,FALSE)</f>
        <v>183700</v>
      </c>
      <c r="G199" s="22" t="s">
        <v>579</v>
      </c>
      <c r="H199" s="22" t="s">
        <v>313</v>
      </c>
      <c r="I199" s="22" t="s">
        <v>25</v>
      </c>
      <c r="J199" s="29" t="s">
        <v>168</v>
      </c>
      <c r="K199" s="29" t="s">
        <v>314</v>
      </c>
      <c r="L199" s="29" t="s">
        <v>28</v>
      </c>
      <c r="P199" s="30">
        <v>45610</v>
      </c>
      <c r="Q199" s="30">
        <v>45610</v>
      </c>
      <c r="R199" s="22" t="s">
        <v>29</v>
      </c>
      <c r="S199" s="29" t="s">
        <v>30</v>
      </c>
      <c r="T199" s="22" t="s">
        <v>31</v>
      </c>
      <c r="U199" s="25" t="s">
        <v>32</v>
      </c>
      <c r="V199" s="22" t="s">
        <v>33</v>
      </c>
      <c r="W199" s="32" t="s">
        <v>34</v>
      </c>
    </row>
    <row r="200" spans="1:23">
      <c r="A200" s="22" t="s">
        <v>580</v>
      </c>
      <c r="B200" s="25">
        <f>VLOOKUP(A200,[1]ProjectsResults!$D:$E,2,FALSE)</f>
        <v>10114</v>
      </c>
      <c r="C200" s="22">
        <f>VLOOKUP(A200,[2]Sheet2!$D:$E,2,FALSE)</f>
        <v>8905</v>
      </c>
      <c r="D200" s="22">
        <v>8905</v>
      </c>
      <c r="E200" s="22">
        <f>VLOOKUP(A200,[3]Sheet2!$A:$F,6,FALSE)</f>
        <v>1592250</v>
      </c>
      <c r="G200" s="22" t="s">
        <v>581</v>
      </c>
      <c r="H200" s="22" t="s">
        <v>95</v>
      </c>
      <c r="I200" s="22" t="s">
        <v>25</v>
      </c>
      <c r="J200" s="29" t="s">
        <v>72</v>
      </c>
      <c r="K200" s="29" t="s">
        <v>96</v>
      </c>
      <c r="L200" s="29" t="s">
        <v>28</v>
      </c>
      <c r="P200" s="30">
        <v>45617</v>
      </c>
      <c r="Q200" s="30">
        <v>45617</v>
      </c>
      <c r="R200" s="22" t="s">
        <v>29</v>
      </c>
      <c r="S200" s="29" t="s">
        <v>30</v>
      </c>
      <c r="T200" s="22" t="s">
        <v>74</v>
      </c>
      <c r="U200" s="25" t="s">
        <v>32</v>
      </c>
      <c r="V200" s="22" t="s">
        <v>75</v>
      </c>
      <c r="W200" s="32" t="s">
        <v>34</v>
      </c>
    </row>
    <row r="201" spans="1:23">
      <c r="A201" s="22" t="s">
        <v>582</v>
      </c>
      <c r="B201" s="25">
        <f>VLOOKUP(A201,[1]ProjectsResults!$D:$E,2,FALSE)</f>
        <v>10115</v>
      </c>
      <c r="C201" s="22">
        <f>VLOOKUP(A201,[2]Sheet2!$D:$E,2,FALSE)</f>
        <v>8906</v>
      </c>
      <c r="D201" s="22">
        <v>8906</v>
      </c>
      <c r="E201" s="22">
        <f>VLOOKUP(A201,[3]Sheet2!$A:$F,6,FALSE)</f>
        <v>213400</v>
      </c>
      <c r="G201" s="22" t="s">
        <v>583</v>
      </c>
      <c r="H201" s="22" t="s">
        <v>313</v>
      </c>
      <c r="I201" s="22" t="s">
        <v>25</v>
      </c>
      <c r="J201" s="29" t="s">
        <v>168</v>
      </c>
      <c r="K201" s="29" t="s">
        <v>446</v>
      </c>
      <c r="L201" s="29" t="s">
        <v>28</v>
      </c>
      <c r="P201" s="30">
        <v>45609</v>
      </c>
      <c r="Q201" s="30">
        <v>45609</v>
      </c>
      <c r="R201" s="22" t="s">
        <v>29</v>
      </c>
      <c r="S201" s="29" t="s">
        <v>30</v>
      </c>
      <c r="T201" s="22" t="s">
        <v>31</v>
      </c>
      <c r="U201" s="25" t="s">
        <v>32</v>
      </c>
      <c r="V201" s="22" t="s">
        <v>33</v>
      </c>
      <c r="W201" s="32" t="s">
        <v>34</v>
      </c>
    </row>
    <row r="202" spans="1:23">
      <c r="A202" s="22" t="s">
        <v>584</v>
      </c>
      <c r="B202" s="25">
        <f>VLOOKUP(A202,[1]ProjectsResults!$D:$E,2,FALSE)</f>
        <v>10116</v>
      </c>
      <c r="C202" s="22">
        <f>VLOOKUP(A202,[2]Sheet2!$D:$E,2,FALSE)</f>
        <v>8907</v>
      </c>
      <c r="D202" s="22">
        <v>8907</v>
      </c>
      <c r="E202" s="22">
        <f>VLOOKUP(A202,[3]Sheet2!$A:$F,6,FALSE)</f>
        <v>72800</v>
      </c>
      <c r="G202" s="22" t="s">
        <v>585</v>
      </c>
      <c r="H202" s="22" t="s">
        <v>163</v>
      </c>
      <c r="I202" s="22" t="s">
        <v>25</v>
      </c>
      <c r="J202" s="29" t="s">
        <v>115</v>
      </c>
      <c r="K202" s="29" t="s">
        <v>164</v>
      </c>
      <c r="L202" s="29" t="s">
        <v>28</v>
      </c>
      <c r="P202" s="30">
        <v>45610</v>
      </c>
      <c r="Q202" s="30">
        <v>45610</v>
      </c>
      <c r="R202" s="22" t="s">
        <v>29</v>
      </c>
      <c r="S202" s="29" t="s">
        <v>30</v>
      </c>
      <c r="T202" s="22" t="s">
        <v>49</v>
      </c>
      <c r="U202" s="25" t="s">
        <v>32</v>
      </c>
      <c r="V202" s="22" t="s">
        <v>117</v>
      </c>
      <c r="W202" s="32" t="s">
        <v>34</v>
      </c>
    </row>
    <row r="203" spans="1:23">
      <c r="A203" s="22" t="s">
        <v>586</v>
      </c>
      <c r="B203" s="25">
        <f>VLOOKUP(A203,[1]ProjectsResults!$D:$E,2,FALSE)</f>
        <v>10117</v>
      </c>
      <c r="C203" s="22">
        <f>VLOOKUP(A203,[2]Sheet2!$D:$E,2,FALSE)</f>
        <v>8908</v>
      </c>
      <c r="D203" s="22">
        <v>8908</v>
      </c>
      <c r="E203" s="22">
        <f>VLOOKUP(A203,[3]Sheet2!$A:$F,6,FALSE)</f>
        <v>111550</v>
      </c>
      <c r="G203" s="22" t="s">
        <v>587</v>
      </c>
      <c r="H203" s="22" t="s">
        <v>257</v>
      </c>
      <c r="I203" s="22" t="s">
        <v>25</v>
      </c>
      <c r="J203" s="29" t="s">
        <v>38</v>
      </c>
      <c r="K203" s="29" t="s">
        <v>588</v>
      </c>
      <c r="L203" s="29" t="s">
        <v>28</v>
      </c>
      <c r="P203" s="30">
        <v>45609</v>
      </c>
      <c r="Q203" s="30">
        <v>45609</v>
      </c>
      <c r="R203" s="22" t="s">
        <v>29</v>
      </c>
      <c r="S203" s="29" t="s">
        <v>30</v>
      </c>
      <c r="T203" s="22" t="s">
        <v>31</v>
      </c>
      <c r="U203" s="25" t="s">
        <v>32</v>
      </c>
      <c r="V203" s="22" t="s">
        <v>33</v>
      </c>
      <c r="W203" s="32" t="s">
        <v>34</v>
      </c>
    </row>
    <row r="204" spans="1:23">
      <c r="A204" s="22" t="s">
        <v>589</v>
      </c>
      <c r="B204" s="25">
        <f>VLOOKUP(A204,[1]ProjectsResults!$D:$E,2,FALSE)</f>
        <v>10118</v>
      </c>
      <c r="C204" s="22">
        <f>VLOOKUP(A204,[2]Sheet2!$D:$E,2,FALSE)</f>
        <v>9351</v>
      </c>
      <c r="D204" s="22">
        <v>9351</v>
      </c>
      <c r="E204" s="22">
        <f>VLOOKUP(A204,[3]Sheet2!$A:$F,6,FALSE)</f>
        <v>39936.25</v>
      </c>
      <c r="G204" s="22" t="s">
        <v>590</v>
      </c>
      <c r="H204" s="22" t="s">
        <v>159</v>
      </c>
      <c r="I204" s="22" t="s">
        <v>25</v>
      </c>
      <c r="J204" s="29" t="s">
        <v>115</v>
      </c>
      <c r="K204" s="29" t="s">
        <v>591</v>
      </c>
      <c r="L204" s="29" t="s">
        <v>28</v>
      </c>
      <c r="P204" s="30">
        <v>45613</v>
      </c>
      <c r="Q204" s="30">
        <v>45613</v>
      </c>
      <c r="R204" s="22" t="s">
        <v>29</v>
      </c>
      <c r="S204" s="29" t="s">
        <v>30</v>
      </c>
      <c r="T204" s="22" t="s">
        <v>49</v>
      </c>
      <c r="U204" s="25" t="s">
        <v>32</v>
      </c>
      <c r="V204" s="22" t="s">
        <v>117</v>
      </c>
      <c r="W204" s="32" t="s">
        <v>34</v>
      </c>
    </row>
    <row r="205" spans="1:23">
      <c r="A205" s="22" t="s">
        <v>592</v>
      </c>
      <c r="B205" s="25">
        <f>VLOOKUP(A205,[1]ProjectsResults!$D:$E,2,FALSE)</f>
        <v>10119</v>
      </c>
      <c r="C205" s="22">
        <f>VLOOKUP(A205,[2]Sheet2!$D:$E,2,FALSE)</f>
        <v>8909</v>
      </c>
      <c r="D205" s="22">
        <v>8909</v>
      </c>
      <c r="E205" s="22">
        <f>VLOOKUP(A205,[3]Sheet2!$A:$F,6,FALSE)</f>
        <v>44617630.61</v>
      </c>
      <c r="G205" s="22" t="s">
        <v>593</v>
      </c>
      <c r="H205" s="22" t="s">
        <v>262</v>
      </c>
      <c r="I205" s="22" t="s">
        <v>25</v>
      </c>
      <c r="J205" s="29" t="s">
        <v>42</v>
      </c>
      <c r="K205" s="29" t="s">
        <v>285</v>
      </c>
      <c r="L205" s="29" t="s">
        <v>28</v>
      </c>
      <c r="P205" s="30">
        <v>45623</v>
      </c>
      <c r="Q205" s="30">
        <v>45623</v>
      </c>
      <c r="R205" s="22" t="s">
        <v>29</v>
      </c>
      <c r="S205" s="29" t="s">
        <v>30</v>
      </c>
      <c r="T205" s="22" t="s">
        <v>31</v>
      </c>
      <c r="U205" s="25" t="s">
        <v>32</v>
      </c>
      <c r="V205" s="22" t="s">
        <v>33</v>
      </c>
      <c r="W205" s="32" t="s">
        <v>34</v>
      </c>
    </row>
    <row r="206" spans="1:23">
      <c r="A206" s="22" t="s">
        <v>594</v>
      </c>
      <c r="B206" s="25">
        <f>VLOOKUP(A206,[1]ProjectsResults!$D:$E,2,FALSE)</f>
        <v>10120</v>
      </c>
      <c r="C206" s="22">
        <f>VLOOKUP(A206,[2]Sheet2!$D:$E,2,FALSE)</f>
        <v>8910</v>
      </c>
      <c r="D206" s="22">
        <v>8910</v>
      </c>
      <c r="E206" s="22">
        <f>VLOOKUP(A206,[3]Sheet2!$A:$F,6,FALSE)</f>
        <v>122823</v>
      </c>
      <c r="G206" s="22" t="s">
        <v>595</v>
      </c>
      <c r="H206" s="22" t="s">
        <v>596</v>
      </c>
      <c r="I206" s="22" t="s">
        <v>25</v>
      </c>
      <c r="J206" s="29" t="s">
        <v>352</v>
      </c>
      <c r="K206" s="29" t="s">
        <v>156</v>
      </c>
      <c r="L206" s="29" t="s">
        <v>28</v>
      </c>
      <c r="P206" s="30">
        <v>45612</v>
      </c>
      <c r="Q206" s="30">
        <v>45612</v>
      </c>
      <c r="R206" s="22" t="s">
        <v>29</v>
      </c>
      <c r="S206" s="29" t="s">
        <v>30</v>
      </c>
      <c r="T206" s="22" t="s">
        <v>74</v>
      </c>
      <c r="U206" s="25" t="s">
        <v>32</v>
      </c>
      <c r="V206" s="22" t="s">
        <v>75</v>
      </c>
      <c r="W206" s="32" t="s">
        <v>34</v>
      </c>
    </row>
    <row r="207" spans="1:23">
      <c r="A207" s="22" t="s">
        <v>597</v>
      </c>
      <c r="B207" s="25">
        <f>VLOOKUP(A207,[1]ProjectsResults!$D:$E,2,FALSE)</f>
        <v>10121</v>
      </c>
      <c r="C207" s="22">
        <f>VLOOKUP(A207,[2]Sheet2!$D:$E,2,FALSE)</f>
        <v>8911</v>
      </c>
      <c r="D207" s="22">
        <v>8911</v>
      </c>
      <c r="E207" s="22">
        <f>VLOOKUP(A207,[3]Sheet2!$A:$F,6,FALSE)</f>
        <v>867267</v>
      </c>
      <c r="G207" s="22" t="s">
        <v>598</v>
      </c>
      <c r="H207" s="22" t="s">
        <v>556</v>
      </c>
      <c r="I207" s="22" t="s">
        <v>25</v>
      </c>
      <c r="J207" s="29" t="s">
        <v>47</v>
      </c>
      <c r="K207" s="29" t="s">
        <v>557</v>
      </c>
      <c r="L207" s="29" t="s">
        <v>28</v>
      </c>
      <c r="P207" s="30">
        <v>45609</v>
      </c>
      <c r="Q207" s="30">
        <v>45609</v>
      </c>
      <c r="R207" s="22" t="s">
        <v>29</v>
      </c>
      <c r="S207" s="29" t="s">
        <v>30</v>
      </c>
      <c r="T207" s="22" t="s">
        <v>49</v>
      </c>
      <c r="U207" s="25" t="s">
        <v>32</v>
      </c>
      <c r="V207" s="22" t="s">
        <v>50</v>
      </c>
      <c r="W207" s="32" t="s">
        <v>34</v>
      </c>
    </row>
    <row r="208" spans="1:23">
      <c r="A208" s="22" t="s">
        <v>599</v>
      </c>
      <c r="B208" s="25">
        <f>VLOOKUP(A208,[1]ProjectsResults!$D:$E,2,FALSE)</f>
        <v>10122</v>
      </c>
      <c r="C208" s="22">
        <f>VLOOKUP(A208,[2]Sheet2!$D:$E,2,FALSE)</f>
        <v>8912</v>
      </c>
      <c r="D208" s="22">
        <v>8912</v>
      </c>
      <c r="E208" s="22">
        <f>VLOOKUP(A208,[3]Sheet2!$A:$F,6,FALSE)</f>
        <v>1593752.8</v>
      </c>
      <c r="G208" s="22" t="s">
        <v>600</v>
      </c>
      <c r="H208" s="22" t="s">
        <v>601</v>
      </c>
      <c r="I208" s="22" t="s">
        <v>25</v>
      </c>
      <c r="J208" s="29" t="s">
        <v>38</v>
      </c>
      <c r="K208" s="29" t="s">
        <v>588</v>
      </c>
      <c r="L208" s="29" t="s">
        <v>28</v>
      </c>
      <c r="P208" s="30">
        <v>45638</v>
      </c>
      <c r="Q208" s="30">
        <v>45638</v>
      </c>
      <c r="R208" s="22" t="s">
        <v>29</v>
      </c>
      <c r="S208" s="29" t="s">
        <v>30</v>
      </c>
      <c r="T208" s="22" t="s">
        <v>31</v>
      </c>
      <c r="U208" s="25" t="s">
        <v>32</v>
      </c>
      <c r="V208" s="22" t="s">
        <v>33</v>
      </c>
      <c r="W208" s="32" t="s">
        <v>34</v>
      </c>
    </row>
    <row r="209" spans="1:23">
      <c r="A209" s="22" t="s">
        <v>602</v>
      </c>
      <c r="B209" s="25">
        <f>VLOOKUP(A209,[1]ProjectsResults!$D:$E,2,FALSE)</f>
        <v>10123</v>
      </c>
      <c r="C209" s="22">
        <f>VLOOKUP(A209,[2]Sheet2!$D:$E,2,FALSE)</f>
        <v>9571</v>
      </c>
      <c r="D209" s="22">
        <v>9571</v>
      </c>
      <c r="E209" s="22">
        <f>VLOOKUP(A209,[3]Sheet2!$A:$F,6,FALSE)</f>
        <v>12761382</v>
      </c>
      <c r="G209" s="22" t="s">
        <v>603</v>
      </c>
      <c r="H209" s="22" t="s">
        <v>604</v>
      </c>
      <c r="I209" s="22" t="s">
        <v>25</v>
      </c>
      <c r="J209" s="29" t="s">
        <v>155</v>
      </c>
      <c r="K209" s="29" t="s">
        <v>605</v>
      </c>
      <c r="L209" s="29" t="s">
        <v>28</v>
      </c>
      <c r="P209" s="30">
        <v>45675</v>
      </c>
      <c r="Q209" s="30">
        <v>45678</v>
      </c>
      <c r="R209" s="22" t="s">
        <v>29</v>
      </c>
      <c r="S209" s="29" t="s">
        <v>30</v>
      </c>
      <c r="T209" s="22" t="s">
        <v>74</v>
      </c>
      <c r="U209" s="25" t="s">
        <v>32</v>
      </c>
      <c r="V209" s="22" t="s">
        <v>75</v>
      </c>
      <c r="W209" s="32" t="s">
        <v>34</v>
      </c>
    </row>
    <row r="210" spans="1:23">
      <c r="A210" s="22" t="s">
        <v>606</v>
      </c>
      <c r="B210" s="25">
        <f>VLOOKUP(A210,[1]ProjectsResults!$D:$E,2,FALSE)</f>
        <v>10124</v>
      </c>
      <c r="C210" s="22">
        <f>VLOOKUP(A210,[2]Sheet2!$D:$E,2,FALSE)</f>
        <v>8913</v>
      </c>
      <c r="D210" s="22">
        <v>8913</v>
      </c>
      <c r="E210" s="22">
        <f>VLOOKUP(A210,[3]Sheet2!$A:$F,6,FALSE)</f>
        <v>50990000</v>
      </c>
      <c r="G210" s="22" t="s">
        <v>607</v>
      </c>
      <c r="H210" s="22" t="s">
        <v>608</v>
      </c>
      <c r="I210" s="22" t="s">
        <v>25</v>
      </c>
      <c r="J210" s="29" t="s">
        <v>155</v>
      </c>
      <c r="K210" s="29" t="s">
        <v>352</v>
      </c>
      <c r="L210" s="29" t="s">
        <v>28</v>
      </c>
      <c r="P210" s="30">
        <v>45674</v>
      </c>
      <c r="Q210" s="30">
        <v>45679</v>
      </c>
      <c r="R210" s="22" t="s">
        <v>29</v>
      </c>
      <c r="S210" s="29" t="s">
        <v>30</v>
      </c>
      <c r="T210" s="22" t="s">
        <v>74</v>
      </c>
      <c r="U210" s="25" t="s">
        <v>32</v>
      </c>
      <c r="V210" s="22" t="s">
        <v>75</v>
      </c>
      <c r="W210" s="32" t="s">
        <v>34</v>
      </c>
    </row>
    <row r="211" spans="1:23">
      <c r="A211" s="22" t="s">
        <v>609</v>
      </c>
      <c r="B211" s="25">
        <f>VLOOKUP(A211,[1]ProjectsResults!$D:$E,2,FALSE)</f>
        <v>10125</v>
      </c>
      <c r="C211" s="22">
        <f>VLOOKUP(A211,[2]Sheet2!$D:$E,2,FALSE)</f>
        <v>9693</v>
      </c>
      <c r="D211" s="22">
        <v>9693</v>
      </c>
      <c r="E211" s="22">
        <f>VLOOKUP(A211,[3]Sheet2!$A:$F,6,FALSE)</f>
        <v>1808620</v>
      </c>
      <c r="G211" s="22" t="s">
        <v>610</v>
      </c>
      <c r="H211" s="22" t="s">
        <v>611</v>
      </c>
      <c r="I211" s="22" t="s">
        <v>25</v>
      </c>
      <c r="J211" s="29" t="s">
        <v>47</v>
      </c>
      <c r="K211" s="29" t="s">
        <v>557</v>
      </c>
      <c r="L211" s="29" t="s">
        <v>28</v>
      </c>
      <c r="P211" s="30">
        <v>45618</v>
      </c>
      <c r="Q211" s="30">
        <v>45618</v>
      </c>
      <c r="R211" s="22" t="s">
        <v>29</v>
      </c>
      <c r="S211" s="29" t="s">
        <v>30</v>
      </c>
      <c r="T211" s="22" t="s">
        <v>49</v>
      </c>
      <c r="U211" s="25" t="s">
        <v>32</v>
      </c>
      <c r="V211" s="22" t="s">
        <v>50</v>
      </c>
      <c r="W211" s="32" t="s">
        <v>34</v>
      </c>
    </row>
    <row r="212" spans="1:23">
      <c r="A212" s="22" t="s">
        <v>612</v>
      </c>
      <c r="B212" s="25">
        <f>VLOOKUP(A212,[1]ProjectsResults!$D:$E,2,FALSE)</f>
        <v>10126</v>
      </c>
      <c r="C212" s="22">
        <f>VLOOKUP(A212,[2]Sheet2!$D:$E,2,FALSE)</f>
        <v>8914</v>
      </c>
      <c r="D212" s="22">
        <v>8914</v>
      </c>
      <c r="E212" s="22">
        <f>VLOOKUP(A212,[3]Sheet2!$A:$F,6,FALSE)</f>
        <v>717800</v>
      </c>
      <c r="G212" s="22" t="s">
        <v>613</v>
      </c>
      <c r="H212" s="22" t="s">
        <v>249</v>
      </c>
      <c r="I212" s="22" t="s">
        <v>25</v>
      </c>
      <c r="J212" s="29" t="s">
        <v>250</v>
      </c>
      <c r="K212" s="29" t="s">
        <v>310</v>
      </c>
      <c r="L212" s="29" t="s">
        <v>28</v>
      </c>
      <c r="P212" s="30">
        <v>45611</v>
      </c>
      <c r="Q212" s="30">
        <v>45611</v>
      </c>
      <c r="R212" s="22" t="s">
        <v>29</v>
      </c>
      <c r="S212" s="29" t="s">
        <v>30</v>
      </c>
      <c r="T212" s="22" t="s">
        <v>31</v>
      </c>
      <c r="U212" s="25" t="s">
        <v>32</v>
      </c>
      <c r="V212" s="22" t="s">
        <v>33</v>
      </c>
      <c r="W212" s="32" t="s">
        <v>34</v>
      </c>
    </row>
    <row r="213" spans="1:23">
      <c r="A213" s="22" t="s">
        <v>614</v>
      </c>
      <c r="B213" s="25">
        <f>VLOOKUP(A213,[1]ProjectsResults!$D:$E,2,FALSE)</f>
        <v>10127</v>
      </c>
      <c r="C213" s="22">
        <f>VLOOKUP(A213,[2]Sheet2!$D:$E,2,FALSE)</f>
        <v>8915</v>
      </c>
      <c r="D213" s="22">
        <v>8915</v>
      </c>
      <c r="E213" s="22">
        <f>VLOOKUP(A213,[3]Sheet2!$A:$F,6,FALSE)</f>
        <v>482132</v>
      </c>
      <c r="G213" s="22" t="s">
        <v>615</v>
      </c>
      <c r="H213" s="22" t="s">
        <v>241</v>
      </c>
      <c r="I213" s="22" t="s">
        <v>25</v>
      </c>
      <c r="J213" s="29" t="s">
        <v>47</v>
      </c>
      <c r="K213" s="29" t="s">
        <v>196</v>
      </c>
      <c r="L213" s="29" t="s">
        <v>28</v>
      </c>
      <c r="P213" s="30">
        <v>45625</v>
      </c>
      <c r="Q213" s="30">
        <v>45625</v>
      </c>
      <c r="R213" s="22" t="s">
        <v>29</v>
      </c>
      <c r="S213" s="29" t="s">
        <v>30</v>
      </c>
      <c r="T213" s="22" t="s">
        <v>49</v>
      </c>
      <c r="U213" s="25" t="s">
        <v>32</v>
      </c>
      <c r="V213" s="22" t="s">
        <v>50</v>
      </c>
      <c r="W213" s="32" t="s">
        <v>34</v>
      </c>
    </row>
    <row r="214" spans="1:23">
      <c r="A214" s="22" t="s">
        <v>616</v>
      </c>
      <c r="B214" s="25">
        <f>VLOOKUP(A214,[1]ProjectsResults!$D:$E,2,FALSE)</f>
        <v>10128</v>
      </c>
      <c r="C214" s="22">
        <f>VLOOKUP(A214,[2]Sheet2!$D:$E,2,FALSE)</f>
        <v>8916</v>
      </c>
      <c r="D214" s="22">
        <v>8916</v>
      </c>
      <c r="E214" s="22">
        <f>VLOOKUP(A214,[3]Sheet2!$A:$F,6,FALSE)</f>
        <v>80300</v>
      </c>
      <c r="G214" s="22" t="s">
        <v>617</v>
      </c>
      <c r="H214" s="22" t="s">
        <v>313</v>
      </c>
      <c r="I214" s="22" t="s">
        <v>25</v>
      </c>
      <c r="J214" s="29" t="s">
        <v>168</v>
      </c>
      <c r="K214" s="29" t="s">
        <v>446</v>
      </c>
      <c r="L214" s="29" t="s">
        <v>28</v>
      </c>
      <c r="P214" s="30">
        <v>45610</v>
      </c>
      <c r="Q214" s="30">
        <v>45610</v>
      </c>
      <c r="R214" s="22" t="s">
        <v>29</v>
      </c>
      <c r="S214" s="29" t="s">
        <v>30</v>
      </c>
      <c r="T214" s="22" t="s">
        <v>31</v>
      </c>
      <c r="U214" s="25" t="s">
        <v>32</v>
      </c>
      <c r="V214" s="22" t="s">
        <v>33</v>
      </c>
      <c r="W214" s="32" t="s">
        <v>34</v>
      </c>
    </row>
    <row r="215" spans="1:23">
      <c r="A215" s="22" t="s">
        <v>618</v>
      </c>
      <c r="B215" s="25">
        <f>VLOOKUP(A215,[1]ProjectsResults!$D:$E,2,FALSE)</f>
        <v>10129</v>
      </c>
      <c r="C215" s="22">
        <f>VLOOKUP(A215,[2]Sheet2!$D:$E,2,FALSE)</f>
        <v>8917</v>
      </c>
      <c r="D215" s="22">
        <v>8917</v>
      </c>
      <c r="E215" s="22">
        <f>VLOOKUP(A215,[3]Sheet2!$A:$F,6,FALSE)</f>
        <v>47500</v>
      </c>
      <c r="G215" s="22" t="s">
        <v>619</v>
      </c>
      <c r="H215" s="22" t="s">
        <v>620</v>
      </c>
      <c r="I215" s="22" t="s">
        <v>25</v>
      </c>
      <c r="J215" s="29" t="s">
        <v>115</v>
      </c>
      <c r="K215" s="29" t="s">
        <v>621</v>
      </c>
      <c r="L215" s="29" t="s">
        <v>28</v>
      </c>
      <c r="P215" s="30">
        <v>45610</v>
      </c>
      <c r="Q215" s="30">
        <v>45610</v>
      </c>
      <c r="R215" s="22" t="s">
        <v>29</v>
      </c>
      <c r="S215" s="29" t="s">
        <v>30</v>
      </c>
      <c r="T215" s="22" t="s">
        <v>49</v>
      </c>
      <c r="U215" s="25" t="s">
        <v>32</v>
      </c>
      <c r="V215" s="22" t="s">
        <v>117</v>
      </c>
      <c r="W215" s="32" t="s">
        <v>34</v>
      </c>
    </row>
    <row r="216" spans="1:23">
      <c r="A216" s="22" t="s">
        <v>622</v>
      </c>
      <c r="B216" s="25">
        <f>VLOOKUP(A216,[1]ProjectsResults!$D:$E,2,FALSE)</f>
        <v>10130</v>
      </c>
      <c r="C216" s="22">
        <f>VLOOKUP(A216,[2]Sheet2!$D:$E,2,FALSE)</f>
        <v>8918</v>
      </c>
      <c r="D216" s="22">
        <v>8918</v>
      </c>
      <c r="E216" s="22">
        <f>VLOOKUP(A216,[3]Sheet2!$A:$F,6,FALSE)</f>
        <v>96250</v>
      </c>
      <c r="G216" s="22" t="s">
        <v>623</v>
      </c>
      <c r="H216" s="22" t="s">
        <v>453</v>
      </c>
      <c r="I216" s="22" t="s">
        <v>25</v>
      </c>
      <c r="J216" s="29" t="s">
        <v>42</v>
      </c>
      <c r="K216" s="29" t="s">
        <v>373</v>
      </c>
      <c r="L216" s="29" t="s">
        <v>28</v>
      </c>
      <c r="P216" s="30">
        <v>45610</v>
      </c>
      <c r="Q216" s="30">
        <v>45610</v>
      </c>
      <c r="R216" s="22" t="s">
        <v>29</v>
      </c>
      <c r="S216" s="29" t="s">
        <v>30</v>
      </c>
      <c r="T216" s="22" t="s">
        <v>31</v>
      </c>
      <c r="U216" s="25" t="s">
        <v>32</v>
      </c>
      <c r="V216" s="22" t="s">
        <v>33</v>
      </c>
      <c r="W216" s="32" t="s">
        <v>34</v>
      </c>
    </row>
    <row r="217" spans="1:23">
      <c r="A217" s="22" t="s">
        <v>624</v>
      </c>
      <c r="B217" s="25">
        <f>VLOOKUP(A217,[1]ProjectsResults!$D:$E,2,FALSE)</f>
        <v>10131</v>
      </c>
      <c r="C217" s="22">
        <f>VLOOKUP(A217,[2]Sheet2!$D:$E,2,FALSE)</f>
        <v>8919</v>
      </c>
      <c r="D217" s="22">
        <v>8919</v>
      </c>
      <c r="E217" s="22">
        <f>VLOOKUP(A217,[3]Sheet2!$A:$F,6,FALSE)</f>
        <v>675073.1</v>
      </c>
      <c r="G217" s="22" t="s">
        <v>625</v>
      </c>
      <c r="H217" s="22" t="s">
        <v>546</v>
      </c>
      <c r="I217" s="22" t="s">
        <v>25</v>
      </c>
      <c r="J217" s="29" t="s">
        <v>168</v>
      </c>
      <c r="K217" s="29" t="s">
        <v>446</v>
      </c>
      <c r="L217" s="29" t="s">
        <v>28</v>
      </c>
      <c r="P217" s="30">
        <v>45621</v>
      </c>
      <c r="Q217" s="30">
        <v>45621</v>
      </c>
      <c r="R217" s="22" t="s">
        <v>29</v>
      </c>
      <c r="S217" s="29" t="s">
        <v>30</v>
      </c>
      <c r="T217" s="22" t="s">
        <v>31</v>
      </c>
      <c r="U217" s="25" t="s">
        <v>32</v>
      </c>
      <c r="V217" s="22" t="s">
        <v>33</v>
      </c>
      <c r="W217" s="32" t="s">
        <v>34</v>
      </c>
    </row>
    <row r="218" spans="1:23">
      <c r="A218" s="22" t="s">
        <v>626</v>
      </c>
      <c r="B218" s="25">
        <f>VLOOKUP(A218,[1]ProjectsResults!$D:$E,2,FALSE)</f>
        <v>10132</v>
      </c>
      <c r="C218" s="22">
        <f>VLOOKUP(A218,[2]Sheet2!$D:$E,2,FALSE)</f>
        <v>8920</v>
      </c>
      <c r="D218" s="22">
        <v>8920</v>
      </c>
      <c r="E218" s="22">
        <f>VLOOKUP(A218,[3]Sheet2!$A:$F,6,FALSE)</f>
        <v>396671</v>
      </c>
      <c r="G218" s="22" t="s">
        <v>563</v>
      </c>
      <c r="H218" s="22" t="s">
        <v>114</v>
      </c>
      <c r="I218" s="22" t="s">
        <v>25</v>
      </c>
      <c r="J218" s="29" t="s">
        <v>115</v>
      </c>
      <c r="K218" s="29" t="s">
        <v>164</v>
      </c>
      <c r="L218" s="29" t="s">
        <v>28</v>
      </c>
      <c r="P218" s="30">
        <v>45614</v>
      </c>
      <c r="Q218" s="30">
        <v>45616</v>
      </c>
      <c r="R218" s="22" t="s">
        <v>29</v>
      </c>
      <c r="S218" s="29" t="s">
        <v>30</v>
      </c>
      <c r="T218" s="22" t="s">
        <v>49</v>
      </c>
      <c r="U218" s="25" t="s">
        <v>32</v>
      </c>
      <c r="V218" s="22" t="s">
        <v>117</v>
      </c>
      <c r="W218" s="32" t="s">
        <v>34</v>
      </c>
    </row>
    <row r="219" spans="1:23">
      <c r="A219" s="22" t="s">
        <v>627</v>
      </c>
      <c r="B219" s="25">
        <f>VLOOKUP(A219,[1]ProjectsResults!$D:$E,2,FALSE)</f>
        <v>10133</v>
      </c>
      <c r="C219" s="22">
        <f>VLOOKUP(A219,[2]Sheet2!$D:$E,2,FALSE)</f>
        <v>9694</v>
      </c>
      <c r="D219" s="22">
        <v>9694</v>
      </c>
      <c r="E219" s="22">
        <f>VLOOKUP(A219,[3]Sheet2!$A:$F,6,FALSE)</f>
        <v>1259716.5</v>
      </c>
      <c r="G219" s="22" t="s">
        <v>628</v>
      </c>
      <c r="H219" s="22" t="s">
        <v>528</v>
      </c>
      <c r="I219" s="22" t="s">
        <v>25</v>
      </c>
      <c r="J219" s="29" t="s">
        <v>38</v>
      </c>
      <c r="K219" s="29" t="s">
        <v>38</v>
      </c>
      <c r="L219" s="29" t="s">
        <v>28</v>
      </c>
      <c r="P219" s="30">
        <v>45625</v>
      </c>
      <c r="Q219" s="30">
        <v>45625</v>
      </c>
      <c r="R219" s="22" t="s">
        <v>29</v>
      </c>
      <c r="S219" s="29" t="s">
        <v>30</v>
      </c>
      <c r="T219" s="22" t="s">
        <v>31</v>
      </c>
      <c r="U219" s="25" t="s">
        <v>32</v>
      </c>
      <c r="V219" s="22" t="s">
        <v>33</v>
      </c>
      <c r="W219" s="32" t="s">
        <v>34</v>
      </c>
    </row>
    <row r="220" spans="1:23">
      <c r="A220" s="22" t="s">
        <v>629</v>
      </c>
      <c r="B220" s="25">
        <f>VLOOKUP(A220,[1]ProjectsResults!$D:$E,2,FALSE)</f>
        <v>10134</v>
      </c>
      <c r="C220" s="22">
        <f>VLOOKUP(A220,[2]Sheet2!$D:$E,2,FALSE)</f>
        <v>8921</v>
      </c>
      <c r="D220" s="22">
        <v>8921</v>
      </c>
      <c r="E220" s="22">
        <f>VLOOKUP(A220,[3]Sheet2!$A:$F,6,FALSE)</f>
        <v>2671544.5</v>
      </c>
      <c r="G220" s="22" t="s">
        <v>630</v>
      </c>
      <c r="H220" s="22" t="s">
        <v>313</v>
      </c>
      <c r="I220" s="22" t="s">
        <v>25</v>
      </c>
      <c r="J220" s="29" t="s">
        <v>168</v>
      </c>
      <c r="K220" s="29" t="s">
        <v>314</v>
      </c>
      <c r="L220" s="29" t="s">
        <v>28</v>
      </c>
      <c r="P220" s="30">
        <v>45630</v>
      </c>
      <c r="Q220" s="30">
        <v>45630</v>
      </c>
      <c r="R220" s="22" t="s">
        <v>29</v>
      </c>
      <c r="S220" s="29" t="s">
        <v>30</v>
      </c>
      <c r="T220" s="22" t="s">
        <v>31</v>
      </c>
      <c r="U220" s="25" t="s">
        <v>32</v>
      </c>
      <c r="V220" s="22" t="s">
        <v>33</v>
      </c>
      <c r="W220" s="32" t="s">
        <v>34</v>
      </c>
    </row>
    <row r="221" spans="1:23">
      <c r="A221" s="22" t="s">
        <v>631</v>
      </c>
      <c r="B221" s="25">
        <f>VLOOKUP(A221,[1]ProjectsResults!$D:$E,2,FALSE)</f>
        <v>10135</v>
      </c>
      <c r="C221" s="22">
        <f>VLOOKUP(A221,[2]Sheet2!$D:$E,2,FALSE)</f>
        <v>8922</v>
      </c>
      <c r="D221" s="22">
        <v>8922</v>
      </c>
      <c r="E221" s="22">
        <f>VLOOKUP(A221,[3]Sheet2!$A:$F,6,FALSE)</f>
        <v>5047660</v>
      </c>
      <c r="G221" s="22" t="s">
        <v>632</v>
      </c>
      <c r="H221" s="22" t="s">
        <v>633</v>
      </c>
      <c r="I221" s="22" t="s">
        <v>25</v>
      </c>
      <c r="J221" s="29" t="s">
        <v>168</v>
      </c>
      <c r="K221" s="29" t="s">
        <v>328</v>
      </c>
      <c r="L221" s="29" t="s">
        <v>28</v>
      </c>
      <c r="P221" s="30">
        <v>45615</v>
      </c>
      <c r="Q221" s="30">
        <v>45615</v>
      </c>
      <c r="R221" s="22" t="s">
        <v>29</v>
      </c>
      <c r="S221" s="29" t="s">
        <v>30</v>
      </c>
      <c r="T221" s="22" t="s">
        <v>31</v>
      </c>
      <c r="U221" s="25" t="s">
        <v>32</v>
      </c>
      <c r="V221" s="22" t="s">
        <v>33</v>
      </c>
      <c r="W221" s="32" t="s">
        <v>34</v>
      </c>
    </row>
    <row r="222" spans="1:23">
      <c r="A222" s="22" t="s">
        <v>634</v>
      </c>
      <c r="B222" s="25">
        <f>VLOOKUP(A222,[1]ProjectsResults!$D:$E,2,FALSE)</f>
        <v>10136</v>
      </c>
      <c r="C222" s="22">
        <f>VLOOKUP(A222,[2]Sheet2!$D:$E,2,FALSE)</f>
        <v>8923</v>
      </c>
      <c r="D222" s="22">
        <v>8923</v>
      </c>
      <c r="E222" s="22">
        <f>VLOOKUP(A222,[3]Sheet2!$A:$F,6,FALSE)</f>
        <v>330087.35</v>
      </c>
      <c r="G222" s="22" t="s">
        <v>635</v>
      </c>
      <c r="H222" s="22" t="s">
        <v>86</v>
      </c>
      <c r="I222" s="22" t="s">
        <v>25</v>
      </c>
      <c r="J222" s="29" t="s">
        <v>42</v>
      </c>
      <c r="K222" s="29" t="s">
        <v>238</v>
      </c>
      <c r="L222" s="29" t="s">
        <v>28</v>
      </c>
      <c r="P222" s="30">
        <v>45617</v>
      </c>
      <c r="Q222" s="30">
        <v>45617</v>
      </c>
      <c r="R222" s="22" t="s">
        <v>29</v>
      </c>
      <c r="S222" s="29" t="s">
        <v>30</v>
      </c>
      <c r="T222" s="22" t="s">
        <v>31</v>
      </c>
      <c r="U222" s="25" t="s">
        <v>32</v>
      </c>
      <c r="V222" s="22" t="s">
        <v>33</v>
      </c>
      <c r="W222" s="32" t="s">
        <v>34</v>
      </c>
    </row>
    <row r="223" spans="1:23">
      <c r="A223" s="22" t="s">
        <v>636</v>
      </c>
      <c r="B223" s="25">
        <f>VLOOKUP(A223,[1]ProjectsResults!$D:$E,2,FALSE)</f>
        <v>10137</v>
      </c>
      <c r="C223" s="22">
        <f>VLOOKUP(A223,[2]Sheet2!$D:$E,2,FALSE)</f>
        <v>9695</v>
      </c>
      <c r="D223" s="22">
        <v>9695</v>
      </c>
      <c r="E223" s="22">
        <f>VLOOKUP(A223,[3]Sheet2!$A:$F,6,FALSE)</f>
        <v>399910</v>
      </c>
      <c r="G223" s="22" t="s">
        <v>637</v>
      </c>
      <c r="H223" s="22" t="s">
        <v>638</v>
      </c>
      <c r="I223" s="22" t="s">
        <v>25</v>
      </c>
      <c r="J223" s="29" t="s">
        <v>47</v>
      </c>
      <c r="K223" s="29" t="s">
        <v>639</v>
      </c>
      <c r="L223" s="29" t="s">
        <v>28</v>
      </c>
      <c r="P223" s="30">
        <v>45616</v>
      </c>
      <c r="Q223" s="30">
        <v>45616</v>
      </c>
      <c r="R223" s="22" t="s">
        <v>29</v>
      </c>
      <c r="S223" s="29" t="s">
        <v>30</v>
      </c>
      <c r="T223" s="22" t="s">
        <v>49</v>
      </c>
      <c r="U223" s="25" t="s">
        <v>32</v>
      </c>
      <c r="V223" s="22" t="s">
        <v>50</v>
      </c>
      <c r="W223" s="32" t="s">
        <v>34</v>
      </c>
    </row>
    <row r="224" spans="1:23">
      <c r="A224" s="22" t="s">
        <v>640</v>
      </c>
      <c r="B224" s="25">
        <f>VLOOKUP(A224,[1]ProjectsResults!$D:$E,2,FALSE)</f>
        <v>10138</v>
      </c>
      <c r="C224" s="22">
        <f>VLOOKUP(A224,[2]Sheet2!$D:$E,2,FALSE)</f>
        <v>8924</v>
      </c>
      <c r="D224" s="22">
        <v>8924</v>
      </c>
      <c r="E224" s="22">
        <f>VLOOKUP(A224,[3]Sheet2!$A:$F,6,FALSE)</f>
        <v>111100</v>
      </c>
      <c r="G224" s="22" t="s">
        <v>641</v>
      </c>
      <c r="H224" s="22" t="s">
        <v>114</v>
      </c>
      <c r="I224" s="22" t="s">
        <v>25</v>
      </c>
      <c r="J224" s="29" t="s">
        <v>115</v>
      </c>
      <c r="K224" s="29" t="s">
        <v>164</v>
      </c>
      <c r="L224" s="29" t="s">
        <v>28</v>
      </c>
      <c r="P224" s="30">
        <v>45620</v>
      </c>
      <c r="Q224" s="30">
        <v>45620</v>
      </c>
      <c r="R224" s="22" t="s">
        <v>29</v>
      </c>
      <c r="S224" s="29" t="s">
        <v>30</v>
      </c>
      <c r="T224" s="22" t="s">
        <v>49</v>
      </c>
      <c r="U224" s="25" t="s">
        <v>32</v>
      </c>
      <c r="V224" s="22" t="s">
        <v>117</v>
      </c>
      <c r="W224" s="32" t="s">
        <v>34</v>
      </c>
    </row>
    <row r="225" spans="1:23">
      <c r="A225" s="22" t="s">
        <v>642</v>
      </c>
      <c r="B225" s="25">
        <f>VLOOKUP(A225,[1]ProjectsResults!$D:$E,2,FALSE)</f>
        <v>10139</v>
      </c>
      <c r="C225" s="22">
        <f>VLOOKUP(A225,[2]Sheet2!$D:$E,2,FALSE)</f>
        <v>8925</v>
      </c>
      <c r="D225" s="22">
        <v>8925</v>
      </c>
      <c r="E225" s="22">
        <f>VLOOKUP(A225,[3]Sheet2!$A:$F,6,FALSE)</f>
        <v>1105068</v>
      </c>
      <c r="G225" s="22" t="s">
        <v>643</v>
      </c>
      <c r="H225" s="22" t="s">
        <v>249</v>
      </c>
      <c r="I225" s="22" t="s">
        <v>25</v>
      </c>
      <c r="J225" s="29" t="s">
        <v>250</v>
      </c>
      <c r="K225" s="29" t="s">
        <v>183</v>
      </c>
      <c r="L225" s="29" t="s">
        <v>28</v>
      </c>
      <c r="P225" s="30">
        <v>45622</v>
      </c>
      <c r="Q225" s="30">
        <v>45622</v>
      </c>
      <c r="R225" s="22" t="s">
        <v>29</v>
      </c>
      <c r="S225" s="29" t="s">
        <v>30</v>
      </c>
      <c r="T225" s="22" t="s">
        <v>31</v>
      </c>
      <c r="U225" s="25" t="s">
        <v>32</v>
      </c>
      <c r="V225" s="22" t="s">
        <v>33</v>
      </c>
      <c r="W225" s="32" t="s">
        <v>34</v>
      </c>
    </row>
    <row r="226" spans="1:23">
      <c r="A226" s="22" t="s">
        <v>644</v>
      </c>
      <c r="B226" s="25">
        <f>VLOOKUP(A226,[1]ProjectsResults!$D:$E,2,FALSE)</f>
        <v>10140</v>
      </c>
      <c r="C226" s="22">
        <f>VLOOKUP(A226,[2]Sheet2!$D:$E,2,FALSE)</f>
        <v>9572</v>
      </c>
      <c r="D226" s="22">
        <v>9572</v>
      </c>
      <c r="E226" s="22">
        <f>VLOOKUP(A226,[3]Sheet2!$A:$F,6,FALSE)</f>
        <v>900794</v>
      </c>
      <c r="G226" s="22" t="s">
        <v>645</v>
      </c>
      <c r="H226" s="22" t="s">
        <v>646</v>
      </c>
      <c r="I226" s="22" t="s">
        <v>25</v>
      </c>
      <c r="J226" s="29" t="s">
        <v>168</v>
      </c>
      <c r="K226" s="29" t="s">
        <v>407</v>
      </c>
      <c r="L226" s="29" t="s">
        <v>28</v>
      </c>
      <c r="P226" s="30">
        <v>45622</v>
      </c>
      <c r="Q226" s="30">
        <v>45622</v>
      </c>
      <c r="R226" s="22" t="s">
        <v>29</v>
      </c>
      <c r="S226" s="29" t="s">
        <v>30</v>
      </c>
      <c r="T226" s="22" t="s">
        <v>31</v>
      </c>
      <c r="U226" s="25" t="s">
        <v>32</v>
      </c>
      <c r="V226" s="22" t="s">
        <v>33</v>
      </c>
      <c r="W226" s="32" t="s">
        <v>34</v>
      </c>
    </row>
    <row r="227" spans="1:23">
      <c r="A227" s="22" t="s">
        <v>647</v>
      </c>
      <c r="B227" s="25">
        <f>VLOOKUP(A227,[1]ProjectsResults!$D:$E,2,FALSE)</f>
        <v>10141</v>
      </c>
      <c r="C227" s="22">
        <f>VLOOKUP(A227,[2]Sheet2!$D:$E,2,FALSE)</f>
        <v>8926</v>
      </c>
      <c r="D227" s="22">
        <v>8926</v>
      </c>
      <c r="E227" s="22">
        <f>VLOOKUP(A227,[3]Sheet2!$A:$F,6,FALSE)</f>
        <v>1520552</v>
      </c>
      <c r="G227" s="22" t="s">
        <v>648</v>
      </c>
      <c r="H227" s="22" t="s">
        <v>58</v>
      </c>
      <c r="I227" s="22" t="s">
        <v>25</v>
      </c>
      <c r="J227" s="29" t="s">
        <v>47</v>
      </c>
      <c r="K227" s="29" t="s">
        <v>196</v>
      </c>
      <c r="L227" s="29" t="s">
        <v>28</v>
      </c>
      <c r="P227" s="30">
        <v>45617</v>
      </c>
      <c r="Q227" s="30">
        <v>45618</v>
      </c>
      <c r="R227" s="22" t="s">
        <v>29</v>
      </c>
      <c r="S227" s="29" t="s">
        <v>30</v>
      </c>
      <c r="T227" s="22" t="s">
        <v>49</v>
      </c>
      <c r="U227" s="25" t="s">
        <v>32</v>
      </c>
      <c r="V227" s="22" t="s">
        <v>50</v>
      </c>
      <c r="W227" s="32" t="s">
        <v>34</v>
      </c>
    </row>
    <row r="228" spans="1:23">
      <c r="A228" s="22" t="s">
        <v>649</v>
      </c>
      <c r="B228" s="25">
        <f>VLOOKUP(A228,[1]ProjectsResults!$D:$E,2,FALSE)</f>
        <v>10142</v>
      </c>
      <c r="C228" s="22">
        <f>VLOOKUP(A228,[2]Sheet2!$D:$E,2,FALSE)</f>
        <v>8927</v>
      </c>
      <c r="D228" s="22">
        <v>8927</v>
      </c>
      <c r="E228" s="22">
        <f>VLOOKUP(A228,[3]Sheet2!$A:$F,6,FALSE)</f>
        <v>32852267</v>
      </c>
      <c r="G228" s="22" t="s">
        <v>650</v>
      </c>
      <c r="H228" s="22" t="s">
        <v>249</v>
      </c>
      <c r="I228" s="22" t="s">
        <v>25</v>
      </c>
      <c r="J228" s="29" t="s">
        <v>250</v>
      </c>
      <c r="K228" s="29" t="s">
        <v>251</v>
      </c>
      <c r="L228" s="29" t="s">
        <v>28</v>
      </c>
      <c r="P228" s="30">
        <v>45625</v>
      </c>
      <c r="Q228" s="30">
        <v>45625</v>
      </c>
      <c r="R228" s="22" t="s">
        <v>29</v>
      </c>
      <c r="S228" s="29" t="s">
        <v>30</v>
      </c>
      <c r="T228" s="22" t="s">
        <v>31</v>
      </c>
      <c r="U228" s="25" t="s">
        <v>32</v>
      </c>
      <c r="V228" s="22" t="s">
        <v>33</v>
      </c>
      <c r="W228" s="32" t="s">
        <v>34</v>
      </c>
    </row>
    <row r="229" spans="1:23">
      <c r="A229" s="22" t="s">
        <v>651</v>
      </c>
      <c r="B229" s="25">
        <f>VLOOKUP(A229,[1]ProjectsResults!$D:$E,2,FALSE)</f>
        <v>10143</v>
      </c>
      <c r="C229" s="22">
        <f>VLOOKUP(A229,[2]Sheet2!$D:$E,2,FALSE)</f>
        <v>9696</v>
      </c>
      <c r="D229" s="22">
        <v>9696</v>
      </c>
      <c r="E229" s="22">
        <f>VLOOKUP(A229,[3]Sheet2!$A:$F,6,FALSE)</f>
        <v>130823</v>
      </c>
      <c r="G229" s="22" t="s">
        <v>652</v>
      </c>
      <c r="H229" s="22" t="s">
        <v>653</v>
      </c>
      <c r="I229" s="22" t="s">
        <v>25</v>
      </c>
      <c r="J229" s="29" t="s">
        <v>115</v>
      </c>
      <c r="K229" s="29" t="s">
        <v>160</v>
      </c>
      <c r="L229" s="29" t="s">
        <v>28</v>
      </c>
      <c r="P229" s="30">
        <v>45623</v>
      </c>
      <c r="Q229" s="30">
        <v>45624</v>
      </c>
      <c r="R229" s="22" t="s">
        <v>29</v>
      </c>
      <c r="S229" s="29" t="s">
        <v>30</v>
      </c>
      <c r="T229" s="22" t="s">
        <v>49</v>
      </c>
      <c r="U229" s="25" t="s">
        <v>32</v>
      </c>
      <c r="V229" s="22" t="s">
        <v>117</v>
      </c>
      <c r="W229" s="32" t="s">
        <v>34</v>
      </c>
    </row>
    <row r="230" spans="1:23">
      <c r="A230" s="22" t="s">
        <v>654</v>
      </c>
      <c r="B230" s="25">
        <f>VLOOKUP(A230,[1]ProjectsResults!$D:$E,2,FALSE)</f>
        <v>10144</v>
      </c>
      <c r="C230" s="22">
        <f>VLOOKUP(A230,[2]Sheet2!$D:$E,2,FALSE)</f>
        <v>8928</v>
      </c>
      <c r="D230" s="22">
        <v>8928</v>
      </c>
      <c r="E230" s="22">
        <f>VLOOKUP(A230,[3]Sheet2!$A:$F,6,FALSE)</f>
        <v>20844</v>
      </c>
      <c r="G230" s="22" t="s">
        <v>655</v>
      </c>
      <c r="H230" s="22" t="s">
        <v>472</v>
      </c>
      <c r="I230" s="22" t="s">
        <v>25</v>
      </c>
      <c r="J230" s="29" t="s">
        <v>47</v>
      </c>
      <c r="K230" s="29" t="s">
        <v>129</v>
      </c>
      <c r="L230" s="29" t="s">
        <v>28</v>
      </c>
      <c r="P230" s="30">
        <v>45618</v>
      </c>
      <c r="Q230" s="30">
        <v>45618</v>
      </c>
      <c r="R230" s="22" t="s">
        <v>29</v>
      </c>
      <c r="S230" s="29" t="s">
        <v>30</v>
      </c>
      <c r="T230" s="22" t="s">
        <v>49</v>
      </c>
      <c r="U230" s="25" t="s">
        <v>32</v>
      </c>
      <c r="V230" s="22" t="s">
        <v>50</v>
      </c>
      <c r="W230" s="32" t="s">
        <v>34</v>
      </c>
    </row>
    <row r="231" spans="1:23">
      <c r="A231" s="22" t="s">
        <v>656</v>
      </c>
      <c r="B231" s="25">
        <f>VLOOKUP(A231,[1]ProjectsResults!$D:$E,2,FALSE)</f>
        <v>10145</v>
      </c>
      <c r="C231" s="22">
        <f>VLOOKUP(A231,[2]Sheet2!$D:$E,2,FALSE)</f>
        <v>8929</v>
      </c>
      <c r="D231" s="22">
        <v>8929</v>
      </c>
      <c r="E231" s="22">
        <f>VLOOKUP(A231,[3]Sheet2!$A:$F,6,FALSE)</f>
        <v>353270.5</v>
      </c>
      <c r="G231" s="22" t="s">
        <v>657</v>
      </c>
      <c r="H231" s="22" t="s">
        <v>556</v>
      </c>
      <c r="I231" s="22" t="s">
        <v>25</v>
      </c>
      <c r="J231" s="29" t="s">
        <v>47</v>
      </c>
      <c r="K231" s="29" t="s">
        <v>557</v>
      </c>
      <c r="L231" s="29" t="s">
        <v>28</v>
      </c>
      <c r="P231" s="30">
        <v>45617</v>
      </c>
      <c r="Q231" s="30">
        <v>45617</v>
      </c>
      <c r="R231" s="22" t="s">
        <v>29</v>
      </c>
      <c r="S231" s="29" t="s">
        <v>30</v>
      </c>
      <c r="T231" s="22" t="s">
        <v>49</v>
      </c>
      <c r="U231" s="25" t="s">
        <v>32</v>
      </c>
      <c r="V231" s="22" t="s">
        <v>50</v>
      </c>
      <c r="W231" s="32" t="s">
        <v>34</v>
      </c>
    </row>
    <row r="232" spans="1:23">
      <c r="A232" s="22" t="s">
        <v>658</v>
      </c>
      <c r="B232" s="25">
        <f>VLOOKUP(A232,[1]ProjectsResults!$D:$E,2,FALSE)</f>
        <v>10146</v>
      </c>
      <c r="C232" s="22">
        <f>VLOOKUP(A232,[2]Sheet2!$D:$E,2,FALSE)</f>
        <v>8930</v>
      </c>
      <c r="D232" s="22">
        <v>8930</v>
      </c>
      <c r="E232" s="22">
        <f>VLOOKUP(A232,[3]Sheet2!$A:$F,6,FALSE)</f>
        <v>53406</v>
      </c>
      <c r="G232" s="22" t="s">
        <v>659</v>
      </c>
      <c r="H232" s="22" t="s">
        <v>265</v>
      </c>
      <c r="I232" s="22" t="s">
        <v>25</v>
      </c>
      <c r="J232" s="29" t="s">
        <v>115</v>
      </c>
      <c r="K232" s="29" t="s">
        <v>164</v>
      </c>
      <c r="L232" s="29" t="s">
        <v>28</v>
      </c>
      <c r="P232" s="30">
        <v>45618</v>
      </c>
      <c r="Q232" s="30">
        <v>45618</v>
      </c>
      <c r="R232" s="22" t="s">
        <v>29</v>
      </c>
      <c r="S232" s="29" t="s">
        <v>30</v>
      </c>
      <c r="T232" s="22" t="s">
        <v>49</v>
      </c>
      <c r="U232" s="25" t="s">
        <v>32</v>
      </c>
      <c r="V232" s="22" t="s">
        <v>117</v>
      </c>
      <c r="W232" s="32" t="s">
        <v>34</v>
      </c>
    </row>
    <row r="233" spans="1:23">
      <c r="A233" s="22" t="s">
        <v>660</v>
      </c>
      <c r="B233" s="25">
        <f>VLOOKUP(A233,[1]ProjectsResults!$D:$E,2,FALSE)</f>
        <v>10147</v>
      </c>
      <c r="C233" s="22">
        <f>VLOOKUP(A233,[2]Sheet2!$D:$E,2,FALSE)</f>
        <v>8931</v>
      </c>
      <c r="D233" s="22">
        <v>8931</v>
      </c>
      <c r="E233" s="22">
        <f>VLOOKUP(A233,[3]Sheet2!$A:$F,6,FALSE)</f>
        <v>1500000</v>
      </c>
      <c r="G233" s="22" t="s">
        <v>661</v>
      </c>
      <c r="H233" s="22" t="s">
        <v>102</v>
      </c>
      <c r="I233" s="22" t="s">
        <v>25</v>
      </c>
      <c r="J233" s="29" t="s">
        <v>38</v>
      </c>
      <c r="K233" s="29" t="s">
        <v>38</v>
      </c>
      <c r="L233" s="29" t="s">
        <v>28</v>
      </c>
      <c r="P233" s="30">
        <v>45630</v>
      </c>
      <c r="Q233" s="30">
        <v>45630</v>
      </c>
      <c r="R233" s="22" t="s">
        <v>29</v>
      </c>
      <c r="S233" s="29" t="s">
        <v>30</v>
      </c>
      <c r="T233" s="22" t="s">
        <v>31</v>
      </c>
      <c r="U233" s="25" t="s">
        <v>32</v>
      </c>
      <c r="V233" s="22" t="s">
        <v>33</v>
      </c>
      <c r="W233" s="32" t="s">
        <v>34</v>
      </c>
    </row>
    <row r="234" spans="1:23">
      <c r="A234" s="22" t="s">
        <v>662</v>
      </c>
      <c r="B234" s="25">
        <f>VLOOKUP(A234,[1]ProjectsResults!$D:$E,2,FALSE)</f>
        <v>10148</v>
      </c>
      <c r="C234" s="22">
        <f>VLOOKUP(A234,[2]Sheet2!$D:$E,2,FALSE)</f>
        <v>8932</v>
      </c>
      <c r="D234" s="22">
        <v>8932</v>
      </c>
      <c r="E234" s="22">
        <f>VLOOKUP(A234,[3]Sheet2!$A:$F,6,FALSE)</f>
        <v>547625</v>
      </c>
      <c r="G234" s="22" t="s">
        <v>663</v>
      </c>
      <c r="H234" s="22" t="s">
        <v>102</v>
      </c>
      <c r="I234" s="22" t="s">
        <v>25</v>
      </c>
      <c r="J234" s="29" t="s">
        <v>38</v>
      </c>
      <c r="K234" s="29" t="s">
        <v>38</v>
      </c>
      <c r="L234" s="29" t="s">
        <v>28</v>
      </c>
      <c r="P234" s="30">
        <v>45687</v>
      </c>
      <c r="Q234" s="30">
        <v>45687</v>
      </c>
      <c r="R234" s="22" t="s">
        <v>29</v>
      </c>
      <c r="S234" s="29" t="s">
        <v>30</v>
      </c>
      <c r="T234" s="22" t="s">
        <v>31</v>
      </c>
      <c r="U234" s="25" t="s">
        <v>32</v>
      </c>
      <c r="V234" s="22" t="s">
        <v>33</v>
      </c>
      <c r="W234" s="32" t="s">
        <v>34</v>
      </c>
    </row>
    <row r="235" spans="1:23">
      <c r="A235" s="22" t="s">
        <v>664</v>
      </c>
      <c r="B235" s="25">
        <f>VLOOKUP(A235,[1]ProjectsResults!$D:$E,2,FALSE)</f>
        <v>10149</v>
      </c>
      <c r="C235" s="22">
        <f>VLOOKUP(A235,[2]Sheet2!$D:$E,2,FALSE)</f>
        <v>9697</v>
      </c>
      <c r="D235" s="22">
        <v>9697</v>
      </c>
      <c r="E235" s="22">
        <f>VLOOKUP(A235,[3]Sheet2!$A:$F,6,FALSE)</f>
        <v>12516692.82</v>
      </c>
      <c r="G235" s="22" t="s">
        <v>665</v>
      </c>
      <c r="H235" s="22" t="s">
        <v>666</v>
      </c>
      <c r="I235" s="22" t="s">
        <v>25</v>
      </c>
      <c r="J235" s="29" t="s">
        <v>42</v>
      </c>
      <c r="K235" s="29" t="s">
        <v>179</v>
      </c>
      <c r="L235" s="29" t="s">
        <v>28</v>
      </c>
      <c r="P235" s="30">
        <v>45621</v>
      </c>
      <c r="Q235" s="30">
        <v>45622</v>
      </c>
      <c r="R235" s="22" t="s">
        <v>29</v>
      </c>
      <c r="S235" s="29" t="s">
        <v>30</v>
      </c>
      <c r="T235" s="22" t="s">
        <v>31</v>
      </c>
      <c r="U235" s="25" t="s">
        <v>32</v>
      </c>
      <c r="V235" s="22" t="s">
        <v>33</v>
      </c>
      <c r="W235" s="32" t="s">
        <v>34</v>
      </c>
    </row>
    <row r="236" spans="1:23">
      <c r="A236" s="22" t="s">
        <v>667</v>
      </c>
      <c r="B236" s="25">
        <f>VLOOKUP(A236,[1]ProjectsResults!$D:$E,2,FALSE)</f>
        <v>10150</v>
      </c>
      <c r="C236" s="22">
        <f>VLOOKUP(A236,[2]Sheet2!$D:$E,2,FALSE)</f>
        <v>8933</v>
      </c>
      <c r="D236" s="22">
        <v>8933</v>
      </c>
      <c r="E236" s="22">
        <f>VLOOKUP(A236,[3]Sheet2!$A:$F,6,FALSE)</f>
        <v>3779727</v>
      </c>
      <c r="G236" s="22" t="s">
        <v>668</v>
      </c>
      <c r="H236" s="22" t="s">
        <v>669</v>
      </c>
      <c r="I236" s="22" t="s">
        <v>25</v>
      </c>
      <c r="J236" s="29" t="s">
        <v>72</v>
      </c>
      <c r="K236" s="29" t="s">
        <v>670</v>
      </c>
      <c r="L236" s="29" t="s">
        <v>28</v>
      </c>
      <c r="P236" s="30">
        <v>45625</v>
      </c>
      <c r="Q236" s="30">
        <v>45627</v>
      </c>
      <c r="R236" s="22" t="s">
        <v>29</v>
      </c>
      <c r="S236" s="29" t="s">
        <v>30</v>
      </c>
      <c r="T236" s="22" t="s">
        <v>74</v>
      </c>
      <c r="U236" s="25" t="s">
        <v>32</v>
      </c>
      <c r="V236" s="22" t="s">
        <v>75</v>
      </c>
      <c r="W236" s="32" t="s">
        <v>34</v>
      </c>
    </row>
    <row r="237" spans="1:23">
      <c r="A237" s="22" t="s">
        <v>671</v>
      </c>
      <c r="B237" s="25">
        <f>VLOOKUP(A237,[1]ProjectsResults!$D:$E,2,FALSE)</f>
        <v>10151</v>
      </c>
      <c r="C237" s="22">
        <f>VLOOKUP(A237,[2]Sheet2!$D:$E,2,FALSE)</f>
        <v>8934</v>
      </c>
      <c r="D237" s="22">
        <v>8934</v>
      </c>
      <c r="E237" s="22">
        <f>VLOOKUP(A237,[3]Sheet2!$A:$F,6,FALSE)</f>
        <v>1840250</v>
      </c>
      <c r="G237" s="22" t="s">
        <v>672</v>
      </c>
      <c r="H237" s="22" t="s">
        <v>86</v>
      </c>
      <c r="I237" s="22" t="s">
        <v>25</v>
      </c>
      <c r="J237" s="29" t="s">
        <v>42</v>
      </c>
      <c r="K237" s="29" t="s">
        <v>149</v>
      </c>
      <c r="L237" s="29" t="s">
        <v>28</v>
      </c>
      <c r="P237" s="30">
        <v>45622</v>
      </c>
      <c r="Q237" s="30">
        <v>45626</v>
      </c>
      <c r="R237" s="22" t="s">
        <v>29</v>
      </c>
      <c r="S237" s="29" t="s">
        <v>30</v>
      </c>
      <c r="T237" s="22" t="s">
        <v>31</v>
      </c>
      <c r="U237" s="25" t="s">
        <v>32</v>
      </c>
      <c r="V237" s="22" t="s">
        <v>33</v>
      </c>
      <c r="W237" s="32" t="s">
        <v>34</v>
      </c>
    </row>
    <row r="238" spans="1:23">
      <c r="A238" s="22" t="s">
        <v>673</v>
      </c>
      <c r="B238" s="25">
        <f>VLOOKUP(A238,[1]ProjectsResults!$D:$E,2,FALSE)</f>
        <v>10152</v>
      </c>
      <c r="C238" s="22">
        <f>VLOOKUP(A238,[2]Sheet2!$D:$E,2,FALSE)</f>
        <v>8935</v>
      </c>
      <c r="D238" s="22">
        <v>8935</v>
      </c>
      <c r="E238" s="22">
        <f>VLOOKUP(A238,[3]Sheet2!$A:$F,6,FALSE)</f>
        <v>5887750</v>
      </c>
      <c r="G238" s="22" t="s">
        <v>674</v>
      </c>
      <c r="H238" s="22" t="s">
        <v>675</v>
      </c>
      <c r="I238" s="22" t="s">
        <v>25</v>
      </c>
      <c r="J238" s="29" t="s">
        <v>72</v>
      </c>
      <c r="K238" s="29" t="s">
        <v>141</v>
      </c>
      <c r="L238" s="29" t="s">
        <v>28</v>
      </c>
      <c r="P238" s="30">
        <v>45656</v>
      </c>
      <c r="Q238" s="30">
        <v>45656</v>
      </c>
      <c r="R238" s="22" t="s">
        <v>29</v>
      </c>
      <c r="S238" s="29" t="s">
        <v>30</v>
      </c>
      <c r="T238" s="22" t="s">
        <v>74</v>
      </c>
      <c r="U238" s="25" t="s">
        <v>32</v>
      </c>
      <c r="V238" s="22" t="s">
        <v>75</v>
      </c>
      <c r="W238" s="32" t="s">
        <v>34</v>
      </c>
    </row>
    <row r="239" spans="1:23">
      <c r="A239" s="25" t="s">
        <v>676</v>
      </c>
      <c r="B239" s="25">
        <f>VLOOKUP(A239,[1]ProjectsResults!$D:$E,2,FALSE)</f>
        <v>10153</v>
      </c>
      <c r="C239" s="22">
        <f>VLOOKUP(A239,[2]Sheet2!$D:$E,2,FALSE)</f>
        <v>8936</v>
      </c>
      <c r="D239" s="22">
        <v>8936</v>
      </c>
      <c r="E239" s="22">
        <f>VLOOKUP(A239,[3]Sheet2!$A:$F,6,FALSE)</f>
        <v>6526623</v>
      </c>
      <c r="G239" s="22" t="s">
        <v>677</v>
      </c>
      <c r="H239" s="22" t="s">
        <v>678</v>
      </c>
      <c r="I239" s="22" t="s">
        <v>25</v>
      </c>
      <c r="J239" s="34" t="s">
        <v>189</v>
      </c>
      <c r="K239" s="29" t="s">
        <v>679</v>
      </c>
      <c r="L239" s="29" t="s">
        <v>28</v>
      </c>
      <c r="P239" s="30">
        <v>45627</v>
      </c>
      <c r="Q239" s="30">
        <v>45630</v>
      </c>
      <c r="R239" s="22" t="s">
        <v>29</v>
      </c>
      <c r="S239" s="29" t="s">
        <v>30</v>
      </c>
      <c r="T239" s="22" t="s">
        <v>74</v>
      </c>
      <c r="U239" s="25" t="s">
        <v>32</v>
      </c>
      <c r="V239" s="22" t="s">
        <v>75</v>
      </c>
      <c r="W239" s="33" t="s">
        <v>34</v>
      </c>
    </row>
    <row r="240" spans="1:23">
      <c r="A240" s="22" t="s">
        <v>680</v>
      </c>
      <c r="B240" s="25">
        <f>VLOOKUP(A240,[1]ProjectsResults!$D:$E,2,FALSE)</f>
        <v>10154</v>
      </c>
      <c r="C240" s="22">
        <f>VLOOKUP(A240,[2]Sheet2!$D:$E,2,FALSE)</f>
        <v>9573</v>
      </c>
      <c r="D240" s="22">
        <v>9573</v>
      </c>
      <c r="E240" s="22">
        <f>VLOOKUP(A240,[3]Sheet2!$A:$F,6,FALSE)</f>
        <v>3786475</v>
      </c>
      <c r="G240" s="22" t="s">
        <v>681</v>
      </c>
      <c r="H240" s="22" t="s">
        <v>682</v>
      </c>
      <c r="I240" s="22" t="s">
        <v>25</v>
      </c>
      <c r="J240" s="29" t="s">
        <v>47</v>
      </c>
      <c r="K240" s="29" t="s">
        <v>683</v>
      </c>
      <c r="L240" s="29" t="s">
        <v>28</v>
      </c>
      <c r="P240" s="30">
        <v>45627</v>
      </c>
      <c r="Q240" s="30">
        <v>45627</v>
      </c>
      <c r="R240" s="22" t="s">
        <v>29</v>
      </c>
      <c r="S240" s="29" t="s">
        <v>30</v>
      </c>
      <c r="T240" s="22" t="s">
        <v>49</v>
      </c>
      <c r="U240" s="25" t="s">
        <v>32</v>
      </c>
      <c r="V240" s="22" t="s">
        <v>50</v>
      </c>
      <c r="W240" s="32" t="s">
        <v>34</v>
      </c>
    </row>
    <row r="241" spans="1:23">
      <c r="A241" s="22" t="s">
        <v>684</v>
      </c>
      <c r="B241" s="25">
        <f>VLOOKUP(A241,[1]ProjectsResults!$D:$E,2,FALSE)</f>
        <v>10155</v>
      </c>
      <c r="C241" s="22">
        <f>VLOOKUP(A241,[2]Sheet2!$D:$E,2,FALSE)</f>
        <v>9698</v>
      </c>
      <c r="D241" s="22">
        <v>9698</v>
      </c>
      <c r="E241" s="22">
        <f>VLOOKUP(A241,[3]Sheet2!$A:$F,6,FALSE)</f>
        <v>7905506</v>
      </c>
      <c r="G241" s="22" t="s">
        <v>685</v>
      </c>
      <c r="H241" s="22" t="s">
        <v>686</v>
      </c>
      <c r="I241" s="22" t="s">
        <v>25</v>
      </c>
      <c r="J241" s="29" t="s">
        <v>462</v>
      </c>
      <c r="K241" s="29" t="s">
        <v>155</v>
      </c>
      <c r="L241" s="29" t="s">
        <v>28</v>
      </c>
      <c r="P241" s="30">
        <v>45630</v>
      </c>
      <c r="Q241" s="30">
        <v>45630</v>
      </c>
      <c r="R241" s="22" t="s">
        <v>29</v>
      </c>
      <c r="S241" s="29" t="s">
        <v>30</v>
      </c>
      <c r="T241" s="22" t="s">
        <v>74</v>
      </c>
      <c r="U241" s="25" t="s">
        <v>32</v>
      </c>
      <c r="V241" s="22" t="s">
        <v>75</v>
      </c>
      <c r="W241" s="32" t="s">
        <v>34</v>
      </c>
    </row>
    <row r="242" spans="1:23">
      <c r="A242" s="22" t="s">
        <v>687</v>
      </c>
      <c r="B242" s="25">
        <f>VLOOKUP(A242,[1]ProjectsResults!$D:$E,2,FALSE)</f>
        <v>10156</v>
      </c>
      <c r="C242" s="22">
        <f>VLOOKUP(A242,[2]Sheet2!$D:$E,2,FALSE)</f>
        <v>9699</v>
      </c>
      <c r="D242" s="22">
        <v>9699</v>
      </c>
      <c r="E242" s="22">
        <f>VLOOKUP(A242,[3]Sheet2!$A:$F,6,FALSE)</f>
        <v>259600</v>
      </c>
      <c r="G242" s="22" t="s">
        <v>688</v>
      </c>
      <c r="H242" s="22" t="s">
        <v>689</v>
      </c>
      <c r="I242" s="22" t="s">
        <v>25</v>
      </c>
      <c r="J242" s="29" t="s">
        <v>209</v>
      </c>
      <c r="K242" s="29" t="s">
        <v>210</v>
      </c>
      <c r="L242" s="29" t="s">
        <v>28</v>
      </c>
      <c r="P242" s="30">
        <v>45631</v>
      </c>
      <c r="Q242" s="30">
        <v>45633</v>
      </c>
      <c r="R242" s="22" t="s">
        <v>29</v>
      </c>
      <c r="S242" s="29" t="s">
        <v>30</v>
      </c>
      <c r="T242" s="22" t="s">
        <v>31</v>
      </c>
      <c r="U242" s="25" t="s">
        <v>211</v>
      </c>
      <c r="V242" s="22" t="s">
        <v>33</v>
      </c>
      <c r="W242" s="32" t="s">
        <v>34</v>
      </c>
    </row>
    <row r="243" spans="1:23">
      <c r="A243" s="22" t="s">
        <v>690</v>
      </c>
      <c r="B243" s="25">
        <f>VLOOKUP(A243,[1]ProjectsResults!$D:$E,2,FALSE)</f>
        <v>10157</v>
      </c>
      <c r="C243" s="22">
        <f>VLOOKUP(A243,[2]Sheet2!$D:$E,2,FALSE)</f>
        <v>8937</v>
      </c>
      <c r="D243" s="22">
        <v>8937</v>
      </c>
      <c r="E243" s="22">
        <f>VLOOKUP(A243,[3]Sheet2!$A:$F,6,FALSE)</f>
        <v>131450</v>
      </c>
      <c r="G243" s="22" t="s">
        <v>691</v>
      </c>
      <c r="H243" s="22" t="s">
        <v>692</v>
      </c>
      <c r="I243" s="22" t="s">
        <v>25</v>
      </c>
      <c r="J243" s="29" t="s">
        <v>115</v>
      </c>
      <c r="K243" s="29" t="s">
        <v>116</v>
      </c>
      <c r="L243" s="29" t="s">
        <v>28</v>
      </c>
      <c r="P243" s="30">
        <v>45628</v>
      </c>
      <c r="Q243" s="30">
        <v>45628</v>
      </c>
      <c r="R243" s="22" t="s">
        <v>29</v>
      </c>
      <c r="S243" s="29" t="s">
        <v>30</v>
      </c>
      <c r="T243" s="22" t="s">
        <v>49</v>
      </c>
      <c r="U243" s="25" t="s">
        <v>32</v>
      </c>
      <c r="V243" s="22" t="s">
        <v>117</v>
      </c>
      <c r="W243" s="32" t="s">
        <v>34</v>
      </c>
    </row>
    <row r="244" spans="1:23">
      <c r="A244" s="22" t="s">
        <v>693</v>
      </c>
      <c r="B244" s="25">
        <f>VLOOKUP(A244,[1]ProjectsResults!$D:$E,2,FALSE)</f>
        <v>10158</v>
      </c>
      <c r="C244" s="22">
        <f>VLOOKUP(A244,[2]Sheet2!$D:$E,2,FALSE)</f>
        <v>8938</v>
      </c>
      <c r="D244" s="22">
        <v>8938</v>
      </c>
      <c r="E244" s="22">
        <f>VLOOKUP(A244,[3]Sheet2!$A:$F,6,FALSE)</f>
        <v>800000</v>
      </c>
      <c r="G244" s="22" t="s">
        <v>694</v>
      </c>
      <c r="H244" s="22" t="s">
        <v>249</v>
      </c>
      <c r="I244" s="22" t="s">
        <v>25</v>
      </c>
      <c r="J244" s="29" t="s">
        <v>250</v>
      </c>
      <c r="K244" s="29" t="s">
        <v>525</v>
      </c>
      <c r="L244" s="29" t="s">
        <v>28</v>
      </c>
      <c r="P244" s="30">
        <v>45623</v>
      </c>
      <c r="Q244" s="30">
        <v>45624</v>
      </c>
      <c r="R244" s="22" t="s">
        <v>29</v>
      </c>
      <c r="S244" s="29" t="s">
        <v>30</v>
      </c>
      <c r="T244" s="22" t="s">
        <v>31</v>
      </c>
      <c r="U244" s="25" t="s">
        <v>32</v>
      </c>
      <c r="V244" s="22" t="s">
        <v>33</v>
      </c>
      <c r="W244" s="32" t="s">
        <v>34</v>
      </c>
    </row>
    <row r="245" spans="1:23">
      <c r="A245" s="22" t="s">
        <v>695</v>
      </c>
      <c r="B245" s="25">
        <f>VLOOKUP(A245,[1]ProjectsResults!$D:$E,2,FALSE)</f>
        <v>10159</v>
      </c>
      <c r="C245" s="22">
        <f>VLOOKUP(A245,[2]Sheet2!$D:$E,2,FALSE)</f>
        <v>8939</v>
      </c>
      <c r="D245" s="22">
        <v>8939</v>
      </c>
      <c r="E245" s="22">
        <f>VLOOKUP(A245,[3]Sheet2!$A:$F,6,FALSE)</f>
        <v>302049</v>
      </c>
      <c r="G245" s="22" t="s">
        <v>419</v>
      </c>
      <c r="H245" s="22" t="s">
        <v>348</v>
      </c>
      <c r="I245" s="22" t="s">
        <v>25</v>
      </c>
      <c r="J245" s="29" t="s">
        <v>47</v>
      </c>
      <c r="K245" s="29" t="s">
        <v>227</v>
      </c>
      <c r="L245" s="29" t="s">
        <v>28</v>
      </c>
      <c r="P245" s="30">
        <v>45622</v>
      </c>
      <c r="Q245" s="30">
        <v>45622</v>
      </c>
      <c r="R245" s="22" t="s">
        <v>29</v>
      </c>
      <c r="S245" s="29" t="s">
        <v>30</v>
      </c>
      <c r="T245" s="22" t="s">
        <v>49</v>
      </c>
      <c r="U245" s="25" t="s">
        <v>32</v>
      </c>
      <c r="V245" s="22" t="s">
        <v>50</v>
      </c>
      <c r="W245" s="32" t="s">
        <v>34</v>
      </c>
    </row>
    <row r="246" spans="1:23">
      <c r="A246" s="22" t="s">
        <v>696</v>
      </c>
      <c r="B246" s="25">
        <f>VLOOKUP(A246,[1]ProjectsResults!$D:$E,2,FALSE)</f>
        <v>10160</v>
      </c>
      <c r="C246" s="22">
        <f>VLOOKUP(A246,[2]Sheet2!$D:$E,2,FALSE)</f>
        <v>8940</v>
      </c>
      <c r="D246" s="22">
        <v>8940</v>
      </c>
      <c r="E246" s="22">
        <f>VLOOKUP(A246,[3]Sheet2!$A:$F,6,FALSE)</f>
        <v>18964880</v>
      </c>
      <c r="G246" s="22" t="s">
        <v>697</v>
      </c>
      <c r="H246" s="22" t="s">
        <v>698</v>
      </c>
      <c r="I246" s="22" t="s">
        <v>25</v>
      </c>
      <c r="J246" s="29" t="s">
        <v>462</v>
      </c>
      <c r="K246" s="29" t="s">
        <v>155</v>
      </c>
      <c r="L246" s="29" t="s">
        <v>28</v>
      </c>
      <c r="P246" s="30">
        <v>45670</v>
      </c>
      <c r="Q246" s="30">
        <v>45672</v>
      </c>
      <c r="R246" s="22" t="s">
        <v>29</v>
      </c>
      <c r="S246" s="29" t="s">
        <v>30</v>
      </c>
      <c r="T246" s="22" t="s">
        <v>74</v>
      </c>
      <c r="U246" s="25" t="s">
        <v>32</v>
      </c>
      <c r="V246" s="22" t="s">
        <v>75</v>
      </c>
      <c r="W246" s="32" t="s">
        <v>34</v>
      </c>
    </row>
    <row r="247" spans="1:23">
      <c r="A247" s="22" t="s">
        <v>699</v>
      </c>
      <c r="B247" s="25">
        <f>VLOOKUP(A247,[1]ProjectsResults!$D:$E,2,FALSE)</f>
        <v>10161</v>
      </c>
      <c r="C247" s="22">
        <f>VLOOKUP(A247,[2]Sheet2!$D:$E,2,FALSE)</f>
        <v>8941</v>
      </c>
      <c r="D247" s="22">
        <v>8941</v>
      </c>
      <c r="E247" s="22">
        <f>VLOOKUP(A247,[3]Sheet2!$A:$F,6,FALSE)</f>
        <v>2271196.74</v>
      </c>
      <c r="G247" s="22" t="s">
        <v>700</v>
      </c>
      <c r="H247" s="22" t="s">
        <v>701</v>
      </c>
      <c r="I247" s="22" t="s">
        <v>25</v>
      </c>
      <c r="J247" s="29" t="s">
        <v>42</v>
      </c>
      <c r="K247" s="29" t="s">
        <v>43</v>
      </c>
      <c r="L247" s="29" t="s">
        <v>28</v>
      </c>
      <c r="P247" s="30">
        <v>45631</v>
      </c>
      <c r="Q247" s="30">
        <v>45631</v>
      </c>
      <c r="R247" s="22" t="s">
        <v>29</v>
      </c>
      <c r="S247" s="29" t="s">
        <v>30</v>
      </c>
      <c r="T247" s="22" t="s">
        <v>31</v>
      </c>
      <c r="U247" s="25" t="s">
        <v>32</v>
      </c>
      <c r="V247" s="22" t="s">
        <v>33</v>
      </c>
      <c r="W247" s="32" t="s">
        <v>34</v>
      </c>
    </row>
    <row r="248" spans="1:23">
      <c r="A248" s="22" t="s">
        <v>702</v>
      </c>
      <c r="B248" s="25">
        <f>VLOOKUP(A248,[1]ProjectsResults!$D:$E,2,FALSE)</f>
        <v>10162</v>
      </c>
      <c r="C248" s="22">
        <f>VLOOKUP(A248,[2]Sheet2!$D:$E,2,FALSE)</f>
        <v>8942</v>
      </c>
      <c r="D248" s="22">
        <v>8942</v>
      </c>
      <c r="E248" s="22">
        <f>VLOOKUP(A248,[3]Sheet2!$A:$F,6,FALSE)</f>
        <v>617700</v>
      </c>
      <c r="G248" s="22" t="s">
        <v>703</v>
      </c>
      <c r="H248" s="22" t="s">
        <v>140</v>
      </c>
      <c r="I248" s="22" t="s">
        <v>25</v>
      </c>
      <c r="J248" s="29" t="s">
        <v>141</v>
      </c>
      <c r="K248" s="29" t="s">
        <v>72</v>
      </c>
      <c r="L248" s="29" t="s">
        <v>28</v>
      </c>
      <c r="P248" s="30">
        <v>45626</v>
      </c>
      <c r="Q248" s="30">
        <v>45626</v>
      </c>
      <c r="R248" s="22" t="s">
        <v>29</v>
      </c>
      <c r="S248" s="29" t="s">
        <v>30</v>
      </c>
      <c r="T248" s="22" t="s">
        <v>74</v>
      </c>
      <c r="U248" s="25" t="s">
        <v>32</v>
      </c>
      <c r="V248" s="22" t="s">
        <v>75</v>
      </c>
      <c r="W248" s="32" t="s">
        <v>34</v>
      </c>
    </row>
    <row r="249" spans="1:23">
      <c r="A249" s="22" t="s">
        <v>704</v>
      </c>
      <c r="B249" s="25">
        <f>VLOOKUP(A249,[1]ProjectsResults!$D:$E,2,FALSE)</f>
        <v>10163</v>
      </c>
      <c r="C249" s="22">
        <f>VLOOKUP(A249,[2]Sheet2!$D:$E,2,FALSE)</f>
        <v>9700</v>
      </c>
      <c r="D249" s="22">
        <v>9700</v>
      </c>
      <c r="E249" s="22">
        <f>VLOOKUP(A249,[3]Sheet2!$A:$F,6,FALSE)</f>
        <v>225630</v>
      </c>
      <c r="G249" s="22" t="s">
        <v>705</v>
      </c>
      <c r="H249" s="22" t="s">
        <v>706</v>
      </c>
      <c r="I249" s="22" t="s">
        <v>25</v>
      </c>
      <c r="J249" s="29" t="s">
        <v>168</v>
      </c>
      <c r="K249" s="29" t="s">
        <v>446</v>
      </c>
      <c r="L249" s="29" t="s">
        <v>28</v>
      </c>
      <c r="P249" s="30">
        <v>45625</v>
      </c>
      <c r="Q249" s="30">
        <v>45625</v>
      </c>
      <c r="R249" s="22" t="s">
        <v>29</v>
      </c>
      <c r="S249" s="29" t="s">
        <v>30</v>
      </c>
      <c r="T249" s="22" t="s">
        <v>31</v>
      </c>
      <c r="U249" s="25" t="s">
        <v>32</v>
      </c>
      <c r="V249" s="22" t="s">
        <v>33</v>
      </c>
      <c r="W249" s="32" t="s">
        <v>34</v>
      </c>
    </row>
    <row r="250" spans="1:23">
      <c r="A250" s="22" t="s">
        <v>707</v>
      </c>
      <c r="B250" s="25">
        <f>VLOOKUP(A250,[1]ProjectsResults!$D:$E,2,FALSE)</f>
        <v>10164</v>
      </c>
      <c r="C250" s="22">
        <f>VLOOKUP(A250,[2]Sheet2!$D:$E,2,FALSE)</f>
        <v>8943</v>
      </c>
      <c r="D250" s="22">
        <v>8943</v>
      </c>
      <c r="E250" s="22">
        <f>VLOOKUP(A250,[3]Sheet2!$A:$F,6,FALSE)</f>
        <v>649880</v>
      </c>
      <c r="G250" s="22" t="s">
        <v>708</v>
      </c>
      <c r="H250" s="22" t="s">
        <v>58</v>
      </c>
      <c r="I250" s="22" t="s">
        <v>25</v>
      </c>
      <c r="J250" s="29" t="s">
        <v>47</v>
      </c>
      <c r="K250" s="29" t="s">
        <v>48</v>
      </c>
      <c r="L250" s="29" t="s">
        <v>28</v>
      </c>
      <c r="P250" s="30">
        <v>45624</v>
      </c>
      <c r="Q250" s="30">
        <v>45624</v>
      </c>
      <c r="R250" s="22" t="s">
        <v>29</v>
      </c>
      <c r="S250" s="29" t="s">
        <v>30</v>
      </c>
      <c r="T250" s="22" t="s">
        <v>49</v>
      </c>
      <c r="U250" s="25" t="s">
        <v>32</v>
      </c>
      <c r="V250" s="22" t="s">
        <v>50</v>
      </c>
      <c r="W250" s="32" t="s">
        <v>34</v>
      </c>
    </row>
    <row r="251" spans="1:23">
      <c r="A251" s="22" t="s">
        <v>709</v>
      </c>
      <c r="B251" s="25">
        <f>VLOOKUP(A251,[1]ProjectsResults!$D:$E,2,FALSE)</f>
        <v>10165</v>
      </c>
      <c r="C251" s="22">
        <f>VLOOKUP(A251,[2]Sheet2!$D:$E,2,FALSE)</f>
        <v>9352</v>
      </c>
      <c r="D251" s="22">
        <v>9352</v>
      </c>
      <c r="E251" s="22">
        <f>VLOOKUP(A251,[3]Sheet2!$A:$F,6,FALSE)</f>
        <v>144471.4</v>
      </c>
      <c r="G251" s="22" t="s">
        <v>710</v>
      </c>
      <c r="H251" s="22" t="s">
        <v>159</v>
      </c>
      <c r="I251" s="22" t="s">
        <v>25</v>
      </c>
      <c r="J251" s="29" t="s">
        <v>115</v>
      </c>
      <c r="K251" s="29" t="s">
        <v>160</v>
      </c>
      <c r="L251" s="29" t="s">
        <v>28</v>
      </c>
      <c r="P251" s="30">
        <v>45624</v>
      </c>
      <c r="Q251" s="30">
        <v>45624</v>
      </c>
      <c r="R251" s="22" t="s">
        <v>29</v>
      </c>
      <c r="S251" s="29" t="s">
        <v>30</v>
      </c>
      <c r="T251" s="22" t="s">
        <v>49</v>
      </c>
      <c r="U251" s="25" t="s">
        <v>32</v>
      </c>
      <c r="V251" s="22" t="s">
        <v>117</v>
      </c>
      <c r="W251" s="32" t="s">
        <v>34</v>
      </c>
    </row>
    <row r="252" spans="1:23">
      <c r="A252" s="22" t="s">
        <v>711</v>
      </c>
      <c r="B252" s="25">
        <f>VLOOKUP(A252,[1]ProjectsResults!$D:$E,2,FALSE)</f>
        <v>10166</v>
      </c>
      <c r="C252" s="22">
        <f>VLOOKUP(A252,[2]Sheet2!$D:$E,2,FALSE)</f>
        <v>8944</v>
      </c>
      <c r="D252" s="22">
        <v>8944</v>
      </c>
      <c r="E252" s="22">
        <f>VLOOKUP(A252,[3]Sheet2!$A:$F,6,FALSE)</f>
        <v>147554.24</v>
      </c>
      <c r="G252" s="22" t="s">
        <v>712</v>
      </c>
      <c r="H252" s="22" t="s">
        <v>65</v>
      </c>
      <c r="I252" s="22" t="s">
        <v>25</v>
      </c>
      <c r="J252" s="29" t="s">
        <v>47</v>
      </c>
      <c r="K252" s="29" t="s">
        <v>66</v>
      </c>
      <c r="L252" s="29" t="s">
        <v>28</v>
      </c>
      <c r="P252" s="30">
        <v>45625</v>
      </c>
      <c r="Q252" s="30">
        <v>45625</v>
      </c>
      <c r="R252" s="22" t="s">
        <v>29</v>
      </c>
      <c r="S252" s="29" t="s">
        <v>30</v>
      </c>
      <c r="T252" s="22" t="s">
        <v>49</v>
      </c>
      <c r="U252" s="25" t="s">
        <v>32</v>
      </c>
      <c r="V252" s="22" t="s">
        <v>50</v>
      </c>
      <c r="W252" s="32" t="s">
        <v>34</v>
      </c>
    </row>
    <row r="253" spans="1:23">
      <c r="A253" s="22" t="s">
        <v>713</v>
      </c>
      <c r="B253" s="25">
        <f>VLOOKUP(A253,[1]ProjectsResults!$D:$E,2,FALSE)</f>
        <v>10167</v>
      </c>
      <c r="C253" s="22">
        <f>VLOOKUP(A253,[2]Sheet2!$D:$E,2,FALSE)</f>
        <v>9701</v>
      </c>
      <c r="D253" s="22">
        <v>9701</v>
      </c>
      <c r="E253" s="22">
        <f>VLOOKUP(A253,[3]Sheet2!$A:$F,6,FALSE)</f>
        <v>600929</v>
      </c>
      <c r="G253" s="22" t="s">
        <v>714</v>
      </c>
      <c r="H253" s="22" t="s">
        <v>715</v>
      </c>
      <c r="I253" s="22" t="s">
        <v>25</v>
      </c>
      <c r="J253" s="29" t="s">
        <v>209</v>
      </c>
      <c r="K253" s="29" t="s">
        <v>210</v>
      </c>
      <c r="L253" s="29" t="s">
        <v>28</v>
      </c>
      <c r="P253" s="30">
        <v>45629</v>
      </c>
      <c r="Q253" s="30">
        <v>45631</v>
      </c>
      <c r="R253" s="22" t="s">
        <v>29</v>
      </c>
      <c r="S253" s="29" t="s">
        <v>30</v>
      </c>
      <c r="T253" s="22" t="s">
        <v>31</v>
      </c>
      <c r="U253" s="25" t="s">
        <v>211</v>
      </c>
      <c r="V253" s="22" t="s">
        <v>33</v>
      </c>
      <c r="W253" s="32" t="s">
        <v>34</v>
      </c>
    </row>
    <row r="254" spans="1:23">
      <c r="A254" s="22" t="s">
        <v>716</v>
      </c>
      <c r="B254" s="25">
        <f>VLOOKUP(A254,[1]ProjectsResults!$D:$E,2,FALSE)</f>
        <v>10168</v>
      </c>
      <c r="C254" s="22">
        <f>VLOOKUP(A254,[2]Sheet2!$D:$E,2,FALSE)</f>
        <v>8945</v>
      </c>
      <c r="D254" s="22">
        <v>8945</v>
      </c>
      <c r="E254" s="22">
        <f>VLOOKUP(A254,[3]Sheet2!$A:$F,6,FALSE)</f>
        <v>5600000</v>
      </c>
      <c r="G254" s="22" t="s">
        <v>717</v>
      </c>
      <c r="H254" s="22" t="s">
        <v>154</v>
      </c>
      <c r="I254" s="22" t="s">
        <v>25</v>
      </c>
      <c r="J254" s="29" t="s">
        <v>352</v>
      </c>
      <c r="K254" s="29" t="s">
        <v>679</v>
      </c>
      <c r="L254" s="29" t="s">
        <v>28</v>
      </c>
      <c r="P254" s="30">
        <v>45656</v>
      </c>
      <c r="Q254" s="30">
        <v>45656</v>
      </c>
      <c r="R254" s="22" t="s">
        <v>29</v>
      </c>
      <c r="S254" s="29" t="s">
        <v>30</v>
      </c>
      <c r="T254" s="22" t="s">
        <v>74</v>
      </c>
      <c r="U254" s="25" t="s">
        <v>32</v>
      </c>
      <c r="V254" s="22" t="s">
        <v>75</v>
      </c>
      <c r="W254" s="32" t="s">
        <v>34</v>
      </c>
    </row>
    <row r="255" spans="1:23">
      <c r="A255" s="22" t="s">
        <v>718</v>
      </c>
      <c r="B255" s="25">
        <f>VLOOKUP(A255,[1]ProjectsResults!$D:$E,2,FALSE)</f>
        <v>10169</v>
      </c>
      <c r="C255" s="22">
        <f>VLOOKUP(A255,[2]Sheet2!$D:$E,2,FALSE)</f>
        <v>8946</v>
      </c>
      <c r="D255" s="22">
        <v>8946</v>
      </c>
      <c r="E255" s="22">
        <f>VLOOKUP(A255,[3]Sheet2!$A:$F,6,FALSE)</f>
        <v>720339</v>
      </c>
      <c r="G255" s="22" t="s">
        <v>719</v>
      </c>
      <c r="H255" s="22" t="s">
        <v>58</v>
      </c>
      <c r="I255" s="22" t="s">
        <v>25</v>
      </c>
      <c r="J255" s="29" t="s">
        <v>47</v>
      </c>
      <c r="K255" s="29" t="s">
        <v>48</v>
      </c>
      <c r="L255" s="29" t="s">
        <v>28</v>
      </c>
      <c r="P255" s="30">
        <v>45628</v>
      </c>
      <c r="Q255" s="30">
        <v>45629</v>
      </c>
      <c r="R255" s="22" t="s">
        <v>29</v>
      </c>
      <c r="S255" s="29" t="s">
        <v>30</v>
      </c>
      <c r="T255" s="22" t="s">
        <v>49</v>
      </c>
      <c r="U255" s="25" t="s">
        <v>32</v>
      </c>
      <c r="V255" s="22" t="s">
        <v>50</v>
      </c>
      <c r="W255" s="32" t="s">
        <v>34</v>
      </c>
    </row>
    <row r="256" spans="1:23">
      <c r="A256" s="22" t="s">
        <v>720</v>
      </c>
      <c r="B256" s="25">
        <f>VLOOKUP(A256,[1]ProjectsResults!$D:$E,2,FALSE)</f>
        <v>10170</v>
      </c>
      <c r="C256" s="22">
        <f>VLOOKUP(A256,[2]Sheet2!$D:$E,2,FALSE)</f>
        <v>8947</v>
      </c>
      <c r="D256" s="22">
        <v>8947</v>
      </c>
      <c r="E256" s="22">
        <f>VLOOKUP(A256,[3]Sheet2!$A:$F,6,FALSE)</f>
        <v>1050185.4</v>
      </c>
      <c r="G256" s="22" t="s">
        <v>721</v>
      </c>
      <c r="H256" s="22" t="s">
        <v>114</v>
      </c>
      <c r="I256" s="22" t="s">
        <v>25</v>
      </c>
      <c r="J256" s="29" t="s">
        <v>115</v>
      </c>
      <c r="K256" s="29" t="s">
        <v>160</v>
      </c>
      <c r="L256" s="29" t="s">
        <v>28</v>
      </c>
      <c r="P256" s="30">
        <v>45630</v>
      </c>
      <c r="Q256" s="30">
        <v>45632</v>
      </c>
      <c r="R256" s="22" t="s">
        <v>29</v>
      </c>
      <c r="S256" s="29" t="s">
        <v>30</v>
      </c>
      <c r="T256" s="22" t="s">
        <v>49</v>
      </c>
      <c r="U256" s="25" t="s">
        <v>32</v>
      </c>
      <c r="V256" s="22" t="s">
        <v>117</v>
      </c>
      <c r="W256" s="32" t="s">
        <v>34</v>
      </c>
    </row>
    <row r="257" spans="1:23">
      <c r="A257" s="22" t="s">
        <v>722</v>
      </c>
      <c r="B257" s="25">
        <f>VLOOKUP(A257,[1]ProjectsResults!$D:$E,2,FALSE)</f>
        <v>10171</v>
      </c>
      <c r="C257" s="22">
        <f>VLOOKUP(A257,[2]Sheet2!$D:$E,2,FALSE)</f>
        <v>8948</v>
      </c>
      <c r="D257" s="22">
        <v>8948</v>
      </c>
      <c r="E257" s="22">
        <f>VLOOKUP(A257,[3]Sheet2!$A:$F,6,FALSE)</f>
        <v>1549175</v>
      </c>
      <c r="G257" s="22" t="s">
        <v>723</v>
      </c>
      <c r="H257" s="22" t="s">
        <v>724</v>
      </c>
      <c r="I257" s="22" t="s">
        <v>25</v>
      </c>
      <c r="J257" s="29" t="s">
        <v>168</v>
      </c>
      <c r="K257" s="29" t="s">
        <v>494</v>
      </c>
      <c r="L257" s="29" t="s">
        <v>28</v>
      </c>
      <c r="P257" s="30">
        <v>45631</v>
      </c>
      <c r="Q257" s="30">
        <v>45631</v>
      </c>
      <c r="R257" s="22" t="s">
        <v>29</v>
      </c>
      <c r="S257" s="29" t="s">
        <v>30</v>
      </c>
      <c r="T257" s="22" t="s">
        <v>31</v>
      </c>
      <c r="U257" s="25" t="s">
        <v>32</v>
      </c>
      <c r="V257" s="22" t="s">
        <v>33</v>
      </c>
      <c r="W257" s="32" t="s">
        <v>34</v>
      </c>
    </row>
    <row r="258" spans="1:23">
      <c r="A258" s="22" t="s">
        <v>725</v>
      </c>
      <c r="B258" s="25">
        <f>VLOOKUP(A258,[1]ProjectsResults!$D:$E,2,FALSE)</f>
        <v>10172</v>
      </c>
      <c r="C258" s="22">
        <f>VLOOKUP(A258,[2]Sheet2!$D:$E,2,FALSE)</f>
        <v>8949</v>
      </c>
      <c r="D258" s="22">
        <v>8949</v>
      </c>
      <c r="E258" s="22">
        <f>VLOOKUP(A258,[3]Sheet2!$A:$F,6,FALSE)</f>
        <v>1303397</v>
      </c>
      <c r="G258" s="22" t="s">
        <v>726</v>
      </c>
      <c r="H258" s="22" t="s">
        <v>317</v>
      </c>
      <c r="I258" s="22" t="s">
        <v>25</v>
      </c>
      <c r="J258" s="29" t="s">
        <v>271</v>
      </c>
      <c r="K258" s="29" t="s">
        <v>272</v>
      </c>
      <c r="L258" s="29" t="s">
        <v>28</v>
      </c>
      <c r="P258" s="30">
        <v>45629</v>
      </c>
      <c r="Q258" s="30">
        <v>45629</v>
      </c>
      <c r="R258" s="22" t="s">
        <v>29</v>
      </c>
      <c r="S258" s="29" t="s">
        <v>30</v>
      </c>
      <c r="T258" s="22" t="s">
        <v>74</v>
      </c>
      <c r="U258" s="25" t="s">
        <v>32</v>
      </c>
      <c r="V258" s="22" t="s">
        <v>75</v>
      </c>
      <c r="W258" s="32" t="s">
        <v>34</v>
      </c>
    </row>
    <row r="259" spans="1:23">
      <c r="A259" s="22" t="s">
        <v>727</v>
      </c>
      <c r="B259" s="25">
        <f>VLOOKUP(A259,[1]ProjectsResults!$D:$E,2,FALSE)</f>
        <v>10173</v>
      </c>
      <c r="C259" s="22">
        <f>VLOOKUP(A259,[2]Sheet2!$D:$E,2,FALSE)</f>
        <v>8950</v>
      </c>
      <c r="D259" s="22">
        <v>8950</v>
      </c>
      <c r="E259" s="22">
        <f>VLOOKUP(A259,[3]Sheet2!$A:$F,6,FALSE)</f>
        <v>168300</v>
      </c>
      <c r="G259" s="22" t="s">
        <v>563</v>
      </c>
      <c r="H259" s="22" t="s">
        <v>114</v>
      </c>
      <c r="I259" s="22" t="s">
        <v>25</v>
      </c>
      <c r="J259" s="29" t="s">
        <v>115</v>
      </c>
      <c r="K259" s="29" t="s">
        <v>160</v>
      </c>
      <c r="L259" s="29" t="s">
        <v>28</v>
      </c>
      <c r="P259" s="30">
        <v>45631</v>
      </c>
      <c r="Q259" s="30">
        <v>45631</v>
      </c>
      <c r="R259" s="22" t="s">
        <v>29</v>
      </c>
      <c r="S259" s="29" t="s">
        <v>30</v>
      </c>
      <c r="T259" s="22" t="s">
        <v>49</v>
      </c>
      <c r="U259" s="25" t="s">
        <v>32</v>
      </c>
      <c r="V259" s="22" t="s">
        <v>117</v>
      </c>
      <c r="W259" s="32" t="s">
        <v>34</v>
      </c>
    </row>
    <row r="260" spans="1:23">
      <c r="A260" s="22" t="s">
        <v>728</v>
      </c>
      <c r="B260" s="25">
        <f>VLOOKUP(A260,[1]ProjectsResults!$D:$E,2,FALSE)</f>
        <v>10174</v>
      </c>
      <c r="C260" s="22">
        <f>VLOOKUP(A260,[2]Sheet2!$D:$E,2,FALSE)</f>
        <v>8951</v>
      </c>
      <c r="D260" s="22">
        <v>8951</v>
      </c>
      <c r="E260" s="22">
        <f>VLOOKUP(A260,[3]Sheet2!$A:$F,6,FALSE)</f>
        <v>414964.73</v>
      </c>
      <c r="G260" s="22" t="s">
        <v>729</v>
      </c>
      <c r="H260" s="22" t="s">
        <v>65</v>
      </c>
      <c r="I260" s="22" t="s">
        <v>25</v>
      </c>
      <c r="J260" s="29" t="s">
        <v>47</v>
      </c>
      <c r="K260" s="29" t="s">
        <v>66</v>
      </c>
      <c r="L260" s="29" t="s">
        <v>28</v>
      </c>
      <c r="P260" s="30">
        <v>45628</v>
      </c>
      <c r="Q260" s="30">
        <v>45747</v>
      </c>
      <c r="R260" s="22" t="s">
        <v>29</v>
      </c>
      <c r="S260" s="29" t="s">
        <v>30</v>
      </c>
      <c r="T260" s="22" t="s">
        <v>49</v>
      </c>
      <c r="U260" s="25" t="s">
        <v>32</v>
      </c>
      <c r="V260" s="22" t="s">
        <v>50</v>
      </c>
      <c r="W260" s="32" t="s">
        <v>34</v>
      </c>
    </row>
    <row r="261" spans="1:23">
      <c r="A261" s="22" t="s">
        <v>730</v>
      </c>
      <c r="B261" s="25">
        <f>VLOOKUP(A261,[1]ProjectsResults!$D:$E,2,FALSE)</f>
        <v>10175</v>
      </c>
      <c r="C261" s="22">
        <f>VLOOKUP(A261,[2]Sheet2!$D:$E,2,FALSE)</f>
        <v>8952</v>
      </c>
      <c r="D261" s="22">
        <v>8952</v>
      </c>
      <c r="E261" s="22">
        <f>VLOOKUP(A261,[3]Sheet2!$A:$F,6,FALSE)</f>
        <v>1934874</v>
      </c>
      <c r="G261" s="22" t="s">
        <v>731</v>
      </c>
      <c r="H261" s="22" t="s">
        <v>732</v>
      </c>
      <c r="I261" s="22" t="s">
        <v>25</v>
      </c>
      <c r="J261" s="29" t="s">
        <v>250</v>
      </c>
      <c r="K261" s="29" t="s">
        <v>525</v>
      </c>
      <c r="L261" s="29" t="s">
        <v>28</v>
      </c>
      <c r="P261" s="30">
        <v>45631</v>
      </c>
      <c r="Q261" s="30">
        <v>45631</v>
      </c>
      <c r="R261" s="22" t="s">
        <v>29</v>
      </c>
      <c r="S261" s="29" t="s">
        <v>30</v>
      </c>
      <c r="T261" s="22" t="s">
        <v>31</v>
      </c>
      <c r="U261" s="25" t="s">
        <v>32</v>
      </c>
      <c r="V261" s="22" t="s">
        <v>33</v>
      </c>
      <c r="W261" s="32" t="s">
        <v>34</v>
      </c>
    </row>
    <row r="262" spans="1:23">
      <c r="A262" s="22" t="s">
        <v>733</v>
      </c>
      <c r="B262" s="25">
        <f>VLOOKUP(A262,[1]ProjectsResults!$D:$E,2,FALSE)</f>
        <v>10176</v>
      </c>
      <c r="C262" s="22">
        <f>VLOOKUP(A262,[2]Sheet2!$D:$E,2,FALSE)</f>
        <v>8953</v>
      </c>
      <c r="D262" s="22">
        <v>8953</v>
      </c>
      <c r="E262" s="22">
        <f>VLOOKUP(A262,[3]Sheet2!$A:$F,6,FALSE)</f>
        <v>15123187</v>
      </c>
      <c r="G262" s="22" t="s">
        <v>734</v>
      </c>
      <c r="H262" s="22" t="s">
        <v>249</v>
      </c>
      <c r="I262" s="22" t="s">
        <v>25</v>
      </c>
      <c r="J262" s="29" t="s">
        <v>250</v>
      </c>
      <c r="K262" s="29" t="s">
        <v>183</v>
      </c>
      <c r="L262" s="29" t="s">
        <v>28</v>
      </c>
      <c r="P262" s="30">
        <v>45632</v>
      </c>
      <c r="Q262" s="30">
        <v>45632</v>
      </c>
      <c r="R262" s="22" t="s">
        <v>29</v>
      </c>
      <c r="S262" s="29" t="s">
        <v>30</v>
      </c>
      <c r="T262" s="22" t="s">
        <v>31</v>
      </c>
      <c r="U262" s="25" t="s">
        <v>32</v>
      </c>
      <c r="V262" s="22" t="s">
        <v>33</v>
      </c>
      <c r="W262" s="32" t="s">
        <v>34</v>
      </c>
    </row>
    <row r="263" spans="1:23">
      <c r="A263" s="22" t="s">
        <v>735</v>
      </c>
      <c r="B263" s="25">
        <f>VLOOKUP(A263,[1]ProjectsResults!$D:$E,2,FALSE)</f>
        <v>10177</v>
      </c>
      <c r="C263" s="22">
        <f>VLOOKUP(A263,[2]Sheet2!$D:$E,2,FALSE)</f>
        <v>9353</v>
      </c>
      <c r="D263" s="22">
        <v>9353</v>
      </c>
      <c r="E263" s="22">
        <f>VLOOKUP(A263,[3]Sheet2!$A:$F,6,FALSE)</f>
        <v>21500</v>
      </c>
      <c r="G263" s="22" t="s">
        <v>736</v>
      </c>
      <c r="H263" s="22" t="s">
        <v>159</v>
      </c>
      <c r="I263" s="22" t="s">
        <v>25</v>
      </c>
      <c r="J263" s="29" t="s">
        <v>115</v>
      </c>
      <c r="K263" s="29" t="s">
        <v>160</v>
      </c>
      <c r="L263" s="29" t="s">
        <v>28</v>
      </c>
      <c r="P263" s="30">
        <v>45631</v>
      </c>
      <c r="Q263" s="30">
        <v>45631</v>
      </c>
      <c r="R263" s="22" t="s">
        <v>29</v>
      </c>
      <c r="S263" s="29" t="s">
        <v>30</v>
      </c>
      <c r="T263" s="22" t="s">
        <v>49</v>
      </c>
      <c r="U263" s="25" t="s">
        <v>32</v>
      </c>
      <c r="V263" s="22" t="s">
        <v>117</v>
      </c>
      <c r="W263" s="32" t="s">
        <v>34</v>
      </c>
    </row>
    <row r="264" spans="1:23">
      <c r="A264" s="22" t="s">
        <v>737</v>
      </c>
      <c r="B264" s="25">
        <f>VLOOKUP(A264,[1]ProjectsResults!$D:$E,2,FALSE)</f>
        <v>10178</v>
      </c>
      <c r="C264" s="22">
        <f>VLOOKUP(A264,[2]Sheet2!$D:$E,2,FALSE)</f>
        <v>8954</v>
      </c>
      <c r="D264" s="22">
        <v>8954</v>
      </c>
      <c r="E264" s="22">
        <f>VLOOKUP(A264,[3]Sheet2!$A:$F,6,FALSE)</f>
        <v>1186119</v>
      </c>
      <c r="G264" s="22" t="s">
        <v>738</v>
      </c>
      <c r="H264" s="22" t="s">
        <v>317</v>
      </c>
      <c r="I264" s="22" t="s">
        <v>25</v>
      </c>
      <c r="J264" s="29" t="s">
        <v>47</v>
      </c>
      <c r="K264" s="29" t="s">
        <v>66</v>
      </c>
      <c r="L264" s="29" t="s">
        <v>28</v>
      </c>
      <c r="P264" s="30">
        <v>45633</v>
      </c>
      <c r="Q264" s="30">
        <v>45633</v>
      </c>
      <c r="R264" s="22" t="s">
        <v>29</v>
      </c>
      <c r="S264" s="29" t="s">
        <v>30</v>
      </c>
      <c r="T264" s="22" t="s">
        <v>49</v>
      </c>
      <c r="U264" s="25" t="s">
        <v>32</v>
      </c>
      <c r="V264" s="22" t="s">
        <v>50</v>
      </c>
      <c r="W264" s="32" t="s">
        <v>34</v>
      </c>
    </row>
    <row r="265" spans="1:23">
      <c r="A265" s="22" t="s">
        <v>739</v>
      </c>
      <c r="B265" s="25">
        <f>VLOOKUP(A265,[1]ProjectsResults!$D:$E,2,FALSE)</f>
        <v>10179</v>
      </c>
      <c r="C265" s="22">
        <f>VLOOKUP(A265,[2]Sheet2!$D:$E,2,FALSE)</f>
        <v>8955</v>
      </c>
      <c r="D265" s="22">
        <v>8955</v>
      </c>
      <c r="E265" s="22">
        <f>VLOOKUP(A265,[3]Sheet2!$A:$F,6,FALSE)</f>
        <v>1320000</v>
      </c>
      <c r="G265" s="22" t="s">
        <v>740</v>
      </c>
      <c r="H265" s="22" t="s">
        <v>741</v>
      </c>
      <c r="I265" s="22" t="s">
        <v>25</v>
      </c>
      <c r="J265" s="29" t="s">
        <v>168</v>
      </c>
      <c r="K265" s="29" t="s">
        <v>328</v>
      </c>
      <c r="L265" s="29" t="s">
        <v>28</v>
      </c>
      <c r="P265" s="30">
        <v>45633</v>
      </c>
      <c r="Q265" s="30">
        <v>45633</v>
      </c>
      <c r="R265" s="22" t="s">
        <v>29</v>
      </c>
      <c r="S265" s="29" t="s">
        <v>30</v>
      </c>
      <c r="T265" s="22" t="s">
        <v>31</v>
      </c>
      <c r="U265" s="25" t="s">
        <v>32</v>
      </c>
      <c r="V265" s="22" t="s">
        <v>33</v>
      </c>
      <c r="W265" s="32" t="s">
        <v>34</v>
      </c>
    </row>
    <row r="266" spans="1:23">
      <c r="A266" s="22" t="s">
        <v>742</v>
      </c>
      <c r="B266" s="25">
        <f>VLOOKUP(A266,[1]ProjectsResults!$D:$E,2,FALSE)</f>
        <v>10180</v>
      </c>
      <c r="C266" s="22">
        <f>VLOOKUP(A266,[2]Sheet2!$D:$E,2,FALSE)</f>
        <v>8956</v>
      </c>
      <c r="D266" s="22">
        <v>8956</v>
      </c>
      <c r="E266" s="22">
        <f>VLOOKUP(A266,[3]Sheet2!$A:$F,6,FALSE)</f>
        <v>715000</v>
      </c>
      <c r="G266" s="22" t="s">
        <v>743</v>
      </c>
      <c r="H266" s="22" t="s">
        <v>348</v>
      </c>
      <c r="I266" s="22" t="s">
        <v>25</v>
      </c>
      <c r="J266" s="29" t="s">
        <v>168</v>
      </c>
      <c r="K266" s="29" t="s">
        <v>328</v>
      </c>
      <c r="L266" s="29" t="s">
        <v>28</v>
      </c>
      <c r="P266" s="30">
        <v>45630</v>
      </c>
      <c r="Q266" s="30">
        <v>45630</v>
      </c>
      <c r="R266" s="22" t="s">
        <v>29</v>
      </c>
      <c r="S266" s="29" t="s">
        <v>30</v>
      </c>
      <c r="T266" s="22" t="s">
        <v>31</v>
      </c>
      <c r="U266" s="25" t="s">
        <v>32</v>
      </c>
      <c r="V266" s="22" t="s">
        <v>33</v>
      </c>
      <c r="W266" s="32" t="s">
        <v>34</v>
      </c>
    </row>
    <row r="267" spans="1:23">
      <c r="A267" s="22" t="s">
        <v>744</v>
      </c>
      <c r="B267" s="25">
        <f>VLOOKUP(A267,[1]ProjectsResults!$D:$E,2,FALSE)</f>
        <v>10181</v>
      </c>
      <c r="C267" s="22">
        <f>VLOOKUP(A267,[2]Sheet2!$D:$E,2,FALSE)</f>
        <v>8957</v>
      </c>
      <c r="D267" s="22">
        <v>8957</v>
      </c>
      <c r="E267" s="22">
        <f>VLOOKUP(A267,[3]Sheet2!$A:$F,6,FALSE)</f>
        <v>235294.5</v>
      </c>
      <c r="G267" s="22" t="s">
        <v>745</v>
      </c>
      <c r="H267" s="22" t="s">
        <v>232</v>
      </c>
      <c r="I267" s="22" t="s">
        <v>25</v>
      </c>
      <c r="J267" s="29" t="s">
        <v>115</v>
      </c>
      <c r="K267" s="29" t="s">
        <v>591</v>
      </c>
      <c r="L267" s="29" t="s">
        <v>28</v>
      </c>
      <c r="P267" s="30">
        <v>45638</v>
      </c>
      <c r="Q267" s="30">
        <v>45638</v>
      </c>
      <c r="R267" s="22" t="s">
        <v>29</v>
      </c>
      <c r="S267" s="29" t="s">
        <v>30</v>
      </c>
      <c r="T267" s="22" t="s">
        <v>49</v>
      </c>
      <c r="U267" s="25" t="s">
        <v>32</v>
      </c>
      <c r="V267" s="22" t="s">
        <v>117</v>
      </c>
      <c r="W267" s="32" t="s">
        <v>34</v>
      </c>
    </row>
    <row r="268" spans="1:23">
      <c r="A268" s="22" t="s">
        <v>746</v>
      </c>
      <c r="B268" s="25">
        <f>VLOOKUP(A268,[1]ProjectsResults!$D:$E,2,FALSE)</f>
        <v>10182</v>
      </c>
      <c r="C268" s="22">
        <f>VLOOKUP(A268,[2]Sheet2!$D:$E,2,FALSE)</f>
        <v>9574</v>
      </c>
      <c r="D268" s="22">
        <v>9574</v>
      </c>
      <c r="E268" s="22">
        <f>VLOOKUP(A268,[3]Sheet2!$A:$F,6,FALSE)</f>
        <v>2319150</v>
      </c>
      <c r="G268" s="22" t="s">
        <v>747</v>
      </c>
      <c r="H268" s="22" t="s">
        <v>748</v>
      </c>
      <c r="I268" s="22" t="s">
        <v>25</v>
      </c>
      <c r="J268" s="29" t="s">
        <v>115</v>
      </c>
      <c r="K268" s="29" t="s">
        <v>356</v>
      </c>
      <c r="L268" s="29" t="s">
        <v>28</v>
      </c>
      <c r="P268" s="30">
        <v>45633</v>
      </c>
      <c r="Q268" s="30">
        <v>45633</v>
      </c>
      <c r="R268" s="22" t="s">
        <v>29</v>
      </c>
      <c r="S268" s="29" t="s">
        <v>30</v>
      </c>
      <c r="T268" s="22" t="s">
        <v>49</v>
      </c>
      <c r="U268" s="25" t="s">
        <v>32</v>
      </c>
      <c r="V268" s="22" t="s">
        <v>117</v>
      </c>
      <c r="W268" s="32" t="s">
        <v>34</v>
      </c>
    </row>
    <row r="269" spans="1:23">
      <c r="A269" s="22" t="s">
        <v>749</v>
      </c>
      <c r="B269" s="25">
        <f>VLOOKUP(A269,[1]ProjectsResults!$D:$E,2,FALSE)</f>
        <v>10183</v>
      </c>
      <c r="C269" s="22">
        <f>VLOOKUP(A269,[2]Sheet2!$D:$E,2,FALSE)</f>
        <v>9702</v>
      </c>
      <c r="D269" s="22">
        <v>9702</v>
      </c>
      <c r="E269" s="22">
        <f>VLOOKUP(A269,[3]Sheet2!$A:$F,6,FALSE)</f>
        <v>7700</v>
      </c>
      <c r="G269" s="22" t="s">
        <v>750</v>
      </c>
      <c r="H269" s="22" t="s">
        <v>751</v>
      </c>
      <c r="I269" s="22" t="s">
        <v>25</v>
      </c>
      <c r="J269" s="29" t="s">
        <v>115</v>
      </c>
      <c r="K269" s="29" t="s">
        <v>591</v>
      </c>
      <c r="L269" s="29" t="s">
        <v>28</v>
      </c>
      <c r="P269" s="30">
        <v>45636</v>
      </c>
      <c r="Q269" s="30">
        <v>45636</v>
      </c>
      <c r="R269" s="22" t="s">
        <v>29</v>
      </c>
      <c r="S269" s="29" t="s">
        <v>30</v>
      </c>
      <c r="T269" s="22" t="s">
        <v>49</v>
      </c>
      <c r="U269" s="25" t="s">
        <v>32</v>
      </c>
      <c r="V269" s="22" t="s">
        <v>117</v>
      </c>
      <c r="W269" s="32" t="s">
        <v>34</v>
      </c>
    </row>
    <row r="270" spans="1:23">
      <c r="A270" s="22" t="s">
        <v>752</v>
      </c>
      <c r="B270" s="25">
        <f>VLOOKUP(A270,[1]ProjectsResults!$D:$E,2,FALSE)</f>
        <v>10184</v>
      </c>
      <c r="C270" s="22">
        <f>VLOOKUP(A270,[2]Sheet2!$D:$E,2,FALSE)</f>
        <v>8958</v>
      </c>
      <c r="D270" s="22">
        <v>8958</v>
      </c>
      <c r="E270" s="22">
        <f>VLOOKUP(A270,[3]Sheet2!$A:$F,6,FALSE)</f>
        <v>107800</v>
      </c>
      <c r="G270" s="22" t="s">
        <v>753</v>
      </c>
      <c r="H270" s="22" t="s">
        <v>58</v>
      </c>
      <c r="I270" s="22" t="s">
        <v>25</v>
      </c>
      <c r="J270" s="29" t="s">
        <v>47</v>
      </c>
      <c r="K270" s="29" t="s">
        <v>337</v>
      </c>
      <c r="L270" s="29" t="s">
        <v>28</v>
      </c>
      <c r="P270" s="30">
        <v>45632</v>
      </c>
      <c r="Q270" s="30">
        <v>45632</v>
      </c>
      <c r="R270" s="22" t="s">
        <v>29</v>
      </c>
      <c r="S270" s="29" t="s">
        <v>30</v>
      </c>
      <c r="T270" s="22" t="s">
        <v>49</v>
      </c>
      <c r="U270" s="25" t="s">
        <v>32</v>
      </c>
      <c r="V270" s="22" t="s">
        <v>50</v>
      </c>
      <c r="W270" s="32" t="s">
        <v>34</v>
      </c>
    </row>
    <row r="271" spans="1:23">
      <c r="A271" s="22" t="s">
        <v>754</v>
      </c>
      <c r="B271" s="25">
        <f>VLOOKUP(A271,[1]ProjectsResults!$D:$E,2,FALSE)</f>
        <v>10185</v>
      </c>
      <c r="C271" s="22">
        <f>VLOOKUP(A271,[2]Sheet2!$D:$E,2,FALSE)</f>
        <v>8959</v>
      </c>
      <c r="D271" s="22">
        <v>8959</v>
      </c>
      <c r="E271" s="22">
        <f>VLOOKUP(A271,[3]Sheet2!$A:$F,6,FALSE)</f>
        <v>139700</v>
      </c>
      <c r="G271" s="22" t="s">
        <v>755</v>
      </c>
      <c r="H271" s="22" t="s">
        <v>396</v>
      </c>
      <c r="I271" s="22" t="s">
        <v>25</v>
      </c>
      <c r="J271" s="29" t="s">
        <v>115</v>
      </c>
      <c r="K271" s="29" t="s">
        <v>591</v>
      </c>
      <c r="L271" s="29" t="s">
        <v>28</v>
      </c>
      <c r="P271" s="30">
        <v>45632</v>
      </c>
      <c r="Q271" s="30">
        <v>45632</v>
      </c>
      <c r="R271" s="22" t="s">
        <v>29</v>
      </c>
      <c r="S271" s="29" t="s">
        <v>30</v>
      </c>
      <c r="T271" s="22" t="s">
        <v>49</v>
      </c>
      <c r="U271" s="25" t="s">
        <v>32</v>
      </c>
      <c r="V271" s="22" t="s">
        <v>117</v>
      </c>
      <c r="W271" s="32" t="s">
        <v>34</v>
      </c>
    </row>
    <row r="272" spans="1:23">
      <c r="A272" s="22" t="s">
        <v>756</v>
      </c>
      <c r="B272" s="25">
        <f>VLOOKUP(A272,[1]ProjectsResults!$D:$E,2,FALSE)</f>
        <v>10186</v>
      </c>
      <c r="C272" s="22">
        <f>VLOOKUP(A272,[2]Sheet2!$D:$E,2,FALSE)</f>
        <v>8960</v>
      </c>
      <c r="D272" s="22">
        <v>8960</v>
      </c>
      <c r="E272" s="22">
        <f>VLOOKUP(A272,[3]Sheet2!$A:$F,6,FALSE)</f>
        <v>1270000</v>
      </c>
      <c r="G272" s="22" t="s">
        <v>757</v>
      </c>
      <c r="H272" s="22" t="s">
        <v>102</v>
      </c>
      <c r="I272" s="22" t="s">
        <v>25</v>
      </c>
      <c r="J272" s="29" t="s">
        <v>38</v>
      </c>
      <c r="K272" s="29" t="s">
        <v>38</v>
      </c>
      <c r="L272" s="29" t="s">
        <v>28</v>
      </c>
      <c r="P272" s="30">
        <v>45650</v>
      </c>
      <c r="Q272" s="30">
        <v>45650</v>
      </c>
      <c r="R272" s="22" t="s">
        <v>29</v>
      </c>
      <c r="S272" s="29" t="s">
        <v>30</v>
      </c>
      <c r="T272" s="22" t="s">
        <v>31</v>
      </c>
      <c r="U272" s="25" t="s">
        <v>32</v>
      </c>
      <c r="V272" s="22" t="s">
        <v>33</v>
      </c>
      <c r="W272" s="32" t="s">
        <v>34</v>
      </c>
    </row>
    <row r="273" spans="1:23">
      <c r="A273" s="22" t="s">
        <v>758</v>
      </c>
      <c r="B273" s="25">
        <f>VLOOKUP(A273,[1]ProjectsResults!$D:$E,2,FALSE)</f>
        <v>10187</v>
      </c>
      <c r="C273" s="22">
        <f>VLOOKUP(A273,[2]Sheet2!$D:$E,2,FALSE)</f>
        <v>8961</v>
      </c>
      <c r="D273" s="22">
        <v>8961</v>
      </c>
      <c r="E273" s="22">
        <f>VLOOKUP(A273,[3]Sheet2!$A:$F,6,FALSE)</f>
        <v>507000</v>
      </c>
      <c r="G273" s="22" t="s">
        <v>759</v>
      </c>
      <c r="H273" s="22" t="s">
        <v>102</v>
      </c>
      <c r="I273" s="22" t="s">
        <v>25</v>
      </c>
      <c r="J273" s="29" t="s">
        <v>38</v>
      </c>
      <c r="K273" s="29" t="s">
        <v>38</v>
      </c>
      <c r="L273" s="29" t="s">
        <v>28</v>
      </c>
      <c r="P273" s="30">
        <v>45682</v>
      </c>
      <c r="Q273" s="30">
        <v>45682</v>
      </c>
      <c r="R273" s="22" t="s">
        <v>29</v>
      </c>
      <c r="S273" s="29" t="s">
        <v>30</v>
      </c>
      <c r="T273" s="22" t="s">
        <v>31</v>
      </c>
      <c r="U273" s="25" t="s">
        <v>32</v>
      </c>
      <c r="V273" s="22" t="s">
        <v>33</v>
      </c>
      <c r="W273" s="32" t="s">
        <v>34</v>
      </c>
    </row>
    <row r="274" spans="1:23">
      <c r="A274" s="22" t="s">
        <v>760</v>
      </c>
      <c r="B274" s="25">
        <f>VLOOKUP(A274,[1]ProjectsResults!$D:$E,2,FALSE)</f>
        <v>10188</v>
      </c>
      <c r="C274" s="22">
        <f>VLOOKUP(A274,[2]Sheet2!$D:$E,2,FALSE)</f>
        <v>8962</v>
      </c>
      <c r="D274" s="22">
        <v>8962</v>
      </c>
      <c r="E274" s="22">
        <f>VLOOKUP(A274,[3]Sheet2!$A:$F,6,FALSE)</f>
        <v>1486322.2</v>
      </c>
      <c r="G274" s="22" t="s">
        <v>761</v>
      </c>
      <c r="H274" s="22" t="s">
        <v>420</v>
      </c>
      <c r="I274" s="22" t="s">
        <v>25</v>
      </c>
      <c r="J274" s="29" t="s">
        <v>47</v>
      </c>
      <c r="K274" s="29" t="s">
        <v>227</v>
      </c>
      <c r="L274" s="29" t="s">
        <v>28</v>
      </c>
      <c r="P274" s="30">
        <v>45635</v>
      </c>
      <c r="Q274" s="30">
        <v>45635</v>
      </c>
      <c r="R274" s="22" t="s">
        <v>29</v>
      </c>
      <c r="S274" s="29" t="s">
        <v>30</v>
      </c>
      <c r="T274" s="22" t="s">
        <v>49</v>
      </c>
      <c r="U274" s="25" t="s">
        <v>32</v>
      </c>
      <c r="V274" s="22" t="s">
        <v>50</v>
      </c>
      <c r="W274" s="32" t="s">
        <v>34</v>
      </c>
    </row>
    <row r="275" spans="1:23">
      <c r="A275" s="22" t="s">
        <v>762</v>
      </c>
      <c r="B275" s="25">
        <f>VLOOKUP(A275,[1]ProjectsResults!$D:$E,2,FALSE)</f>
        <v>10189</v>
      </c>
      <c r="C275" s="22">
        <f>VLOOKUP(A275,[2]Sheet2!$D:$E,2,FALSE)</f>
        <v>9575</v>
      </c>
      <c r="D275" s="22">
        <v>9575</v>
      </c>
      <c r="E275" s="22">
        <f>VLOOKUP(A275,[3]Sheet2!$A:$F,6,FALSE)</f>
        <v>264000</v>
      </c>
      <c r="G275" s="22" t="s">
        <v>763</v>
      </c>
      <c r="H275" s="22" t="s">
        <v>764</v>
      </c>
      <c r="I275" s="22" t="s">
        <v>25</v>
      </c>
      <c r="J275" s="29" t="s">
        <v>209</v>
      </c>
      <c r="K275" s="29" t="s">
        <v>210</v>
      </c>
      <c r="L275" s="29" t="s">
        <v>28</v>
      </c>
      <c r="P275" s="30">
        <v>45635</v>
      </c>
      <c r="Q275" s="30">
        <v>45636</v>
      </c>
      <c r="R275" s="22" t="s">
        <v>29</v>
      </c>
      <c r="S275" s="29" t="s">
        <v>30</v>
      </c>
      <c r="T275" s="22" t="s">
        <v>31</v>
      </c>
      <c r="U275" s="25" t="s">
        <v>211</v>
      </c>
      <c r="V275" s="22" t="s">
        <v>33</v>
      </c>
      <c r="W275" s="32" t="s">
        <v>34</v>
      </c>
    </row>
    <row r="276" spans="1:23">
      <c r="A276" s="22" t="s">
        <v>765</v>
      </c>
      <c r="B276" s="25">
        <f>VLOOKUP(A276,[1]ProjectsResults!$D:$E,2,FALSE)</f>
        <v>10190</v>
      </c>
      <c r="C276" s="22">
        <f>VLOOKUP(A276,[2]Sheet2!$D:$E,2,FALSE)</f>
        <v>9354</v>
      </c>
      <c r="D276" s="22">
        <v>9354</v>
      </c>
      <c r="E276" s="22">
        <f>VLOOKUP(A276,[3]Sheet2!$A:$F,6,FALSE)</f>
        <v>107296.29</v>
      </c>
      <c r="G276" s="22" t="s">
        <v>766</v>
      </c>
      <c r="H276" s="22" t="s">
        <v>159</v>
      </c>
      <c r="I276" s="22" t="s">
        <v>25</v>
      </c>
      <c r="J276" s="29" t="s">
        <v>115</v>
      </c>
      <c r="K276" s="29" t="s">
        <v>591</v>
      </c>
      <c r="L276" s="29" t="s">
        <v>28</v>
      </c>
      <c r="P276" s="30">
        <v>45633</v>
      </c>
      <c r="Q276" s="30">
        <v>45636</v>
      </c>
      <c r="R276" s="22" t="s">
        <v>29</v>
      </c>
      <c r="S276" s="29" t="s">
        <v>30</v>
      </c>
      <c r="T276" s="22" t="s">
        <v>49</v>
      </c>
      <c r="U276" s="25" t="s">
        <v>32</v>
      </c>
      <c r="V276" s="22" t="s">
        <v>117</v>
      </c>
      <c r="W276" s="32" t="s">
        <v>34</v>
      </c>
    </row>
    <row r="277" spans="1:23">
      <c r="A277" s="22" t="s">
        <v>767</v>
      </c>
      <c r="B277" s="25">
        <f>VLOOKUP(A277,[1]ProjectsResults!$D:$E,2,FALSE)</f>
        <v>10191</v>
      </c>
      <c r="C277" s="22">
        <f>VLOOKUP(A277,[2]Sheet2!$D:$E,2,FALSE)</f>
        <v>8963</v>
      </c>
      <c r="D277" s="22">
        <v>8963</v>
      </c>
      <c r="E277" s="22">
        <f>VLOOKUP(A277,[3]Sheet2!$A:$F,6,FALSE)</f>
        <v>2663421.28</v>
      </c>
      <c r="G277" s="22" t="s">
        <v>768</v>
      </c>
      <c r="H277" s="22" t="s">
        <v>769</v>
      </c>
      <c r="I277" s="22" t="s">
        <v>25</v>
      </c>
      <c r="J277" s="29" t="s">
        <v>47</v>
      </c>
      <c r="K277" s="29" t="s">
        <v>227</v>
      </c>
      <c r="L277" s="29" t="s">
        <v>28</v>
      </c>
      <c r="P277" s="30">
        <v>45639</v>
      </c>
      <c r="Q277" s="30">
        <v>45639</v>
      </c>
      <c r="R277" s="22" t="s">
        <v>29</v>
      </c>
      <c r="S277" s="29" t="s">
        <v>30</v>
      </c>
      <c r="T277" s="22" t="s">
        <v>49</v>
      </c>
      <c r="U277" s="25" t="s">
        <v>32</v>
      </c>
      <c r="V277" s="22" t="s">
        <v>50</v>
      </c>
      <c r="W277" s="32" t="s">
        <v>34</v>
      </c>
    </row>
    <row r="278" spans="1:23">
      <c r="A278" s="22" t="s">
        <v>770</v>
      </c>
      <c r="B278" s="25">
        <f>VLOOKUP(A278,[1]ProjectsResults!$D:$E,2,FALSE)</f>
        <v>10192</v>
      </c>
      <c r="C278" s="22">
        <f>VLOOKUP(A278,[2]Sheet2!$D:$E,2,FALSE)</f>
        <v>9576</v>
      </c>
      <c r="D278" s="22">
        <v>9576</v>
      </c>
      <c r="E278" s="22">
        <f>VLOOKUP(A278,[3]Sheet2!$A:$F,6,FALSE)</f>
        <v>1270843</v>
      </c>
      <c r="G278" s="22" t="s">
        <v>771</v>
      </c>
      <c r="H278" s="22" t="s">
        <v>772</v>
      </c>
      <c r="I278" s="22" t="s">
        <v>25</v>
      </c>
      <c r="J278" s="29" t="s">
        <v>47</v>
      </c>
      <c r="K278" s="29" t="s">
        <v>557</v>
      </c>
      <c r="L278" s="29" t="s">
        <v>28</v>
      </c>
      <c r="P278" s="30">
        <v>45633</v>
      </c>
      <c r="Q278" s="30">
        <v>45633</v>
      </c>
      <c r="R278" s="22" t="s">
        <v>29</v>
      </c>
      <c r="S278" s="29" t="s">
        <v>30</v>
      </c>
      <c r="T278" s="22" t="s">
        <v>49</v>
      </c>
      <c r="U278" s="25" t="s">
        <v>32</v>
      </c>
      <c r="V278" s="22" t="s">
        <v>50</v>
      </c>
      <c r="W278" s="32" t="s">
        <v>34</v>
      </c>
    </row>
    <row r="279" spans="1:23">
      <c r="A279" s="22" t="s">
        <v>773</v>
      </c>
      <c r="B279" s="25">
        <f>VLOOKUP(A279,[1]ProjectsResults!$D:$E,2,FALSE)</f>
        <v>10193</v>
      </c>
      <c r="C279" s="22">
        <f>VLOOKUP(A279,[2]Sheet2!$D:$E,2,FALSE)</f>
        <v>8964</v>
      </c>
      <c r="D279" s="22">
        <v>8964</v>
      </c>
      <c r="E279" s="22">
        <f>VLOOKUP(A279,[3]Sheet2!$A:$F,6,FALSE)</f>
        <v>116820</v>
      </c>
      <c r="G279" s="22" t="s">
        <v>774</v>
      </c>
      <c r="H279" s="22" t="s">
        <v>58</v>
      </c>
      <c r="I279" s="22" t="s">
        <v>25</v>
      </c>
      <c r="J279" s="29" t="s">
        <v>47</v>
      </c>
      <c r="K279" s="29" t="s">
        <v>48</v>
      </c>
      <c r="L279" s="29" t="s">
        <v>28</v>
      </c>
      <c r="P279" s="30">
        <v>45635</v>
      </c>
      <c r="Q279" s="30">
        <v>45636</v>
      </c>
      <c r="R279" s="22" t="s">
        <v>29</v>
      </c>
      <c r="S279" s="29" t="s">
        <v>30</v>
      </c>
      <c r="T279" s="22" t="s">
        <v>49</v>
      </c>
      <c r="U279" s="25" t="s">
        <v>32</v>
      </c>
      <c r="V279" s="22" t="s">
        <v>50</v>
      </c>
      <c r="W279" s="32" t="s">
        <v>34</v>
      </c>
    </row>
    <row r="280" spans="1:23">
      <c r="A280" s="22" t="s">
        <v>775</v>
      </c>
      <c r="B280" s="25">
        <f>VLOOKUP(A280,[1]ProjectsResults!$D:$E,2,FALSE)</f>
        <v>10194</v>
      </c>
      <c r="C280" s="22">
        <f>VLOOKUP(A280,[2]Sheet2!$D:$E,2,FALSE)</f>
        <v>8965</v>
      </c>
      <c r="D280" s="22">
        <v>8965</v>
      </c>
      <c r="E280" s="22">
        <f>VLOOKUP(A280,[3]Sheet2!$A:$F,6,FALSE)</f>
        <v>471790</v>
      </c>
      <c r="G280" s="22" t="s">
        <v>776</v>
      </c>
      <c r="H280" s="22" t="s">
        <v>114</v>
      </c>
      <c r="I280" s="22" t="s">
        <v>25</v>
      </c>
      <c r="J280" s="29" t="s">
        <v>115</v>
      </c>
      <c r="K280" s="29" t="s">
        <v>164</v>
      </c>
      <c r="L280" s="29" t="s">
        <v>28</v>
      </c>
      <c r="P280" s="30">
        <v>45635</v>
      </c>
      <c r="Q280" s="30">
        <v>45636</v>
      </c>
      <c r="R280" s="22" t="s">
        <v>29</v>
      </c>
      <c r="S280" s="29" t="s">
        <v>30</v>
      </c>
      <c r="T280" s="22" t="s">
        <v>49</v>
      </c>
      <c r="U280" s="25" t="s">
        <v>32</v>
      </c>
      <c r="V280" s="22" t="s">
        <v>117</v>
      </c>
      <c r="W280" s="32" t="s">
        <v>34</v>
      </c>
    </row>
    <row r="281" spans="1:23">
      <c r="A281" s="22" t="s">
        <v>777</v>
      </c>
      <c r="B281" s="25">
        <f>VLOOKUP(A281,[1]ProjectsResults!$D:$E,2,FALSE)</f>
        <v>10195</v>
      </c>
      <c r="C281" s="22">
        <f>VLOOKUP(A281,[2]Sheet2!$D:$E,2,FALSE)</f>
        <v>8966</v>
      </c>
      <c r="D281" s="22">
        <v>8966</v>
      </c>
      <c r="E281" s="22">
        <f>VLOOKUP(A281,[3]Sheet2!$A:$F,6,FALSE)</f>
        <v>983679</v>
      </c>
      <c r="G281" s="22" t="s">
        <v>778</v>
      </c>
      <c r="H281" s="22" t="s">
        <v>140</v>
      </c>
      <c r="I281" s="22" t="s">
        <v>25</v>
      </c>
      <c r="J281" s="29" t="s">
        <v>141</v>
      </c>
      <c r="K281" s="29" t="s">
        <v>141</v>
      </c>
      <c r="L281" s="29" t="s">
        <v>28</v>
      </c>
      <c r="P281" s="30">
        <v>45637</v>
      </c>
      <c r="Q281" s="30">
        <v>45637</v>
      </c>
      <c r="R281" s="22" t="s">
        <v>29</v>
      </c>
      <c r="S281" s="29" t="s">
        <v>30</v>
      </c>
      <c r="T281" s="22" t="s">
        <v>74</v>
      </c>
      <c r="U281" s="25" t="s">
        <v>32</v>
      </c>
      <c r="V281" s="22" t="s">
        <v>75</v>
      </c>
      <c r="W281" s="32" t="s">
        <v>34</v>
      </c>
    </row>
    <row r="282" spans="1:23">
      <c r="A282" s="22" t="s">
        <v>779</v>
      </c>
      <c r="B282" s="25">
        <f>VLOOKUP(A282,[1]ProjectsResults!$D:$E,2,FALSE)</f>
        <v>10196</v>
      </c>
      <c r="C282" s="22">
        <f>VLOOKUP(A282,[2]Sheet2!$D:$E,2,FALSE)</f>
        <v>8967</v>
      </c>
      <c r="D282" s="22">
        <v>8967</v>
      </c>
      <c r="E282" s="22">
        <f>VLOOKUP(A282,[3]Sheet2!$A:$F,6,FALSE)</f>
        <v>118360</v>
      </c>
      <c r="G282" s="22" t="s">
        <v>780</v>
      </c>
      <c r="H282" s="22" t="s">
        <v>781</v>
      </c>
      <c r="I282" s="22" t="s">
        <v>25</v>
      </c>
      <c r="J282" s="29" t="s">
        <v>47</v>
      </c>
      <c r="K282" s="29" t="s">
        <v>48</v>
      </c>
      <c r="L282" s="29" t="s">
        <v>28</v>
      </c>
      <c r="P282" s="30">
        <v>45636</v>
      </c>
      <c r="Q282" s="30">
        <v>45637</v>
      </c>
      <c r="R282" s="22" t="s">
        <v>29</v>
      </c>
      <c r="S282" s="29" t="s">
        <v>30</v>
      </c>
      <c r="T282" s="22" t="s">
        <v>49</v>
      </c>
      <c r="U282" s="25" t="s">
        <v>32</v>
      </c>
      <c r="V282" s="22" t="s">
        <v>50</v>
      </c>
      <c r="W282" s="32" t="s">
        <v>34</v>
      </c>
    </row>
    <row r="283" spans="1:23">
      <c r="A283" s="22" t="s">
        <v>782</v>
      </c>
      <c r="B283" s="25">
        <f>VLOOKUP(A283,[1]ProjectsResults!$D:$E,2,FALSE)</f>
        <v>10197</v>
      </c>
      <c r="C283" s="22">
        <f>VLOOKUP(A283,[2]Sheet2!$D:$E,2,FALSE)</f>
        <v>9703</v>
      </c>
      <c r="D283" s="22">
        <v>9703</v>
      </c>
      <c r="E283" s="22">
        <f>VLOOKUP(A283,[3]Sheet2!$A:$F,6,FALSE)</f>
        <v>1748353</v>
      </c>
      <c r="G283" s="22" t="s">
        <v>783</v>
      </c>
      <c r="H283" s="22" t="s">
        <v>784</v>
      </c>
      <c r="I283" s="22" t="s">
        <v>25</v>
      </c>
      <c r="J283" s="29" t="s">
        <v>141</v>
      </c>
      <c r="K283" s="29" t="s">
        <v>72</v>
      </c>
      <c r="L283" s="29" t="s">
        <v>28</v>
      </c>
      <c r="P283" s="30">
        <v>45643</v>
      </c>
      <c r="Q283" s="30">
        <v>45643</v>
      </c>
      <c r="R283" s="22" t="s">
        <v>29</v>
      </c>
      <c r="S283" s="29" t="s">
        <v>30</v>
      </c>
      <c r="T283" s="22" t="s">
        <v>74</v>
      </c>
      <c r="U283" s="25" t="s">
        <v>32</v>
      </c>
      <c r="V283" s="22" t="s">
        <v>75</v>
      </c>
      <c r="W283" s="32" t="s">
        <v>34</v>
      </c>
    </row>
    <row r="284" spans="1:23">
      <c r="A284" s="22" t="s">
        <v>785</v>
      </c>
      <c r="B284" s="25">
        <f>VLOOKUP(A284,[1]ProjectsResults!$D:$E,2,FALSE)</f>
        <v>10198</v>
      </c>
      <c r="C284" s="22">
        <f>VLOOKUP(A284,[2]Sheet2!$D:$E,2,FALSE)</f>
        <v>8968</v>
      </c>
      <c r="D284" s="22">
        <v>8968</v>
      </c>
      <c r="E284" s="22">
        <f>VLOOKUP(A284,[3]Sheet2!$A:$F,6,FALSE)</f>
        <v>29613</v>
      </c>
      <c r="G284" s="22" t="s">
        <v>786</v>
      </c>
      <c r="H284" s="22" t="s">
        <v>787</v>
      </c>
      <c r="I284" s="22" t="s">
        <v>25</v>
      </c>
      <c r="J284" s="29" t="s">
        <v>168</v>
      </c>
      <c r="K284" s="29" t="s">
        <v>169</v>
      </c>
      <c r="L284" s="29" t="s">
        <v>28</v>
      </c>
      <c r="P284" s="30">
        <v>45636</v>
      </c>
      <c r="Q284" s="30">
        <v>45636</v>
      </c>
      <c r="R284" s="22" t="s">
        <v>29</v>
      </c>
      <c r="S284" s="29" t="s">
        <v>30</v>
      </c>
      <c r="T284" s="22" t="s">
        <v>31</v>
      </c>
      <c r="U284" s="25" t="s">
        <v>32</v>
      </c>
      <c r="V284" s="22" t="s">
        <v>33</v>
      </c>
      <c r="W284" s="32" t="s">
        <v>34</v>
      </c>
    </row>
    <row r="285" spans="1:23">
      <c r="A285" s="22" t="s">
        <v>788</v>
      </c>
      <c r="B285" s="25">
        <f>VLOOKUP(A285,[1]ProjectsResults!$D:$E,2,FALSE)</f>
        <v>10199</v>
      </c>
      <c r="C285" s="22">
        <f>VLOOKUP(A285,[2]Sheet2!$D:$E,2,FALSE)</f>
        <v>8969</v>
      </c>
      <c r="D285" s="22">
        <v>8969</v>
      </c>
      <c r="E285" s="22">
        <f>VLOOKUP(A285,[3]Sheet2!$A:$F,6,FALSE)</f>
        <v>1232935</v>
      </c>
      <c r="G285" s="22" t="s">
        <v>789</v>
      </c>
      <c r="H285" s="22" t="s">
        <v>223</v>
      </c>
      <c r="I285" s="22" t="s">
        <v>25</v>
      </c>
      <c r="J285" s="29" t="s">
        <v>679</v>
      </c>
      <c r="K285" s="29" t="s">
        <v>790</v>
      </c>
      <c r="L285" s="29" t="s">
        <v>28</v>
      </c>
      <c r="P285" s="30">
        <v>45637</v>
      </c>
      <c r="Q285" s="30">
        <v>45637</v>
      </c>
      <c r="R285" s="22" t="s">
        <v>29</v>
      </c>
      <c r="S285" s="29" t="s">
        <v>30</v>
      </c>
      <c r="T285" s="22" t="s">
        <v>74</v>
      </c>
      <c r="U285" s="25" t="s">
        <v>32</v>
      </c>
      <c r="V285" s="22" t="s">
        <v>75</v>
      </c>
      <c r="W285" s="32" t="s">
        <v>34</v>
      </c>
    </row>
    <row r="286" spans="1:23">
      <c r="A286" s="22" t="s">
        <v>791</v>
      </c>
      <c r="B286" s="25">
        <f>VLOOKUP(A286,[1]ProjectsResults!$D:$E,2,FALSE)</f>
        <v>10200</v>
      </c>
      <c r="C286" s="22">
        <f>VLOOKUP(A286,[2]Sheet2!$D:$E,2,FALSE)</f>
        <v>9704</v>
      </c>
      <c r="D286" s="22">
        <v>9704</v>
      </c>
      <c r="E286" s="22">
        <f>VLOOKUP(A286,[3]Sheet2!$A:$F,6,FALSE)</f>
        <v>2602500</v>
      </c>
      <c r="G286" s="22" t="s">
        <v>792</v>
      </c>
      <c r="H286" s="22" t="s">
        <v>793</v>
      </c>
      <c r="I286" s="22" t="s">
        <v>25</v>
      </c>
      <c r="J286" s="29" t="s">
        <v>679</v>
      </c>
      <c r="K286" s="29" t="s">
        <v>790</v>
      </c>
      <c r="L286" s="29" t="s">
        <v>28</v>
      </c>
      <c r="P286" s="30">
        <v>45642</v>
      </c>
      <c r="Q286" s="30">
        <v>45643</v>
      </c>
      <c r="R286" s="22" t="s">
        <v>29</v>
      </c>
      <c r="S286" s="29" t="s">
        <v>30</v>
      </c>
      <c r="T286" s="22" t="s">
        <v>74</v>
      </c>
      <c r="U286" s="25" t="s">
        <v>32</v>
      </c>
      <c r="V286" s="22" t="s">
        <v>75</v>
      </c>
      <c r="W286" s="32" t="s">
        <v>34</v>
      </c>
    </row>
    <row r="287" spans="1:23">
      <c r="A287" s="22" t="s">
        <v>794</v>
      </c>
      <c r="B287" s="25">
        <f>VLOOKUP(A287,[1]ProjectsResults!$D:$E,2,FALSE)</f>
        <v>10201</v>
      </c>
      <c r="C287" s="22">
        <f>VLOOKUP(A287,[2]Sheet2!$D:$E,2,FALSE)</f>
        <v>8970</v>
      </c>
      <c r="D287" s="22">
        <v>8970</v>
      </c>
      <c r="E287" s="22">
        <f>VLOOKUP(A287,[3]Sheet2!$A:$F,6,FALSE)</f>
        <v>180000</v>
      </c>
      <c r="G287" s="22" t="s">
        <v>795</v>
      </c>
      <c r="H287" s="22" t="s">
        <v>313</v>
      </c>
      <c r="I287" s="22" t="s">
        <v>25</v>
      </c>
      <c r="J287" s="29" t="s">
        <v>168</v>
      </c>
      <c r="K287" s="29" t="s">
        <v>314</v>
      </c>
      <c r="L287" s="29" t="s">
        <v>28</v>
      </c>
      <c r="P287" s="30">
        <v>45652</v>
      </c>
      <c r="Q287" s="30">
        <v>45652</v>
      </c>
      <c r="R287" s="22" t="s">
        <v>29</v>
      </c>
      <c r="S287" s="29" t="s">
        <v>30</v>
      </c>
      <c r="T287" s="22" t="s">
        <v>31</v>
      </c>
      <c r="U287" s="25" t="s">
        <v>32</v>
      </c>
      <c r="V287" s="22" t="s">
        <v>33</v>
      </c>
      <c r="W287" s="32" t="s">
        <v>34</v>
      </c>
    </row>
    <row r="288" spans="1:23">
      <c r="A288" s="22" t="s">
        <v>796</v>
      </c>
      <c r="B288" s="25">
        <f>VLOOKUP(A288,[1]ProjectsResults!$D:$E,2,FALSE)</f>
        <v>10202</v>
      </c>
      <c r="C288" s="22">
        <f>VLOOKUP(A288,[2]Sheet2!$D:$E,2,FALSE)</f>
        <v>8971</v>
      </c>
      <c r="D288" s="22">
        <v>8971</v>
      </c>
      <c r="E288" s="22">
        <f>VLOOKUP(A288,[3]Sheet2!$A:$F,6,FALSE)</f>
        <v>1344079</v>
      </c>
      <c r="G288" s="22" t="s">
        <v>797</v>
      </c>
      <c r="H288" s="22" t="s">
        <v>420</v>
      </c>
      <c r="I288" s="22" t="s">
        <v>25</v>
      </c>
      <c r="J288" s="29" t="s">
        <v>47</v>
      </c>
      <c r="K288" s="29" t="s">
        <v>227</v>
      </c>
      <c r="L288" s="29" t="s">
        <v>28</v>
      </c>
      <c r="P288" s="30">
        <v>45637</v>
      </c>
      <c r="Q288" s="30">
        <v>45637</v>
      </c>
      <c r="R288" s="22" t="s">
        <v>29</v>
      </c>
      <c r="S288" s="29" t="s">
        <v>30</v>
      </c>
      <c r="T288" s="22" t="s">
        <v>49</v>
      </c>
      <c r="U288" s="25" t="s">
        <v>32</v>
      </c>
      <c r="V288" s="22" t="s">
        <v>50</v>
      </c>
      <c r="W288" s="32" t="s">
        <v>34</v>
      </c>
    </row>
    <row r="289" spans="1:23">
      <c r="A289" s="22" t="s">
        <v>798</v>
      </c>
      <c r="B289" s="25">
        <f>VLOOKUP(A289,[1]ProjectsResults!$D:$E,2,FALSE)</f>
        <v>10203</v>
      </c>
      <c r="C289" s="22">
        <f>VLOOKUP(A289,[2]Sheet2!$D:$E,2,FALSE)</f>
        <v>8972</v>
      </c>
      <c r="D289" s="22">
        <v>8972</v>
      </c>
      <c r="E289" s="22">
        <f>VLOOKUP(A289,[3]Sheet2!$A:$F,6,FALSE)</f>
        <v>2818920.5</v>
      </c>
      <c r="G289" s="22" t="s">
        <v>799</v>
      </c>
      <c r="H289" s="22" t="s">
        <v>188</v>
      </c>
      <c r="I289" s="22" t="s">
        <v>25</v>
      </c>
      <c r="J289" s="29" t="s">
        <v>47</v>
      </c>
      <c r="K289" s="29" t="s">
        <v>800</v>
      </c>
      <c r="L289" s="29" t="s">
        <v>28</v>
      </c>
      <c r="P289" s="30">
        <v>45637</v>
      </c>
      <c r="Q289" s="30">
        <v>45637</v>
      </c>
      <c r="R289" s="22" t="s">
        <v>29</v>
      </c>
      <c r="S289" s="29" t="s">
        <v>30</v>
      </c>
      <c r="T289" s="22" t="s">
        <v>49</v>
      </c>
      <c r="U289" s="25" t="s">
        <v>32</v>
      </c>
      <c r="V289" s="22" t="s">
        <v>50</v>
      </c>
      <c r="W289" s="32" t="s">
        <v>34</v>
      </c>
    </row>
    <row r="290" spans="1:23">
      <c r="A290" s="22" t="s">
        <v>801</v>
      </c>
      <c r="B290" s="25">
        <f>VLOOKUP(A290,[1]ProjectsResults!$D:$E,2,FALSE)</f>
        <v>10204</v>
      </c>
      <c r="C290" s="22">
        <f>VLOOKUP(A290,[2]Sheet2!$D:$E,2,FALSE)</f>
        <v>8973</v>
      </c>
      <c r="D290" s="22">
        <v>8973</v>
      </c>
      <c r="E290" s="22">
        <f>VLOOKUP(A290,[3]Sheet2!$A:$F,6,FALSE)</f>
        <v>987250</v>
      </c>
      <c r="G290" s="22" t="s">
        <v>802</v>
      </c>
      <c r="H290" s="22" t="s">
        <v>317</v>
      </c>
      <c r="I290" s="22" t="s">
        <v>25</v>
      </c>
      <c r="J290" s="29" t="s">
        <v>271</v>
      </c>
      <c r="K290" s="29" t="s">
        <v>803</v>
      </c>
      <c r="L290" s="29" t="s">
        <v>28</v>
      </c>
      <c r="P290" s="30">
        <v>45636</v>
      </c>
      <c r="Q290" s="30">
        <v>45713</v>
      </c>
      <c r="R290" s="22" t="s">
        <v>29</v>
      </c>
      <c r="S290" s="29" t="s">
        <v>30</v>
      </c>
      <c r="T290" s="22" t="s">
        <v>74</v>
      </c>
      <c r="U290" s="25" t="s">
        <v>32</v>
      </c>
      <c r="V290" s="22" t="s">
        <v>75</v>
      </c>
      <c r="W290" s="32" t="s">
        <v>34</v>
      </c>
    </row>
    <row r="291" spans="1:23">
      <c r="A291" s="22" t="s">
        <v>804</v>
      </c>
      <c r="B291" s="25">
        <f>VLOOKUP(A291,[1]ProjectsResults!$D:$E,2,FALSE)</f>
        <v>10205</v>
      </c>
      <c r="C291" s="22">
        <f>VLOOKUP(A291,[2]Sheet2!$D:$E,2,FALSE)</f>
        <v>8974</v>
      </c>
      <c r="D291" s="22">
        <v>8974</v>
      </c>
      <c r="E291" s="22">
        <f>VLOOKUP(A291,[3]Sheet2!$A:$F,6,FALSE)</f>
        <v>416572.18</v>
      </c>
      <c r="G291" s="22" t="s">
        <v>805</v>
      </c>
      <c r="H291" s="22" t="s">
        <v>86</v>
      </c>
      <c r="I291" s="22" t="s">
        <v>25</v>
      </c>
      <c r="J291" s="29" t="s">
        <v>42</v>
      </c>
      <c r="K291" s="29" t="s">
        <v>238</v>
      </c>
      <c r="L291" s="29" t="s">
        <v>28</v>
      </c>
      <c r="P291" s="30">
        <v>45637</v>
      </c>
      <c r="Q291" s="30">
        <v>45637</v>
      </c>
      <c r="R291" s="22" t="s">
        <v>29</v>
      </c>
      <c r="S291" s="29" t="s">
        <v>30</v>
      </c>
      <c r="T291" s="22" t="s">
        <v>31</v>
      </c>
      <c r="U291" s="25" t="s">
        <v>32</v>
      </c>
      <c r="V291" s="22" t="s">
        <v>33</v>
      </c>
      <c r="W291" s="32" t="s">
        <v>34</v>
      </c>
    </row>
    <row r="292" spans="1:23">
      <c r="A292" s="22" t="s">
        <v>806</v>
      </c>
      <c r="B292" s="25">
        <f>VLOOKUP(A292,[1]ProjectsResults!$D:$E,2,FALSE)</f>
        <v>10206</v>
      </c>
      <c r="C292" s="22">
        <f>VLOOKUP(A292,[2]Sheet2!$D:$E,2,FALSE)</f>
        <v>8975</v>
      </c>
      <c r="D292" s="22">
        <v>8975</v>
      </c>
      <c r="E292" s="22">
        <f>VLOOKUP(A292,[3]Sheet2!$A:$F,6,FALSE)</f>
        <v>1187115</v>
      </c>
      <c r="G292" s="22" t="s">
        <v>807</v>
      </c>
      <c r="H292" s="22" t="s">
        <v>102</v>
      </c>
      <c r="I292" s="22" t="s">
        <v>25</v>
      </c>
      <c r="J292" s="29" t="s">
        <v>38</v>
      </c>
      <c r="K292" s="29" t="s">
        <v>38</v>
      </c>
      <c r="L292" s="29" t="s">
        <v>28</v>
      </c>
      <c r="P292" s="30">
        <v>45637</v>
      </c>
      <c r="Q292" s="30">
        <v>45637</v>
      </c>
      <c r="R292" s="22" t="s">
        <v>29</v>
      </c>
      <c r="S292" s="29" t="s">
        <v>30</v>
      </c>
      <c r="T292" s="22" t="s">
        <v>31</v>
      </c>
      <c r="U292" s="25" t="s">
        <v>32</v>
      </c>
      <c r="V292" s="22" t="s">
        <v>33</v>
      </c>
      <c r="W292" s="32" t="s">
        <v>34</v>
      </c>
    </row>
    <row r="293" spans="1:23">
      <c r="A293" s="22" t="s">
        <v>808</v>
      </c>
      <c r="B293" s="25">
        <f>VLOOKUP(A293,[1]ProjectsResults!$D:$E,2,FALSE)</f>
        <v>10207</v>
      </c>
      <c r="C293" s="22">
        <f>VLOOKUP(A293,[2]Sheet2!$D:$E,2,FALSE)</f>
        <v>8976</v>
      </c>
      <c r="D293" s="22">
        <v>8976</v>
      </c>
      <c r="E293" s="22">
        <f>VLOOKUP(A293,[3]Sheet2!$A:$F,6,FALSE)</f>
        <v>1674972.43</v>
      </c>
      <c r="G293" s="22" t="s">
        <v>809</v>
      </c>
      <c r="H293" s="22" t="s">
        <v>472</v>
      </c>
      <c r="I293" s="22" t="s">
        <v>25</v>
      </c>
      <c r="J293" s="29" t="s">
        <v>47</v>
      </c>
      <c r="K293" s="29" t="s">
        <v>129</v>
      </c>
      <c r="L293" s="29" t="s">
        <v>28</v>
      </c>
      <c r="P293" s="30">
        <v>45640</v>
      </c>
      <c r="Q293" s="30">
        <v>45640</v>
      </c>
      <c r="R293" s="22" t="s">
        <v>29</v>
      </c>
      <c r="S293" s="29" t="s">
        <v>30</v>
      </c>
      <c r="T293" s="22" t="s">
        <v>49</v>
      </c>
      <c r="U293" s="25" t="s">
        <v>32</v>
      </c>
      <c r="V293" s="22" t="s">
        <v>50</v>
      </c>
      <c r="W293" s="32" t="s">
        <v>34</v>
      </c>
    </row>
    <row r="294" spans="1:23">
      <c r="A294" s="22" t="s">
        <v>810</v>
      </c>
      <c r="B294" s="25">
        <f>VLOOKUP(A294,[1]ProjectsResults!$D:$E,2,FALSE)</f>
        <v>10208</v>
      </c>
      <c r="C294" s="22">
        <f>VLOOKUP(A294,[2]Sheet2!$D:$E,2,FALSE)</f>
        <v>9577</v>
      </c>
      <c r="D294" s="22">
        <v>9577</v>
      </c>
      <c r="E294" s="22">
        <f>VLOOKUP(A294,[3]Sheet2!$A:$F,6,FALSE)</f>
        <v>226800</v>
      </c>
      <c r="G294" s="22" t="s">
        <v>811</v>
      </c>
      <c r="H294" s="22" t="s">
        <v>748</v>
      </c>
      <c r="I294" s="22" t="s">
        <v>25</v>
      </c>
      <c r="J294" s="29" t="s">
        <v>115</v>
      </c>
      <c r="K294" s="29" t="s">
        <v>812</v>
      </c>
      <c r="L294" s="29" t="s">
        <v>28</v>
      </c>
      <c r="P294" s="30">
        <v>45637</v>
      </c>
      <c r="Q294" s="30">
        <v>45637</v>
      </c>
      <c r="R294" s="22" t="s">
        <v>29</v>
      </c>
      <c r="S294" s="29" t="s">
        <v>30</v>
      </c>
      <c r="T294" s="22" t="s">
        <v>49</v>
      </c>
      <c r="U294" s="25" t="s">
        <v>32</v>
      </c>
      <c r="V294" s="22" t="s">
        <v>117</v>
      </c>
      <c r="W294" s="32" t="s">
        <v>34</v>
      </c>
    </row>
    <row r="295" spans="1:23">
      <c r="A295" s="22" t="s">
        <v>813</v>
      </c>
      <c r="B295" s="25">
        <f>VLOOKUP(A295,[1]ProjectsResults!$D:$E,2,FALSE)</f>
        <v>10209</v>
      </c>
      <c r="C295" s="22">
        <f>VLOOKUP(A295,[2]Sheet2!$D:$E,2,FALSE)</f>
        <v>8977</v>
      </c>
      <c r="D295" s="22">
        <v>8977</v>
      </c>
      <c r="E295" s="22">
        <f>VLOOKUP(A295,[3]Sheet2!$A:$F,6,FALSE)</f>
        <v>204000</v>
      </c>
      <c r="G295" s="22" t="s">
        <v>814</v>
      </c>
      <c r="H295" s="22" t="s">
        <v>167</v>
      </c>
      <c r="I295" s="22" t="s">
        <v>25</v>
      </c>
      <c r="J295" s="29" t="s">
        <v>168</v>
      </c>
      <c r="K295" s="29" t="s">
        <v>169</v>
      </c>
      <c r="L295" s="29" t="s">
        <v>28</v>
      </c>
      <c r="P295" s="30">
        <v>45637</v>
      </c>
      <c r="Q295" s="30">
        <v>45637</v>
      </c>
      <c r="R295" s="22" t="s">
        <v>29</v>
      </c>
      <c r="S295" s="29" t="s">
        <v>30</v>
      </c>
      <c r="T295" s="22" t="s">
        <v>31</v>
      </c>
      <c r="U295" s="25" t="s">
        <v>32</v>
      </c>
      <c r="V295" s="22" t="s">
        <v>33</v>
      </c>
      <c r="W295" s="32" t="s">
        <v>34</v>
      </c>
    </row>
    <row r="296" spans="1:23">
      <c r="A296" s="22" t="s">
        <v>815</v>
      </c>
      <c r="B296" s="25">
        <f>VLOOKUP(A296,[1]ProjectsResults!$D:$E,2,FALSE)</f>
        <v>10210</v>
      </c>
      <c r="C296" s="22">
        <f>VLOOKUP(A296,[2]Sheet2!$D:$E,2,FALSE)</f>
        <v>8978</v>
      </c>
      <c r="D296" s="22">
        <v>8978</v>
      </c>
      <c r="E296" s="22">
        <f>VLOOKUP(A296,[3]Sheet2!$A:$F,6,FALSE)</f>
        <v>1456766</v>
      </c>
      <c r="G296" s="22" t="s">
        <v>816</v>
      </c>
      <c r="H296" s="22" t="s">
        <v>817</v>
      </c>
      <c r="I296" s="22" t="s">
        <v>25</v>
      </c>
      <c r="J296" s="29" t="s">
        <v>96</v>
      </c>
      <c r="K296" s="29" t="s">
        <v>818</v>
      </c>
      <c r="L296" s="29" t="s">
        <v>28</v>
      </c>
      <c r="P296" s="30">
        <v>45667</v>
      </c>
      <c r="Q296" s="30">
        <v>45667</v>
      </c>
      <c r="R296" s="22" t="s">
        <v>29</v>
      </c>
      <c r="S296" s="29" t="s">
        <v>30</v>
      </c>
      <c r="T296" s="22" t="s">
        <v>74</v>
      </c>
      <c r="U296" s="25" t="s">
        <v>32</v>
      </c>
      <c r="V296" s="22" t="s">
        <v>75</v>
      </c>
      <c r="W296" s="32" t="s">
        <v>34</v>
      </c>
    </row>
    <row r="297" spans="1:23">
      <c r="A297" s="22" t="s">
        <v>819</v>
      </c>
      <c r="B297" s="25">
        <f>VLOOKUP(A297,[1]ProjectsResults!$D:$E,2,FALSE)</f>
        <v>10211</v>
      </c>
      <c r="C297" s="22">
        <f>VLOOKUP(A297,[2]Sheet2!$D:$E,2,FALSE)</f>
        <v>8979</v>
      </c>
      <c r="D297" s="22">
        <v>8979</v>
      </c>
      <c r="E297" s="22">
        <f>VLOOKUP(A297,[3]Sheet2!$A:$F,6,FALSE)</f>
        <v>151074</v>
      </c>
      <c r="G297" s="22" t="s">
        <v>820</v>
      </c>
      <c r="H297" s="22" t="s">
        <v>114</v>
      </c>
      <c r="I297" s="22" t="s">
        <v>25</v>
      </c>
      <c r="J297" s="29" t="s">
        <v>47</v>
      </c>
      <c r="K297" s="29" t="s">
        <v>160</v>
      </c>
      <c r="L297" s="29" t="s">
        <v>28</v>
      </c>
      <c r="P297" s="30">
        <v>45644</v>
      </c>
      <c r="Q297" s="30">
        <v>45645</v>
      </c>
      <c r="R297" s="22" t="s">
        <v>29</v>
      </c>
      <c r="S297" s="29" t="s">
        <v>30</v>
      </c>
      <c r="T297" s="22" t="s">
        <v>49</v>
      </c>
      <c r="U297" s="25" t="s">
        <v>32</v>
      </c>
      <c r="V297" s="22" t="s">
        <v>117</v>
      </c>
      <c r="W297" s="32" t="s">
        <v>34</v>
      </c>
    </row>
    <row r="298" spans="1:23">
      <c r="A298" s="22" t="s">
        <v>821</v>
      </c>
      <c r="B298" s="25">
        <f>VLOOKUP(A298,[1]ProjectsResults!$D:$E,2,FALSE)</f>
        <v>10212</v>
      </c>
      <c r="C298" s="22">
        <f>VLOOKUP(A298,[2]Sheet2!$D:$E,2,FALSE)</f>
        <v>9705</v>
      </c>
      <c r="D298" s="22">
        <v>9705</v>
      </c>
      <c r="E298" s="22">
        <f>VLOOKUP(A298,[3]Sheet2!$A:$F,6,FALSE)</f>
        <v>149600</v>
      </c>
      <c r="G298" s="22" t="s">
        <v>807</v>
      </c>
      <c r="H298" s="22" t="s">
        <v>822</v>
      </c>
      <c r="I298" s="22" t="s">
        <v>25</v>
      </c>
      <c r="J298" s="29" t="s">
        <v>38</v>
      </c>
      <c r="K298" s="29" t="s">
        <v>823</v>
      </c>
      <c r="L298" s="29" t="s">
        <v>28</v>
      </c>
      <c r="P298" s="30">
        <v>45638</v>
      </c>
      <c r="Q298" s="30">
        <v>45638</v>
      </c>
      <c r="R298" s="22" t="s">
        <v>29</v>
      </c>
      <c r="S298" s="29" t="s">
        <v>30</v>
      </c>
      <c r="T298" s="22" t="s">
        <v>31</v>
      </c>
      <c r="U298" s="25" t="s">
        <v>32</v>
      </c>
      <c r="V298" s="22" t="s">
        <v>33</v>
      </c>
      <c r="W298" s="32" t="s">
        <v>34</v>
      </c>
    </row>
    <row r="299" spans="1:23">
      <c r="A299" s="22" t="s">
        <v>824</v>
      </c>
      <c r="B299" s="25">
        <f>VLOOKUP(A299,[1]ProjectsResults!$D:$E,2,FALSE)</f>
        <v>10213</v>
      </c>
      <c r="C299" s="22">
        <f>VLOOKUP(A299,[2]Sheet2!$D:$E,2,FALSE)</f>
        <v>8980</v>
      </c>
      <c r="D299" s="22">
        <v>8980</v>
      </c>
      <c r="E299" s="22">
        <f>VLOOKUP(A299,[3]Sheet2!$A:$F,6,FALSE)</f>
        <v>11685140</v>
      </c>
      <c r="G299" s="22" t="s">
        <v>825</v>
      </c>
      <c r="H299" s="22" t="s">
        <v>669</v>
      </c>
      <c r="I299" s="22" t="s">
        <v>25</v>
      </c>
      <c r="J299" s="29" t="s">
        <v>155</v>
      </c>
      <c r="K299" s="29" t="s">
        <v>826</v>
      </c>
      <c r="L299" s="29" t="s">
        <v>28</v>
      </c>
      <c r="P299" s="30">
        <v>45639</v>
      </c>
      <c r="Q299" s="30">
        <v>45646</v>
      </c>
      <c r="R299" s="22" t="s">
        <v>29</v>
      </c>
      <c r="S299" s="29" t="s">
        <v>30</v>
      </c>
      <c r="T299" s="22" t="s">
        <v>74</v>
      </c>
      <c r="U299" s="25" t="s">
        <v>32</v>
      </c>
      <c r="V299" s="22" t="s">
        <v>75</v>
      </c>
      <c r="W299" s="32" t="s">
        <v>34</v>
      </c>
    </row>
    <row r="300" spans="1:23">
      <c r="A300" s="22" t="s">
        <v>827</v>
      </c>
      <c r="B300" s="25">
        <f>VLOOKUP(A300,[1]ProjectsResults!$D:$E,2,FALSE)</f>
        <v>10214</v>
      </c>
      <c r="C300" s="22">
        <f>VLOOKUP(A300,[2]Sheet2!$D:$E,2,FALSE)</f>
        <v>8981</v>
      </c>
      <c r="D300" s="22">
        <v>8981</v>
      </c>
      <c r="E300" s="22">
        <f>VLOOKUP(A300,[3]Sheet2!$A:$F,6,FALSE)</f>
        <v>1493407.3</v>
      </c>
      <c r="G300" s="22" t="s">
        <v>828</v>
      </c>
      <c r="H300" s="22" t="s">
        <v>114</v>
      </c>
      <c r="I300" s="22" t="s">
        <v>25</v>
      </c>
      <c r="J300" s="29" t="s">
        <v>115</v>
      </c>
      <c r="K300" s="29" t="s">
        <v>164</v>
      </c>
      <c r="L300" s="29" t="s">
        <v>28</v>
      </c>
      <c r="P300" s="30">
        <v>45644</v>
      </c>
      <c r="Q300" s="30">
        <v>45645</v>
      </c>
      <c r="R300" s="22" t="s">
        <v>29</v>
      </c>
      <c r="S300" s="29" t="s">
        <v>30</v>
      </c>
      <c r="T300" s="22" t="s">
        <v>49</v>
      </c>
      <c r="U300" s="25" t="s">
        <v>32</v>
      </c>
      <c r="V300" s="22" t="s">
        <v>117</v>
      </c>
      <c r="W300" s="32" t="s">
        <v>34</v>
      </c>
    </row>
    <row r="301" spans="1:23">
      <c r="A301" s="22" t="s">
        <v>829</v>
      </c>
      <c r="B301" s="25">
        <f>VLOOKUP(A301,[1]ProjectsResults!$D:$E,2,FALSE)</f>
        <v>10215</v>
      </c>
      <c r="C301" s="22">
        <f>VLOOKUP(A301,[2]Sheet2!$D:$E,2,FALSE)</f>
        <v>8982</v>
      </c>
      <c r="D301" s="22">
        <v>8982</v>
      </c>
      <c r="E301" s="22">
        <f>VLOOKUP(A301,[3]Sheet2!$A:$F,6,FALSE)</f>
        <v>1737450</v>
      </c>
      <c r="G301" s="22" t="s">
        <v>830</v>
      </c>
      <c r="H301" s="22" t="s">
        <v>433</v>
      </c>
      <c r="I301" s="22" t="s">
        <v>25</v>
      </c>
      <c r="J301" s="29" t="s">
        <v>72</v>
      </c>
      <c r="K301" s="29" t="s">
        <v>73</v>
      </c>
      <c r="L301" s="29" t="s">
        <v>28</v>
      </c>
      <c r="P301" s="30">
        <v>45672</v>
      </c>
      <c r="Q301" s="30">
        <v>45672</v>
      </c>
      <c r="R301" s="22" t="s">
        <v>29</v>
      </c>
      <c r="S301" s="29" t="s">
        <v>30</v>
      </c>
      <c r="T301" s="22" t="s">
        <v>74</v>
      </c>
      <c r="U301" s="25" t="s">
        <v>32</v>
      </c>
      <c r="V301" s="22" t="s">
        <v>75</v>
      </c>
      <c r="W301" s="32" t="s">
        <v>34</v>
      </c>
    </row>
    <row r="302" spans="1:23">
      <c r="A302" s="22" t="s">
        <v>831</v>
      </c>
      <c r="B302" s="25">
        <f>VLOOKUP(A302,[1]ProjectsResults!$D:$E,2,FALSE)</f>
        <v>10216</v>
      </c>
      <c r="C302" s="22">
        <f>VLOOKUP(A302,[2]Sheet2!$D:$E,2,FALSE)</f>
        <v>8983</v>
      </c>
      <c r="D302" s="22">
        <v>8983</v>
      </c>
      <c r="E302" s="22">
        <f>VLOOKUP(A302,[3]Sheet2!$A:$F,6,FALSE)</f>
        <v>1600000</v>
      </c>
      <c r="G302" s="22" t="s">
        <v>832</v>
      </c>
      <c r="H302" s="22" t="s">
        <v>249</v>
      </c>
      <c r="I302" s="22" t="s">
        <v>25</v>
      </c>
      <c r="J302" s="29" t="s">
        <v>250</v>
      </c>
      <c r="K302" s="29" t="s">
        <v>251</v>
      </c>
      <c r="L302" s="29" t="s">
        <v>28</v>
      </c>
      <c r="P302" s="30">
        <v>45644</v>
      </c>
      <c r="Q302" s="30">
        <v>45644</v>
      </c>
      <c r="R302" s="22" t="s">
        <v>29</v>
      </c>
      <c r="S302" s="29" t="s">
        <v>30</v>
      </c>
      <c r="T302" s="22" t="s">
        <v>31</v>
      </c>
      <c r="U302" s="25" t="s">
        <v>32</v>
      </c>
      <c r="V302" s="22" t="s">
        <v>33</v>
      </c>
      <c r="W302" s="32" t="s">
        <v>34</v>
      </c>
    </row>
    <row r="303" spans="1:23">
      <c r="A303" s="22" t="s">
        <v>833</v>
      </c>
      <c r="B303" s="25">
        <f>VLOOKUP(A303,[1]ProjectsResults!$D:$E,2,FALSE)</f>
        <v>10217</v>
      </c>
      <c r="C303" s="22">
        <f>VLOOKUP(A303,[2]Sheet2!$D:$E,2,FALSE)</f>
        <v>8984</v>
      </c>
      <c r="D303" s="22">
        <v>8984</v>
      </c>
      <c r="E303" s="22">
        <f>VLOOKUP(A303,[3]Sheet2!$A:$F,6,FALSE)</f>
        <v>6127633</v>
      </c>
      <c r="G303" s="22" t="s">
        <v>834</v>
      </c>
      <c r="H303" s="22" t="s">
        <v>331</v>
      </c>
      <c r="I303" s="22" t="s">
        <v>25</v>
      </c>
      <c r="J303" s="29" t="s">
        <v>141</v>
      </c>
      <c r="K303" s="29" t="s">
        <v>72</v>
      </c>
      <c r="L303" s="29" t="s">
        <v>28</v>
      </c>
      <c r="P303" s="30">
        <v>45643</v>
      </c>
      <c r="Q303" s="30">
        <v>45648</v>
      </c>
      <c r="R303" s="22" t="s">
        <v>29</v>
      </c>
      <c r="S303" s="29" t="s">
        <v>30</v>
      </c>
      <c r="T303" s="22" t="s">
        <v>74</v>
      </c>
      <c r="U303" s="25" t="s">
        <v>32</v>
      </c>
      <c r="V303" s="22" t="s">
        <v>75</v>
      </c>
      <c r="W303" s="32" t="s">
        <v>34</v>
      </c>
    </row>
    <row r="304" spans="1:23">
      <c r="A304" s="22" t="s">
        <v>835</v>
      </c>
      <c r="B304" s="25">
        <f>VLOOKUP(A304,[1]ProjectsResults!$D:$E,2,FALSE)</f>
        <v>10218</v>
      </c>
      <c r="C304" s="22">
        <f>VLOOKUP(A304,[2]Sheet2!$D:$E,2,FALSE)</f>
        <v>8985</v>
      </c>
      <c r="D304" s="22">
        <v>8985</v>
      </c>
      <c r="E304" s="22">
        <f>VLOOKUP(A304,[3]Sheet2!$A:$F,6,FALSE)</f>
        <v>46500000</v>
      </c>
      <c r="G304" s="22" t="s">
        <v>836</v>
      </c>
      <c r="H304" s="22" t="s">
        <v>95</v>
      </c>
      <c r="I304" s="22" t="s">
        <v>25</v>
      </c>
      <c r="J304" s="29" t="s">
        <v>72</v>
      </c>
      <c r="K304" s="29" t="s">
        <v>96</v>
      </c>
      <c r="L304" s="29" t="s">
        <v>28</v>
      </c>
      <c r="P304" s="30">
        <v>45689</v>
      </c>
      <c r="Q304" s="30">
        <v>45694</v>
      </c>
      <c r="R304" s="22" t="s">
        <v>29</v>
      </c>
      <c r="S304" s="29" t="s">
        <v>30</v>
      </c>
      <c r="T304" s="22" t="s">
        <v>74</v>
      </c>
      <c r="U304" s="25" t="s">
        <v>32</v>
      </c>
      <c r="V304" s="22" t="s">
        <v>75</v>
      </c>
      <c r="W304" s="32" t="s">
        <v>34</v>
      </c>
    </row>
    <row r="305" spans="1:23">
      <c r="A305" s="22" t="s">
        <v>837</v>
      </c>
      <c r="B305" s="25">
        <f>VLOOKUP(A305,[1]ProjectsResults!$D:$E,2,FALSE)</f>
        <v>10219</v>
      </c>
      <c r="C305" s="22">
        <f>VLOOKUP(A305,[2]Sheet2!$D:$E,2,FALSE)</f>
        <v>8986</v>
      </c>
      <c r="D305" s="22">
        <v>8986</v>
      </c>
      <c r="E305" s="22">
        <f>VLOOKUP(A305,[3]Sheet2!$A:$F,6,FALSE)</f>
        <v>806058</v>
      </c>
      <c r="G305" s="22" t="s">
        <v>838</v>
      </c>
      <c r="H305" s="22" t="s">
        <v>114</v>
      </c>
      <c r="I305" s="22" t="s">
        <v>25</v>
      </c>
      <c r="J305" s="29" t="s">
        <v>115</v>
      </c>
      <c r="K305" s="29" t="s">
        <v>160</v>
      </c>
      <c r="L305" s="29" t="s">
        <v>28</v>
      </c>
      <c r="P305" s="30">
        <v>45644</v>
      </c>
      <c r="Q305" s="30">
        <v>45646</v>
      </c>
      <c r="R305" s="22" t="s">
        <v>29</v>
      </c>
      <c r="S305" s="29" t="s">
        <v>30</v>
      </c>
      <c r="T305" s="22" t="s">
        <v>49</v>
      </c>
      <c r="U305" s="25" t="s">
        <v>32</v>
      </c>
      <c r="V305" s="22" t="s">
        <v>117</v>
      </c>
      <c r="W305" s="32" t="s">
        <v>34</v>
      </c>
    </row>
    <row r="306" spans="1:23">
      <c r="A306" s="22" t="s">
        <v>839</v>
      </c>
      <c r="B306" s="25">
        <f>VLOOKUP(A306,[1]ProjectsResults!$D:$E,2,FALSE)</f>
        <v>10220</v>
      </c>
      <c r="C306" s="22">
        <f>VLOOKUP(A306,[2]Sheet2!$D:$E,2,FALSE)</f>
        <v>8987</v>
      </c>
      <c r="D306" s="22">
        <v>8987</v>
      </c>
      <c r="E306" s="22">
        <f>VLOOKUP(A306,[3]Sheet2!$A:$F,6,FALSE)</f>
        <v>1432519</v>
      </c>
      <c r="G306" s="22" t="s">
        <v>840</v>
      </c>
      <c r="H306" s="22" t="s">
        <v>114</v>
      </c>
      <c r="I306" s="22" t="s">
        <v>25</v>
      </c>
      <c r="J306" s="29" t="s">
        <v>115</v>
      </c>
      <c r="K306" s="29" t="s">
        <v>160</v>
      </c>
      <c r="L306" s="29" t="s">
        <v>28</v>
      </c>
      <c r="P306" s="30">
        <v>45646</v>
      </c>
      <c r="Q306" s="30">
        <v>45646</v>
      </c>
      <c r="R306" s="22" t="s">
        <v>29</v>
      </c>
      <c r="S306" s="29" t="s">
        <v>30</v>
      </c>
      <c r="T306" s="22" t="s">
        <v>49</v>
      </c>
      <c r="U306" s="25" t="s">
        <v>32</v>
      </c>
      <c r="V306" s="22" t="s">
        <v>117</v>
      </c>
      <c r="W306" s="32" t="s">
        <v>34</v>
      </c>
    </row>
    <row r="307" spans="1:23">
      <c r="A307" s="22" t="s">
        <v>841</v>
      </c>
      <c r="B307" s="25">
        <f>VLOOKUP(A307,[1]ProjectsResults!$D:$E,2,FALSE)</f>
        <v>10221</v>
      </c>
      <c r="C307" s="22">
        <f>VLOOKUP(A307,[2]Sheet2!$D:$E,2,FALSE)</f>
        <v>8988</v>
      </c>
      <c r="D307" s="22">
        <v>8988</v>
      </c>
      <c r="E307" s="22">
        <f>VLOOKUP(A307,[3]Sheet2!$A:$F,6,FALSE)</f>
        <v>1685000</v>
      </c>
      <c r="G307" s="22" t="s">
        <v>842</v>
      </c>
      <c r="H307" s="22" t="s">
        <v>82</v>
      </c>
      <c r="I307" s="22" t="s">
        <v>25</v>
      </c>
      <c r="J307" s="29" t="s">
        <v>72</v>
      </c>
      <c r="K307" s="29" t="s">
        <v>83</v>
      </c>
      <c r="L307" s="29" t="s">
        <v>28</v>
      </c>
      <c r="P307" s="30">
        <v>45643</v>
      </c>
      <c r="Q307" s="30">
        <v>45694</v>
      </c>
      <c r="R307" s="22" t="s">
        <v>29</v>
      </c>
      <c r="S307" s="29" t="s">
        <v>30</v>
      </c>
      <c r="T307" s="22" t="s">
        <v>74</v>
      </c>
      <c r="U307" s="25" t="s">
        <v>32</v>
      </c>
      <c r="V307" s="22" t="s">
        <v>75</v>
      </c>
      <c r="W307" s="32" t="s">
        <v>34</v>
      </c>
    </row>
    <row r="308" spans="1:23">
      <c r="A308" s="22" t="s">
        <v>843</v>
      </c>
      <c r="B308" s="25">
        <f>VLOOKUP(A308,[1]ProjectsResults!$D:$E,2,FALSE)</f>
        <v>10222</v>
      </c>
      <c r="C308" s="22">
        <f>VLOOKUP(A308,[2]Sheet2!$D:$E,2,FALSE)</f>
        <v>8989</v>
      </c>
      <c r="D308" s="22">
        <v>8989</v>
      </c>
      <c r="E308" s="22">
        <f>VLOOKUP(A308,[3]Sheet2!$A:$F,6,FALSE)</f>
        <v>695602</v>
      </c>
      <c r="G308" s="22" t="s">
        <v>844</v>
      </c>
      <c r="H308" s="22" t="s">
        <v>58</v>
      </c>
      <c r="I308" s="22" t="s">
        <v>25</v>
      </c>
      <c r="J308" s="29" t="s">
        <v>47</v>
      </c>
      <c r="K308" s="29" t="s">
        <v>337</v>
      </c>
      <c r="L308" s="29" t="s">
        <v>28</v>
      </c>
      <c r="P308" s="30">
        <v>45644</v>
      </c>
      <c r="Q308" s="30">
        <v>45644</v>
      </c>
      <c r="R308" s="22" t="s">
        <v>29</v>
      </c>
      <c r="S308" s="29" t="s">
        <v>30</v>
      </c>
      <c r="T308" s="22" t="s">
        <v>49</v>
      </c>
      <c r="U308" s="25" t="s">
        <v>32</v>
      </c>
      <c r="V308" s="22" t="s">
        <v>50</v>
      </c>
      <c r="W308" s="32" t="s">
        <v>34</v>
      </c>
    </row>
    <row r="309" spans="1:23">
      <c r="A309" s="22" t="s">
        <v>845</v>
      </c>
      <c r="B309" s="25">
        <f>VLOOKUP(A309,[1]ProjectsResults!$D:$E,2,FALSE)</f>
        <v>10223</v>
      </c>
      <c r="C309" s="22">
        <f>VLOOKUP(A309,[2]Sheet2!$D:$E,2,FALSE)</f>
        <v>8990</v>
      </c>
      <c r="D309" s="22">
        <v>8990</v>
      </c>
      <c r="E309" s="22">
        <f>VLOOKUP(A309,[3]Sheet2!$A:$F,6,FALSE)</f>
        <v>310750</v>
      </c>
      <c r="G309" s="22" t="s">
        <v>846</v>
      </c>
      <c r="H309" s="22" t="s">
        <v>114</v>
      </c>
      <c r="I309" s="22" t="s">
        <v>25</v>
      </c>
      <c r="J309" s="29" t="s">
        <v>115</v>
      </c>
      <c r="K309" s="29" t="s">
        <v>164</v>
      </c>
      <c r="L309" s="29" t="s">
        <v>28</v>
      </c>
      <c r="P309" s="30">
        <v>45645</v>
      </c>
      <c r="Q309" s="30">
        <v>45646</v>
      </c>
      <c r="R309" s="22" t="s">
        <v>29</v>
      </c>
      <c r="S309" s="29" t="s">
        <v>30</v>
      </c>
      <c r="T309" s="22" t="s">
        <v>49</v>
      </c>
      <c r="U309" s="25" t="s">
        <v>32</v>
      </c>
      <c r="V309" s="22" t="s">
        <v>117</v>
      </c>
      <c r="W309" s="32" t="s">
        <v>34</v>
      </c>
    </row>
    <row r="310" spans="1:23">
      <c r="A310" s="22" t="s">
        <v>847</v>
      </c>
      <c r="B310" s="25">
        <f>VLOOKUP(A310,[1]ProjectsResults!$D:$E,2,FALSE)</f>
        <v>10224</v>
      </c>
      <c r="C310" s="22">
        <f>VLOOKUP(A310,[2]Sheet2!$D:$E,2,FALSE)</f>
        <v>8991</v>
      </c>
      <c r="D310" s="22">
        <v>8991</v>
      </c>
      <c r="E310" s="22">
        <f>VLOOKUP(A310,[3]Sheet2!$A:$F,6,FALSE)</f>
        <v>99110</v>
      </c>
      <c r="G310" s="22" t="s">
        <v>848</v>
      </c>
      <c r="H310" s="22" t="s">
        <v>469</v>
      </c>
      <c r="I310" s="22" t="s">
        <v>25</v>
      </c>
      <c r="J310" s="29" t="s">
        <v>168</v>
      </c>
      <c r="K310" s="29" t="s">
        <v>314</v>
      </c>
      <c r="L310" s="29" t="s">
        <v>28</v>
      </c>
      <c r="P310" s="30">
        <v>45646</v>
      </c>
      <c r="Q310" s="30">
        <v>45646</v>
      </c>
      <c r="R310" s="22" t="s">
        <v>29</v>
      </c>
      <c r="S310" s="29" t="s">
        <v>30</v>
      </c>
      <c r="T310" s="22" t="s">
        <v>31</v>
      </c>
      <c r="U310" s="25" t="s">
        <v>32</v>
      </c>
      <c r="V310" s="22" t="s">
        <v>33</v>
      </c>
      <c r="W310" s="32" t="s">
        <v>34</v>
      </c>
    </row>
    <row r="311" spans="1:23">
      <c r="A311" s="22" t="s">
        <v>849</v>
      </c>
      <c r="B311" s="25">
        <f>VLOOKUP(A311,[1]ProjectsResults!$D:$E,2,FALSE)</f>
        <v>10225</v>
      </c>
      <c r="C311" s="22">
        <f>VLOOKUP(A311,[2]Sheet2!$D:$E,2,FALSE)</f>
        <v>8992</v>
      </c>
      <c r="D311" s="22">
        <v>8992</v>
      </c>
      <c r="E311" s="22">
        <f>VLOOKUP(A311,[3]Sheet2!$A:$F,6,FALSE)</f>
        <v>835796</v>
      </c>
      <c r="G311" s="22" t="s">
        <v>850</v>
      </c>
      <c r="H311" s="22" t="s">
        <v>114</v>
      </c>
      <c r="I311" s="22" t="s">
        <v>25</v>
      </c>
      <c r="J311" s="29" t="s">
        <v>115</v>
      </c>
      <c r="K311" s="29" t="s">
        <v>160</v>
      </c>
      <c r="L311" s="29" t="s">
        <v>28</v>
      </c>
      <c r="P311" s="30">
        <v>45649</v>
      </c>
      <c r="Q311" s="30">
        <v>45649</v>
      </c>
      <c r="R311" s="22" t="s">
        <v>29</v>
      </c>
      <c r="S311" s="29" t="s">
        <v>30</v>
      </c>
      <c r="T311" s="22" t="s">
        <v>49</v>
      </c>
      <c r="U311" s="25" t="s">
        <v>32</v>
      </c>
      <c r="V311" s="22" t="s">
        <v>117</v>
      </c>
      <c r="W311" s="32" t="s">
        <v>34</v>
      </c>
    </row>
    <row r="312" spans="1:23">
      <c r="A312" s="22" t="s">
        <v>851</v>
      </c>
      <c r="B312" s="25">
        <f>VLOOKUP(A312,[1]ProjectsResults!$D:$E,2,FALSE)</f>
        <v>10226</v>
      </c>
      <c r="C312" s="22">
        <f>VLOOKUP(A312,[2]Sheet2!$D:$E,2,FALSE)</f>
        <v>8993</v>
      </c>
      <c r="D312" s="22">
        <v>8993</v>
      </c>
      <c r="E312" s="22">
        <f>VLOOKUP(A312,[3]Sheet2!$A:$F,6,FALSE)</f>
        <v>400400</v>
      </c>
      <c r="G312" s="22" t="s">
        <v>852</v>
      </c>
      <c r="H312" s="22" t="s">
        <v>453</v>
      </c>
      <c r="I312" s="22" t="s">
        <v>25</v>
      </c>
      <c r="J312" s="29" t="s">
        <v>42</v>
      </c>
      <c r="K312" s="29" t="s">
        <v>454</v>
      </c>
      <c r="L312" s="29" t="s">
        <v>28</v>
      </c>
      <c r="P312" s="30">
        <v>45677</v>
      </c>
      <c r="Q312" s="30">
        <v>45678</v>
      </c>
      <c r="R312" s="22" t="s">
        <v>29</v>
      </c>
      <c r="S312" s="29" t="s">
        <v>30</v>
      </c>
      <c r="T312" s="22" t="s">
        <v>31</v>
      </c>
      <c r="U312" s="25" t="s">
        <v>32</v>
      </c>
      <c r="V312" s="22" t="s">
        <v>33</v>
      </c>
      <c r="W312" s="32" t="s">
        <v>34</v>
      </c>
    </row>
    <row r="313" spans="1:23">
      <c r="A313" s="22" t="s">
        <v>853</v>
      </c>
      <c r="B313" s="25">
        <f>VLOOKUP(A313,[1]ProjectsResults!$D:$E,2,FALSE)</f>
        <v>10227</v>
      </c>
      <c r="C313" s="22">
        <f>VLOOKUP(A313,[2]Sheet2!$D:$E,2,FALSE)</f>
        <v>8994</v>
      </c>
      <c r="D313" s="22">
        <v>8994</v>
      </c>
      <c r="E313" s="22">
        <f>VLOOKUP(A313,[3]Sheet2!$A:$F,6,FALSE)</f>
        <v>19679990</v>
      </c>
      <c r="G313" s="22" t="s">
        <v>854</v>
      </c>
      <c r="H313" s="22" t="s">
        <v>317</v>
      </c>
      <c r="I313" s="22" t="s">
        <v>25</v>
      </c>
      <c r="J313" s="29" t="s">
        <v>271</v>
      </c>
      <c r="K313" s="29" t="s">
        <v>272</v>
      </c>
      <c r="L313" s="29" t="s">
        <v>28</v>
      </c>
      <c r="P313" s="30">
        <v>45646</v>
      </c>
      <c r="Q313" s="30">
        <v>45838</v>
      </c>
      <c r="R313" s="22" t="s">
        <v>29</v>
      </c>
      <c r="S313" s="29" t="s">
        <v>30</v>
      </c>
      <c r="T313" s="22" t="s">
        <v>74</v>
      </c>
      <c r="U313" s="25" t="s">
        <v>32</v>
      </c>
      <c r="V313" s="22" t="s">
        <v>75</v>
      </c>
      <c r="W313" s="32" t="s">
        <v>34</v>
      </c>
    </row>
    <row r="314" spans="1:23">
      <c r="A314" s="22" t="s">
        <v>855</v>
      </c>
      <c r="B314" s="25">
        <f>VLOOKUP(A314,[1]ProjectsResults!$D:$E,2,FALSE)</f>
        <v>10228</v>
      </c>
      <c r="C314" s="22">
        <f>VLOOKUP(A314,[2]Sheet2!$D:$E,2,FALSE)</f>
        <v>8995</v>
      </c>
      <c r="D314" s="22">
        <v>8995</v>
      </c>
      <c r="E314" s="22">
        <f>VLOOKUP(A314,[3]Sheet2!$A:$F,6,FALSE)</f>
        <v>1300000</v>
      </c>
      <c r="G314" s="22" t="s">
        <v>856</v>
      </c>
      <c r="H314" s="22" t="s">
        <v>857</v>
      </c>
      <c r="I314" s="22" t="s">
        <v>25</v>
      </c>
      <c r="J314" s="29" t="s">
        <v>38</v>
      </c>
      <c r="K314" s="29" t="s">
        <v>38</v>
      </c>
      <c r="L314" s="29" t="s">
        <v>28</v>
      </c>
      <c r="P314" s="30">
        <v>45687</v>
      </c>
      <c r="Q314" s="30">
        <v>45687</v>
      </c>
      <c r="R314" s="22" t="s">
        <v>29</v>
      </c>
      <c r="S314" s="29" t="s">
        <v>30</v>
      </c>
      <c r="T314" s="22" t="s">
        <v>31</v>
      </c>
      <c r="U314" s="25" t="s">
        <v>32</v>
      </c>
      <c r="V314" s="22" t="s">
        <v>33</v>
      </c>
      <c r="W314" s="32" t="s">
        <v>34</v>
      </c>
    </row>
    <row r="315" spans="1:23">
      <c r="A315" s="22" t="s">
        <v>858</v>
      </c>
      <c r="B315" s="25">
        <f>VLOOKUP(A315,[1]ProjectsResults!$D:$E,2,FALSE)</f>
        <v>10229</v>
      </c>
      <c r="C315" s="22">
        <f>VLOOKUP(A315,[2]Sheet2!$D:$E,2,FALSE)</f>
        <v>8996</v>
      </c>
      <c r="D315" s="22">
        <v>8996</v>
      </c>
      <c r="E315" s="22">
        <f>VLOOKUP(A315,[3]Sheet2!$A:$F,6,FALSE)</f>
        <v>11000</v>
      </c>
      <c r="G315" s="22" t="s">
        <v>859</v>
      </c>
      <c r="H315" s="22" t="s">
        <v>364</v>
      </c>
      <c r="I315" s="22" t="s">
        <v>25</v>
      </c>
      <c r="J315" s="29" t="s">
        <v>47</v>
      </c>
      <c r="K315" s="29" t="s">
        <v>557</v>
      </c>
      <c r="L315" s="29" t="s">
        <v>28</v>
      </c>
      <c r="P315" s="30">
        <v>45649</v>
      </c>
      <c r="Q315" s="30">
        <v>45649</v>
      </c>
      <c r="R315" s="22" t="s">
        <v>29</v>
      </c>
      <c r="S315" s="29" t="s">
        <v>30</v>
      </c>
      <c r="T315" s="22" t="s">
        <v>49</v>
      </c>
      <c r="U315" s="25" t="s">
        <v>32</v>
      </c>
      <c r="V315" s="22" t="s">
        <v>50</v>
      </c>
      <c r="W315" s="32" t="s">
        <v>34</v>
      </c>
    </row>
    <row r="316" spans="1:23">
      <c r="A316" s="22" t="s">
        <v>860</v>
      </c>
      <c r="B316" s="25">
        <f>VLOOKUP(A316,[1]ProjectsResults!$D:$E,2,FALSE)</f>
        <v>10230</v>
      </c>
      <c r="C316" s="22">
        <f>VLOOKUP(A316,[2]Sheet2!$D:$E,2,FALSE)</f>
        <v>8997</v>
      </c>
      <c r="D316" s="22">
        <v>8997</v>
      </c>
      <c r="E316" s="22">
        <f>VLOOKUP(A316,[3]Sheet2!$A:$F,6,FALSE)</f>
        <v>1829275</v>
      </c>
      <c r="G316" s="22" t="s">
        <v>861</v>
      </c>
      <c r="H316" s="22" t="s">
        <v>140</v>
      </c>
      <c r="I316" s="22" t="s">
        <v>25</v>
      </c>
      <c r="J316" s="29" t="s">
        <v>72</v>
      </c>
      <c r="K316" s="29" t="s">
        <v>141</v>
      </c>
      <c r="L316" s="29" t="s">
        <v>28</v>
      </c>
      <c r="P316" s="30">
        <v>45652</v>
      </c>
      <c r="Q316" s="30">
        <v>45663</v>
      </c>
      <c r="R316" s="22" t="s">
        <v>29</v>
      </c>
      <c r="S316" s="29" t="s">
        <v>30</v>
      </c>
      <c r="T316" s="22" t="s">
        <v>74</v>
      </c>
      <c r="U316" s="25" t="s">
        <v>32</v>
      </c>
      <c r="V316" s="22" t="s">
        <v>75</v>
      </c>
      <c r="W316" s="32" t="s">
        <v>34</v>
      </c>
    </row>
    <row r="317" spans="1:23">
      <c r="A317" s="22" t="s">
        <v>862</v>
      </c>
      <c r="B317" s="25">
        <f>VLOOKUP(A317,[1]ProjectsResults!$D:$E,2,FALSE)</f>
        <v>10231</v>
      </c>
      <c r="C317" s="22">
        <f>VLOOKUP(A317,[2]Sheet2!$D:$E,2,FALSE)</f>
        <v>8998</v>
      </c>
      <c r="D317" s="22">
        <v>8998</v>
      </c>
      <c r="E317" s="22">
        <f>VLOOKUP(A317,[3]Sheet2!$A:$F,6,FALSE)</f>
        <v>9458093</v>
      </c>
      <c r="G317" s="22" t="s">
        <v>863</v>
      </c>
      <c r="H317" s="22" t="s">
        <v>331</v>
      </c>
      <c r="I317" s="22" t="s">
        <v>25</v>
      </c>
      <c r="J317" s="29" t="s">
        <v>72</v>
      </c>
      <c r="K317" s="29" t="s">
        <v>141</v>
      </c>
      <c r="L317" s="29" t="s">
        <v>28</v>
      </c>
      <c r="P317" s="30">
        <v>45652</v>
      </c>
      <c r="Q317" s="30">
        <v>45664</v>
      </c>
      <c r="R317" s="22" t="s">
        <v>29</v>
      </c>
      <c r="S317" s="29" t="s">
        <v>30</v>
      </c>
      <c r="T317" s="22" t="s">
        <v>74</v>
      </c>
      <c r="U317" s="25" t="s">
        <v>32</v>
      </c>
      <c r="V317" s="22" t="s">
        <v>75</v>
      </c>
      <c r="W317" s="32" t="s">
        <v>34</v>
      </c>
    </row>
    <row r="318" spans="1:23">
      <c r="A318" s="22" t="s">
        <v>864</v>
      </c>
      <c r="B318" s="25">
        <f>VLOOKUP(A318,[1]ProjectsResults!$D:$E,2,FALSE)</f>
        <v>10232</v>
      </c>
      <c r="C318" s="22">
        <f>VLOOKUP(A318,[2]Sheet2!$D:$E,2,FALSE)</f>
        <v>8999</v>
      </c>
      <c r="D318" s="22">
        <v>8999</v>
      </c>
      <c r="E318" s="22">
        <f>VLOOKUP(A318,[3]Sheet2!$A:$F,6,FALSE)</f>
        <v>3411474</v>
      </c>
      <c r="G318" s="22" t="s">
        <v>865</v>
      </c>
      <c r="H318" s="22" t="s">
        <v>102</v>
      </c>
      <c r="I318" s="22" t="s">
        <v>25</v>
      </c>
      <c r="J318" s="29" t="s">
        <v>38</v>
      </c>
      <c r="K318" s="29" t="s">
        <v>38</v>
      </c>
      <c r="L318" s="29" t="s">
        <v>28</v>
      </c>
      <c r="P318" s="30">
        <v>45652</v>
      </c>
      <c r="Q318" s="30">
        <v>45716</v>
      </c>
      <c r="R318" s="22" t="s">
        <v>29</v>
      </c>
      <c r="S318" s="29" t="s">
        <v>30</v>
      </c>
      <c r="T318" s="22" t="s">
        <v>31</v>
      </c>
      <c r="U318" s="25" t="s">
        <v>32</v>
      </c>
      <c r="V318" s="22" t="s">
        <v>33</v>
      </c>
      <c r="W318" s="32" t="s">
        <v>34</v>
      </c>
    </row>
    <row r="319" spans="1:23">
      <c r="A319" s="22" t="s">
        <v>866</v>
      </c>
      <c r="B319" s="25">
        <f>VLOOKUP(A319,[1]ProjectsResults!$D:$E,2,FALSE)</f>
        <v>10233</v>
      </c>
      <c r="C319" s="22">
        <f>VLOOKUP(A319,[2]Sheet2!$D:$E,2,FALSE)</f>
        <v>9000</v>
      </c>
      <c r="D319" s="22">
        <v>9000</v>
      </c>
      <c r="E319" s="22">
        <f>VLOOKUP(A319,[3]Sheet2!$A:$F,6,FALSE)</f>
        <v>11299417</v>
      </c>
      <c r="G319" s="22" t="s">
        <v>867</v>
      </c>
      <c r="H319" s="22" t="s">
        <v>868</v>
      </c>
      <c r="I319" s="22" t="s">
        <v>25</v>
      </c>
      <c r="J319" s="29" t="s">
        <v>168</v>
      </c>
      <c r="K319" s="29" t="s">
        <v>407</v>
      </c>
      <c r="L319" s="29" t="s">
        <v>28</v>
      </c>
      <c r="P319" s="30">
        <v>45653</v>
      </c>
      <c r="Q319" s="30">
        <v>45668</v>
      </c>
      <c r="R319" s="22" t="s">
        <v>29</v>
      </c>
      <c r="S319" s="29" t="s">
        <v>30</v>
      </c>
      <c r="T319" s="22" t="s">
        <v>31</v>
      </c>
      <c r="U319" s="25" t="s">
        <v>32</v>
      </c>
      <c r="V319" s="22" t="s">
        <v>33</v>
      </c>
      <c r="W319" s="32" t="s">
        <v>34</v>
      </c>
    </row>
    <row r="320" spans="1:23">
      <c r="A320" s="22" t="s">
        <v>869</v>
      </c>
      <c r="B320" s="25">
        <f>VLOOKUP(A320,[1]ProjectsResults!$D:$E,2,FALSE)</f>
        <v>10234</v>
      </c>
      <c r="C320" s="22">
        <f>VLOOKUP(A320,[2]Sheet2!$D:$E,2,FALSE)</f>
        <v>9001</v>
      </c>
      <c r="D320" s="22">
        <v>9001</v>
      </c>
      <c r="E320" s="22">
        <f>VLOOKUP(A320,[3]Sheet2!$A:$F,6,FALSE)</f>
        <v>3731486</v>
      </c>
      <c r="G320" s="22" t="s">
        <v>870</v>
      </c>
      <c r="H320" s="22" t="s">
        <v>188</v>
      </c>
      <c r="I320" s="22" t="s">
        <v>25</v>
      </c>
      <c r="J320" s="29" t="s">
        <v>47</v>
      </c>
      <c r="K320" s="22" t="s">
        <v>800</v>
      </c>
      <c r="L320" s="29" t="s">
        <v>28</v>
      </c>
      <c r="P320" s="30">
        <v>45662</v>
      </c>
      <c r="Q320" s="30">
        <v>45662</v>
      </c>
      <c r="R320" s="22" t="s">
        <v>29</v>
      </c>
      <c r="S320" s="29" t="s">
        <v>30</v>
      </c>
      <c r="T320" s="22" t="s">
        <v>49</v>
      </c>
      <c r="U320" s="25" t="s">
        <v>32</v>
      </c>
      <c r="V320" s="22" t="s">
        <v>50</v>
      </c>
      <c r="W320" s="32" t="s">
        <v>34</v>
      </c>
    </row>
    <row r="321" spans="1:23">
      <c r="A321" s="22" t="s">
        <v>871</v>
      </c>
      <c r="B321" s="25">
        <f>VLOOKUP(A321,[1]ProjectsResults!$D:$E,2,FALSE)</f>
        <v>10235</v>
      </c>
      <c r="C321" s="22">
        <f>VLOOKUP(A321,[2]Sheet2!$D:$E,2,FALSE)</f>
        <v>9002</v>
      </c>
      <c r="D321" s="22">
        <v>9002</v>
      </c>
      <c r="E321" s="22">
        <f>VLOOKUP(A321,[3]Sheet2!$A:$F,6,FALSE)</f>
        <v>468214</v>
      </c>
      <c r="G321" s="22" t="s">
        <v>872</v>
      </c>
      <c r="H321" s="22" t="s">
        <v>307</v>
      </c>
      <c r="I321" s="22" t="s">
        <v>25</v>
      </c>
      <c r="J321" s="29" t="s">
        <v>47</v>
      </c>
      <c r="K321" s="22" t="s">
        <v>66</v>
      </c>
      <c r="L321" s="29" t="s">
        <v>28</v>
      </c>
      <c r="P321" s="30">
        <v>45666</v>
      </c>
      <c r="Q321" s="30">
        <v>45666</v>
      </c>
      <c r="R321" s="22" t="s">
        <v>29</v>
      </c>
      <c r="S321" s="29" t="s">
        <v>30</v>
      </c>
      <c r="T321" s="22" t="s">
        <v>49</v>
      </c>
      <c r="U321" s="25" t="s">
        <v>32</v>
      </c>
      <c r="V321" s="22" t="s">
        <v>50</v>
      </c>
      <c r="W321" s="32" t="s">
        <v>34</v>
      </c>
    </row>
    <row r="322" spans="1:23">
      <c r="A322" s="22" t="s">
        <v>873</v>
      </c>
      <c r="B322" s="25">
        <f>VLOOKUP(A322,[1]ProjectsResults!$D:$E,2,FALSE)</f>
        <v>10236</v>
      </c>
      <c r="C322" s="22">
        <f>VLOOKUP(A322,[2]Sheet2!$D:$E,2,FALSE)</f>
        <v>9003</v>
      </c>
      <c r="D322" s="22">
        <v>9003</v>
      </c>
      <c r="E322" s="22">
        <f>VLOOKUP(A322,[3]Sheet2!$A:$F,6,FALSE)</f>
        <v>38283592</v>
      </c>
      <c r="G322" s="22" t="s">
        <v>874</v>
      </c>
      <c r="H322" s="22" t="s">
        <v>596</v>
      </c>
      <c r="I322" s="22" t="s">
        <v>25</v>
      </c>
      <c r="J322" s="22" t="s">
        <v>155</v>
      </c>
      <c r="K322" s="22" t="s">
        <v>826</v>
      </c>
      <c r="L322" s="29" t="s">
        <v>28</v>
      </c>
      <c r="P322" s="30">
        <v>45674</v>
      </c>
      <c r="Q322" s="30">
        <v>45679</v>
      </c>
      <c r="R322" s="22" t="s">
        <v>29</v>
      </c>
      <c r="S322" s="29" t="s">
        <v>30</v>
      </c>
      <c r="T322" s="22" t="s">
        <v>74</v>
      </c>
      <c r="U322" s="25" t="s">
        <v>32</v>
      </c>
      <c r="V322" s="22" t="s">
        <v>75</v>
      </c>
      <c r="W322" s="32" t="s">
        <v>34</v>
      </c>
    </row>
    <row r="323" spans="1:23">
      <c r="A323" s="22" t="s">
        <v>875</v>
      </c>
      <c r="B323" s="25">
        <f>VLOOKUP(A323,[1]ProjectsResults!$D:$E,2,FALSE)</f>
        <v>10237</v>
      </c>
      <c r="C323" s="22">
        <f>VLOOKUP(A323,[2]Sheet2!$D:$E,2,FALSE)</f>
        <v>9004</v>
      </c>
      <c r="D323" s="22">
        <v>9004</v>
      </c>
      <c r="E323" s="22">
        <f>VLOOKUP(A323,[3]Sheet2!$A:$F,6,FALSE)</f>
        <v>2100263</v>
      </c>
      <c r="G323" s="22" t="s">
        <v>876</v>
      </c>
      <c r="H323" s="22" t="s">
        <v>877</v>
      </c>
      <c r="I323" s="22" t="s">
        <v>25</v>
      </c>
      <c r="J323" s="22" t="s">
        <v>38</v>
      </c>
      <c r="K323" s="22" t="s">
        <v>38</v>
      </c>
      <c r="L323" s="29" t="s">
        <v>28</v>
      </c>
      <c r="P323" s="30">
        <v>45741</v>
      </c>
      <c r="Q323" s="30">
        <v>45741</v>
      </c>
      <c r="R323" s="22" t="s">
        <v>29</v>
      </c>
      <c r="S323" s="29" t="s">
        <v>30</v>
      </c>
      <c r="T323" s="22" t="s">
        <v>31</v>
      </c>
      <c r="U323" s="25" t="s">
        <v>32</v>
      </c>
      <c r="V323" s="22" t="s">
        <v>33</v>
      </c>
      <c r="W323" s="32" t="s">
        <v>34</v>
      </c>
    </row>
    <row r="324" spans="1:23">
      <c r="A324" s="22" t="s">
        <v>878</v>
      </c>
      <c r="B324" s="25">
        <f>VLOOKUP(A324,[1]ProjectsResults!$D:$E,2,FALSE)</f>
        <v>10238</v>
      </c>
      <c r="C324" s="22">
        <f>VLOOKUP(A324,[2]Sheet2!$D:$E,2,FALSE)</f>
        <v>9005</v>
      </c>
      <c r="D324" s="22">
        <v>9005</v>
      </c>
      <c r="E324" s="22">
        <f>VLOOKUP(A324,[3]Sheet2!$A:$F,6,FALSE)</f>
        <v>163680</v>
      </c>
      <c r="G324" s="22" t="s">
        <v>879</v>
      </c>
      <c r="H324" s="22" t="s">
        <v>114</v>
      </c>
      <c r="I324" s="22" t="s">
        <v>25</v>
      </c>
      <c r="J324" s="29" t="s">
        <v>115</v>
      </c>
      <c r="K324" s="22" t="s">
        <v>164</v>
      </c>
      <c r="L324" s="29" t="s">
        <v>28</v>
      </c>
      <c r="P324" s="30">
        <v>45662</v>
      </c>
      <c r="Q324" s="30">
        <v>45662</v>
      </c>
      <c r="R324" s="22" t="s">
        <v>29</v>
      </c>
      <c r="S324" s="29" t="s">
        <v>30</v>
      </c>
      <c r="T324" s="22" t="s">
        <v>49</v>
      </c>
      <c r="U324" s="25" t="s">
        <v>32</v>
      </c>
      <c r="V324" s="22" t="s">
        <v>117</v>
      </c>
      <c r="W324" s="32" t="s">
        <v>34</v>
      </c>
    </row>
    <row r="325" spans="1:23">
      <c r="A325" s="22" t="s">
        <v>880</v>
      </c>
      <c r="B325" s="25">
        <f>VLOOKUP(A325,[1]ProjectsResults!$D:$E,2,FALSE)</f>
        <v>10239</v>
      </c>
      <c r="C325" s="22">
        <f>VLOOKUP(A325,[2]Sheet2!$D:$E,2,FALSE)</f>
        <v>9578</v>
      </c>
      <c r="D325" s="22">
        <v>9578</v>
      </c>
      <c r="E325" s="22">
        <f>VLOOKUP(A325,[3]Sheet2!$A:$F,6,FALSE)</f>
        <v>15660</v>
      </c>
      <c r="G325" s="22" t="s">
        <v>881</v>
      </c>
      <c r="H325" s="22" t="s">
        <v>748</v>
      </c>
      <c r="I325" s="22" t="s">
        <v>25</v>
      </c>
      <c r="J325" s="29" t="s">
        <v>115</v>
      </c>
      <c r="K325" s="29" t="s">
        <v>356</v>
      </c>
      <c r="L325" s="29" t="s">
        <v>28</v>
      </c>
      <c r="P325" s="30">
        <v>45660</v>
      </c>
      <c r="Q325" s="30">
        <v>45660</v>
      </c>
      <c r="R325" s="22" t="s">
        <v>29</v>
      </c>
      <c r="S325" s="29" t="s">
        <v>30</v>
      </c>
      <c r="T325" s="22" t="s">
        <v>49</v>
      </c>
      <c r="U325" s="25" t="s">
        <v>32</v>
      </c>
      <c r="V325" s="22" t="s">
        <v>117</v>
      </c>
      <c r="W325" s="32" t="s">
        <v>34</v>
      </c>
    </row>
    <row r="326" spans="1:23">
      <c r="A326" s="22" t="s">
        <v>882</v>
      </c>
      <c r="B326" s="25">
        <f>VLOOKUP(A326,[1]ProjectsResults!$D:$E,2,FALSE)</f>
        <v>10240</v>
      </c>
      <c r="C326" s="22">
        <f>VLOOKUP(A326,[2]Sheet2!$D:$E,2,FALSE)</f>
        <v>9006</v>
      </c>
      <c r="D326" s="22">
        <v>9006</v>
      </c>
      <c r="E326" s="22">
        <f>VLOOKUP(A326,[3]Sheet2!$A:$F,6,FALSE)</f>
        <v>81840</v>
      </c>
      <c r="G326" s="22" t="s">
        <v>883</v>
      </c>
      <c r="H326" s="22" t="s">
        <v>884</v>
      </c>
      <c r="I326" s="22" t="s">
        <v>25</v>
      </c>
      <c r="J326" s="22" t="s">
        <v>42</v>
      </c>
      <c r="K326" s="22" t="s">
        <v>183</v>
      </c>
      <c r="L326" s="29" t="s">
        <v>28</v>
      </c>
      <c r="P326" s="30">
        <v>45665</v>
      </c>
      <c r="Q326" s="30">
        <v>45665</v>
      </c>
      <c r="R326" s="22" t="s">
        <v>29</v>
      </c>
      <c r="S326" s="29" t="s">
        <v>30</v>
      </c>
      <c r="T326" s="22" t="s">
        <v>31</v>
      </c>
      <c r="U326" s="25" t="s">
        <v>32</v>
      </c>
      <c r="V326" s="22" t="s">
        <v>33</v>
      </c>
      <c r="W326" s="32" t="s">
        <v>34</v>
      </c>
    </row>
    <row r="327" spans="1:23">
      <c r="A327" s="22" t="s">
        <v>885</v>
      </c>
      <c r="B327" s="25">
        <f>VLOOKUP(A327,[1]ProjectsResults!$D:$E,2,FALSE)</f>
        <v>10241</v>
      </c>
      <c r="C327" s="22">
        <f>VLOOKUP(A327,[2]Sheet2!$D:$E,2,FALSE)</f>
        <v>9007</v>
      </c>
      <c r="D327" s="22">
        <v>9007</v>
      </c>
      <c r="E327" s="22">
        <f>VLOOKUP(A327,[3]Sheet2!$A:$F,6,FALSE)</f>
        <v>3234784</v>
      </c>
      <c r="G327" s="22" t="s">
        <v>886</v>
      </c>
      <c r="H327" s="22" t="s">
        <v>82</v>
      </c>
      <c r="I327" s="22" t="s">
        <v>25</v>
      </c>
      <c r="J327" s="22" t="s">
        <v>72</v>
      </c>
      <c r="K327" s="22" t="s">
        <v>83</v>
      </c>
      <c r="L327" s="29" t="s">
        <v>28</v>
      </c>
      <c r="P327" s="30">
        <v>45694</v>
      </c>
      <c r="Q327" s="30">
        <v>45701</v>
      </c>
      <c r="R327" s="22" t="s">
        <v>29</v>
      </c>
      <c r="S327" s="29" t="s">
        <v>30</v>
      </c>
      <c r="T327" s="22" t="s">
        <v>74</v>
      </c>
      <c r="U327" s="25" t="s">
        <v>32</v>
      </c>
      <c r="V327" s="22" t="s">
        <v>75</v>
      </c>
      <c r="W327" s="32" t="s">
        <v>34</v>
      </c>
    </row>
    <row r="328" spans="1:23">
      <c r="A328" s="22" t="s">
        <v>887</v>
      </c>
      <c r="B328" s="25">
        <f>VLOOKUP(A328,[1]ProjectsResults!$D:$E,2,FALSE)</f>
        <v>10242</v>
      </c>
      <c r="C328" s="22">
        <f>VLOOKUP(A328,[2]Sheet2!$D:$E,2,FALSE)</f>
        <v>9579</v>
      </c>
      <c r="D328" s="22">
        <v>9579</v>
      </c>
      <c r="E328" s="22">
        <f>VLOOKUP(A328,[3]Sheet2!$A:$F,6,FALSE)</f>
        <v>14527205</v>
      </c>
      <c r="G328" s="22" t="s">
        <v>888</v>
      </c>
      <c r="H328" s="22" t="s">
        <v>889</v>
      </c>
      <c r="I328" s="22" t="s">
        <v>25</v>
      </c>
      <c r="J328" s="29" t="s">
        <v>271</v>
      </c>
      <c r="K328" s="22" t="s">
        <v>272</v>
      </c>
      <c r="L328" s="29" t="s">
        <v>28</v>
      </c>
      <c r="P328" s="30">
        <v>45710</v>
      </c>
      <c r="Q328" s="30">
        <v>45714</v>
      </c>
      <c r="R328" s="22" t="s">
        <v>29</v>
      </c>
      <c r="S328" s="29" t="s">
        <v>30</v>
      </c>
      <c r="T328" s="22" t="s">
        <v>74</v>
      </c>
      <c r="U328" s="25" t="s">
        <v>32</v>
      </c>
      <c r="V328" s="22" t="s">
        <v>75</v>
      </c>
      <c r="W328" s="32" t="s">
        <v>34</v>
      </c>
    </row>
    <row r="329" spans="1:23">
      <c r="A329" s="22" t="s">
        <v>890</v>
      </c>
      <c r="B329" s="25">
        <f>VLOOKUP(A329,[1]ProjectsResults!$D:$E,2,FALSE)</f>
        <v>10243</v>
      </c>
      <c r="C329" s="22">
        <f>VLOOKUP(A329,[2]Sheet2!$D:$E,2,FALSE)</f>
        <v>9008</v>
      </c>
      <c r="D329" s="22">
        <v>9008</v>
      </c>
      <c r="E329" s="22">
        <f>VLOOKUP(A329,[3]Sheet2!$A:$F,6,FALSE)</f>
        <v>380600</v>
      </c>
      <c r="G329" s="22" t="s">
        <v>891</v>
      </c>
      <c r="H329" s="22" t="s">
        <v>331</v>
      </c>
      <c r="I329" s="22" t="s">
        <v>25</v>
      </c>
      <c r="J329" s="22" t="s">
        <v>72</v>
      </c>
      <c r="K329" s="22" t="s">
        <v>141</v>
      </c>
      <c r="L329" s="29" t="s">
        <v>28</v>
      </c>
      <c r="P329" s="30">
        <v>45682</v>
      </c>
      <c r="Q329" s="30">
        <v>45682</v>
      </c>
      <c r="R329" s="22" t="s">
        <v>29</v>
      </c>
      <c r="S329" s="29" t="s">
        <v>30</v>
      </c>
      <c r="T329" s="22" t="s">
        <v>74</v>
      </c>
      <c r="U329" s="25" t="s">
        <v>32</v>
      </c>
      <c r="V329" s="22" t="s">
        <v>75</v>
      </c>
      <c r="W329" s="32" t="s">
        <v>34</v>
      </c>
    </row>
    <row r="330" spans="1:23">
      <c r="A330" s="22" t="s">
        <v>892</v>
      </c>
      <c r="B330" s="25">
        <f>VLOOKUP(A330,[1]ProjectsResults!$D:$E,2,FALSE)</f>
        <v>10244</v>
      </c>
      <c r="C330" s="22">
        <f>VLOOKUP(A330,[2]Sheet2!$D:$E,2,FALSE)</f>
        <v>9009</v>
      </c>
      <c r="D330" s="22">
        <v>9009</v>
      </c>
      <c r="E330" s="22">
        <f>VLOOKUP(A330,[3]Sheet2!$A:$F,6,FALSE)</f>
        <v>1451280</v>
      </c>
      <c r="G330" s="22" t="s">
        <v>893</v>
      </c>
      <c r="H330" s="22" t="s">
        <v>114</v>
      </c>
      <c r="I330" s="22" t="s">
        <v>25</v>
      </c>
      <c r="J330" s="29" t="s">
        <v>115</v>
      </c>
      <c r="K330" s="29" t="s">
        <v>160</v>
      </c>
      <c r="L330" s="29" t="s">
        <v>28</v>
      </c>
      <c r="P330" s="30">
        <v>45664</v>
      </c>
      <c r="Q330" s="30">
        <v>45665</v>
      </c>
      <c r="R330" s="22" t="s">
        <v>29</v>
      </c>
      <c r="S330" s="29" t="s">
        <v>30</v>
      </c>
      <c r="T330" s="22" t="s">
        <v>49</v>
      </c>
      <c r="U330" s="25" t="s">
        <v>32</v>
      </c>
      <c r="V330" s="22" t="s">
        <v>117</v>
      </c>
      <c r="W330" s="32" t="s">
        <v>34</v>
      </c>
    </row>
    <row r="331" spans="1:23">
      <c r="A331" s="22" t="s">
        <v>894</v>
      </c>
      <c r="B331" s="25">
        <f>VLOOKUP(A331,[1]ProjectsResults!$D:$E,2,FALSE)</f>
        <v>10245</v>
      </c>
      <c r="C331" s="22">
        <f>VLOOKUP(A331,[2]Sheet2!$D:$E,2,FALSE)</f>
        <v>9010</v>
      </c>
      <c r="D331" s="22">
        <v>9010</v>
      </c>
      <c r="E331" s="22">
        <f>VLOOKUP(A331,[3]Sheet2!$A:$F,6,FALSE)</f>
        <v>3420956</v>
      </c>
      <c r="G331" s="22" t="s">
        <v>895</v>
      </c>
      <c r="H331" s="22" t="s">
        <v>540</v>
      </c>
      <c r="I331" s="22" t="s">
        <v>25</v>
      </c>
      <c r="J331" s="29" t="s">
        <v>115</v>
      </c>
      <c r="K331" s="22" t="s">
        <v>116</v>
      </c>
      <c r="L331" s="29" t="s">
        <v>28</v>
      </c>
      <c r="P331" s="30">
        <v>45674</v>
      </c>
      <c r="Q331" s="30">
        <v>45678</v>
      </c>
      <c r="R331" s="22" t="s">
        <v>29</v>
      </c>
      <c r="S331" s="29" t="s">
        <v>30</v>
      </c>
      <c r="T331" s="22" t="s">
        <v>49</v>
      </c>
      <c r="U331" s="25" t="s">
        <v>32</v>
      </c>
      <c r="V331" s="22" t="s">
        <v>117</v>
      </c>
      <c r="W331" s="32" t="s">
        <v>34</v>
      </c>
    </row>
    <row r="332" spans="1:23">
      <c r="A332" s="22" t="s">
        <v>896</v>
      </c>
      <c r="B332" s="25">
        <f>VLOOKUP(A332,[1]ProjectsResults!$D:$E,2,FALSE)</f>
        <v>10246</v>
      </c>
      <c r="C332" s="22">
        <f>VLOOKUP(A332,[2]Sheet2!$D:$E,2,FALSE)</f>
        <v>9011</v>
      </c>
      <c r="D332" s="22">
        <v>9011</v>
      </c>
      <c r="E332" s="22">
        <f>VLOOKUP(A332,[3]Sheet2!$A:$F,6,FALSE)</f>
        <v>354542</v>
      </c>
      <c r="G332" s="22" t="s">
        <v>897</v>
      </c>
      <c r="H332" s="22" t="s">
        <v>781</v>
      </c>
      <c r="I332" s="22" t="s">
        <v>25</v>
      </c>
      <c r="J332" s="29" t="s">
        <v>47</v>
      </c>
      <c r="K332" s="22" t="s">
        <v>48</v>
      </c>
      <c r="L332" s="29" t="s">
        <v>28</v>
      </c>
      <c r="P332" s="30">
        <v>45664</v>
      </c>
      <c r="Q332" s="30">
        <v>45664</v>
      </c>
      <c r="R332" s="22" t="s">
        <v>29</v>
      </c>
      <c r="S332" s="29" t="s">
        <v>30</v>
      </c>
      <c r="T332" s="22" t="s">
        <v>49</v>
      </c>
      <c r="U332" s="25" t="s">
        <v>32</v>
      </c>
      <c r="V332" s="22" t="s">
        <v>50</v>
      </c>
      <c r="W332" s="32" t="s">
        <v>34</v>
      </c>
    </row>
    <row r="333" spans="1:23">
      <c r="A333" s="22" t="s">
        <v>898</v>
      </c>
      <c r="B333" s="25">
        <f>VLOOKUP(A333,[1]ProjectsResults!$D:$E,2,FALSE)</f>
        <v>10247</v>
      </c>
      <c r="C333" s="22">
        <f>VLOOKUP(A333,[2]Sheet2!$D:$E,2,FALSE)</f>
        <v>9012</v>
      </c>
      <c r="D333" s="22">
        <v>9012</v>
      </c>
      <c r="E333" s="22">
        <f>VLOOKUP(A333,[3]Sheet2!$A:$F,6,FALSE)</f>
        <v>10450</v>
      </c>
      <c r="G333" s="22" t="s">
        <v>899</v>
      </c>
      <c r="H333" s="22" t="s">
        <v>692</v>
      </c>
      <c r="I333" s="22" t="s">
        <v>25</v>
      </c>
      <c r="J333" s="29" t="s">
        <v>115</v>
      </c>
      <c r="K333" s="22" t="s">
        <v>116</v>
      </c>
      <c r="L333" s="29" t="s">
        <v>28</v>
      </c>
      <c r="P333" s="30">
        <v>45663</v>
      </c>
      <c r="Q333" s="30">
        <v>45663</v>
      </c>
      <c r="R333" s="22" t="s">
        <v>29</v>
      </c>
      <c r="S333" s="29" t="s">
        <v>30</v>
      </c>
      <c r="T333" s="22" t="s">
        <v>49</v>
      </c>
      <c r="U333" s="25" t="s">
        <v>32</v>
      </c>
      <c r="V333" s="22" t="s">
        <v>117</v>
      </c>
      <c r="W333" s="32" t="s">
        <v>34</v>
      </c>
    </row>
    <row r="334" spans="1:23">
      <c r="A334" s="22" t="s">
        <v>900</v>
      </c>
      <c r="B334" s="25">
        <f>VLOOKUP(A334,[1]ProjectsResults!$D:$E,2,FALSE)</f>
        <v>10248</v>
      </c>
      <c r="C334" s="22">
        <f>VLOOKUP(A334,[2]Sheet2!$D:$E,2,FALSE)</f>
        <v>9355</v>
      </c>
      <c r="D334" s="22">
        <v>9355</v>
      </c>
      <c r="E334" s="22">
        <f>VLOOKUP(A334,[3]Sheet2!$A:$F,6,FALSE)</f>
        <v>21500</v>
      </c>
      <c r="G334" s="22" t="s">
        <v>901</v>
      </c>
      <c r="H334" s="22" t="s">
        <v>159</v>
      </c>
      <c r="I334" s="22" t="s">
        <v>25</v>
      </c>
      <c r="J334" s="29" t="s">
        <v>115</v>
      </c>
      <c r="K334" s="29" t="s">
        <v>160</v>
      </c>
      <c r="L334" s="29" t="s">
        <v>28</v>
      </c>
      <c r="P334" s="30">
        <v>45664</v>
      </c>
      <c r="Q334" s="30">
        <v>45664</v>
      </c>
      <c r="R334" s="22" t="s">
        <v>29</v>
      </c>
      <c r="S334" s="29" t="s">
        <v>30</v>
      </c>
      <c r="T334" s="22" t="s">
        <v>49</v>
      </c>
      <c r="U334" s="25" t="s">
        <v>32</v>
      </c>
      <c r="V334" s="22" t="s">
        <v>117</v>
      </c>
      <c r="W334" s="32" t="s">
        <v>34</v>
      </c>
    </row>
    <row r="335" spans="1:23">
      <c r="A335" s="22" t="s">
        <v>902</v>
      </c>
      <c r="B335" s="25">
        <f>VLOOKUP(A335,[1]ProjectsResults!$D:$E,2,FALSE)</f>
        <v>10249</v>
      </c>
      <c r="C335" s="22">
        <f>VLOOKUP(A335,[2]Sheet2!$D:$E,2,FALSE)</f>
        <v>9013</v>
      </c>
      <c r="D335" s="22">
        <v>9013</v>
      </c>
      <c r="E335" s="22">
        <f>VLOOKUP(A335,[3]Sheet2!$A:$F,6,FALSE)</f>
        <v>657481</v>
      </c>
      <c r="G335" s="22" t="s">
        <v>903</v>
      </c>
      <c r="H335" s="22" t="s">
        <v>128</v>
      </c>
      <c r="I335" s="22" t="s">
        <v>25</v>
      </c>
      <c r="J335" s="29" t="s">
        <v>47</v>
      </c>
      <c r="K335" s="22" t="s">
        <v>129</v>
      </c>
      <c r="L335" s="29" t="s">
        <v>28</v>
      </c>
      <c r="P335" s="30">
        <v>45667</v>
      </c>
      <c r="Q335" s="30">
        <v>45669</v>
      </c>
      <c r="R335" s="22" t="s">
        <v>29</v>
      </c>
      <c r="S335" s="29" t="s">
        <v>30</v>
      </c>
      <c r="T335" s="22" t="s">
        <v>49</v>
      </c>
      <c r="U335" s="25" t="s">
        <v>32</v>
      </c>
      <c r="V335" s="22" t="s">
        <v>50</v>
      </c>
      <c r="W335" s="32" t="s">
        <v>34</v>
      </c>
    </row>
    <row r="336" spans="1:23">
      <c r="A336" s="22" t="s">
        <v>904</v>
      </c>
      <c r="B336" s="25">
        <f>VLOOKUP(A336,[1]ProjectsResults!$D:$E,2,FALSE)</f>
        <v>10250</v>
      </c>
      <c r="C336" s="22">
        <f>VLOOKUP(A336,[2]Sheet2!$D:$E,2,FALSE)</f>
        <v>9014</v>
      </c>
      <c r="D336" s="22">
        <v>9014</v>
      </c>
      <c r="E336" s="22">
        <f>VLOOKUP(A336,[3]Sheet2!$A:$F,6,FALSE)</f>
        <v>25107</v>
      </c>
      <c r="G336" s="22" t="s">
        <v>905</v>
      </c>
      <c r="H336" s="22" t="s">
        <v>86</v>
      </c>
      <c r="I336" s="22" t="s">
        <v>25</v>
      </c>
      <c r="J336" s="22" t="s">
        <v>42</v>
      </c>
      <c r="K336" s="29" t="s">
        <v>238</v>
      </c>
      <c r="L336" s="29" t="s">
        <v>28</v>
      </c>
      <c r="P336" s="30">
        <v>45667</v>
      </c>
      <c r="Q336" s="30">
        <v>45667</v>
      </c>
      <c r="R336" s="22" t="s">
        <v>29</v>
      </c>
      <c r="S336" s="29" t="s">
        <v>30</v>
      </c>
      <c r="T336" s="22" t="s">
        <v>31</v>
      </c>
      <c r="U336" s="25" t="s">
        <v>32</v>
      </c>
      <c r="V336" s="22" t="s">
        <v>33</v>
      </c>
      <c r="W336" s="32" t="s">
        <v>34</v>
      </c>
    </row>
    <row r="337" spans="1:23">
      <c r="A337" s="22" t="s">
        <v>906</v>
      </c>
      <c r="B337" s="25">
        <f>VLOOKUP(A337,[1]ProjectsResults!$D:$E,2,FALSE)</f>
        <v>10251</v>
      </c>
      <c r="C337" s="22">
        <f>VLOOKUP(A337,[2]Sheet2!$D:$E,2,FALSE)</f>
        <v>9015</v>
      </c>
      <c r="D337" s="22">
        <v>9015</v>
      </c>
      <c r="E337" s="22">
        <f>VLOOKUP(A337,[3]Sheet2!$A:$F,6,FALSE)</f>
        <v>47183</v>
      </c>
      <c r="G337" s="22" t="s">
        <v>907</v>
      </c>
      <c r="H337" s="22" t="s">
        <v>86</v>
      </c>
      <c r="I337" s="22" t="s">
        <v>25</v>
      </c>
      <c r="J337" s="22" t="s">
        <v>42</v>
      </c>
      <c r="K337" s="29" t="s">
        <v>238</v>
      </c>
      <c r="L337" s="29" t="s">
        <v>28</v>
      </c>
      <c r="P337" s="30">
        <v>45665</v>
      </c>
      <c r="Q337" s="30">
        <v>45665</v>
      </c>
      <c r="R337" s="22" t="s">
        <v>29</v>
      </c>
      <c r="S337" s="29" t="s">
        <v>30</v>
      </c>
      <c r="T337" s="22" t="s">
        <v>31</v>
      </c>
      <c r="U337" s="25" t="s">
        <v>32</v>
      </c>
      <c r="V337" s="22" t="s">
        <v>33</v>
      </c>
      <c r="W337" s="32" t="s">
        <v>34</v>
      </c>
    </row>
    <row r="338" spans="1:23">
      <c r="A338" s="22" t="s">
        <v>908</v>
      </c>
      <c r="B338" s="25">
        <f>VLOOKUP(A338,[1]ProjectsResults!$D:$E,2,FALSE)</f>
        <v>10252</v>
      </c>
      <c r="C338" s="22">
        <f>VLOOKUP(A338,[2]Sheet2!$D:$E,2,FALSE)</f>
        <v>9016</v>
      </c>
      <c r="D338" s="22">
        <v>9016</v>
      </c>
      <c r="E338" s="22">
        <f>VLOOKUP(A338,[3]Sheet2!$A:$F,6,FALSE)</f>
        <v>655930</v>
      </c>
      <c r="G338" s="22" t="s">
        <v>909</v>
      </c>
      <c r="H338" s="22" t="s">
        <v>331</v>
      </c>
      <c r="I338" s="22" t="s">
        <v>25</v>
      </c>
      <c r="J338" s="22" t="s">
        <v>72</v>
      </c>
      <c r="K338" s="22" t="s">
        <v>141</v>
      </c>
      <c r="L338" s="29" t="s">
        <v>28</v>
      </c>
      <c r="P338" s="30">
        <v>45666</v>
      </c>
      <c r="Q338" s="30">
        <v>45670</v>
      </c>
      <c r="R338" s="22" t="s">
        <v>29</v>
      </c>
      <c r="S338" s="29" t="s">
        <v>30</v>
      </c>
      <c r="T338" s="22" t="s">
        <v>74</v>
      </c>
      <c r="U338" s="25" t="s">
        <v>32</v>
      </c>
      <c r="V338" s="22" t="s">
        <v>75</v>
      </c>
      <c r="W338" s="32" t="s">
        <v>34</v>
      </c>
    </row>
    <row r="339" spans="1:23">
      <c r="A339" s="22" t="s">
        <v>910</v>
      </c>
      <c r="B339" s="25">
        <f>VLOOKUP(A339,[1]ProjectsResults!$D:$E,2,FALSE)</f>
        <v>10253</v>
      </c>
      <c r="C339" s="22">
        <f>VLOOKUP(A339,[2]Sheet2!$D:$E,2,FALSE)</f>
        <v>9017</v>
      </c>
      <c r="D339" s="22">
        <v>9017</v>
      </c>
      <c r="E339" s="22">
        <f>VLOOKUP(A339,[3]Sheet2!$A:$F,6,FALSE)</f>
        <v>781000</v>
      </c>
      <c r="G339" s="22" t="s">
        <v>911</v>
      </c>
      <c r="H339" s="22" t="s">
        <v>420</v>
      </c>
      <c r="I339" s="22" t="s">
        <v>25</v>
      </c>
      <c r="J339" s="29" t="s">
        <v>47</v>
      </c>
      <c r="K339" s="29" t="s">
        <v>227</v>
      </c>
      <c r="L339" s="29" t="s">
        <v>28</v>
      </c>
      <c r="P339" s="30">
        <v>45860</v>
      </c>
      <c r="Q339" s="30">
        <v>45862</v>
      </c>
      <c r="R339" s="22" t="s">
        <v>29</v>
      </c>
      <c r="S339" s="29" t="s">
        <v>30</v>
      </c>
      <c r="T339" s="22" t="s">
        <v>49</v>
      </c>
      <c r="U339" s="25" t="s">
        <v>32</v>
      </c>
      <c r="V339" s="22" t="s">
        <v>50</v>
      </c>
      <c r="W339" s="32" t="s">
        <v>34</v>
      </c>
    </row>
    <row r="340" spans="1:23">
      <c r="A340" s="22" t="s">
        <v>912</v>
      </c>
      <c r="B340" s="25">
        <f>VLOOKUP(A340,[1]ProjectsResults!$D:$E,2,FALSE)</f>
        <v>10254</v>
      </c>
      <c r="C340" s="22">
        <f>VLOOKUP(A340,[2]Sheet2!$D:$E,2,FALSE)</f>
        <v>9018</v>
      </c>
      <c r="D340" s="22">
        <v>9018</v>
      </c>
      <c r="E340" s="22">
        <f>VLOOKUP(A340,[3]Sheet2!$A:$F,6,FALSE)</f>
        <v>570000</v>
      </c>
      <c r="G340" s="22" t="s">
        <v>913</v>
      </c>
      <c r="H340" s="22" t="s">
        <v>137</v>
      </c>
      <c r="I340" s="22" t="s">
        <v>25</v>
      </c>
      <c r="J340" s="29" t="s">
        <v>47</v>
      </c>
      <c r="K340" s="22" t="s">
        <v>242</v>
      </c>
      <c r="L340" s="29" t="s">
        <v>28</v>
      </c>
      <c r="P340" s="30">
        <v>45665</v>
      </c>
      <c r="Q340" s="30">
        <v>45736</v>
      </c>
      <c r="R340" s="22" t="s">
        <v>29</v>
      </c>
      <c r="S340" s="29" t="s">
        <v>30</v>
      </c>
      <c r="T340" s="22" t="s">
        <v>49</v>
      </c>
      <c r="U340" s="25" t="s">
        <v>32</v>
      </c>
      <c r="V340" s="22" t="s">
        <v>50</v>
      </c>
      <c r="W340" s="32" t="s">
        <v>34</v>
      </c>
    </row>
    <row r="341" spans="1:23">
      <c r="A341" s="22" t="s">
        <v>914</v>
      </c>
      <c r="B341" s="25">
        <f>VLOOKUP(A341,[1]ProjectsResults!$D:$E,2,FALSE)</f>
        <v>10255</v>
      </c>
      <c r="C341" s="22">
        <f>VLOOKUP(A341,[2]Sheet2!$D:$E,2,FALSE)</f>
        <v>9019</v>
      </c>
      <c r="D341" s="22">
        <v>9019</v>
      </c>
      <c r="E341" s="22">
        <f>VLOOKUP(A341,[3]Sheet2!$A:$F,6,FALSE)</f>
        <v>873856</v>
      </c>
      <c r="G341" s="22" t="s">
        <v>915</v>
      </c>
      <c r="H341" s="22" t="s">
        <v>86</v>
      </c>
      <c r="I341" s="22" t="s">
        <v>25</v>
      </c>
      <c r="J341" s="22" t="s">
        <v>42</v>
      </c>
      <c r="K341" s="22" t="s">
        <v>149</v>
      </c>
      <c r="L341" s="29" t="s">
        <v>28</v>
      </c>
      <c r="P341" s="30">
        <v>45683</v>
      </c>
      <c r="Q341" s="30">
        <v>45683</v>
      </c>
      <c r="R341" s="22" t="s">
        <v>29</v>
      </c>
      <c r="S341" s="29" t="s">
        <v>30</v>
      </c>
      <c r="T341" s="22" t="s">
        <v>31</v>
      </c>
      <c r="U341" s="25" t="s">
        <v>32</v>
      </c>
      <c r="V341" s="22" t="s">
        <v>33</v>
      </c>
      <c r="W341" s="32" t="s">
        <v>34</v>
      </c>
    </row>
    <row r="342" spans="1:23">
      <c r="A342" s="22" t="s">
        <v>916</v>
      </c>
      <c r="B342" s="25">
        <f>VLOOKUP(A342,[1]ProjectsResults!$D:$E,2,FALSE)</f>
        <v>10256</v>
      </c>
      <c r="C342" s="22">
        <f>VLOOKUP(A342,[2]Sheet2!$D:$E,2,FALSE)</f>
        <v>9020</v>
      </c>
      <c r="D342" s="22">
        <v>9020</v>
      </c>
      <c r="E342" s="22">
        <f>VLOOKUP(A342,[3]Sheet2!$A:$F,6,FALSE)</f>
        <v>9350</v>
      </c>
      <c r="G342" s="22" t="s">
        <v>917</v>
      </c>
      <c r="H342" s="22" t="s">
        <v>58</v>
      </c>
      <c r="I342" s="22" t="s">
        <v>25</v>
      </c>
      <c r="J342" s="29" t="s">
        <v>47</v>
      </c>
      <c r="K342" s="29" t="s">
        <v>337</v>
      </c>
      <c r="L342" s="29" t="s">
        <v>28</v>
      </c>
      <c r="P342" s="30">
        <v>45667</v>
      </c>
      <c r="Q342" s="30">
        <v>45668</v>
      </c>
      <c r="R342" s="22" t="s">
        <v>29</v>
      </c>
      <c r="S342" s="29" t="s">
        <v>30</v>
      </c>
      <c r="T342" s="22" t="s">
        <v>49</v>
      </c>
      <c r="U342" s="25" t="s">
        <v>32</v>
      </c>
      <c r="V342" s="22" t="s">
        <v>50</v>
      </c>
      <c r="W342" s="32" t="s">
        <v>34</v>
      </c>
    </row>
    <row r="343" spans="1:23">
      <c r="A343" s="22" t="s">
        <v>918</v>
      </c>
      <c r="B343" s="25">
        <f>VLOOKUP(A343,[1]ProjectsResults!$D:$E,2,FALSE)</f>
        <v>10257</v>
      </c>
      <c r="C343" s="22">
        <f>VLOOKUP(A343,[2]Sheet2!$D:$E,2,FALSE)</f>
        <v>9580</v>
      </c>
      <c r="D343" s="22">
        <v>9580</v>
      </c>
      <c r="E343" s="22">
        <f>VLOOKUP(A343,[3]Sheet2!$A:$F,6,FALSE)</f>
        <v>239424</v>
      </c>
      <c r="G343" s="22" t="s">
        <v>919</v>
      </c>
      <c r="H343" s="22" t="s">
        <v>920</v>
      </c>
      <c r="I343" s="22" t="s">
        <v>25</v>
      </c>
      <c r="J343" s="29" t="s">
        <v>47</v>
      </c>
      <c r="K343" s="22" t="s">
        <v>683</v>
      </c>
      <c r="L343" s="29" t="s">
        <v>28</v>
      </c>
      <c r="P343" s="30">
        <v>45668</v>
      </c>
      <c r="Q343" s="30">
        <v>45668</v>
      </c>
      <c r="R343" s="22" t="s">
        <v>29</v>
      </c>
      <c r="S343" s="29" t="s">
        <v>30</v>
      </c>
      <c r="T343" s="22" t="s">
        <v>49</v>
      </c>
      <c r="U343" s="25" t="s">
        <v>32</v>
      </c>
      <c r="V343" s="22" t="s">
        <v>50</v>
      </c>
      <c r="W343" s="32" t="s">
        <v>34</v>
      </c>
    </row>
    <row r="344" spans="1:23">
      <c r="A344" s="22" t="s">
        <v>921</v>
      </c>
      <c r="B344" s="25">
        <f>VLOOKUP(A344,[1]ProjectsResults!$D:$E,2,FALSE)</f>
        <v>10258</v>
      </c>
      <c r="C344" s="22">
        <f>VLOOKUP(A344,[2]Sheet2!$D:$E,2,FALSE)</f>
        <v>9021</v>
      </c>
      <c r="D344" s="22">
        <v>9021</v>
      </c>
      <c r="E344" s="22">
        <f>VLOOKUP(A344,[3]Sheet2!$A:$F,6,FALSE)</f>
        <v>17462</v>
      </c>
      <c r="G344" s="22" t="s">
        <v>922</v>
      </c>
      <c r="H344" s="22" t="s">
        <v>114</v>
      </c>
      <c r="I344" s="22" t="s">
        <v>25</v>
      </c>
      <c r="J344" s="29" t="s">
        <v>115</v>
      </c>
      <c r="K344" s="22" t="s">
        <v>164</v>
      </c>
      <c r="L344" s="29" t="s">
        <v>28</v>
      </c>
      <c r="P344" s="30">
        <v>45665</v>
      </c>
      <c r="Q344" s="30">
        <v>45665</v>
      </c>
      <c r="R344" s="22" t="s">
        <v>29</v>
      </c>
      <c r="S344" s="29" t="s">
        <v>30</v>
      </c>
      <c r="T344" s="22" t="s">
        <v>49</v>
      </c>
      <c r="U344" s="25" t="s">
        <v>32</v>
      </c>
      <c r="V344" s="22" t="s">
        <v>117</v>
      </c>
      <c r="W344" s="32" t="s">
        <v>34</v>
      </c>
    </row>
    <row r="345" spans="1:23">
      <c r="A345" s="22" t="s">
        <v>923</v>
      </c>
      <c r="B345" s="25">
        <f>VLOOKUP(A345,[1]ProjectsResults!$D:$E,2,FALSE)</f>
        <v>10259</v>
      </c>
      <c r="C345" s="22">
        <f>VLOOKUP(A345,[2]Sheet2!$D:$E,2,FALSE)</f>
        <v>9022</v>
      </c>
      <c r="D345" s="22">
        <v>9022</v>
      </c>
      <c r="E345" s="22">
        <f>VLOOKUP(A345,[3]Sheet2!$A:$F,6,FALSE)</f>
        <v>525937.5</v>
      </c>
      <c r="G345" s="22" t="s">
        <v>924</v>
      </c>
      <c r="H345" s="22" t="s">
        <v>313</v>
      </c>
      <c r="I345" s="22" t="s">
        <v>25</v>
      </c>
      <c r="J345" s="29" t="s">
        <v>168</v>
      </c>
      <c r="K345" s="22" t="s">
        <v>314</v>
      </c>
      <c r="L345" s="29" t="s">
        <v>28</v>
      </c>
      <c r="P345" s="30">
        <v>45670</v>
      </c>
      <c r="Q345" s="30">
        <v>45670</v>
      </c>
      <c r="R345" s="22" t="s">
        <v>29</v>
      </c>
      <c r="S345" s="29" t="s">
        <v>30</v>
      </c>
      <c r="T345" s="22" t="s">
        <v>31</v>
      </c>
      <c r="U345" s="25" t="s">
        <v>32</v>
      </c>
      <c r="V345" s="22" t="s">
        <v>33</v>
      </c>
      <c r="W345" s="32" t="s">
        <v>34</v>
      </c>
    </row>
    <row r="346" spans="1:23">
      <c r="A346" s="22" t="s">
        <v>925</v>
      </c>
      <c r="B346" s="25">
        <f>VLOOKUP(A346,[1]ProjectsResults!$D:$E,2,FALSE)</f>
        <v>10260</v>
      </c>
      <c r="C346" s="22">
        <f>VLOOKUP(A346,[2]Sheet2!$D:$E,2,FALSE)</f>
        <v>9023</v>
      </c>
      <c r="D346" s="22">
        <v>9023</v>
      </c>
      <c r="E346" s="22">
        <f>VLOOKUP(A346,[3]Sheet2!$A:$F,6,FALSE)</f>
        <v>300000</v>
      </c>
      <c r="G346" s="22" t="s">
        <v>926</v>
      </c>
      <c r="H346" s="22" t="s">
        <v>249</v>
      </c>
      <c r="I346" s="22" t="s">
        <v>25</v>
      </c>
      <c r="J346" s="22" t="s">
        <v>250</v>
      </c>
      <c r="K346" s="29" t="s">
        <v>310</v>
      </c>
      <c r="L346" s="29" t="s">
        <v>28</v>
      </c>
      <c r="P346" s="30">
        <v>45665</v>
      </c>
      <c r="Q346" s="30">
        <v>45668</v>
      </c>
      <c r="R346" s="22" t="s">
        <v>29</v>
      </c>
      <c r="S346" s="29" t="s">
        <v>30</v>
      </c>
      <c r="T346" s="22" t="s">
        <v>31</v>
      </c>
      <c r="U346" s="25" t="s">
        <v>32</v>
      </c>
      <c r="V346" s="22" t="s">
        <v>33</v>
      </c>
      <c r="W346" s="32" t="s">
        <v>34</v>
      </c>
    </row>
    <row r="347" spans="1:23">
      <c r="A347" s="22" t="s">
        <v>927</v>
      </c>
      <c r="B347" s="25">
        <f>VLOOKUP(A347,[1]ProjectsResults!$D:$E,2,FALSE)</f>
        <v>10261</v>
      </c>
      <c r="C347" s="22">
        <f>VLOOKUP(A347,[2]Sheet2!$D:$E,2,FALSE)</f>
        <v>9024</v>
      </c>
      <c r="D347" s="22">
        <v>9024</v>
      </c>
      <c r="E347" s="22">
        <f>VLOOKUP(A347,[3]Sheet2!$A:$F,6,FALSE)</f>
        <v>622248</v>
      </c>
      <c r="G347" s="22" t="s">
        <v>928</v>
      </c>
      <c r="H347" s="22" t="s">
        <v>317</v>
      </c>
      <c r="I347" s="22" t="s">
        <v>25</v>
      </c>
      <c r="J347" s="22" t="s">
        <v>318</v>
      </c>
      <c r="K347" s="22" t="s">
        <v>929</v>
      </c>
      <c r="L347" s="29" t="s">
        <v>28</v>
      </c>
      <c r="P347" s="30">
        <v>45673</v>
      </c>
      <c r="Q347" s="30">
        <v>45673</v>
      </c>
      <c r="R347" s="22" t="s">
        <v>29</v>
      </c>
      <c r="S347" s="29" t="s">
        <v>30</v>
      </c>
      <c r="T347" s="22" t="s">
        <v>74</v>
      </c>
      <c r="U347" s="25" t="s">
        <v>32</v>
      </c>
      <c r="V347" s="22" t="s">
        <v>75</v>
      </c>
      <c r="W347" s="32" t="s">
        <v>34</v>
      </c>
    </row>
    <row r="348" spans="1:23">
      <c r="A348" s="22" t="s">
        <v>930</v>
      </c>
      <c r="B348" s="25">
        <f>VLOOKUP(A348,[1]ProjectsResults!$D:$E,2,FALSE)</f>
        <v>10262</v>
      </c>
      <c r="C348" s="22">
        <f>VLOOKUP(A348,[2]Sheet2!$D:$E,2,FALSE)</f>
        <v>9025</v>
      </c>
      <c r="D348" s="22">
        <v>9025</v>
      </c>
      <c r="E348" s="22">
        <f>VLOOKUP(A348,[3]Sheet2!$A:$F,6,FALSE)</f>
        <v>300000</v>
      </c>
      <c r="G348" s="22" t="s">
        <v>931</v>
      </c>
      <c r="H348" s="22" t="s">
        <v>932</v>
      </c>
      <c r="I348" s="22" t="s">
        <v>25</v>
      </c>
      <c r="J348" s="22" t="s">
        <v>209</v>
      </c>
      <c r="K348" s="22" t="s">
        <v>210</v>
      </c>
      <c r="L348" s="29" t="s">
        <v>28</v>
      </c>
      <c r="P348" s="30">
        <v>45701</v>
      </c>
      <c r="Q348" s="30">
        <v>45703</v>
      </c>
      <c r="R348" s="22" t="s">
        <v>29</v>
      </c>
      <c r="S348" s="29" t="s">
        <v>30</v>
      </c>
      <c r="T348" s="22" t="s">
        <v>31</v>
      </c>
      <c r="U348" s="25" t="s">
        <v>211</v>
      </c>
      <c r="V348" s="22" t="s">
        <v>33</v>
      </c>
      <c r="W348" s="32" t="s">
        <v>34</v>
      </c>
    </row>
    <row r="349" spans="1:23">
      <c r="A349" s="22" t="s">
        <v>933</v>
      </c>
      <c r="B349" s="25">
        <f>VLOOKUP(A349,[1]ProjectsResults!$D:$E,2,FALSE)</f>
        <v>10263</v>
      </c>
      <c r="C349" s="22">
        <f>VLOOKUP(A349,[2]Sheet2!$D:$E,2,FALSE)</f>
        <v>9026</v>
      </c>
      <c r="D349" s="22">
        <v>9026</v>
      </c>
      <c r="E349" s="22">
        <f>VLOOKUP(A349,[3]Sheet2!$A:$F,6,FALSE)</f>
        <v>29920</v>
      </c>
      <c r="G349" s="22" t="s">
        <v>934</v>
      </c>
      <c r="H349" s="22" t="s">
        <v>114</v>
      </c>
      <c r="I349" s="22" t="s">
        <v>25</v>
      </c>
      <c r="J349" s="29" t="s">
        <v>115</v>
      </c>
      <c r="K349" s="22" t="s">
        <v>164</v>
      </c>
      <c r="L349" s="29" t="s">
        <v>28</v>
      </c>
      <c r="P349" s="30">
        <v>45666</v>
      </c>
      <c r="Q349" s="30">
        <v>45667</v>
      </c>
      <c r="R349" s="22" t="s">
        <v>29</v>
      </c>
      <c r="S349" s="29" t="s">
        <v>30</v>
      </c>
      <c r="T349" s="22" t="s">
        <v>49</v>
      </c>
      <c r="U349" s="25" t="s">
        <v>32</v>
      </c>
      <c r="V349" s="22" t="s">
        <v>117</v>
      </c>
      <c r="W349" s="32" t="s">
        <v>34</v>
      </c>
    </row>
    <row r="350" spans="1:23">
      <c r="A350" s="22" t="s">
        <v>935</v>
      </c>
      <c r="B350" s="25">
        <f>VLOOKUP(A350,[1]ProjectsResults!$D:$E,2,FALSE)</f>
        <v>10264</v>
      </c>
      <c r="C350" s="22">
        <f>VLOOKUP(A350,[2]Sheet2!$D:$E,2,FALSE)</f>
        <v>9027</v>
      </c>
      <c r="D350" s="22">
        <v>9027</v>
      </c>
      <c r="E350" s="22">
        <f>VLOOKUP(A350,[3]Sheet2!$A:$F,6,FALSE)</f>
        <v>300782</v>
      </c>
      <c r="G350" s="22" t="s">
        <v>936</v>
      </c>
      <c r="H350" s="22" t="s">
        <v>86</v>
      </c>
      <c r="I350" s="22" t="s">
        <v>25</v>
      </c>
      <c r="J350" s="22" t="s">
        <v>42</v>
      </c>
      <c r="K350" s="22" t="s">
        <v>149</v>
      </c>
      <c r="L350" s="29" t="s">
        <v>28</v>
      </c>
      <c r="P350" s="30">
        <v>45673</v>
      </c>
      <c r="Q350" s="30">
        <v>45673</v>
      </c>
      <c r="R350" s="22" t="s">
        <v>29</v>
      </c>
      <c r="S350" s="29" t="s">
        <v>30</v>
      </c>
      <c r="T350" s="22" t="s">
        <v>31</v>
      </c>
      <c r="U350" s="25" t="s">
        <v>32</v>
      </c>
      <c r="V350" s="22" t="s">
        <v>33</v>
      </c>
      <c r="W350" s="32" t="s">
        <v>34</v>
      </c>
    </row>
    <row r="351" spans="1:23">
      <c r="A351" s="22" t="s">
        <v>937</v>
      </c>
      <c r="B351" s="25">
        <f>VLOOKUP(A351,[1]ProjectsResults!$D:$E,2,FALSE)</f>
        <v>10265</v>
      </c>
      <c r="C351" s="22">
        <f>VLOOKUP(A351,[2]Sheet2!$D:$E,2,FALSE)</f>
        <v>9028</v>
      </c>
      <c r="D351" s="22">
        <v>9028</v>
      </c>
      <c r="E351" s="22">
        <f>VLOOKUP(A351,[3]Sheet2!$A:$F,6,FALSE)</f>
        <v>838980</v>
      </c>
      <c r="G351" s="22" t="s">
        <v>938</v>
      </c>
      <c r="H351" s="22" t="s">
        <v>137</v>
      </c>
      <c r="I351" s="22" t="s">
        <v>25</v>
      </c>
      <c r="J351" s="29" t="s">
        <v>47</v>
      </c>
      <c r="K351" s="22" t="s">
        <v>196</v>
      </c>
      <c r="L351" s="29" t="s">
        <v>28</v>
      </c>
      <c r="P351" s="30">
        <v>45687</v>
      </c>
      <c r="Q351" s="30">
        <v>45687</v>
      </c>
      <c r="R351" s="22" t="s">
        <v>29</v>
      </c>
      <c r="S351" s="29" t="s">
        <v>30</v>
      </c>
      <c r="T351" s="22" t="s">
        <v>49</v>
      </c>
      <c r="U351" s="25" t="s">
        <v>32</v>
      </c>
      <c r="V351" s="22" t="s">
        <v>50</v>
      </c>
      <c r="W351" s="32" t="s">
        <v>34</v>
      </c>
    </row>
    <row r="352" spans="1:23">
      <c r="A352" s="22" t="s">
        <v>939</v>
      </c>
      <c r="B352" s="25">
        <f>VLOOKUP(A352,[1]ProjectsResults!$D:$E,2,FALSE)</f>
        <v>10266</v>
      </c>
      <c r="C352" s="22">
        <f>VLOOKUP(A352,[2]Sheet2!$D:$E,2,FALSE)</f>
        <v>9029</v>
      </c>
      <c r="D352" s="22">
        <v>9029</v>
      </c>
      <c r="E352" s="22">
        <f>VLOOKUP(A352,[3]Sheet2!$A:$F,6,FALSE)</f>
        <v>230844</v>
      </c>
      <c r="G352" s="22" t="s">
        <v>940</v>
      </c>
      <c r="H352" s="22" t="s">
        <v>86</v>
      </c>
      <c r="I352" s="22" t="s">
        <v>25</v>
      </c>
      <c r="J352" s="22" t="s">
        <v>42</v>
      </c>
      <c r="K352" s="29" t="s">
        <v>238</v>
      </c>
      <c r="L352" s="29" t="s">
        <v>28</v>
      </c>
      <c r="P352" s="30">
        <v>45741</v>
      </c>
      <c r="Q352" s="30">
        <v>45741</v>
      </c>
      <c r="R352" s="22" t="s">
        <v>29</v>
      </c>
      <c r="S352" s="29" t="s">
        <v>30</v>
      </c>
      <c r="T352" s="22" t="s">
        <v>31</v>
      </c>
      <c r="U352" s="25" t="s">
        <v>32</v>
      </c>
      <c r="V352" s="22" t="s">
        <v>33</v>
      </c>
      <c r="W352" s="32" t="s">
        <v>34</v>
      </c>
    </row>
    <row r="353" spans="1:23">
      <c r="A353" s="22" t="s">
        <v>941</v>
      </c>
      <c r="B353" s="25">
        <f>VLOOKUP(A353,[1]ProjectsResults!$D:$E,2,FALSE)</f>
        <v>10267</v>
      </c>
      <c r="C353" s="22">
        <f>VLOOKUP(A353,[2]Sheet2!$D:$E,2,FALSE)</f>
        <v>9030</v>
      </c>
      <c r="D353" s="22">
        <v>9030</v>
      </c>
      <c r="E353" s="22">
        <f>VLOOKUP(A353,[3]Sheet2!$A:$F,6,FALSE)</f>
        <v>6182956</v>
      </c>
      <c r="G353" s="22" t="s">
        <v>942</v>
      </c>
      <c r="H353" s="22" t="s">
        <v>133</v>
      </c>
      <c r="I353" s="22" t="s">
        <v>25</v>
      </c>
      <c r="J353" s="29" t="s">
        <v>47</v>
      </c>
      <c r="K353" s="22" t="s">
        <v>242</v>
      </c>
      <c r="L353" s="29" t="s">
        <v>28</v>
      </c>
      <c r="P353" s="30">
        <v>45710</v>
      </c>
      <c r="Q353" s="30">
        <v>45716</v>
      </c>
      <c r="R353" s="22" t="s">
        <v>29</v>
      </c>
      <c r="S353" s="29" t="s">
        <v>30</v>
      </c>
      <c r="T353" s="22" t="s">
        <v>49</v>
      </c>
      <c r="U353" s="25" t="s">
        <v>32</v>
      </c>
      <c r="V353" s="22" t="s">
        <v>50</v>
      </c>
      <c r="W353" s="32" t="s">
        <v>34</v>
      </c>
    </row>
    <row r="354" spans="1:23">
      <c r="A354" s="22" t="s">
        <v>943</v>
      </c>
      <c r="B354" s="25">
        <f>VLOOKUP(A354,[1]ProjectsResults!$D:$E,2,FALSE)</f>
        <v>10268</v>
      </c>
      <c r="C354" s="22">
        <f>VLOOKUP(A354,[2]Sheet2!$D:$E,2,FALSE)</f>
        <v>9031</v>
      </c>
      <c r="D354" s="22">
        <v>9031</v>
      </c>
      <c r="E354" s="22">
        <f>VLOOKUP(A354,[3]Sheet2!$A:$F,6,FALSE)</f>
        <v>286691</v>
      </c>
      <c r="G354" s="22" t="s">
        <v>944</v>
      </c>
      <c r="H354" s="22" t="s">
        <v>86</v>
      </c>
      <c r="I354" s="22" t="s">
        <v>25</v>
      </c>
      <c r="J354" s="22" t="s">
        <v>42</v>
      </c>
      <c r="K354" s="22" t="s">
        <v>149</v>
      </c>
      <c r="L354" s="29" t="s">
        <v>28</v>
      </c>
      <c r="P354" s="30">
        <v>45680</v>
      </c>
      <c r="Q354" s="30">
        <v>45687</v>
      </c>
      <c r="R354" s="22" t="s">
        <v>29</v>
      </c>
      <c r="S354" s="29" t="s">
        <v>30</v>
      </c>
      <c r="T354" s="22" t="s">
        <v>31</v>
      </c>
      <c r="U354" s="25" t="s">
        <v>32</v>
      </c>
      <c r="V354" s="22" t="s">
        <v>33</v>
      </c>
      <c r="W354" s="32" t="s">
        <v>34</v>
      </c>
    </row>
    <row r="355" spans="1:23">
      <c r="A355" s="22" t="s">
        <v>945</v>
      </c>
      <c r="B355" s="25">
        <f>VLOOKUP(A355,[1]ProjectsResults!$D:$E,2,FALSE)</f>
        <v>10269</v>
      </c>
      <c r="C355" s="22">
        <f>VLOOKUP(A355,[2]Sheet2!$D:$E,2,FALSE)</f>
        <v>9032</v>
      </c>
      <c r="D355" s="22">
        <v>9032</v>
      </c>
      <c r="E355" s="22">
        <f>VLOOKUP(A355,[3]Sheet2!$A:$F,6,FALSE)</f>
        <v>1650000</v>
      </c>
      <c r="G355" s="22" t="s">
        <v>946</v>
      </c>
      <c r="H355" s="22" t="s">
        <v>433</v>
      </c>
      <c r="I355" s="22" t="s">
        <v>25</v>
      </c>
      <c r="J355" s="22" t="s">
        <v>72</v>
      </c>
      <c r="K355" s="22" t="s">
        <v>73</v>
      </c>
      <c r="L355" s="29" t="s">
        <v>28</v>
      </c>
      <c r="P355" s="30">
        <v>45756</v>
      </c>
      <c r="Q355" s="30">
        <v>45756</v>
      </c>
      <c r="R355" s="22" t="s">
        <v>29</v>
      </c>
      <c r="S355" s="29" t="s">
        <v>30</v>
      </c>
      <c r="T355" s="22" t="s">
        <v>74</v>
      </c>
      <c r="U355" s="25" t="s">
        <v>32</v>
      </c>
      <c r="V355" s="22" t="s">
        <v>75</v>
      </c>
      <c r="W355" s="32" t="s">
        <v>34</v>
      </c>
    </row>
    <row r="356" spans="1:23">
      <c r="A356" s="22" t="s">
        <v>947</v>
      </c>
      <c r="B356" s="25">
        <f>VLOOKUP(A356,[1]ProjectsResults!$D:$E,2,FALSE)</f>
        <v>10270</v>
      </c>
      <c r="C356" s="22">
        <f>VLOOKUP(A356,[2]Sheet2!$D:$E,2,FALSE)</f>
        <v>9033</v>
      </c>
      <c r="D356" s="22">
        <v>9033</v>
      </c>
      <c r="E356" s="22">
        <f>VLOOKUP(A356,[3]Sheet2!$A:$F,6,FALSE)</f>
        <v>2000000</v>
      </c>
      <c r="G356" s="22" t="s">
        <v>948</v>
      </c>
      <c r="H356" s="22" t="s">
        <v>433</v>
      </c>
      <c r="I356" s="22" t="s">
        <v>25</v>
      </c>
      <c r="J356" s="22" t="s">
        <v>72</v>
      </c>
      <c r="K356" s="22" t="s">
        <v>73</v>
      </c>
      <c r="L356" s="29" t="s">
        <v>28</v>
      </c>
      <c r="P356" s="30">
        <v>45729</v>
      </c>
      <c r="Q356" s="30">
        <v>45735</v>
      </c>
      <c r="R356" s="22" t="s">
        <v>29</v>
      </c>
      <c r="S356" s="29" t="s">
        <v>30</v>
      </c>
      <c r="T356" s="22" t="s">
        <v>74</v>
      </c>
      <c r="U356" s="25" t="s">
        <v>32</v>
      </c>
      <c r="V356" s="22" t="s">
        <v>75</v>
      </c>
      <c r="W356" s="32" t="s">
        <v>34</v>
      </c>
    </row>
    <row r="357" spans="1:23">
      <c r="A357" s="22" t="s">
        <v>949</v>
      </c>
      <c r="B357" s="25">
        <f>VLOOKUP(A357,[1]ProjectsResults!$D:$E,2,FALSE)</f>
        <v>10271</v>
      </c>
      <c r="C357" s="22">
        <f>VLOOKUP(A357,[2]Sheet2!$D:$E,2,FALSE)</f>
        <v>9034</v>
      </c>
      <c r="D357" s="22">
        <v>9034</v>
      </c>
      <c r="E357" s="22">
        <f>VLOOKUP(A357,[3]Sheet2!$A:$F,6,FALSE)</f>
        <v>739200</v>
      </c>
      <c r="G357" s="22" t="s">
        <v>950</v>
      </c>
      <c r="H357" s="22" t="s">
        <v>53</v>
      </c>
      <c r="I357" s="22" t="s">
        <v>25</v>
      </c>
      <c r="J357" s="22" t="s">
        <v>38</v>
      </c>
      <c r="K357" s="22" t="s">
        <v>38</v>
      </c>
      <c r="L357" s="29" t="s">
        <v>28</v>
      </c>
      <c r="P357" s="30">
        <v>45667</v>
      </c>
      <c r="Q357" s="30">
        <v>45667</v>
      </c>
      <c r="R357" s="22" t="s">
        <v>29</v>
      </c>
      <c r="S357" s="29" t="s">
        <v>30</v>
      </c>
      <c r="T357" s="22" t="s">
        <v>31</v>
      </c>
      <c r="U357" s="25" t="s">
        <v>32</v>
      </c>
      <c r="V357" s="22" t="s">
        <v>33</v>
      </c>
      <c r="W357" s="32" t="s">
        <v>34</v>
      </c>
    </row>
    <row r="358" spans="1:23">
      <c r="A358" s="22" t="s">
        <v>951</v>
      </c>
      <c r="B358" s="25">
        <f>VLOOKUP(A358,[1]ProjectsResults!$D:$E,2,FALSE)</f>
        <v>10272</v>
      </c>
      <c r="C358" s="22">
        <f>VLOOKUP(A358,[2]Sheet2!$D:$E,2,FALSE)</f>
        <v>9035</v>
      </c>
      <c r="D358" s="22">
        <v>9035</v>
      </c>
      <c r="E358" s="22">
        <f>VLOOKUP(A358,[3]Sheet2!$A:$F,6,FALSE)</f>
        <v>2098426</v>
      </c>
      <c r="G358" s="22" t="s">
        <v>952</v>
      </c>
      <c r="H358" s="22" t="s">
        <v>331</v>
      </c>
      <c r="I358" s="22" t="s">
        <v>25</v>
      </c>
      <c r="J358" s="22" t="s">
        <v>72</v>
      </c>
      <c r="K358" s="22" t="s">
        <v>141</v>
      </c>
      <c r="L358" s="29" t="s">
        <v>28</v>
      </c>
      <c r="P358" s="30">
        <v>45668</v>
      </c>
      <c r="Q358" s="30">
        <v>45668</v>
      </c>
      <c r="R358" s="22" t="s">
        <v>29</v>
      </c>
      <c r="S358" s="29" t="s">
        <v>30</v>
      </c>
      <c r="T358" s="22" t="s">
        <v>74</v>
      </c>
      <c r="U358" s="25" t="s">
        <v>32</v>
      </c>
      <c r="V358" s="22" t="s">
        <v>75</v>
      </c>
      <c r="W358" s="32" t="s">
        <v>34</v>
      </c>
    </row>
    <row r="359" spans="1:23">
      <c r="A359" s="22" t="s">
        <v>953</v>
      </c>
      <c r="B359" s="25">
        <f>VLOOKUP(A359,[1]ProjectsResults!$D:$E,2,FALSE)</f>
        <v>10273</v>
      </c>
      <c r="C359" s="22">
        <f>VLOOKUP(A359,[2]Sheet2!$D:$E,2,FALSE)</f>
        <v>9581</v>
      </c>
      <c r="D359" s="22">
        <v>9581</v>
      </c>
      <c r="E359" s="22">
        <f>VLOOKUP(A359,[3]Sheet2!$A:$F,6,FALSE)</f>
        <v>1926850</v>
      </c>
      <c r="G359" s="22" t="s">
        <v>954</v>
      </c>
      <c r="H359" s="22" t="s">
        <v>955</v>
      </c>
      <c r="I359" s="22" t="s">
        <v>25</v>
      </c>
      <c r="J359" s="29" t="s">
        <v>47</v>
      </c>
      <c r="K359" s="22" t="s">
        <v>800</v>
      </c>
      <c r="L359" s="29" t="s">
        <v>28</v>
      </c>
      <c r="P359" s="30">
        <v>45676</v>
      </c>
      <c r="Q359" s="30">
        <v>45677</v>
      </c>
      <c r="R359" s="22" t="s">
        <v>29</v>
      </c>
      <c r="S359" s="29" t="s">
        <v>30</v>
      </c>
      <c r="T359" s="22" t="s">
        <v>49</v>
      </c>
      <c r="U359" s="25" t="s">
        <v>32</v>
      </c>
      <c r="V359" s="22" t="s">
        <v>50</v>
      </c>
      <c r="W359" s="32" t="s">
        <v>34</v>
      </c>
    </row>
    <row r="360" spans="1:23">
      <c r="A360" s="22" t="s">
        <v>956</v>
      </c>
      <c r="B360" s="25">
        <f>VLOOKUP(A360,[1]ProjectsResults!$D:$E,2,FALSE)</f>
        <v>10274</v>
      </c>
      <c r="C360" s="22">
        <f>VLOOKUP(A360,[2]Sheet2!$D:$E,2,FALSE)</f>
        <v>9036</v>
      </c>
      <c r="D360" s="22">
        <v>9036</v>
      </c>
      <c r="E360" s="22">
        <f>VLOOKUP(A360,[3]Sheet2!$A:$F,6,FALSE)</f>
        <v>70719</v>
      </c>
      <c r="G360" s="22" t="s">
        <v>957</v>
      </c>
      <c r="H360" s="22" t="s">
        <v>114</v>
      </c>
      <c r="I360" s="22" t="s">
        <v>25</v>
      </c>
      <c r="J360" s="29" t="s">
        <v>115</v>
      </c>
      <c r="K360" s="22" t="s">
        <v>164</v>
      </c>
      <c r="L360" s="29" t="s">
        <v>28</v>
      </c>
      <c r="P360" s="30">
        <v>45673</v>
      </c>
      <c r="Q360" s="30">
        <v>45682</v>
      </c>
      <c r="R360" s="22" t="s">
        <v>29</v>
      </c>
      <c r="S360" s="29" t="s">
        <v>30</v>
      </c>
      <c r="T360" s="22" t="s">
        <v>49</v>
      </c>
      <c r="U360" s="25" t="s">
        <v>32</v>
      </c>
      <c r="V360" s="22" t="s">
        <v>117</v>
      </c>
      <c r="W360" s="32" t="s">
        <v>34</v>
      </c>
    </row>
    <row r="361" spans="1:23">
      <c r="A361" s="22" t="s">
        <v>958</v>
      </c>
      <c r="B361" s="25">
        <f>VLOOKUP(A361,[1]ProjectsResults!$D:$E,2,FALSE)</f>
        <v>10275</v>
      </c>
      <c r="C361" s="22">
        <f>VLOOKUP(A361,[2]Sheet2!$D:$E,2,FALSE)</f>
        <v>9582</v>
      </c>
      <c r="D361" s="22">
        <v>9582</v>
      </c>
      <c r="E361" s="22">
        <f>VLOOKUP(A361,[3]Sheet2!$A:$F,6,FALSE)</f>
        <v>252845</v>
      </c>
      <c r="G361" s="22" t="s">
        <v>959</v>
      </c>
      <c r="H361" s="22" t="s">
        <v>960</v>
      </c>
      <c r="I361" s="22" t="s">
        <v>25</v>
      </c>
      <c r="J361" s="29" t="s">
        <v>47</v>
      </c>
      <c r="K361" s="22" t="s">
        <v>48</v>
      </c>
      <c r="L361" s="29" t="s">
        <v>28</v>
      </c>
      <c r="P361" s="30">
        <v>45670</v>
      </c>
      <c r="Q361" s="30">
        <v>45672</v>
      </c>
      <c r="R361" s="22" t="s">
        <v>29</v>
      </c>
      <c r="S361" s="29" t="s">
        <v>30</v>
      </c>
      <c r="T361" s="22" t="s">
        <v>49</v>
      </c>
      <c r="U361" s="25" t="s">
        <v>32</v>
      </c>
      <c r="V361" s="22" t="s">
        <v>50</v>
      </c>
      <c r="W361" s="32" t="s">
        <v>34</v>
      </c>
    </row>
    <row r="362" spans="1:23">
      <c r="A362" s="22" t="s">
        <v>961</v>
      </c>
      <c r="B362" s="25">
        <f>VLOOKUP(A362,[1]ProjectsResults!$D:$E,2,FALSE)</f>
        <v>10276</v>
      </c>
      <c r="C362" s="22">
        <f>VLOOKUP(A362,[2]Sheet2!$D:$E,2,FALSE)</f>
        <v>9037</v>
      </c>
      <c r="D362" s="22">
        <v>9037</v>
      </c>
      <c r="E362" s="22">
        <f>VLOOKUP(A362,[3]Sheet2!$A:$F,6,FALSE)</f>
        <v>738925</v>
      </c>
      <c r="G362" s="22" t="s">
        <v>962</v>
      </c>
      <c r="H362" s="22" t="s">
        <v>423</v>
      </c>
      <c r="I362" s="22" t="s">
        <v>25</v>
      </c>
      <c r="J362" s="29" t="s">
        <v>271</v>
      </c>
      <c r="K362" s="22" t="s">
        <v>963</v>
      </c>
      <c r="L362" s="29" t="s">
        <v>28</v>
      </c>
      <c r="P362" s="30">
        <v>45673</v>
      </c>
      <c r="Q362" s="30">
        <v>45673</v>
      </c>
      <c r="R362" s="22" t="s">
        <v>29</v>
      </c>
      <c r="S362" s="29" t="s">
        <v>30</v>
      </c>
      <c r="T362" s="22" t="s">
        <v>74</v>
      </c>
      <c r="U362" s="25" t="s">
        <v>32</v>
      </c>
      <c r="V362" s="22" t="s">
        <v>75</v>
      </c>
      <c r="W362" s="32" t="s">
        <v>34</v>
      </c>
    </row>
    <row r="363" spans="1:23">
      <c r="A363" s="22" t="s">
        <v>964</v>
      </c>
      <c r="B363" s="25">
        <f>VLOOKUP(A363,[1]ProjectsResults!$D:$E,2,FALSE)</f>
        <v>10277</v>
      </c>
      <c r="C363" s="22">
        <f>VLOOKUP(A363,[2]Sheet2!$D:$E,2,FALSE)</f>
        <v>9038</v>
      </c>
      <c r="D363" s="22">
        <v>9038</v>
      </c>
      <c r="E363" s="22">
        <f>VLOOKUP(A363,[3]Sheet2!$A:$F,6,FALSE)</f>
        <v>2271500</v>
      </c>
      <c r="G363" s="22" t="s">
        <v>965</v>
      </c>
      <c r="H363" s="22" t="s">
        <v>966</v>
      </c>
      <c r="I363" s="22" t="s">
        <v>25</v>
      </c>
      <c r="J363" s="22" t="s">
        <v>38</v>
      </c>
      <c r="K363" s="22" t="s">
        <v>38</v>
      </c>
      <c r="L363" s="29" t="s">
        <v>28</v>
      </c>
      <c r="P363" s="30">
        <v>45680</v>
      </c>
      <c r="Q363" s="30">
        <v>45686</v>
      </c>
      <c r="R363" s="22" t="s">
        <v>29</v>
      </c>
      <c r="S363" s="29" t="s">
        <v>30</v>
      </c>
      <c r="T363" s="22" t="s">
        <v>31</v>
      </c>
      <c r="U363" s="25" t="s">
        <v>32</v>
      </c>
      <c r="V363" s="22" t="s">
        <v>33</v>
      </c>
      <c r="W363" s="32" t="s">
        <v>34</v>
      </c>
    </row>
    <row r="364" spans="1:23">
      <c r="A364" s="22" t="s">
        <v>967</v>
      </c>
      <c r="B364" s="25">
        <f>VLOOKUP(A364,[1]ProjectsResults!$D:$E,2,FALSE)</f>
        <v>10278</v>
      </c>
      <c r="C364" s="22">
        <f>VLOOKUP(A364,[2]Sheet2!$D:$E,2,FALSE)</f>
        <v>9039</v>
      </c>
      <c r="D364" s="22">
        <v>9039</v>
      </c>
      <c r="E364" s="22">
        <f>VLOOKUP(A364,[3]Sheet2!$A:$F,6,FALSE)</f>
        <v>477104</v>
      </c>
      <c r="G364" s="22" t="s">
        <v>968</v>
      </c>
      <c r="H364" s="22" t="s">
        <v>86</v>
      </c>
      <c r="I364" s="22" t="s">
        <v>25</v>
      </c>
      <c r="J364" s="22" t="s">
        <v>42</v>
      </c>
      <c r="K364" s="22" t="s">
        <v>149</v>
      </c>
      <c r="L364" s="29" t="s">
        <v>28</v>
      </c>
      <c r="P364" s="30">
        <v>45673</v>
      </c>
      <c r="Q364" s="30">
        <v>45673</v>
      </c>
      <c r="R364" s="22" t="s">
        <v>29</v>
      </c>
      <c r="S364" s="29" t="s">
        <v>30</v>
      </c>
      <c r="T364" s="22" t="s">
        <v>31</v>
      </c>
      <c r="U364" s="25" t="s">
        <v>32</v>
      </c>
      <c r="V364" s="22" t="s">
        <v>33</v>
      </c>
      <c r="W364" s="32" t="s">
        <v>34</v>
      </c>
    </row>
    <row r="365" spans="1:23">
      <c r="A365" s="22" t="s">
        <v>969</v>
      </c>
      <c r="B365" s="25">
        <f>VLOOKUP(A365,[1]ProjectsResults!$D:$E,2,FALSE)</f>
        <v>10279</v>
      </c>
      <c r="C365" s="22">
        <f>VLOOKUP(A365,[2]Sheet2!$D:$E,2,FALSE)</f>
        <v>9040</v>
      </c>
      <c r="D365" s="22">
        <v>9040</v>
      </c>
      <c r="E365" s="22">
        <f>VLOOKUP(A365,[3]Sheet2!$A:$F,6,FALSE)</f>
        <v>507136</v>
      </c>
      <c r="G365" s="22" t="s">
        <v>970</v>
      </c>
      <c r="H365" s="22" t="s">
        <v>82</v>
      </c>
      <c r="I365" s="22" t="s">
        <v>25</v>
      </c>
      <c r="J365" s="22" t="s">
        <v>72</v>
      </c>
      <c r="K365" s="22" t="s">
        <v>83</v>
      </c>
      <c r="L365" s="29" t="s">
        <v>28</v>
      </c>
      <c r="P365" s="30">
        <v>45678</v>
      </c>
      <c r="Q365" s="30">
        <v>45698</v>
      </c>
      <c r="R365" s="22" t="s">
        <v>29</v>
      </c>
      <c r="S365" s="29" t="s">
        <v>30</v>
      </c>
      <c r="T365" s="22" t="s">
        <v>74</v>
      </c>
      <c r="U365" s="25" t="s">
        <v>32</v>
      </c>
      <c r="V365" s="22" t="s">
        <v>75</v>
      </c>
      <c r="W365" s="32" t="s">
        <v>34</v>
      </c>
    </row>
    <row r="366" spans="1:23">
      <c r="A366" s="22" t="s">
        <v>971</v>
      </c>
      <c r="B366" s="25">
        <f>VLOOKUP(A366,[1]ProjectsResults!$D:$E,2,FALSE)</f>
        <v>10280</v>
      </c>
      <c r="C366" s="22">
        <f>VLOOKUP(A366,[2]Sheet2!$D:$E,2,FALSE)</f>
        <v>9041</v>
      </c>
      <c r="D366" s="22">
        <v>9041</v>
      </c>
      <c r="E366" s="22">
        <f>VLOOKUP(A366,[3]Sheet2!$A:$F,6,FALSE)</f>
        <v>1250000</v>
      </c>
      <c r="G366" s="22" t="s">
        <v>972</v>
      </c>
      <c r="H366" s="22" t="s">
        <v>973</v>
      </c>
      <c r="I366" s="22" t="s">
        <v>25</v>
      </c>
      <c r="J366" s="22" t="s">
        <v>72</v>
      </c>
      <c r="K366" s="22" t="s">
        <v>83</v>
      </c>
      <c r="L366" s="29" t="s">
        <v>28</v>
      </c>
      <c r="P366" s="30">
        <v>45689</v>
      </c>
      <c r="Q366" s="30">
        <v>45689</v>
      </c>
      <c r="R366" s="22" t="s">
        <v>29</v>
      </c>
      <c r="S366" s="29" t="s">
        <v>30</v>
      </c>
      <c r="T366" s="22" t="s">
        <v>74</v>
      </c>
      <c r="U366" s="25" t="s">
        <v>32</v>
      </c>
      <c r="V366" s="22" t="s">
        <v>75</v>
      </c>
      <c r="W366" s="32" t="s">
        <v>34</v>
      </c>
    </row>
    <row r="367" spans="1:23">
      <c r="A367" s="22" t="s">
        <v>974</v>
      </c>
      <c r="B367" s="25">
        <f>VLOOKUP(A367,[1]ProjectsResults!$D:$E,2,FALSE)</f>
        <v>10281</v>
      </c>
      <c r="C367" s="22">
        <f>VLOOKUP(A367,[2]Sheet2!$D:$E,2,FALSE)</f>
        <v>9042</v>
      </c>
      <c r="D367" s="22">
        <v>9042</v>
      </c>
      <c r="E367" s="22">
        <f>VLOOKUP(A367,[3]Sheet2!$A:$F,6,FALSE)</f>
        <v>1550000</v>
      </c>
      <c r="G367" s="22" t="s">
        <v>975</v>
      </c>
      <c r="H367" s="22" t="s">
        <v>976</v>
      </c>
      <c r="I367" s="22" t="s">
        <v>25</v>
      </c>
      <c r="J367" s="22" t="s">
        <v>38</v>
      </c>
      <c r="K367" s="22" t="s">
        <v>38</v>
      </c>
      <c r="L367" s="29" t="s">
        <v>28</v>
      </c>
      <c r="P367" s="30">
        <v>45672</v>
      </c>
      <c r="Q367" s="30">
        <v>45672</v>
      </c>
      <c r="R367" s="22" t="s">
        <v>29</v>
      </c>
      <c r="S367" s="29" t="s">
        <v>30</v>
      </c>
      <c r="T367" s="22" t="s">
        <v>31</v>
      </c>
      <c r="U367" s="25" t="s">
        <v>32</v>
      </c>
      <c r="V367" s="22" t="s">
        <v>33</v>
      </c>
      <c r="W367" s="32" t="s">
        <v>34</v>
      </c>
    </row>
    <row r="368" spans="1:23">
      <c r="A368" s="22" t="s">
        <v>977</v>
      </c>
      <c r="B368" s="25">
        <f>VLOOKUP(A368,[1]ProjectsResults!$D:$E,2,FALSE)</f>
        <v>10282</v>
      </c>
      <c r="C368" s="22">
        <f>VLOOKUP(A368,[2]Sheet2!$D:$E,2,FALSE)</f>
        <v>9043</v>
      </c>
      <c r="D368" s="22">
        <v>9043</v>
      </c>
      <c r="E368" s="22">
        <f>VLOOKUP(A368,[3]Sheet2!$A:$F,6,FALSE)</f>
        <v>9900000</v>
      </c>
      <c r="G368" s="22" t="s">
        <v>978</v>
      </c>
      <c r="H368" s="22" t="s">
        <v>433</v>
      </c>
      <c r="I368" s="22" t="s">
        <v>25</v>
      </c>
      <c r="J368" s="22" t="s">
        <v>72</v>
      </c>
      <c r="K368" s="22" t="s">
        <v>73</v>
      </c>
      <c r="L368" s="29" t="s">
        <v>28</v>
      </c>
      <c r="P368" s="30">
        <v>45692</v>
      </c>
      <c r="Q368" s="30">
        <v>45692</v>
      </c>
      <c r="R368" s="22" t="s">
        <v>29</v>
      </c>
      <c r="S368" s="29" t="s">
        <v>30</v>
      </c>
      <c r="T368" s="22" t="s">
        <v>74</v>
      </c>
      <c r="U368" s="25" t="s">
        <v>32</v>
      </c>
      <c r="V368" s="22" t="s">
        <v>75</v>
      </c>
      <c r="W368" s="32" t="s">
        <v>34</v>
      </c>
    </row>
    <row r="369" spans="1:23">
      <c r="A369" s="22" t="s">
        <v>979</v>
      </c>
      <c r="B369" s="25">
        <f>VLOOKUP(A369,[1]ProjectsResults!$D:$E,2,FALSE)</f>
        <v>10283</v>
      </c>
      <c r="C369" s="22">
        <f>VLOOKUP(A369,[2]Sheet2!$D:$E,2,FALSE)</f>
        <v>9044</v>
      </c>
      <c r="D369" s="22">
        <v>9044</v>
      </c>
      <c r="E369" s="22">
        <f>VLOOKUP(A369,[3]Sheet2!$A:$F,6,FALSE)</f>
        <v>6600000</v>
      </c>
      <c r="G369" s="22" t="s">
        <v>980</v>
      </c>
      <c r="H369" s="22" t="s">
        <v>433</v>
      </c>
      <c r="I369" s="22" t="s">
        <v>25</v>
      </c>
      <c r="J369" s="22" t="s">
        <v>72</v>
      </c>
      <c r="K369" s="22" t="s">
        <v>73</v>
      </c>
      <c r="L369" s="29" t="s">
        <v>28</v>
      </c>
      <c r="P369" s="30">
        <v>45728</v>
      </c>
      <c r="Q369" s="30">
        <v>45728</v>
      </c>
      <c r="R369" s="22" t="s">
        <v>29</v>
      </c>
      <c r="S369" s="29" t="s">
        <v>30</v>
      </c>
      <c r="T369" s="22" t="s">
        <v>74</v>
      </c>
      <c r="U369" s="25" t="s">
        <v>32</v>
      </c>
      <c r="V369" s="22" t="s">
        <v>75</v>
      </c>
      <c r="W369" s="32" t="s">
        <v>34</v>
      </c>
    </row>
    <row r="370" spans="1:23">
      <c r="A370" s="22" t="s">
        <v>981</v>
      </c>
      <c r="B370" s="25">
        <f>VLOOKUP(A370,[1]ProjectsResults!$D:$E,2,FALSE)</f>
        <v>10284</v>
      </c>
      <c r="C370" s="22">
        <f>VLOOKUP(A370,[2]Sheet2!$D:$E,2,FALSE)</f>
        <v>9045</v>
      </c>
      <c r="D370" s="22">
        <v>9045</v>
      </c>
      <c r="E370" s="22">
        <f>VLOOKUP(A370,[3]Sheet2!$A:$F,6,FALSE)</f>
        <v>3300000</v>
      </c>
      <c r="G370" s="22" t="s">
        <v>982</v>
      </c>
      <c r="H370" s="22" t="s">
        <v>433</v>
      </c>
      <c r="I370" s="22" t="s">
        <v>25</v>
      </c>
      <c r="J370" s="22" t="s">
        <v>72</v>
      </c>
      <c r="K370" s="22" t="s">
        <v>73</v>
      </c>
      <c r="L370" s="29" t="s">
        <v>28</v>
      </c>
      <c r="P370" s="30">
        <v>45751</v>
      </c>
      <c r="Q370" s="30">
        <v>45752</v>
      </c>
      <c r="R370" s="22" t="s">
        <v>29</v>
      </c>
      <c r="S370" s="29" t="s">
        <v>30</v>
      </c>
      <c r="T370" s="22" t="s">
        <v>74</v>
      </c>
      <c r="U370" s="25" t="s">
        <v>32</v>
      </c>
      <c r="V370" s="22" t="s">
        <v>75</v>
      </c>
      <c r="W370" s="32" t="s">
        <v>34</v>
      </c>
    </row>
    <row r="371" spans="1:23">
      <c r="A371" s="22" t="s">
        <v>983</v>
      </c>
      <c r="B371" s="25">
        <f>VLOOKUP(A371,[1]ProjectsResults!$D:$E,2,FALSE)</f>
        <v>10285</v>
      </c>
      <c r="C371" s="22">
        <f>VLOOKUP(A371,[2]Sheet2!$D:$E,2,FALSE)</f>
        <v>9046</v>
      </c>
      <c r="D371" s="22">
        <v>9046</v>
      </c>
      <c r="E371" s="22">
        <f>VLOOKUP(A371,[3]Sheet2!$A:$F,6,FALSE)</f>
        <v>516000</v>
      </c>
      <c r="G371" s="22" t="s">
        <v>984</v>
      </c>
      <c r="H371" s="22" t="s">
        <v>102</v>
      </c>
      <c r="I371" s="22" t="s">
        <v>25</v>
      </c>
      <c r="J371" s="22" t="s">
        <v>38</v>
      </c>
      <c r="K371" s="22" t="s">
        <v>38</v>
      </c>
      <c r="L371" s="29" t="s">
        <v>28</v>
      </c>
      <c r="P371" s="30">
        <v>45741</v>
      </c>
      <c r="Q371" s="30">
        <v>45741</v>
      </c>
      <c r="R371" s="22" t="s">
        <v>29</v>
      </c>
      <c r="S371" s="29" t="s">
        <v>30</v>
      </c>
      <c r="T371" s="22" t="s">
        <v>31</v>
      </c>
      <c r="U371" s="25" t="s">
        <v>32</v>
      </c>
      <c r="V371" s="22" t="s">
        <v>33</v>
      </c>
      <c r="W371" s="32" t="s">
        <v>34</v>
      </c>
    </row>
    <row r="372" spans="1:23">
      <c r="A372" s="22" t="s">
        <v>985</v>
      </c>
      <c r="B372" s="25">
        <f>VLOOKUP(A372,[1]ProjectsResults!$D:$E,2,FALSE)</f>
        <v>10286</v>
      </c>
      <c r="C372" s="22">
        <f>VLOOKUP(A372,[2]Sheet2!$D:$E,2,FALSE)</f>
        <v>9047</v>
      </c>
      <c r="D372" s="22">
        <v>9047</v>
      </c>
      <c r="E372" s="22">
        <f>VLOOKUP(A372,[3]Sheet2!$A:$F,6,FALSE)</f>
        <v>550000</v>
      </c>
      <c r="G372" s="22" t="s">
        <v>986</v>
      </c>
      <c r="H372" s="22" t="s">
        <v>95</v>
      </c>
      <c r="I372" s="22" t="s">
        <v>25</v>
      </c>
      <c r="J372" s="22" t="s">
        <v>72</v>
      </c>
      <c r="K372" s="22" t="s">
        <v>96</v>
      </c>
      <c r="L372" s="29" t="s">
        <v>28</v>
      </c>
      <c r="P372" s="30">
        <v>45694</v>
      </c>
      <c r="Q372" s="30">
        <v>45696</v>
      </c>
      <c r="R372" s="22" t="s">
        <v>29</v>
      </c>
      <c r="S372" s="29" t="s">
        <v>30</v>
      </c>
      <c r="T372" s="22" t="s">
        <v>74</v>
      </c>
      <c r="U372" s="25" t="s">
        <v>32</v>
      </c>
      <c r="V372" s="22" t="s">
        <v>75</v>
      </c>
      <c r="W372" s="32" t="s">
        <v>34</v>
      </c>
    </row>
    <row r="373" spans="1:23">
      <c r="A373" s="22" t="s">
        <v>987</v>
      </c>
      <c r="B373" s="25">
        <f>VLOOKUP(A373,[1]ProjectsResults!$D:$E,2,FALSE)</f>
        <v>10287</v>
      </c>
      <c r="C373" s="22">
        <f>VLOOKUP(A373,[2]Sheet2!$D:$E,2,FALSE)</f>
        <v>9048</v>
      </c>
      <c r="D373" s="22">
        <v>9048</v>
      </c>
      <c r="E373" s="22">
        <f>VLOOKUP(A373,[3]Sheet2!$A:$F,6,FALSE)</f>
        <v>820000</v>
      </c>
      <c r="G373" s="22" t="s">
        <v>988</v>
      </c>
      <c r="H373" s="22" t="s">
        <v>37</v>
      </c>
      <c r="I373" s="22" t="s">
        <v>25</v>
      </c>
      <c r="J373" s="22" t="s">
        <v>38</v>
      </c>
      <c r="K373" s="22" t="s">
        <v>38</v>
      </c>
      <c r="L373" s="29" t="s">
        <v>28</v>
      </c>
      <c r="P373" s="30">
        <v>45687</v>
      </c>
      <c r="Q373" s="30">
        <v>45687</v>
      </c>
      <c r="R373" s="22" t="s">
        <v>29</v>
      </c>
      <c r="S373" s="29" t="s">
        <v>30</v>
      </c>
      <c r="T373" s="22" t="s">
        <v>31</v>
      </c>
      <c r="U373" s="25" t="s">
        <v>32</v>
      </c>
      <c r="V373" s="22" t="s">
        <v>33</v>
      </c>
      <c r="W373" s="32" t="s">
        <v>34</v>
      </c>
    </row>
    <row r="374" spans="1:23">
      <c r="A374" s="22" t="s">
        <v>989</v>
      </c>
      <c r="B374" s="25">
        <f>VLOOKUP(A374,[1]ProjectsResults!$D:$E,2,FALSE)</f>
        <v>10288</v>
      </c>
      <c r="C374" s="22">
        <f>VLOOKUP(A374,[2]Sheet2!$D:$E,2,FALSE)</f>
        <v>9049</v>
      </c>
      <c r="D374" s="22">
        <v>9049</v>
      </c>
      <c r="E374" s="22">
        <f>VLOOKUP(A374,[3]Sheet2!$A:$F,6,FALSE)</f>
        <v>6684335</v>
      </c>
      <c r="G374" s="22" t="s">
        <v>990</v>
      </c>
      <c r="H374" s="22" t="s">
        <v>249</v>
      </c>
      <c r="I374" s="22" t="s">
        <v>25</v>
      </c>
      <c r="J374" s="22" t="s">
        <v>250</v>
      </c>
      <c r="K374" s="29" t="s">
        <v>251</v>
      </c>
      <c r="L374" s="29" t="s">
        <v>28</v>
      </c>
      <c r="P374" s="30">
        <v>45677</v>
      </c>
      <c r="Q374" s="30">
        <v>45677</v>
      </c>
      <c r="R374" s="22" t="s">
        <v>29</v>
      </c>
      <c r="S374" s="29" t="s">
        <v>30</v>
      </c>
      <c r="T374" s="22" t="s">
        <v>31</v>
      </c>
      <c r="U374" s="25" t="s">
        <v>32</v>
      </c>
      <c r="V374" s="22" t="s">
        <v>33</v>
      </c>
      <c r="W374" s="32" t="s">
        <v>34</v>
      </c>
    </row>
    <row r="375" spans="1:23">
      <c r="A375" s="22" t="s">
        <v>991</v>
      </c>
      <c r="B375" s="25">
        <f>VLOOKUP(A375,[1]ProjectsResults!$D:$E,2,FALSE)</f>
        <v>10622</v>
      </c>
      <c r="C375" s="22">
        <f>VLOOKUP(A375,[2]Sheet2!$D:$E,2,FALSE)</f>
        <v>9583</v>
      </c>
      <c r="D375" s="22">
        <v>9583</v>
      </c>
      <c r="E375" s="22">
        <f>VLOOKUP(A375,[3]Sheet2!$A:$F,6,FALSE)</f>
        <v>627473</v>
      </c>
      <c r="G375" s="22" t="s">
        <v>992</v>
      </c>
      <c r="H375" s="22" t="s">
        <v>993</v>
      </c>
      <c r="I375" s="22" t="s">
        <v>25</v>
      </c>
      <c r="J375" s="22" t="s">
        <v>38</v>
      </c>
      <c r="K375" s="22" t="s">
        <v>38</v>
      </c>
      <c r="L375" s="29" t="s">
        <v>28</v>
      </c>
      <c r="P375" s="30">
        <v>45677</v>
      </c>
      <c r="Q375" s="30">
        <v>45677</v>
      </c>
      <c r="R375" s="22" t="s">
        <v>29</v>
      </c>
      <c r="S375" s="29" t="s">
        <v>30</v>
      </c>
      <c r="T375" s="22" t="s">
        <v>31</v>
      </c>
      <c r="U375" s="25" t="s">
        <v>32</v>
      </c>
      <c r="V375" s="22" t="s">
        <v>33</v>
      </c>
      <c r="W375" s="32" t="s">
        <v>34</v>
      </c>
    </row>
    <row r="376" spans="1:23">
      <c r="A376" s="22" t="s">
        <v>994</v>
      </c>
      <c r="B376" s="25">
        <f>VLOOKUP(A376,[1]ProjectsResults!$D:$E,2,FALSE)</f>
        <v>10289</v>
      </c>
      <c r="C376" s="22">
        <f>VLOOKUP(A376,[2]Sheet2!$D:$E,2,FALSE)</f>
        <v>9050</v>
      </c>
      <c r="D376" s="22">
        <v>9050</v>
      </c>
      <c r="E376" s="22">
        <f>VLOOKUP(A376,[3]Sheet2!$A:$F,6,FALSE)</f>
        <v>3391394</v>
      </c>
      <c r="G376" s="22" t="s">
        <v>995</v>
      </c>
      <c r="H376" s="22" t="s">
        <v>37</v>
      </c>
      <c r="I376" s="22" t="s">
        <v>25</v>
      </c>
      <c r="J376" s="22" t="s">
        <v>38</v>
      </c>
      <c r="K376" s="22" t="s">
        <v>38</v>
      </c>
      <c r="L376" s="29" t="s">
        <v>28</v>
      </c>
      <c r="P376" s="30">
        <v>45740</v>
      </c>
      <c r="Q376" s="30">
        <v>45740</v>
      </c>
      <c r="R376" s="22" t="s">
        <v>29</v>
      </c>
      <c r="S376" s="29" t="s">
        <v>30</v>
      </c>
      <c r="T376" s="22" t="s">
        <v>31</v>
      </c>
      <c r="U376" s="25" t="s">
        <v>32</v>
      </c>
      <c r="V376" s="22" t="s">
        <v>33</v>
      </c>
      <c r="W376" s="32" t="s">
        <v>34</v>
      </c>
    </row>
    <row r="377" spans="1:23">
      <c r="A377" s="22" t="s">
        <v>996</v>
      </c>
      <c r="B377" s="25">
        <f>VLOOKUP(A377,[1]ProjectsResults!$D:$E,2,FALSE)</f>
        <v>10290</v>
      </c>
      <c r="C377" s="22">
        <f>VLOOKUP(A377,[2]Sheet2!$D:$E,2,FALSE)</f>
        <v>9051</v>
      </c>
      <c r="D377" s="22">
        <v>9051</v>
      </c>
      <c r="E377" s="22">
        <f>VLOOKUP(A377,[3]Sheet2!$A:$F,6,FALSE)</f>
        <v>8557172</v>
      </c>
      <c r="G377" s="22" t="s">
        <v>997</v>
      </c>
      <c r="H377" s="22" t="s">
        <v>86</v>
      </c>
      <c r="I377" s="22" t="s">
        <v>25</v>
      </c>
      <c r="J377" s="22" t="s">
        <v>42</v>
      </c>
      <c r="K377" s="22" t="s">
        <v>149</v>
      </c>
      <c r="L377" s="29" t="s">
        <v>28</v>
      </c>
      <c r="P377" s="30">
        <v>45723</v>
      </c>
      <c r="Q377" s="30">
        <v>45723</v>
      </c>
      <c r="R377" s="22" t="s">
        <v>29</v>
      </c>
      <c r="S377" s="29" t="s">
        <v>30</v>
      </c>
      <c r="T377" s="22" t="s">
        <v>31</v>
      </c>
      <c r="U377" s="25" t="s">
        <v>32</v>
      </c>
      <c r="V377" s="22" t="s">
        <v>33</v>
      </c>
      <c r="W377" s="32" t="s">
        <v>34</v>
      </c>
    </row>
    <row r="378" spans="1:23">
      <c r="A378" s="22" t="s">
        <v>998</v>
      </c>
      <c r="B378" s="25">
        <f>VLOOKUP(A378,[1]ProjectsResults!$D:$E,2,FALSE)</f>
        <v>10291</v>
      </c>
      <c r="C378" s="22">
        <f>VLOOKUP(A378,[2]Sheet2!$D:$E,2,FALSE)</f>
        <v>9584</v>
      </c>
      <c r="D378" s="22">
        <v>9584</v>
      </c>
      <c r="E378" s="22">
        <f>VLOOKUP(A378,[3]Sheet2!$A:$F,6,FALSE)</f>
        <v>2178877</v>
      </c>
      <c r="G378" s="22" t="s">
        <v>999</v>
      </c>
      <c r="H378" s="22" t="s">
        <v>1000</v>
      </c>
      <c r="I378" s="22" t="s">
        <v>25</v>
      </c>
      <c r="J378" s="22" t="s">
        <v>38</v>
      </c>
      <c r="K378" s="22" t="s">
        <v>38</v>
      </c>
      <c r="L378" s="29" t="s">
        <v>28</v>
      </c>
      <c r="P378" s="30">
        <v>45707</v>
      </c>
      <c r="Q378" s="30">
        <v>45707</v>
      </c>
      <c r="R378" s="22" t="s">
        <v>29</v>
      </c>
      <c r="S378" s="29" t="s">
        <v>30</v>
      </c>
      <c r="T378" s="22" t="s">
        <v>31</v>
      </c>
      <c r="U378" s="25" t="s">
        <v>32</v>
      </c>
      <c r="V378" s="22" t="s">
        <v>33</v>
      </c>
      <c r="W378" s="32" t="s">
        <v>34</v>
      </c>
    </row>
    <row r="379" spans="1:23">
      <c r="A379" s="22" t="s">
        <v>1001</v>
      </c>
      <c r="B379" s="25">
        <f>VLOOKUP(A379,[1]ProjectsResults!$D:$E,2,FALSE)</f>
        <v>10292</v>
      </c>
      <c r="C379" s="22">
        <f>VLOOKUP(A379,[2]Sheet2!$D:$E,2,FALSE)</f>
        <v>9585</v>
      </c>
      <c r="D379" s="22">
        <v>9585</v>
      </c>
      <c r="E379" s="22">
        <f>VLOOKUP(A379,[3]Sheet2!$A:$F,6,FALSE)</f>
        <v>5156545</v>
      </c>
      <c r="G379" s="22" t="s">
        <v>1002</v>
      </c>
      <c r="H379" s="22" t="s">
        <v>1003</v>
      </c>
      <c r="I379" s="22" t="s">
        <v>25</v>
      </c>
      <c r="J379" s="22" t="s">
        <v>803</v>
      </c>
      <c r="K379" s="21" t="s">
        <v>1004</v>
      </c>
      <c r="L379" s="29" t="s">
        <v>28</v>
      </c>
      <c r="P379" s="30">
        <v>45716</v>
      </c>
      <c r="Q379" s="30">
        <v>45716</v>
      </c>
      <c r="R379" s="22" t="s">
        <v>29</v>
      </c>
      <c r="S379" s="29" t="s">
        <v>30</v>
      </c>
      <c r="T379" s="22" t="s">
        <v>74</v>
      </c>
      <c r="U379" s="25" t="s">
        <v>32</v>
      </c>
      <c r="V379" s="22" t="s">
        <v>75</v>
      </c>
      <c r="W379" s="32" t="s">
        <v>34</v>
      </c>
    </row>
    <row r="380" spans="1:23">
      <c r="A380" s="22" t="s">
        <v>1005</v>
      </c>
      <c r="B380" s="25">
        <f>VLOOKUP(A380,[1]ProjectsResults!$D:$E,2,FALSE)</f>
        <v>10293</v>
      </c>
      <c r="C380" s="22">
        <f>VLOOKUP(A380,[2]Sheet2!$D:$E,2,FALSE)</f>
        <v>9052</v>
      </c>
      <c r="D380" s="22">
        <v>9052</v>
      </c>
      <c r="E380" s="22">
        <f>VLOOKUP(A380,[3]Sheet2!$A:$F,6,FALSE)</f>
        <v>1162561</v>
      </c>
      <c r="G380" s="22" t="s">
        <v>1006</v>
      </c>
      <c r="H380" s="22" t="s">
        <v>331</v>
      </c>
      <c r="I380" s="22" t="s">
        <v>25</v>
      </c>
      <c r="J380" s="22" t="s">
        <v>72</v>
      </c>
      <c r="K380" s="22" t="s">
        <v>141</v>
      </c>
      <c r="L380" s="29" t="s">
        <v>28</v>
      </c>
      <c r="P380" s="30">
        <v>45682</v>
      </c>
      <c r="Q380" s="30">
        <v>45682</v>
      </c>
      <c r="R380" s="22" t="s">
        <v>29</v>
      </c>
      <c r="S380" s="29" t="s">
        <v>30</v>
      </c>
      <c r="T380" s="22" t="s">
        <v>74</v>
      </c>
      <c r="U380" s="25" t="s">
        <v>32</v>
      </c>
      <c r="V380" s="22" t="s">
        <v>75</v>
      </c>
      <c r="W380" s="32" t="s">
        <v>34</v>
      </c>
    </row>
    <row r="381" spans="1:23">
      <c r="A381" s="22" t="s">
        <v>1007</v>
      </c>
      <c r="B381" s="25">
        <f>VLOOKUP(A381,[1]ProjectsResults!$D:$E,2,FALSE)</f>
        <v>10294</v>
      </c>
      <c r="C381" s="22">
        <f>VLOOKUP(A381,[2]Sheet2!$D:$E,2,FALSE)</f>
        <v>9053</v>
      </c>
      <c r="D381" s="22">
        <v>9053</v>
      </c>
      <c r="E381" s="22">
        <f>VLOOKUP(A381,[3]Sheet2!$A:$F,6,FALSE)</f>
        <v>2063730</v>
      </c>
      <c r="G381" s="22" t="s">
        <v>1008</v>
      </c>
      <c r="H381" s="22" t="s">
        <v>1009</v>
      </c>
      <c r="I381" s="22" t="s">
        <v>25</v>
      </c>
      <c r="J381" s="22" t="s">
        <v>182</v>
      </c>
      <c r="K381" s="22" t="s">
        <v>1010</v>
      </c>
      <c r="L381" s="29" t="s">
        <v>28</v>
      </c>
      <c r="P381" s="30">
        <v>45699</v>
      </c>
      <c r="Q381" s="30">
        <v>45701</v>
      </c>
      <c r="R381" s="22" t="s">
        <v>29</v>
      </c>
      <c r="S381" s="29" t="s">
        <v>30</v>
      </c>
      <c r="T381" s="22" t="s">
        <v>31</v>
      </c>
      <c r="U381" s="25" t="s">
        <v>32</v>
      </c>
      <c r="V381" s="22" t="s">
        <v>33</v>
      </c>
      <c r="W381" s="32" t="s">
        <v>34</v>
      </c>
    </row>
    <row r="382" spans="1:23">
      <c r="A382" s="22" t="s">
        <v>1011</v>
      </c>
      <c r="B382" s="25">
        <f>VLOOKUP(A382,[1]ProjectsResults!$D:$E,2,FALSE)</f>
        <v>10295</v>
      </c>
      <c r="C382" s="22">
        <f>VLOOKUP(A382,[2]Sheet2!$D:$E,2,FALSE)</f>
        <v>9586</v>
      </c>
      <c r="D382" s="22">
        <v>9586</v>
      </c>
      <c r="E382" s="22">
        <f>VLOOKUP(A382,[3]Sheet2!$A:$F,6,FALSE)</f>
        <v>4644563</v>
      </c>
      <c r="G382" s="22" t="s">
        <v>1012</v>
      </c>
      <c r="H382" s="22" t="s">
        <v>1013</v>
      </c>
      <c r="I382" s="22" t="s">
        <v>25</v>
      </c>
      <c r="J382" s="22" t="s">
        <v>42</v>
      </c>
      <c r="K382" s="22" t="s">
        <v>454</v>
      </c>
      <c r="L382" s="29" t="s">
        <v>28</v>
      </c>
      <c r="P382" s="30">
        <v>45720</v>
      </c>
      <c r="Q382" s="30">
        <v>45720</v>
      </c>
      <c r="R382" s="22" t="s">
        <v>29</v>
      </c>
      <c r="S382" s="29" t="s">
        <v>30</v>
      </c>
      <c r="T382" s="22" t="s">
        <v>31</v>
      </c>
      <c r="U382" s="25" t="s">
        <v>32</v>
      </c>
      <c r="V382" s="22" t="s">
        <v>33</v>
      </c>
      <c r="W382" s="32" t="s">
        <v>34</v>
      </c>
    </row>
    <row r="383" spans="1:23">
      <c r="A383" s="22" t="s">
        <v>1014</v>
      </c>
      <c r="B383" s="25">
        <f>VLOOKUP(A383,[1]ProjectsResults!$D:$E,2,FALSE)</f>
        <v>10296</v>
      </c>
      <c r="C383" s="22">
        <f>VLOOKUP(A383,[2]Sheet2!$D:$E,2,FALSE)</f>
        <v>9054</v>
      </c>
      <c r="D383" s="22">
        <v>9054</v>
      </c>
      <c r="E383" s="22">
        <f>VLOOKUP(A383,[3]Sheet2!$A:$F,6,FALSE)</f>
        <v>98450</v>
      </c>
      <c r="G383" s="22" t="s">
        <v>1015</v>
      </c>
      <c r="H383" s="22" t="s">
        <v>453</v>
      </c>
      <c r="I383" s="22" t="s">
        <v>25</v>
      </c>
      <c r="J383" s="22" t="s">
        <v>42</v>
      </c>
      <c r="K383" s="22" t="s">
        <v>454</v>
      </c>
      <c r="L383" s="29" t="s">
        <v>28</v>
      </c>
      <c r="P383" s="30">
        <v>45685</v>
      </c>
      <c r="Q383" s="30">
        <v>45685</v>
      </c>
      <c r="R383" s="22" t="s">
        <v>29</v>
      </c>
      <c r="S383" s="29" t="s">
        <v>30</v>
      </c>
      <c r="T383" s="22" t="s">
        <v>31</v>
      </c>
      <c r="U383" s="25" t="s">
        <v>32</v>
      </c>
      <c r="V383" s="22" t="s">
        <v>33</v>
      </c>
      <c r="W383" s="32" t="s">
        <v>34</v>
      </c>
    </row>
    <row r="384" spans="1:23">
      <c r="A384" s="22" t="s">
        <v>1016</v>
      </c>
      <c r="B384" s="25">
        <f>VLOOKUP(A384,[1]ProjectsResults!$D:$E,2,FALSE)</f>
        <v>10297</v>
      </c>
      <c r="C384" s="22">
        <f>VLOOKUP(A384,[2]Sheet2!$D:$E,2,FALSE)</f>
        <v>9055</v>
      </c>
      <c r="D384" s="22">
        <v>9055</v>
      </c>
      <c r="E384" s="22">
        <f>VLOOKUP(A384,[3]Sheet2!$A:$F,6,FALSE)</f>
        <v>189796</v>
      </c>
      <c r="G384" s="22" t="s">
        <v>1017</v>
      </c>
      <c r="H384" s="22" t="s">
        <v>249</v>
      </c>
      <c r="I384" s="22" t="s">
        <v>25</v>
      </c>
      <c r="J384" s="22" t="s">
        <v>250</v>
      </c>
      <c r="K384" s="29" t="s">
        <v>251</v>
      </c>
      <c r="L384" s="29" t="s">
        <v>28</v>
      </c>
      <c r="P384" s="30">
        <v>45687</v>
      </c>
      <c r="Q384" s="30">
        <v>45687</v>
      </c>
      <c r="R384" s="22" t="s">
        <v>29</v>
      </c>
      <c r="S384" s="29" t="s">
        <v>30</v>
      </c>
      <c r="T384" s="22" t="s">
        <v>31</v>
      </c>
      <c r="U384" s="25" t="s">
        <v>32</v>
      </c>
      <c r="V384" s="22" t="s">
        <v>33</v>
      </c>
      <c r="W384" s="32" t="s">
        <v>34</v>
      </c>
    </row>
    <row r="385" spans="1:23">
      <c r="A385" s="22" t="s">
        <v>1018</v>
      </c>
      <c r="B385" s="25">
        <f>VLOOKUP(A385,[1]ProjectsResults!$D:$E,2,FALSE)</f>
        <v>10298</v>
      </c>
      <c r="C385" s="22">
        <f>VLOOKUP(A385,[2]Sheet2!$D:$E,2,FALSE)</f>
        <v>9056</v>
      </c>
      <c r="D385" s="22">
        <v>9056</v>
      </c>
      <c r="E385" s="22">
        <f>VLOOKUP(A385,[3]Sheet2!$A:$F,6,FALSE)</f>
        <v>1995312</v>
      </c>
      <c r="G385" s="22" t="s">
        <v>1019</v>
      </c>
      <c r="H385" s="22" t="s">
        <v>188</v>
      </c>
      <c r="I385" s="22" t="s">
        <v>25</v>
      </c>
      <c r="J385" s="29" t="s">
        <v>47</v>
      </c>
      <c r="K385" s="22" t="s">
        <v>1020</v>
      </c>
      <c r="L385" s="29" t="s">
        <v>28</v>
      </c>
      <c r="P385" s="30">
        <v>45680</v>
      </c>
      <c r="Q385" s="30">
        <v>45686</v>
      </c>
      <c r="R385" s="22" t="s">
        <v>29</v>
      </c>
      <c r="S385" s="29" t="s">
        <v>30</v>
      </c>
      <c r="T385" s="22" t="s">
        <v>49</v>
      </c>
      <c r="U385" s="25" t="s">
        <v>32</v>
      </c>
      <c r="V385" s="22" t="s">
        <v>50</v>
      </c>
      <c r="W385" s="32" t="s">
        <v>34</v>
      </c>
    </row>
    <row r="386" spans="1:23">
      <c r="A386" s="22" t="s">
        <v>1021</v>
      </c>
      <c r="B386" s="25">
        <f>VLOOKUP(A386,[1]ProjectsResults!$D:$E,2,FALSE)</f>
        <v>10299</v>
      </c>
      <c r="C386" s="22">
        <f>VLOOKUP(A386,[2]Sheet2!$D:$E,2,FALSE)</f>
        <v>9333</v>
      </c>
      <c r="D386" s="22">
        <v>9333</v>
      </c>
      <c r="E386" s="22">
        <f>VLOOKUP(A386,[3]Sheet2!$A:$F,6,FALSE)</f>
        <v>713927</v>
      </c>
      <c r="G386" s="22" t="s">
        <v>1022</v>
      </c>
      <c r="H386" s="22" t="s">
        <v>955</v>
      </c>
      <c r="I386" s="22" t="s">
        <v>25</v>
      </c>
      <c r="J386" s="29" t="s">
        <v>47</v>
      </c>
      <c r="K386" s="22" t="s">
        <v>800</v>
      </c>
      <c r="L386" s="29" t="s">
        <v>28</v>
      </c>
      <c r="P386" s="30">
        <v>45680</v>
      </c>
      <c r="Q386" s="30">
        <v>45681</v>
      </c>
      <c r="R386" s="22" t="s">
        <v>29</v>
      </c>
      <c r="S386" s="29" t="s">
        <v>30</v>
      </c>
      <c r="T386" s="22" t="s">
        <v>49</v>
      </c>
      <c r="U386" s="25" t="s">
        <v>32</v>
      </c>
      <c r="V386" s="22" t="s">
        <v>50</v>
      </c>
      <c r="W386" s="32" t="s">
        <v>34</v>
      </c>
    </row>
    <row r="387" spans="1:23">
      <c r="A387" s="22" t="s">
        <v>1023</v>
      </c>
      <c r="B387" s="25">
        <f>VLOOKUP(A387,[1]ProjectsResults!$D:$E,2,FALSE)</f>
        <v>10300</v>
      </c>
      <c r="C387" s="22">
        <f>VLOOKUP(A387,[2]Sheet2!$D:$E,2,FALSE)</f>
        <v>9057</v>
      </c>
      <c r="D387" s="22">
        <v>9057</v>
      </c>
      <c r="E387" s="22">
        <f>VLOOKUP(A387,[3]Sheet2!$A:$F,6,FALSE)</f>
        <v>60500</v>
      </c>
      <c r="G387" s="22" t="s">
        <v>1024</v>
      </c>
      <c r="H387" s="22" t="s">
        <v>546</v>
      </c>
      <c r="I387" s="22" t="s">
        <v>25</v>
      </c>
      <c r="J387" s="29" t="s">
        <v>168</v>
      </c>
      <c r="K387" s="29" t="s">
        <v>446</v>
      </c>
      <c r="L387" s="29" t="s">
        <v>28</v>
      </c>
      <c r="P387" s="30">
        <v>45680</v>
      </c>
      <c r="Q387" s="30">
        <v>45680</v>
      </c>
      <c r="R387" s="22" t="s">
        <v>29</v>
      </c>
      <c r="S387" s="29" t="s">
        <v>30</v>
      </c>
      <c r="T387" s="22" t="s">
        <v>31</v>
      </c>
      <c r="U387" s="25" t="s">
        <v>32</v>
      </c>
      <c r="V387" s="22" t="s">
        <v>33</v>
      </c>
      <c r="W387" s="32" t="s">
        <v>34</v>
      </c>
    </row>
    <row r="388" spans="1:23">
      <c r="A388" s="22" t="s">
        <v>1025</v>
      </c>
      <c r="B388" s="25">
        <f>VLOOKUP(A388,[1]ProjectsResults!$D:$E,2,FALSE)</f>
        <v>10301</v>
      </c>
      <c r="C388" s="22">
        <f>VLOOKUP(A388,[2]Sheet2!$D:$E,2,FALSE)</f>
        <v>9058</v>
      </c>
      <c r="D388" s="22">
        <v>9058</v>
      </c>
      <c r="E388" s="22">
        <f>VLOOKUP(A388,[3]Sheet2!$A:$F,6,FALSE)</f>
        <v>711172</v>
      </c>
      <c r="G388" s="22" t="s">
        <v>1026</v>
      </c>
      <c r="H388" s="22" t="s">
        <v>420</v>
      </c>
      <c r="I388" s="22" t="s">
        <v>25</v>
      </c>
      <c r="J388" s="29" t="s">
        <v>47</v>
      </c>
      <c r="K388" s="29" t="s">
        <v>227</v>
      </c>
      <c r="L388" s="29" t="s">
        <v>28</v>
      </c>
      <c r="P388" s="30">
        <v>45680</v>
      </c>
      <c r="Q388" s="30">
        <v>45746</v>
      </c>
      <c r="R388" s="22" t="s">
        <v>29</v>
      </c>
      <c r="S388" s="29" t="s">
        <v>30</v>
      </c>
      <c r="T388" s="22" t="s">
        <v>49</v>
      </c>
      <c r="U388" s="25" t="s">
        <v>32</v>
      </c>
      <c r="V388" s="22" t="s">
        <v>50</v>
      </c>
      <c r="W388" s="32" t="s">
        <v>34</v>
      </c>
    </row>
    <row r="389" spans="1:23">
      <c r="A389" s="22" t="s">
        <v>1027</v>
      </c>
      <c r="B389" s="25">
        <f>VLOOKUP(A389,[1]ProjectsResults!$D:$E,2,FALSE)</f>
        <v>10302</v>
      </c>
      <c r="C389" s="22">
        <f>VLOOKUP(A389,[2]Sheet2!$D:$E,2,FALSE)</f>
        <v>9059</v>
      </c>
      <c r="D389" s="22">
        <v>9059</v>
      </c>
      <c r="E389" s="22">
        <f>VLOOKUP(A389,[3]Sheet2!$A:$F,6,FALSE)</f>
        <v>96668</v>
      </c>
      <c r="G389" s="22" t="s">
        <v>1028</v>
      </c>
      <c r="H389" s="22" t="s">
        <v>313</v>
      </c>
      <c r="I389" s="22" t="s">
        <v>25</v>
      </c>
      <c r="J389" s="29" t="s">
        <v>168</v>
      </c>
      <c r="K389" s="22" t="s">
        <v>314</v>
      </c>
      <c r="L389" s="29" t="s">
        <v>28</v>
      </c>
      <c r="P389" s="30">
        <v>45680</v>
      </c>
      <c r="Q389" s="30">
        <v>45680</v>
      </c>
      <c r="R389" s="22" t="s">
        <v>29</v>
      </c>
      <c r="S389" s="29" t="s">
        <v>30</v>
      </c>
      <c r="T389" s="22" t="s">
        <v>31</v>
      </c>
      <c r="U389" s="25" t="s">
        <v>32</v>
      </c>
      <c r="V389" s="22" t="s">
        <v>33</v>
      </c>
      <c r="W389" s="32" t="s">
        <v>34</v>
      </c>
    </row>
    <row r="390" spans="1:23">
      <c r="A390" s="22" t="s">
        <v>1029</v>
      </c>
      <c r="B390" s="25">
        <f>VLOOKUP(A390,[1]ProjectsResults!$D:$E,2,FALSE)</f>
        <v>10303</v>
      </c>
      <c r="C390" s="22">
        <f>VLOOKUP(A390,[2]Sheet2!$D:$E,2,FALSE)</f>
        <v>9332</v>
      </c>
      <c r="D390" s="22">
        <v>9332</v>
      </c>
      <c r="E390" s="22">
        <f>VLOOKUP(A390,[3]Sheet2!$A:$F,6,FALSE)</f>
        <v>184989</v>
      </c>
      <c r="G390" s="22" t="s">
        <v>1030</v>
      </c>
      <c r="H390" s="22" t="s">
        <v>1031</v>
      </c>
      <c r="I390" s="22" t="s">
        <v>25</v>
      </c>
      <c r="J390" s="29" t="s">
        <v>115</v>
      </c>
      <c r="K390" s="22" t="s">
        <v>621</v>
      </c>
      <c r="L390" s="29" t="s">
        <v>28</v>
      </c>
      <c r="P390" s="30">
        <v>45681</v>
      </c>
      <c r="Q390" s="30">
        <v>45683</v>
      </c>
      <c r="R390" s="22" t="s">
        <v>29</v>
      </c>
      <c r="S390" s="29" t="s">
        <v>30</v>
      </c>
      <c r="T390" s="22" t="s">
        <v>49</v>
      </c>
      <c r="U390" s="25" t="s">
        <v>32</v>
      </c>
      <c r="V390" s="22" t="s">
        <v>117</v>
      </c>
      <c r="W390" s="32" t="s">
        <v>34</v>
      </c>
    </row>
    <row r="391" spans="1:23">
      <c r="A391" s="22" t="s">
        <v>1032</v>
      </c>
      <c r="B391" s="25">
        <f>VLOOKUP(A391,[1]ProjectsResults!$D:$E,2,FALSE)</f>
        <v>10304</v>
      </c>
      <c r="C391" s="22">
        <f>VLOOKUP(A391,[2]Sheet2!$D:$E,2,FALSE)</f>
        <v>9589</v>
      </c>
      <c r="D391" s="22">
        <v>9589</v>
      </c>
      <c r="E391" s="22">
        <f>VLOOKUP(A391,[3]Sheet2!$A:$F,6,FALSE)</f>
        <v>8761500</v>
      </c>
      <c r="G391" s="22" t="s">
        <v>1033</v>
      </c>
      <c r="H391" s="22" t="s">
        <v>1034</v>
      </c>
      <c r="I391" s="22" t="s">
        <v>25</v>
      </c>
      <c r="J391" s="22" t="s">
        <v>790</v>
      </c>
      <c r="K391" s="22" t="s">
        <v>190</v>
      </c>
      <c r="L391" s="29" t="s">
        <v>28</v>
      </c>
      <c r="P391" s="30">
        <v>45681</v>
      </c>
      <c r="Q391" s="30">
        <v>45681</v>
      </c>
      <c r="R391" s="22" t="s">
        <v>29</v>
      </c>
      <c r="S391" s="29" t="s">
        <v>30</v>
      </c>
      <c r="T391" s="22" t="s">
        <v>74</v>
      </c>
      <c r="U391" s="25" t="s">
        <v>32</v>
      </c>
      <c r="V391" s="22" t="s">
        <v>75</v>
      </c>
      <c r="W391" s="32" t="s">
        <v>34</v>
      </c>
    </row>
    <row r="392" spans="1:23">
      <c r="A392" s="22" t="s">
        <v>1035</v>
      </c>
      <c r="B392" s="25">
        <f>VLOOKUP(A392,[1]ProjectsResults!$D:$E,2,FALSE)</f>
        <v>10305</v>
      </c>
      <c r="C392" s="22">
        <f>VLOOKUP(A392,[2]Sheet2!$D:$E,2,FALSE)</f>
        <v>9060</v>
      </c>
      <c r="D392" s="22">
        <v>9060</v>
      </c>
      <c r="E392" s="22">
        <f>VLOOKUP(A392,[3]Sheet2!$A:$F,6,FALSE)</f>
        <v>1169339</v>
      </c>
      <c r="G392" s="22" t="s">
        <v>1036</v>
      </c>
      <c r="H392" s="22" t="s">
        <v>313</v>
      </c>
      <c r="I392" s="22" t="s">
        <v>25</v>
      </c>
      <c r="J392" s="29" t="s">
        <v>168</v>
      </c>
      <c r="K392" s="29" t="s">
        <v>446</v>
      </c>
      <c r="L392" s="29" t="s">
        <v>28</v>
      </c>
      <c r="P392" s="30">
        <v>45708</v>
      </c>
      <c r="Q392" s="30">
        <v>45711</v>
      </c>
      <c r="R392" s="22" t="s">
        <v>29</v>
      </c>
      <c r="S392" s="29" t="s">
        <v>30</v>
      </c>
      <c r="T392" s="22" t="s">
        <v>31</v>
      </c>
      <c r="U392" s="25" t="s">
        <v>32</v>
      </c>
      <c r="V392" s="22" t="s">
        <v>33</v>
      </c>
      <c r="W392" s="32" t="s">
        <v>34</v>
      </c>
    </row>
    <row r="393" spans="1:23">
      <c r="A393" s="22" t="s">
        <v>1037</v>
      </c>
      <c r="B393" s="25">
        <f>VLOOKUP(A393,[1]ProjectsResults!$D:$E,2,FALSE)</f>
        <v>10306</v>
      </c>
      <c r="C393" s="22">
        <f>VLOOKUP(A393,[2]Sheet2!$D:$E,2,FALSE)</f>
        <v>9061</v>
      </c>
      <c r="D393" s="22">
        <v>9061</v>
      </c>
      <c r="E393" s="22">
        <f>VLOOKUP(A393,[3]Sheet2!$A:$F,6,FALSE)</f>
        <v>13000000</v>
      </c>
      <c r="G393" s="22" t="s">
        <v>1038</v>
      </c>
      <c r="H393" s="22" t="s">
        <v>331</v>
      </c>
      <c r="I393" s="22" t="s">
        <v>25</v>
      </c>
      <c r="J393" s="22" t="s">
        <v>72</v>
      </c>
      <c r="K393" s="22" t="s">
        <v>141</v>
      </c>
      <c r="L393" s="29" t="s">
        <v>28</v>
      </c>
      <c r="P393" s="30">
        <v>45696</v>
      </c>
      <c r="Q393" s="30">
        <v>45706</v>
      </c>
      <c r="R393" s="22" t="s">
        <v>29</v>
      </c>
      <c r="S393" s="29" t="s">
        <v>30</v>
      </c>
      <c r="T393" s="22" t="s">
        <v>74</v>
      </c>
      <c r="U393" s="25" t="s">
        <v>32</v>
      </c>
      <c r="V393" s="22" t="s">
        <v>75</v>
      </c>
      <c r="W393" s="32" t="s">
        <v>34</v>
      </c>
    </row>
    <row r="394" spans="1:23">
      <c r="A394" s="22" t="s">
        <v>1039</v>
      </c>
      <c r="B394" s="25">
        <f>VLOOKUP(A394,[1]ProjectsResults!$D:$E,2,FALSE)</f>
        <v>10307</v>
      </c>
      <c r="C394" s="22">
        <f>VLOOKUP(A394,[2]Sheet2!$D:$E,2,FALSE)</f>
        <v>9062</v>
      </c>
      <c r="D394" s="22">
        <v>9062</v>
      </c>
      <c r="E394" s="22">
        <f>VLOOKUP(A394,[3]Sheet2!$A:$F,6,FALSE)</f>
        <v>10000000</v>
      </c>
      <c r="G394" s="22" t="s">
        <v>1040</v>
      </c>
      <c r="H394" s="22" t="s">
        <v>140</v>
      </c>
      <c r="I394" s="22" t="s">
        <v>25</v>
      </c>
      <c r="J394" s="22" t="s">
        <v>72</v>
      </c>
      <c r="K394" s="22" t="s">
        <v>141</v>
      </c>
      <c r="L394" s="29" t="s">
        <v>28</v>
      </c>
      <c r="P394" s="30">
        <v>45747</v>
      </c>
      <c r="Q394" s="30">
        <v>45752</v>
      </c>
      <c r="R394" s="22" t="s">
        <v>29</v>
      </c>
      <c r="S394" s="29" t="s">
        <v>30</v>
      </c>
      <c r="T394" s="22" t="s">
        <v>74</v>
      </c>
      <c r="U394" s="25" t="s">
        <v>32</v>
      </c>
      <c r="V394" s="22" t="s">
        <v>75</v>
      </c>
      <c r="W394" s="32" t="s">
        <v>34</v>
      </c>
    </row>
    <row r="395" spans="1:23">
      <c r="A395" s="22" t="s">
        <v>1041</v>
      </c>
      <c r="B395" s="25">
        <f>VLOOKUP(A395,[1]ProjectsResults!$D:$E,2,FALSE)</f>
        <v>10308</v>
      </c>
      <c r="C395" s="22">
        <f>VLOOKUP(A395,[2]Sheet2!$D:$E,2,FALSE)</f>
        <v>9063</v>
      </c>
      <c r="D395" s="22">
        <v>9063</v>
      </c>
      <c r="E395" s="22">
        <f>VLOOKUP(A395,[3]Sheet2!$A:$F,6,FALSE)</f>
        <v>4169000</v>
      </c>
      <c r="G395" s="22" t="s">
        <v>1042</v>
      </c>
      <c r="H395" s="22" t="s">
        <v>1043</v>
      </c>
      <c r="I395" s="22" t="s">
        <v>25</v>
      </c>
      <c r="J395" s="29" t="s">
        <v>168</v>
      </c>
      <c r="K395" s="22" t="s">
        <v>169</v>
      </c>
      <c r="L395" s="29" t="s">
        <v>28</v>
      </c>
      <c r="P395" s="30">
        <v>45687</v>
      </c>
      <c r="Q395" s="30">
        <v>45687</v>
      </c>
      <c r="R395" s="22" t="s">
        <v>29</v>
      </c>
      <c r="S395" s="29" t="s">
        <v>30</v>
      </c>
      <c r="T395" s="22" t="s">
        <v>31</v>
      </c>
      <c r="U395" s="25" t="s">
        <v>32</v>
      </c>
      <c r="V395" s="22" t="s">
        <v>33</v>
      </c>
      <c r="W395" s="32" t="s">
        <v>34</v>
      </c>
    </row>
    <row r="396" spans="1:23">
      <c r="A396" s="22" t="s">
        <v>1044</v>
      </c>
      <c r="B396" s="25">
        <f>VLOOKUP(A396,[1]ProjectsResults!$D:$E,2,FALSE)</f>
        <v>10309</v>
      </c>
      <c r="C396" s="22">
        <f>VLOOKUP(A396,[2]Sheet2!$D:$E,2,FALSE)</f>
        <v>9064</v>
      </c>
      <c r="D396" s="22">
        <v>9064</v>
      </c>
      <c r="E396" s="22">
        <f>VLOOKUP(A396,[3]Sheet2!$A:$F,6,FALSE)</f>
        <v>1320000</v>
      </c>
      <c r="G396" s="22" t="s">
        <v>1045</v>
      </c>
      <c r="H396" s="22" t="s">
        <v>348</v>
      </c>
      <c r="I396" s="22" t="s">
        <v>25</v>
      </c>
      <c r="J396" s="29" t="s">
        <v>168</v>
      </c>
      <c r="K396" s="22" t="s">
        <v>1046</v>
      </c>
      <c r="L396" s="29" t="s">
        <v>28</v>
      </c>
      <c r="P396" s="30">
        <v>45708</v>
      </c>
      <c r="Q396" s="30">
        <v>45709</v>
      </c>
      <c r="R396" s="22" t="s">
        <v>29</v>
      </c>
      <c r="S396" s="29" t="s">
        <v>30</v>
      </c>
      <c r="T396" s="22" t="s">
        <v>31</v>
      </c>
      <c r="U396" s="25" t="s">
        <v>32</v>
      </c>
      <c r="V396" s="22" t="s">
        <v>33</v>
      </c>
      <c r="W396" s="32" t="s">
        <v>34</v>
      </c>
    </row>
    <row r="397" spans="1:23">
      <c r="A397" s="22" t="s">
        <v>1047</v>
      </c>
      <c r="B397" s="25">
        <f>VLOOKUP(A397,[1]ProjectsResults!$D:$E,2,FALSE)</f>
        <v>10310</v>
      </c>
      <c r="C397" s="22">
        <f>VLOOKUP(A397,[2]Sheet2!$D:$E,2,FALSE)</f>
        <v>9590</v>
      </c>
      <c r="D397" s="22">
        <v>9590</v>
      </c>
      <c r="E397" s="22">
        <f>VLOOKUP(A397,[3]Sheet2!$A:$F,6,FALSE)</f>
        <v>4216259</v>
      </c>
      <c r="G397" s="22" t="s">
        <v>1048</v>
      </c>
      <c r="H397" s="22" t="s">
        <v>1049</v>
      </c>
      <c r="I397" s="22" t="s">
        <v>25</v>
      </c>
      <c r="J397" s="29" t="s">
        <v>168</v>
      </c>
      <c r="K397" s="22" t="s">
        <v>169</v>
      </c>
      <c r="L397" s="29" t="s">
        <v>28</v>
      </c>
      <c r="P397" s="30">
        <v>45715</v>
      </c>
      <c r="Q397" s="30">
        <v>45715</v>
      </c>
      <c r="R397" s="22" t="s">
        <v>29</v>
      </c>
      <c r="S397" s="29" t="s">
        <v>30</v>
      </c>
      <c r="T397" s="22" t="s">
        <v>31</v>
      </c>
      <c r="U397" s="25" t="s">
        <v>32</v>
      </c>
      <c r="V397" s="22" t="s">
        <v>33</v>
      </c>
      <c r="W397" s="32" t="s">
        <v>34</v>
      </c>
    </row>
    <row r="398" spans="1:23">
      <c r="A398" s="22" t="s">
        <v>1050</v>
      </c>
      <c r="B398" s="25">
        <f>VLOOKUP(A398,[1]ProjectsResults!$D:$E,2,FALSE)</f>
        <v>10311</v>
      </c>
      <c r="C398" s="22">
        <f>VLOOKUP(A398,[2]Sheet2!$D:$E,2,FALSE)</f>
        <v>9065</v>
      </c>
      <c r="D398" s="22">
        <v>9065</v>
      </c>
      <c r="E398" s="22">
        <f>VLOOKUP(A398,[3]Sheet2!$A:$F,6,FALSE)</f>
        <v>918258</v>
      </c>
      <c r="G398" s="22" t="s">
        <v>1051</v>
      </c>
      <c r="H398" s="22" t="s">
        <v>313</v>
      </c>
      <c r="I398" s="22" t="s">
        <v>25</v>
      </c>
      <c r="J398" s="29" t="s">
        <v>168</v>
      </c>
      <c r="K398" s="29" t="s">
        <v>446</v>
      </c>
      <c r="L398" s="29" t="s">
        <v>28</v>
      </c>
      <c r="P398" s="30">
        <v>45705</v>
      </c>
      <c r="Q398" s="30">
        <v>45705</v>
      </c>
      <c r="R398" s="22" t="s">
        <v>29</v>
      </c>
      <c r="S398" s="29" t="s">
        <v>30</v>
      </c>
      <c r="T398" s="22" t="s">
        <v>31</v>
      </c>
      <c r="U398" s="25" t="s">
        <v>32</v>
      </c>
      <c r="V398" s="22" t="s">
        <v>33</v>
      </c>
      <c r="W398" s="32" t="s">
        <v>34</v>
      </c>
    </row>
    <row r="399" spans="1:23">
      <c r="A399" s="22" t="s">
        <v>1052</v>
      </c>
      <c r="B399" s="25">
        <f>VLOOKUP(A399,[1]ProjectsResults!$D:$E,2,FALSE)</f>
        <v>10312</v>
      </c>
      <c r="C399" s="22">
        <f>VLOOKUP(A399,[2]Sheet2!$D:$E,2,FALSE)</f>
        <v>9591</v>
      </c>
      <c r="D399" s="22">
        <v>9591</v>
      </c>
      <c r="E399" s="22">
        <f>VLOOKUP(A399,[3]Sheet2!$A:$F,6,FALSE)</f>
        <v>69575</v>
      </c>
      <c r="G399" s="22" t="s">
        <v>1053</v>
      </c>
      <c r="H399" s="22" t="s">
        <v>1054</v>
      </c>
      <c r="I399" s="22" t="s">
        <v>25</v>
      </c>
      <c r="J399" s="29" t="s">
        <v>168</v>
      </c>
      <c r="K399" s="22" t="s">
        <v>169</v>
      </c>
      <c r="L399" s="29" t="s">
        <v>28</v>
      </c>
      <c r="P399" s="30">
        <v>45681</v>
      </c>
      <c r="Q399" s="30">
        <v>45681</v>
      </c>
      <c r="R399" s="22" t="s">
        <v>29</v>
      </c>
      <c r="S399" s="29" t="s">
        <v>30</v>
      </c>
      <c r="T399" s="22" t="s">
        <v>31</v>
      </c>
      <c r="U399" s="25" t="s">
        <v>32</v>
      </c>
      <c r="V399" s="22" t="s">
        <v>33</v>
      </c>
      <c r="W399" s="32" t="s">
        <v>34</v>
      </c>
    </row>
    <row r="400" spans="1:23">
      <c r="A400" s="22" t="s">
        <v>1055</v>
      </c>
      <c r="B400" s="25">
        <f>VLOOKUP(A400,[1]ProjectsResults!$D:$E,2,FALSE)</f>
        <v>10313</v>
      </c>
      <c r="C400" s="22">
        <f>VLOOKUP(A400,[2]Sheet2!$D:$E,2,FALSE)</f>
        <v>9066</v>
      </c>
      <c r="D400" s="22">
        <v>9066</v>
      </c>
      <c r="E400" s="22">
        <f>VLOOKUP(A400,[3]Sheet2!$A:$F,6,FALSE)</f>
        <v>5700687</v>
      </c>
      <c r="G400" s="22" t="s">
        <v>1056</v>
      </c>
      <c r="H400" s="22" t="s">
        <v>249</v>
      </c>
      <c r="I400" s="22" t="s">
        <v>25</v>
      </c>
      <c r="J400" s="22" t="s">
        <v>250</v>
      </c>
      <c r="K400" s="29" t="s">
        <v>310</v>
      </c>
      <c r="L400" s="29" t="s">
        <v>28</v>
      </c>
      <c r="P400" s="30">
        <v>45694</v>
      </c>
      <c r="Q400" s="30">
        <v>45697</v>
      </c>
      <c r="R400" s="22" t="s">
        <v>29</v>
      </c>
      <c r="S400" s="29" t="s">
        <v>30</v>
      </c>
      <c r="T400" s="22" t="s">
        <v>31</v>
      </c>
      <c r="U400" s="25" t="s">
        <v>32</v>
      </c>
      <c r="V400" s="22" t="s">
        <v>33</v>
      </c>
      <c r="W400" s="32" t="s">
        <v>34</v>
      </c>
    </row>
    <row r="401" spans="1:23">
      <c r="A401" s="22" t="s">
        <v>1057</v>
      </c>
      <c r="B401" s="25">
        <f>VLOOKUP(A401,[1]ProjectsResults!$D:$E,2,FALSE)</f>
        <v>10314</v>
      </c>
      <c r="C401" s="22">
        <f>VLOOKUP(A401,[2]Sheet2!$D:$E,2,FALSE)</f>
        <v>9067</v>
      </c>
      <c r="D401" s="22">
        <v>9067</v>
      </c>
      <c r="E401" s="22">
        <f>VLOOKUP(A401,[3]Sheet2!$A:$F,6,FALSE)</f>
        <v>650283</v>
      </c>
      <c r="G401" s="22" t="s">
        <v>1058</v>
      </c>
      <c r="H401" s="22" t="s">
        <v>249</v>
      </c>
      <c r="I401" s="22" t="s">
        <v>25</v>
      </c>
      <c r="J401" s="22" t="s">
        <v>250</v>
      </c>
      <c r="K401" s="29" t="s">
        <v>251</v>
      </c>
      <c r="L401" s="29" t="s">
        <v>28</v>
      </c>
      <c r="P401" s="30">
        <v>45686</v>
      </c>
      <c r="Q401" s="30">
        <v>45686</v>
      </c>
      <c r="R401" s="22" t="s">
        <v>29</v>
      </c>
      <c r="S401" s="29" t="s">
        <v>30</v>
      </c>
      <c r="T401" s="22" t="s">
        <v>31</v>
      </c>
      <c r="U401" s="25" t="s">
        <v>32</v>
      </c>
      <c r="V401" s="22" t="s">
        <v>33</v>
      </c>
      <c r="W401" s="32" t="s">
        <v>34</v>
      </c>
    </row>
    <row r="402" spans="1:23">
      <c r="A402" s="22" t="s">
        <v>1059</v>
      </c>
      <c r="B402" s="25">
        <f>VLOOKUP(A402,[1]ProjectsResults!$D:$E,2,FALSE)</f>
        <v>10315</v>
      </c>
      <c r="C402" s="22">
        <f>VLOOKUP(A402,[2]Sheet2!$D:$E,2,FALSE)</f>
        <v>9068</v>
      </c>
      <c r="D402" s="22">
        <v>9068</v>
      </c>
      <c r="E402" s="22">
        <f>VLOOKUP(A402,[3]Sheet2!$A:$F,6,FALSE)</f>
        <v>599940</v>
      </c>
      <c r="G402" s="22" t="s">
        <v>1060</v>
      </c>
      <c r="H402" s="22" t="s">
        <v>453</v>
      </c>
      <c r="I402" s="22" t="s">
        <v>25</v>
      </c>
      <c r="J402" s="22" t="s">
        <v>42</v>
      </c>
      <c r="K402" s="22" t="s">
        <v>454</v>
      </c>
      <c r="L402" s="29" t="s">
        <v>28</v>
      </c>
      <c r="P402" s="30">
        <v>45712</v>
      </c>
      <c r="Q402" s="30">
        <v>45712</v>
      </c>
      <c r="R402" s="22" t="s">
        <v>29</v>
      </c>
      <c r="S402" s="29" t="s">
        <v>30</v>
      </c>
      <c r="T402" s="22" t="s">
        <v>31</v>
      </c>
      <c r="U402" s="25" t="s">
        <v>32</v>
      </c>
      <c r="V402" s="22" t="s">
        <v>33</v>
      </c>
      <c r="W402" s="32" t="s">
        <v>34</v>
      </c>
    </row>
    <row r="403" spans="1:23">
      <c r="A403" s="22" t="s">
        <v>1061</v>
      </c>
      <c r="B403" s="25">
        <f>VLOOKUP(A403,[1]ProjectsResults!$D:$E,2,FALSE)</f>
        <v>10316</v>
      </c>
      <c r="C403" s="22">
        <f>VLOOKUP(A403,[2]Sheet2!$D:$E,2,FALSE)</f>
        <v>9069</v>
      </c>
      <c r="D403" s="22">
        <v>9069</v>
      </c>
      <c r="E403" s="22">
        <f>VLOOKUP(A403,[3]Sheet2!$A:$F,6,FALSE)</f>
        <v>495000</v>
      </c>
      <c r="G403" s="22" t="s">
        <v>1062</v>
      </c>
      <c r="H403" s="22" t="s">
        <v>249</v>
      </c>
      <c r="I403" s="22" t="s">
        <v>25</v>
      </c>
      <c r="J403" s="22" t="s">
        <v>250</v>
      </c>
      <c r="K403" s="29" t="s">
        <v>251</v>
      </c>
      <c r="L403" s="29" t="s">
        <v>28</v>
      </c>
      <c r="P403" s="30">
        <v>45685</v>
      </c>
      <c r="Q403" s="30">
        <v>45685</v>
      </c>
      <c r="R403" s="22" t="s">
        <v>29</v>
      </c>
      <c r="S403" s="29" t="s">
        <v>30</v>
      </c>
      <c r="T403" s="22" t="s">
        <v>31</v>
      </c>
      <c r="U403" s="25" t="s">
        <v>32</v>
      </c>
      <c r="V403" s="22" t="s">
        <v>33</v>
      </c>
      <c r="W403" s="32" t="s">
        <v>34</v>
      </c>
    </row>
    <row r="404" spans="1:23">
      <c r="A404" s="22" t="s">
        <v>1063</v>
      </c>
      <c r="B404" s="25">
        <f>VLOOKUP(A404,[1]ProjectsResults!$D:$E,2,FALSE)</f>
        <v>10317</v>
      </c>
      <c r="C404" s="22">
        <f>VLOOKUP(A404,[2]Sheet2!$D:$E,2,FALSE)</f>
        <v>9070</v>
      </c>
      <c r="D404" s="22">
        <v>9070</v>
      </c>
      <c r="E404" s="22">
        <f>VLOOKUP(A404,[3]Sheet2!$A:$F,6,FALSE)</f>
        <v>3543710</v>
      </c>
      <c r="G404" s="22" t="s">
        <v>1064</v>
      </c>
      <c r="H404" s="22" t="s">
        <v>249</v>
      </c>
      <c r="I404" s="22" t="s">
        <v>25</v>
      </c>
      <c r="J404" s="22" t="s">
        <v>250</v>
      </c>
      <c r="K404" s="22" t="s">
        <v>525</v>
      </c>
      <c r="L404" s="29" t="s">
        <v>28</v>
      </c>
      <c r="P404" s="30">
        <v>45688</v>
      </c>
      <c r="Q404" s="30">
        <v>45688</v>
      </c>
      <c r="R404" s="22" t="s">
        <v>29</v>
      </c>
      <c r="S404" s="29" t="s">
        <v>30</v>
      </c>
      <c r="T404" s="22" t="s">
        <v>31</v>
      </c>
      <c r="U404" s="25" t="s">
        <v>32</v>
      </c>
      <c r="V404" s="22" t="s">
        <v>33</v>
      </c>
      <c r="W404" s="32" t="s">
        <v>34</v>
      </c>
    </row>
    <row r="405" spans="1:23">
      <c r="A405" s="22" t="s">
        <v>1065</v>
      </c>
      <c r="B405" s="25">
        <f>VLOOKUP(A405,[1]ProjectsResults!$D:$E,2,FALSE)</f>
        <v>10318</v>
      </c>
      <c r="C405" s="22">
        <f>VLOOKUP(A405,[2]Sheet2!$D:$E,2,FALSE)</f>
        <v>9071</v>
      </c>
      <c r="D405" s="22">
        <v>9071</v>
      </c>
      <c r="E405" s="22">
        <f>VLOOKUP(A405,[3]Sheet2!$A:$F,6,FALSE)</f>
        <v>722787</v>
      </c>
      <c r="G405" s="22" t="s">
        <v>1066</v>
      </c>
      <c r="H405" s="22" t="s">
        <v>86</v>
      </c>
      <c r="I405" s="22" t="s">
        <v>25</v>
      </c>
      <c r="J405" s="22" t="s">
        <v>42</v>
      </c>
      <c r="K405" s="22" t="s">
        <v>149</v>
      </c>
      <c r="L405" s="29" t="s">
        <v>28</v>
      </c>
      <c r="P405" s="30">
        <v>45688</v>
      </c>
      <c r="Q405" s="30">
        <v>45688</v>
      </c>
      <c r="R405" s="22" t="s">
        <v>29</v>
      </c>
      <c r="S405" s="29" t="s">
        <v>30</v>
      </c>
      <c r="T405" s="22" t="s">
        <v>31</v>
      </c>
      <c r="U405" s="25" t="s">
        <v>32</v>
      </c>
      <c r="V405" s="22" t="s">
        <v>33</v>
      </c>
      <c r="W405" s="32" t="s">
        <v>34</v>
      </c>
    </row>
    <row r="406" spans="1:23">
      <c r="A406" s="22" t="s">
        <v>1067</v>
      </c>
      <c r="B406" s="25">
        <f>VLOOKUP(A406,[1]ProjectsResults!$D:$E,2,FALSE)</f>
        <v>10319</v>
      </c>
      <c r="C406" s="22">
        <f>VLOOKUP(A406,[2]Sheet2!$D:$E,2,FALSE)</f>
        <v>9072</v>
      </c>
      <c r="D406" s="22">
        <v>9072</v>
      </c>
      <c r="E406" s="22">
        <f>VLOOKUP(A406,[3]Sheet2!$A:$F,6,FALSE)</f>
        <v>763077</v>
      </c>
      <c r="G406" s="22" t="s">
        <v>1068</v>
      </c>
      <c r="H406" s="22" t="s">
        <v>232</v>
      </c>
      <c r="I406" s="22" t="s">
        <v>25</v>
      </c>
      <c r="J406" s="29" t="s">
        <v>115</v>
      </c>
      <c r="K406" s="29" t="s">
        <v>356</v>
      </c>
      <c r="L406" s="29" t="s">
        <v>28</v>
      </c>
      <c r="P406" s="30">
        <v>45693</v>
      </c>
      <c r="Q406" s="30">
        <v>45693</v>
      </c>
      <c r="R406" s="22" t="s">
        <v>29</v>
      </c>
      <c r="S406" s="29" t="s">
        <v>30</v>
      </c>
      <c r="T406" s="22" t="s">
        <v>49</v>
      </c>
      <c r="U406" s="25" t="s">
        <v>32</v>
      </c>
      <c r="V406" s="22" t="s">
        <v>117</v>
      </c>
      <c r="W406" s="32" t="s">
        <v>34</v>
      </c>
    </row>
    <row r="407" spans="1:23">
      <c r="A407" s="22" t="s">
        <v>1069</v>
      </c>
      <c r="B407" s="25">
        <f>VLOOKUP(A407,[1]ProjectsResults!$D:$E,2,FALSE)</f>
        <v>10320</v>
      </c>
      <c r="C407" s="22">
        <f>VLOOKUP(A407,[2]Sheet2!$D:$E,2,FALSE)</f>
        <v>9073</v>
      </c>
      <c r="D407" s="22">
        <v>9073</v>
      </c>
      <c r="E407" s="22">
        <f>VLOOKUP(A407,[3]Sheet2!$A:$F,6,FALSE)</f>
        <v>826100</v>
      </c>
      <c r="G407" s="22" t="s">
        <v>1070</v>
      </c>
      <c r="H407" s="22" t="s">
        <v>1071</v>
      </c>
      <c r="I407" s="22" t="s">
        <v>25</v>
      </c>
      <c r="J407" s="22" t="s">
        <v>155</v>
      </c>
      <c r="K407" s="22" t="s">
        <v>462</v>
      </c>
      <c r="L407" s="29" t="s">
        <v>28</v>
      </c>
      <c r="P407" s="30">
        <v>45688</v>
      </c>
      <c r="Q407" s="30">
        <v>45688</v>
      </c>
      <c r="R407" s="22" t="s">
        <v>29</v>
      </c>
      <c r="S407" s="29" t="s">
        <v>30</v>
      </c>
      <c r="T407" s="22" t="s">
        <v>74</v>
      </c>
      <c r="U407" s="25" t="s">
        <v>32</v>
      </c>
      <c r="V407" s="22" t="s">
        <v>75</v>
      </c>
      <c r="W407" s="32" t="s">
        <v>34</v>
      </c>
    </row>
    <row r="408" spans="1:23">
      <c r="A408" s="22" t="s">
        <v>1072</v>
      </c>
      <c r="B408" s="25">
        <f>VLOOKUP(A408,[1]ProjectsResults!$D:$E,2,FALSE)</f>
        <v>10321</v>
      </c>
      <c r="C408" s="22">
        <f>VLOOKUP(A408,[2]Sheet2!$D:$E,2,FALSE)</f>
        <v>9074</v>
      </c>
      <c r="D408" s="22">
        <v>9074</v>
      </c>
      <c r="E408" s="22">
        <f>VLOOKUP(A408,[3]Sheet2!$A:$F,6,FALSE)</f>
        <v>849970</v>
      </c>
      <c r="G408" s="22" t="s">
        <v>1073</v>
      </c>
      <c r="H408" s="22" t="s">
        <v>95</v>
      </c>
      <c r="I408" s="22" t="s">
        <v>25</v>
      </c>
      <c r="J408" s="22" t="s">
        <v>72</v>
      </c>
      <c r="K408" s="22" t="s">
        <v>96</v>
      </c>
      <c r="L408" s="29" t="s">
        <v>28</v>
      </c>
      <c r="P408" s="30">
        <v>45720</v>
      </c>
      <c r="Q408" s="30">
        <v>45720</v>
      </c>
      <c r="R408" s="22" t="s">
        <v>29</v>
      </c>
      <c r="S408" s="29" t="s">
        <v>30</v>
      </c>
      <c r="T408" s="22" t="s">
        <v>74</v>
      </c>
      <c r="U408" s="25" t="s">
        <v>32</v>
      </c>
      <c r="V408" s="22" t="s">
        <v>75</v>
      </c>
      <c r="W408" s="32" t="s">
        <v>34</v>
      </c>
    </row>
    <row r="409" spans="1:23">
      <c r="A409" s="22" t="s">
        <v>1074</v>
      </c>
      <c r="B409" s="25">
        <f>VLOOKUP(A409,[1]ProjectsResults!$D:$E,2,FALSE)</f>
        <v>10322</v>
      </c>
      <c r="C409" s="22">
        <f>VLOOKUP(A409,[2]Sheet2!$D:$E,2,FALSE)</f>
        <v>9075</v>
      </c>
      <c r="D409" s="22">
        <v>9075</v>
      </c>
      <c r="E409" s="22">
        <f>VLOOKUP(A409,[3]Sheet2!$A:$F,6,FALSE)</f>
        <v>695800</v>
      </c>
      <c r="G409" s="22" t="s">
        <v>1075</v>
      </c>
      <c r="H409" s="22" t="s">
        <v>58</v>
      </c>
      <c r="I409" s="22" t="s">
        <v>25</v>
      </c>
      <c r="J409" s="29" t="s">
        <v>47</v>
      </c>
      <c r="K409" s="22" t="s">
        <v>48</v>
      </c>
      <c r="L409" s="29" t="s">
        <v>28</v>
      </c>
      <c r="P409" s="30">
        <v>45687</v>
      </c>
      <c r="Q409" s="30">
        <v>45687</v>
      </c>
      <c r="R409" s="22" t="s">
        <v>29</v>
      </c>
      <c r="S409" s="29" t="s">
        <v>30</v>
      </c>
      <c r="T409" s="22" t="s">
        <v>31</v>
      </c>
      <c r="U409" s="25" t="s">
        <v>32</v>
      </c>
      <c r="V409" s="22" t="s">
        <v>33</v>
      </c>
      <c r="W409" s="32" t="s">
        <v>34</v>
      </c>
    </row>
    <row r="410" spans="1:23">
      <c r="A410" s="22" t="s">
        <v>1076</v>
      </c>
      <c r="B410" s="25">
        <f>VLOOKUP(A410,[1]ProjectsResults!$D:$E,2,FALSE)</f>
        <v>10323</v>
      </c>
      <c r="C410" s="22">
        <f>VLOOKUP(A410,[2]Sheet2!$D:$E,2,FALSE)</f>
        <v>9076</v>
      </c>
      <c r="D410" s="22">
        <v>9076</v>
      </c>
      <c r="E410" s="22">
        <f>VLOOKUP(A410,[3]Sheet2!$A:$F,6,FALSE)</f>
        <v>49500</v>
      </c>
      <c r="G410" s="22" t="s">
        <v>1077</v>
      </c>
      <c r="H410" s="22" t="s">
        <v>701</v>
      </c>
      <c r="I410" s="22" t="s">
        <v>25</v>
      </c>
      <c r="J410" s="22" t="s">
        <v>42</v>
      </c>
      <c r="K410" s="22" t="s">
        <v>1078</v>
      </c>
      <c r="L410" s="29" t="s">
        <v>28</v>
      </c>
      <c r="P410" s="30">
        <v>45687</v>
      </c>
      <c r="Q410" s="30">
        <v>45687</v>
      </c>
      <c r="R410" s="22" t="s">
        <v>29</v>
      </c>
      <c r="S410" s="29" t="s">
        <v>30</v>
      </c>
      <c r="T410" s="22" t="s">
        <v>31</v>
      </c>
      <c r="U410" s="25" t="s">
        <v>32</v>
      </c>
      <c r="V410" s="22" t="s">
        <v>33</v>
      </c>
      <c r="W410" s="32" t="s">
        <v>34</v>
      </c>
    </row>
    <row r="411" spans="1:23">
      <c r="A411" s="22" t="s">
        <v>1079</v>
      </c>
      <c r="B411" s="25">
        <f>VLOOKUP(A411,[1]ProjectsResults!$D:$E,2,FALSE)</f>
        <v>10324</v>
      </c>
      <c r="C411" s="22">
        <f>VLOOKUP(A411,[2]Sheet2!$D:$E,2,FALSE)</f>
        <v>9077</v>
      </c>
      <c r="D411" s="22">
        <v>9077</v>
      </c>
      <c r="E411" s="22">
        <f>VLOOKUP(A411,[3]Sheet2!$A:$F,6,FALSE)</f>
        <v>3091000</v>
      </c>
      <c r="G411" s="22" t="s">
        <v>1080</v>
      </c>
      <c r="H411" s="22" t="s">
        <v>105</v>
      </c>
      <c r="I411" s="22" t="s">
        <v>25</v>
      </c>
      <c r="J411" s="22" t="s">
        <v>42</v>
      </c>
      <c r="K411" s="22" t="s">
        <v>43</v>
      </c>
      <c r="L411" s="29" t="s">
        <v>28</v>
      </c>
      <c r="P411" s="30">
        <v>45695</v>
      </c>
      <c r="Q411" s="30">
        <v>45746</v>
      </c>
      <c r="R411" s="22" t="s">
        <v>29</v>
      </c>
      <c r="S411" s="29" t="s">
        <v>30</v>
      </c>
      <c r="T411" s="22" t="s">
        <v>31</v>
      </c>
      <c r="U411" s="25" t="s">
        <v>32</v>
      </c>
      <c r="V411" s="22" t="s">
        <v>33</v>
      </c>
      <c r="W411" s="32" t="s">
        <v>34</v>
      </c>
    </row>
    <row r="412" spans="1:23">
      <c r="A412" s="22" t="s">
        <v>1081</v>
      </c>
      <c r="B412" s="25">
        <f>VLOOKUP(A412,[1]ProjectsResults!$D:$E,2,FALSE)</f>
        <v>10325</v>
      </c>
      <c r="C412" s="22">
        <f>VLOOKUP(A412,[2]Sheet2!$D:$E,2,FALSE)</f>
        <v>9078</v>
      </c>
      <c r="D412" s="22">
        <v>9078</v>
      </c>
      <c r="E412" s="22">
        <f>VLOOKUP(A412,[3]Sheet2!$A:$F,6,FALSE)</f>
        <v>68068</v>
      </c>
      <c r="G412" s="22" t="s">
        <v>1082</v>
      </c>
      <c r="H412" s="22" t="s">
        <v>58</v>
      </c>
      <c r="I412" s="22" t="s">
        <v>25</v>
      </c>
      <c r="J412" s="29" t="s">
        <v>47</v>
      </c>
      <c r="K412" s="22" t="s">
        <v>48</v>
      </c>
      <c r="L412" s="29" t="s">
        <v>28</v>
      </c>
      <c r="P412" s="30">
        <v>45692</v>
      </c>
      <c r="Q412" s="30">
        <v>45692</v>
      </c>
      <c r="R412" s="22" t="s">
        <v>29</v>
      </c>
      <c r="S412" s="29" t="s">
        <v>30</v>
      </c>
      <c r="T412" s="22" t="s">
        <v>49</v>
      </c>
      <c r="U412" s="25" t="s">
        <v>32</v>
      </c>
      <c r="V412" s="22" t="s">
        <v>50</v>
      </c>
      <c r="W412" s="32" t="s">
        <v>34</v>
      </c>
    </row>
    <row r="413" spans="1:23">
      <c r="A413" s="22" t="s">
        <v>1083</v>
      </c>
      <c r="B413" s="25">
        <f>VLOOKUP(A413,[1]ProjectsResults!$D:$E,2,FALSE)</f>
        <v>10326</v>
      </c>
      <c r="C413" s="22">
        <f>VLOOKUP(A413,[2]Sheet2!$D:$E,2,FALSE)</f>
        <v>9592</v>
      </c>
      <c r="D413" s="22">
        <v>9592</v>
      </c>
      <c r="E413" s="22">
        <f>VLOOKUP(A413,[3]Sheet2!$A:$F,6,FALSE)</f>
        <v>1809005</v>
      </c>
      <c r="G413" s="22" t="s">
        <v>1084</v>
      </c>
      <c r="H413" s="22" t="s">
        <v>682</v>
      </c>
      <c r="I413" s="22" t="s">
        <v>25</v>
      </c>
      <c r="J413" s="29" t="s">
        <v>47</v>
      </c>
      <c r="K413" s="22" t="s">
        <v>48</v>
      </c>
      <c r="L413" s="29" t="s">
        <v>28</v>
      </c>
      <c r="P413" s="30">
        <v>45689</v>
      </c>
      <c r="Q413" s="30">
        <v>45702</v>
      </c>
      <c r="R413" s="22" t="s">
        <v>29</v>
      </c>
      <c r="S413" s="29" t="s">
        <v>30</v>
      </c>
      <c r="T413" s="22" t="s">
        <v>49</v>
      </c>
      <c r="U413" s="25" t="s">
        <v>32</v>
      </c>
      <c r="V413" s="22" t="s">
        <v>50</v>
      </c>
      <c r="W413" s="32" t="s">
        <v>34</v>
      </c>
    </row>
    <row r="414" spans="1:23">
      <c r="A414" s="22" t="s">
        <v>1085</v>
      </c>
      <c r="B414" s="25">
        <f>VLOOKUP(A414,[1]ProjectsResults!$D:$E,2,FALSE)</f>
        <v>10327</v>
      </c>
      <c r="C414" s="22">
        <f>VLOOKUP(A414,[2]Sheet2!$D:$E,2,FALSE)</f>
        <v>9079</v>
      </c>
      <c r="D414" s="22">
        <v>9079</v>
      </c>
      <c r="E414" s="22">
        <f>VLOOKUP(A414,[3]Sheet2!$A:$F,6,FALSE)</f>
        <v>721000</v>
      </c>
      <c r="G414" s="22" t="s">
        <v>1086</v>
      </c>
      <c r="H414" s="22" t="s">
        <v>345</v>
      </c>
      <c r="I414" s="22" t="s">
        <v>25</v>
      </c>
      <c r="J414" s="22" t="s">
        <v>72</v>
      </c>
      <c r="K414" s="22" t="s">
        <v>141</v>
      </c>
      <c r="L414" s="29" t="s">
        <v>28</v>
      </c>
      <c r="P414" s="30">
        <v>45694</v>
      </c>
      <c r="Q414" s="30">
        <v>45694</v>
      </c>
      <c r="R414" s="22" t="s">
        <v>29</v>
      </c>
      <c r="S414" s="29" t="s">
        <v>30</v>
      </c>
      <c r="T414" s="22" t="s">
        <v>74</v>
      </c>
      <c r="U414" s="25" t="s">
        <v>32</v>
      </c>
      <c r="V414" s="22" t="s">
        <v>75</v>
      </c>
      <c r="W414" s="32" t="s">
        <v>34</v>
      </c>
    </row>
    <row r="415" spans="1:23">
      <c r="A415" s="22" t="s">
        <v>1087</v>
      </c>
      <c r="B415" s="25">
        <f>VLOOKUP(A415,[1]ProjectsResults!$D:$E,2,FALSE)</f>
        <v>10328</v>
      </c>
      <c r="C415" s="22">
        <f>VLOOKUP(A415,[2]Sheet2!$D:$E,2,FALSE)</f>
        <v>9080</v>
      </c>
      <c r="D415" s="22">
        <v>9080</v>
      </c>
      <c r="E415" s="22">
        <f>VLOOKUP(A415,[3]Sheet2!$A:$F,6,FALSE)</f>
        <v>64258</v>
      </c>
      <c r="G415" s="22" t="s">
        <v>1088</v>
      </c>
      <c r="H415" s="22" t="s">
        <v>86</v>
      </c>
      <c r="I415" s="22" t="s">
        <v>25</v>
      </c>
      <c r="J415" s="22" t="s">
        <v>42</v>
      </c>
      <c r="K415" s="29" t="s">
        <v>238</v>
      </c>
      <c r="L415" s="29" t="s">
        <v>28</v>
      </c>
      <c r="P415" s="30">
        <v>45698</v>
      </c>
      <c r="Q415" s="30">
        <v>45698</v>
      </c>
      <c r="R415" s="22" t="s">
        <v>29</v>
      </c>
      <c r="S415" s="29" t="s">
        <v>30</v>
      </c>
      <c r="T415" s="22" t="s">
        <v>31</v>
      </c>
      <c r="U415" s="25" t="s">
        <v>32</v>
      </c>
      <c r="V415" s="22" t="s">
        <v>33</v>
      </c>
      <c r="W415" s="32" t="s">
        <v>34</v>
      </c>
    </row>
    <row r="416" spans="1:23">
      <c r="A416" s="22" t="s">
        <v>1089</v>
      </c>
      <c r="B416" s="25">
        <f>VLOOKUP(A416,[1]ProjectsResults!$D:$E,2,FALSE)</f>
        <v>10329</v>
      </c>
      <c r="C416" s="22">
        <f>VLOOKUP(A416,[2]Sheet2!$D:$E,2,FALSE)</f>
        <v>9081</v>
      </c>
      <c r="D416" s="22">
        <v>9081</v>
      </c>
      <c r="E416" s="22">
        <f>VLOOKUP(A416,[3]Sheet2!$A:$F,6,FALSE)</f>
        <v>328969</v>
      </c>
      <c r="G416" s="22" t="s">
        <v>1090</v>
      </c>
      <c r="H416" s="22" t="s">
        <v>163</v>
      </c>
      <c r="I416" s="22" t="s">
        <v>25</v>
      </c>
      <c r="J416" s="29" t="s">
        <v>115</v>
      </c>
      <c r="K416" s="22" t="s">
        <v>164</v>
      </c>
      <c r="L416" s="29" t="s">
        <v>28</v>
      </c>
      <c r="P416" s="30">
        <v>45694</v>
      </c>
      <c r="Q416" s="30">
        <v>45694</v>
      </c>
      <c r="R416" s="22" t="s">
        <v>29</v>
      </c>
      <c r="S416" s="29" t="s">
        <v>30</v>
      </c>
      <c r="T416" s="22" t="s">
        <v>49</v>
      </c>
      <c r="U416" s="25" t="s">
        <v>32</v>
      </c>
      <c r="V416" s="22" t="s">
        <v>117</v>
      </c>
      <c r="W416" s="32" t="s">
        <v>34</v>
      </c>
    </row>
    <row r="417" spans="1:23">
      <c r="A417" s="22" t="s">
        <v>1091</v>
      </c>
      <c r="B417" s="25">
        <f>VLOOKUP(A417,[1]ProjectsResults!$D:$E,2,FALSE)</f>
        <v>10330</v>
      </c>
      <c r="C417" s="22">
        <f>VLOOKUP(A417,[2]Sheet2!$D:$E,2,FALSE)</f>
        <v>9082</v>
      </c>
      <c r="D417" s="22">
        <v>9082</v>
      </c>
      <c r="E417" s="22">
        <f>VLOOKUP(A417,[3]Sheet2!$A:$F,6,FALSE)</f>
        <v>1000000</v>
      </c>
      <c r="G417" s="22" t="s">
        <v>1092</v>
      </c>
      <c r="H417" s="22" t="s">
        <v>102</v>
      </c>
      <c r="I417" s="22" t="s">
        <v>25</v>
      </c>
      <c r="J417" s="22" t="s">
        <v>38</v>
      </c>
      <c r="K417" s="22" t="s">
        <v>823</v>
      </c>
      <c r="L417" s="29" t="s">
        <v>28</v>
      </c>
      <c r="P417" s="30">
        <v>45703</v>
      </c>
      <c r="Q417" s="30">
        <v>45704</v>
      </c>
      <c r="R417" s="22" t="s">
        <v>29</v>
      </c>
      <c r="S417" s="29" t="s">
        <v>30</v>
      </c>
      <c r="T417" s="22" t="s">
        <v>31</v>
      </c>
      <c r="U417" s="25" t="s">
        <v>32</v>
      </c>
      <c r="V417" s="22" t="s">
        <v>33</v>
      </c>
      <c r="W417" s="32" t="s">
        <v>34</v>
      </c>
    </row>
    <row r="418" spans="1:23">
      <c r="A418" s="22" t="s">
        <v>1093</v>
      </c>
      <c r="B418" s="25">
        <f>VLOOKUP(A418,[1]ProjectsResults!$D:$E,2,FALSE)</f>
        <v>10331</v>
      </c>
      <c r="C418" s="22">
        <f>VLOOKUP(A418,[2]Sheet2!$D:$E,2,FALSE)</f>
        <v>9083</v>
      </c>
      <c r="D418" s="22">
        <v>9083</v>
      </c>
      <c r="E418" s="22">
        <f>VLOOKUP(A418,[3]Sheet2!$A:$F,6,FALSE)</f>
        <v>2111798</v>
      </c>
      <c r="G418" s="22" t="s">
        <v>1094</v>
      </c>
      <c r="H418" s="22" t="s">
        <v>249</v>
      </c>
      <c r="I418" s="22" t="s">
        <v>25</v>
      </c>
      <c r="J418" s="22" t="s">
        <v>250</v>
      </c>
      <c r="K418" s="22" t="s">
        <v>183</v>
      </c>
      <c r="L418" s="29" t="s">
        <v>28</v>
      </c>
      <c r="P418" s="30">
        <v>45695</v>
      </c>
      <c r="Q418" s="30">
        <v>45695</v>
      </c>
      <c r="R418" s="22" t="s">
        <v>29</v>
      </c>
      <c r="S418" s="29" t="s">
        <v>30</v>
      </c>
      <c r="T418" s="22" t="s">
        <v>31</v>
      </c>
      <c r="U418" s="25" t="s">
        <v>32</v>
      </c>
      <c r="V418" s="22" t="s">
        <v>33</v>
      </c>
      <c r="W418" s="32" t="s">
        <v>34</v>
      </c>
    </row>
    <row r="419" spans="1:23">
      <c r="A419" s="22" t="s">
        <v>1095</v>
      </c>
      <c r="B419" s="25">
        <f>VLOOKUP(A419,[1]ProjectsResults!$D:$E,2,FALSE)</f>
        <v>10332</v>
      </c>
      <c r="C419" s="22">
        <f>VLOOKUP(A419,[2]Sheet2!$D:$E,2,FALSE)</f>
        <v>9084</v>
      </c>
      <c r="D419" s="22">
        <v>9084</v>
      </c>
      <c r="E419" s="22">
        <f>VLOOKUP(A419,[3]Sheet2!$A:$F,6,FALSE)</f>
        <v>427650</v>
      </c>
      <c r="G419" s="22" t="s">
        <v>1096</v>
      </c>
      <c r="H419" s="22" t="s">
        <v>86</v>
      </c>
      <c r="I419" s="22" t="s">
        <v>25</v>
      </c>
      <c r="J419" s="22" t="s">
        <v>42</v>
      </c>
      <c r="K419" s="29" t="s">
        <v>238</v>
      </c>
      <c r="L419" s="29" t="s">
        <v>28</v>
      </c>
      <c r="P419" s="30">
        <v>45698</v>
      </c>
      <c r="Q419" s="30">
        <v>45698</v>
      </c>
      <c r="R419" s="22" t="s">
        <v>29</v>
      </c>
      <c r="S419" s="29" t="s">
        <v>30</v>
      </c>
      <c r="T419" s="22" t="s">
        <v>31</v>
      </c>
      <c r="U419" s="25" t="s">
        <v>32</v>
      </c>
      <c r="V419" s="22" t="s">
        <v>33</v>
      </c>
      <c r="W419" s="32" t="s">
        <v>34</v>
      </c>
    </row>
    <row r="420" spans="1:23">
      <c r="A420" s="22" t="s">
        <v>1097</v>
      </c>
      <c r="B420" s="25">
        <f>VLOOKUP(A420,[1]ProjectsResults!$D:$E,2,FALSE)</f>
        <v>10333</v>
      </c>
      <c r="C420" s="22">
        <f>VLOOKUP(A420,[2]Sheet2!$D:$E,2,FALSE)</f>
        <v>9085</v>
      </c>
      <c r="D420" s="22">
        <v>9085</v>
      </c>
      <c r="E420" s="22">
        <f>VLOOKUP(A420,[3]Sheet2!$A:$F,6,FALSE)</f>
        <v>434500</v>
      </c>
      <c r="G420" s="22" t="s">
        <v>1098</v>
      </c>
      <c r="H420" s="22" t="s">
        <v>313</v>
      </c>
      <c r="I420" s="22" t="s">
        <v>25</v>
      </c>
      <c r="J420" s="29" t="s">
        <v>168</v>
      </c>
      <c r="K420" s="29" t="s">
        <v>446</v>
      </c>
      <c r="L420" s="29" t="s">
        <v>28</v>
      </c>
      <c r="P420" s="30">
        <v>45693</v>
      </c>
      <c r="Q420" s="30">
        <v>45693</v>
      </c>
      <c r="R420" s="22" t="s">
        <v>29</v>
      </c>
      <c r="S420" s="29" t="s">
        <v>30</v>
      </c>
      <c r="T420" s="22" t="s">
        <v>31</v>
      </c>
      <c r="U420" s="25" t="s">
        <v>32</v>
      </c>
      <c r="V420" s="22" t="s">
        <v>33</v>
      </c>
      <c r="W420" s="32" t="s">
        <v>34</v>
      </c>
    </row>
    <row r="421" spans="1:23">
      <c r="A421" s="22" t="s">
        <v>1099</v>
      </c>
      <c r="B421" s="25">
        <f>VLOOKUP(A421,[1]ProjectsResults!$D:$E,2,FALSE)</f>
        <v>10334</v>
      </c>
      <c r="C421" s="22">
        <f>VLOOKUP(A421,[2]Sheet2!$D:$E,2,FALSE)</f>
        <v>9086</v>
      </c>
      <c r="D421" s="22">
        <v>9086</v>
      </c>
      <c r="E421" s="22">
        <f>VLOOKUP(A421,[3]Sheet2!$A:$F,6,FALSE)</f>
        <v>124960</v>
      </c>
      <c r="G421" s="22" t="s">
        <v>1100</v>
      </c>
      <c r="H421" s="22" t="s">
        <v>114</v>
      </c>
      <c r="I421" s="22" t="s">
        <v>25</v>
      </c>
      <c r="J421" s="29" t="s">
        <v>115</v>
      </c>
      <c r="K421" s="22" t="s">
        <v>164</v>
      </c>
      <c r="L421" s="29" t="s">
        <v>28</v>
      </c>
      <c r="P421" s="30">
        <v>45692</v>
      </c>
      <c r="Q421" s="30">
        <v>45692</v>
      </c>
      <c r="R421" s="22" t="s">
        <v>29</v>
      </c>
      <c r="S421" s="29" t="s">
        <v>30</v>
      </c>
      <c r="T421" s="22" t="s">
        <v>49</v>
      </c>
      <c r="U421" s="25" t="s">
        <v>32</v>
      </c>
      <c r="V421" s="22" t="s">
        <v>117</v>
      </c>
      <c r="W421" s="32" t="s">
        <v>34</v>
      </c>
    </row>
    <row r="422" spans="1:23">
      <c r="A422" s="22" t="s">
        <v>1101</v>
      </c>
      <c r="B422" s="25">
        <f>VLOOKUP(A422,[1]ProjectsResults!$D:$E,2,FALSE)</f>
        <v>10335</v>
      </c>
      <c r="C422" s="22">
        <f>VLOOKUP(A422,[2]Sheet2!$D:$E,2,FALSE)</f>
        <v>9087</v>
      </c>
      <c r="D422" s="22">
        <v>9087</v>
      </c>
      <c r="E422" s="22">
        <f>VLOOKUP(A422,[3]Sheet2!$A:$F,6,FALSE)</f>
        <v>100787</v>
      </c>
      <c r="G422" s="22" t="s">
        <v>1102</v>
      </c>
      <c r="H422" s="22" t="s">
        <v>884</v>
      </c>
      <c r="I422" s="22" t="s">
        <v>25</v>
      </c>
      <c r="J422" s="22" t="s">
        <v>42</v>
      </c>
      <c r="K422" s="22" t="s">
        <v>183</v>
      </c>
      <c r="L422" s="29" t="s">
        <v>28</v>
      </c>
      <c r="P422" s="30">
        <v>45695</v>
      </c>
      <c r="Q422" s="30">
        <v>45695</v>
      </c>
      <c r="R422" s="22" t="s">
        <v>29</v>
      </c>
      <c r="S422" s="29" t="s">
        <v>30</v>
      </c>
      <c r="T422" s="22" t="s">
        <v>31</v>
      </c>
      <c r="U422" s="25" t="s">
        <v>32</v>
      </c>
      <c r="V422" s="22" t="s">
        <v>33</v>
      </c>
      <c r="W422" s="32" t="s">
        <v>34</v>
      </c>
    </row>
    <row r="423" spans="1:23">
      <c r="A423" s="22" t="s">
        <v>1103</v>
      </c>
      <c r="B423" s="25">
        <f>VLOOKUP(A423,[1]ProjectsResults!$D:$E,2,FALSE)</f>
        <v>10336</v>
      </c>
      <c r="C423" s="22">
        <f>VLOOKUP(A423,[2]Sheet2!$D:$E,2,FALSE)</f>
        <v>9088</v>
      </c>
      <c r="D423" s="22">
        <v>9088</v>
      </c>
      <c r="E423" s="22">
        <f>VLOOKUP(A423,[3]Sheet2!$A:$F,6,FALSE)</f>
        <v>4189907</v>
      </c>
      <c r="G423" s="22" t="s">
        <v>1104</v>
      </c>
      <c r="H423" s="22" t="s">
        <v>1105</v>
      </c>
      <c r="I423" s="22" t="s">
        <v>25</v>
      </c>
      <c r="J423" s="22" t="s">
        <v>352</v>
      </c>
      <c r="K423" s="22" t="s">
        <v>155</v>
      </c>
      <c r="L423" s="29" t="s">
        <v>28</v>
      </c>
      <c r="P423" s="30">
        <v>45705</v>
      </c>
      <c r="Q423" s="30">
        <v>45705</v>
      </c>
      <c r="R423" s="22" t="s">
        <v>29</v>
      </c>
      <c r="S423" s="29" t="s">
        <v>30</v>
      </c>
      <c r="T423" s="22" t="s">
        <v>74</v>
      </c>
      <c r="U423" s="25" t="s">
        <v>32</v>
      </c>
      <c r="V423" s="22" t="s">
        <v>75</v>
      </c>
      <c r="W423" s="32" t="s">
        <v>34</v>
      </c>
    </row>
    <row r="424" spans="1:23">
      <c r="A424" s="22" t="s">
        <v>1106</v>
      </c>
      <c r="B424" s="25">
        <f>VLOOKUP(A424,[1]ProjectsResults!$D:$E,2,FALSE)</f>
        <v>10337</v>
      </c>
      <c r="C424" s="22">
        <f>VLOOKUP(A424,[2]Sheet2!$D:$E,2,FALSE)</f>
        <v>9089</v>
      </c>
      <c r="D424" s="22">
        <v>9089</v>
      </c>
      <c r="E424" s="22">
        <f>VLOOKUP(A424,[3]Sheet2!$A:$F,6,FALSE)</f>
        <v>1591200</v>
      </c>
      <c r="G424" s="22" t="s">
        <v>1107</v>
      </c>
      <c r="H424" s="22" t="s">
        <v>65</v>
      </c>
      <c r="I424" s="22" t="s">
        <v>25</v>
      </c>
      <c r="J424" s="29" t="s">
        <v>47</v>
      </c>
      <c r="K424" s="22" t="s">
        <v>66</v>
      </c>
      <c r="L424" s="29" t="s">
        <v>28</v>
      </c>
      <c r="P424" s="30">
        <v>45693</v>
      </c>
      <c r="Q424" s="30">
        <v>46016</v>
      </c>
      <c r="R424" s="22" t="s">
        <v>29</v>
      </c>
      <c r="S424" s="29" t="s">
        <v>30</v>
      </c>
      <c r="T424" s="22" t="s">
        <v>49</v>
      </c>
      <c r="U424" s="25" t="s">
        <v>32</v>
      </c>
      <c r="V424" s="22" t="s">
        <v>50</v>
      </c>
      <c r="W424" s="32" t="s">
        <v>34</v>
      </c>
    </row>
    <row r="425" spans="1:23">
      <c r="A425" s="22" t="s">
        <v>1108</v>
      </c>
      <c r="B425" s="25">
        <f>VLOOKUP(A425,[1]ProjectsResults!$D:$E,2,FALSE)</f>
        <v>10338</v>
      </c>
      <c r="C425" s="22">
        <f>VLOOKUP(A425,[2]Sheet2!$D:$E,2,FALSE)</f>
        <v>9090</v>
      </c>
      <c r="D425" s="22">
        <v>9090</v>
      </c>
      <c r="E425" s="22">
        <f>VLOOKUP(A425,[3]Sheet2!$A:$F,6,FALSE)</f>
        <v>292462</v>
      </c>
      <c r="G425" s="22" t="s">
        <v>1109</v>
      </c>
      <c r="H425" s="22" t="s">
        <v>86</v>
      </c>
      <c r="I425" s="22" t="s">
        <v>25</v>
      </c>
      <c r="J425" s="22" t="s">
        <v>42</v>
      </c>
      <c r="K425" s="29" t="s">
        <v>238</v>
      </c>
      <c r="L425" s="29" t="s">
        <v>28</v>
      </c>
      <c r="P425" s="30">
        <v>45713</v>
      </c>
      <c r="Q425" s="30">
        <v>45713</v>
      </c>
      <c r="R425" s="22" t="s">
        <v>29</v>
      </c>
      <c r="S425" s="29" t="s">
        <v>30</v>
      </c>
      <c r="T425" s="22" t="s">
        <v>31</v>
      </c>
      <c r="U425" s="25" t="s">
        <v>32</v>
      </c>
      <c r="V425" s="22" t="s">
        <v>33</v>
      </c>
      <c r="W425" s="32" t="s">
        <v>34</v>
      </c>
    </row>
    <row r="426" spans="1:23">
      <c r="A426" s="22" t="s">
        <v>1110</v>
      </c>
      <c r="B426" s="25">
        <f>VLOOKUP(A426,[1]ProjectsResults!$D:$E,2,FALSE)</f>
        <v>10339</v>
      </c>
      <c r="C426" s="22">
        <f>VLOOKUP(A426,[2]Sheet2!$D:$E,2,FALSE)</f>
        <v>9091</v>
      </c>
      <c r="D426" s="22">
        <v>9091</v>
      </c>
      <c r="E426" s="22">
        <f>VLOOKUP(A426,[3]Sheet2!$A:$F,6,FALSE)</f>
        <v>363214</v>
      </c>
      <c r="G426" s="22" t="s">
        <v>1111</v>
      </c>
      <c r="H426" s="22" t="s">
        <v>313</v>
      </c>
      <c r="I426" s="22" t="s">
        <v>25</v>
      </c>
      <c r="J426" s="29" t="s">
        <v>168</v>
      </c>
      <c r="K426" s="29" t="s">
        <v>446</v>
      </c>
      <c r="L426" s="29" t="s">
        <v>28</v>
      </c>
      <c r="P426" s="30">
        <v>45692</v>
      </c>
      <c r="Q426" s="30">
        <v>45699</v>
      </c>
      <c r="R426" s="22" t="s">
        <v>29</v>
      </c>
      <c r="S426" s="29" t="s">
        <v>30</v>
      </c>
      <c r="T426" s="22" t="s">
        <v>31</v>
      </c>
      <c r="U426" s="25" t="s">
        <v>32</v>
      </c>
      <c r="V426" s="22" t="s">
        <v>33</v>
      </c>
      <c r="W426" s="32" t="s">
        <v>34</v>
      </c>
    </row>
    <row r="427" spans="1:23">
      <c r="A427" s="22" t="s">
        <v>1112</v>
      </c>
      <c r="B427" s="25">
        <f>VLOOKUP(A427,[1]ProjectsResults!$D:$E,2,FALSE)</f>
        <v>10340</v>
      </c>
      <c r="C427" s="22">
        <f>VLOOKUP(A427,[2]Sheet2!$D:$E,2,FALSE)</f>
        <v>9092</v>
      </c>
      <c r="D427" s="22">
        <v>9092</v>
      </c>
      <c r="E427" s="22">
        <f>VLOOKUP(A427,[3]Sheet2!$A:$F,6,FALSE)</f>
        <v>1311552</v>
      </c>
      <c r="G427" s="22" t="s">
        <v>1113</v>
      </c>
      <c r="H427" s="22" t="s">
        <v>99</v>
      </c>
      <c r="I427" s="22" t="s">
        <v>25</v>
      </c>
      <c r="J427" s="29" t="s">
        <v>47</v>
      </c>
      <c r="K427" s="25" t="s">
        <v>48</v>
      </c>
      <c r="L427" s="29" t="s">
        <v>28</v>
      </c>
      <c r="P427" s="30">
        <v>45694</v>
      </c>
      <c r="Q427" s="30">
        <v>45694</v>
      </c>
      <c r="R427" s="22" t="s">
        <v>29</v>
      </c>
      <c r="S427" s="29" t="s">
        <v>30</v>
      </c>
      <c r="T427" s="22" t="s">
        <v>49</v>
      </c>
      <c r="U427" s="25" t="s">
        <v>32</v>
      </c>
      <c r="V427" s="22" t="s">
        <v>50</v>
      </c>
      <c r="W427" s="32" t="s">
        <v>34</v>
      </c>
    </row>
    <row r="428" spans="1:23">
      <c r="A428" s="22" t="s">
        <v>1114</v>
      </c>
      <c r="B428" s="25">
        <f>VLOOKUP(A428,[1]ProjectsResults!$D:$E,2,FALSE)</f>
        <v>10341</v>
      </c>
      <c r="C428" s="22">
        <f>VLOOKUP(A428,[2]Sheet2!$D:$E,2,FALSE)</f>
        <v>9093</v>
      </c>
      <c r="D428" s="22">
        <v>9093</v>
      </c>
      <c r="E428" s="22">
        <f>VLOOKUP(A428,[3]Sheet2!$A:$F,6,FALSE)</f>
        <v>850049</v>
      </c>
      <c r="G428" s="22" t="s">
        <v>1115</v>
      </c>
      <c r="H428" s="22" t="s">
        <v>1116</v>
      </c>
      <c r="I428" s="22" t="s">
        <v>25</v>
      </c>
      <c r="J428" s="29" t="s">
        <v>47</v>
      </c>
      <c r="K428" s="22" t="s">
        <v>1020</v>
      </c>
      <c r="L428" s="29" t="s">
        <v>28</v>
      </c>
      <c r="P428" s="30">
        <v>45693</v>
      </c>
      <c r="Q428" s="30">
        <v>45692</v>
      </c>
      <c r="R428" s="22" t="s">
        <v>29</v>
      </c>
      <c r="S428" s="29" t="s">
        <v>30</v>
      </c>
      <c r="T428" s="22" t="s">
        <v>49</v>
      </c>
      <c r="U428" s="25" t="s">
        <v>32</v>
      </c>
      <c r="V428" s="22" t="s">
        <v>50</v>
      </c>
      <c r="W428" s="32" t="s">
        <v>34</v>
      </c>
    </row>
    <row r="429" spans="1:23">
      <c r="A429" s="22" t="s">
        <v>1117</v>
      </c>
      <c r="B429" s="25">
        <f>VLOOKUP(A429,[1]ProjectsResults!$D:$E,2,FALSE)</f>
        <v>10342</v>
      </c>
      <c r="C429" s="22">
        <f>VLOOKUP(A429,[2]Sheet2!$D:$E,2,FALSE)</f>
        <v>9094</v>
      </c>
      <c r="D429" s="22">
        <v>9094</v>
      </c>
      <c r="E429" s="22">
        <f>VLOOKUP(A429,[3]Sheet2!$A:$F,6,FALSE)</f>
        <v>2041248</v>
      </c>
      <c r="G429" s="22" t="s">
        <v>1118</v>
      </c>
      <c r="H429" s="22" t="s">
        <v>334</v>
      </c>
      <c r="I429" s="22" t="s">
        <v>25</v>
      </c>
      <c r="J429" s="29" t="s">
        <v>168</v>
      </c>
      <c r="K429" s="29" t="s">
        <v>328</v>
      </c>
      <c r="L429" s="29" t="s">
        <v>28</v>
      </c>
      <c r="P429" s="30">
        <v>45701</v>
      </c>
      <c r="Q429" s="30">
        <v>42048</v>
      </c>
      <c r="R429" s="22" t="s">
        <v>29</v>
      </c>
      <c r="S429" s="29" t="s">
        <v>30</v>
      </c>
      <c r="T429" s="22" t="s">
        <v>31</v>
      </c>
      <c r="U429" s="25" t="s">
        <v>32</v>
      </c>
      <c r="V429" s="22" t="s">
        <v>33</v>
      </c>
      <c r="W429" s="32" t="s">
        <v>34</v>
      </c>
    </row>
    <row r="430" spans="1:23">
      <c r="A430" s="22" t="s">
        <v>1119</v>
      </c>
      <c r="B430" s="25">
        <f>VLOOKUP(A430,[1]ProjectsResults!$D:$E,2,FALSE)</f>
        <v>10343</v>
      </c>
      <c r="C430" s="22">
        <f>VLOOKUP(A430,[2]Sheet2!$D:$E,2,FALSE)</f>
        <v>9593</v>
      </c>
      <c r="D430" s="22">
        <v>9593</v>
      </c>
      <c r="E430" s="22">
        <f>VLOOKUP(A430,[3]Sheet2!$A:$F,6,FALSE)</f>
        <v>313174</v>
      </c>
      <c r="G430" s="22" t="s">
        <v>1120</v>
      </c>
      <c r="H430" s="22" t="s">
        <v>920</v>
      </c>
      <c r="I430" s="22" t="s">
        <v>25</v>
      </c>
      <c r="J430" s="29" t="s">
        <v>47</v>
      </c>
      <c r="K430" s="22" t="s">
        <v>683</v>
      </c>
      <c r="L430" s="29" t="s">
        <v>28</v>
      </c>
      <c r="P430" s="30">
        <v>45696</v>
      </c>
      <c r="Q430" s="30">
        <v>45696</v>
      </c>
      <c r="R430" s="22" t="s">
        <v>29</v>
      </c>
      <c r="S430" s="29" t="s">
        <v>30</v>
      </c>
      <c r="T430" s="22" t="s">
        <v>49</v>
      </c>
      <c r="U430" s="25" t="s">
        <v>32</v>
      </c>
      <c r="V430" s="22" t="s">
        <v>50</v>
      </c>
      <c r="W430" s="32" t="s">
        <v>34</v>
      </c>
    </row>
    <row r="431" s="21" customFormat="1" spans="1:23">
      <c r="A431" s="21" t="s">
        <v>1121</v>
      </c>
      <c r="B431" s="25">
        <f>VLOOKUP(A431,[1]ProjectsResults!$D:$E,2,FALSE)</f>
        <v>10344</v>
      </c>
      <c r="C431" s="22">
        <f>VLOOKUP(A431,[2]Sheet2!$D:$E,2,FALSE)</f>
        <v>9095</v>
      </c>
      <c r="D431" s="22">
        <v>9095</v>
      </c>
      <c r="E431" s="22">
        <f>VLOOKUP(A431,[3]Sheet2!$A:$F,6,FALSE)</f>
        <v>1500000</v>
      </c>
      <c r="F431" s="22"/>
      <c r="G431" s="21" t="s">
        <v>1122</v>
      </c>
      <c r="H431" s="21" t="s">
        <v>678</v>
      </c>
      <c r="I431" s="21" t="s">
        <v>25</v>
      </c>
      <c r="J431" s="34" t="s">
        <v>189</v>
      </c>
      <c r="K431" s="21" t="s">
        <v>190</v>
      </c>
      <c r="L431" s="35" t="s">
        <v>28</v>
      </c>
      <c r="M431" s="22"/>
      <c r="P431" s="36">
        <v>45732</v>
      </c>
      <c r="Q431" s="36">
        <v>45735</v>
      </c>
      <c r="R431" s="21" t="s">
        <v>29</v>
      </c>
      <c r="S431" s="29" t="s">
        <v>30</v>
      </c>
      <c r="T431" s="21" t="s">
        <v>74</v>
      </c>
      <c r="U431" s="21" t="s">
        <v>32</v>
      </c>
      <c r="V431" s="21" t="s">
        <v>75</v>
      </c>
      <c r="W431" s="37" t="s">
        <v>34</v>
      </c>
    </row>
    <row r="432" spans="1:23">
      <c r="A432" s="22" t="s">
        <v>1123</v>
      </c>
      <c r="B432" s="25">
        <f>VLOOKUP(A432,[1]ProjectsResults!$D:$E,2,FALSE)</f>
        <v>10345</v>
      </c>
      <c r="C432" s="22">
        <f>VLOOKUP(A432,[2]Sheet2!$D:$E,2,FALSE)</f>
        <v>9096</v>
      </c>
      <c r="D432" s="22">
        <v>9096</v>
      </c>
      <c r="E432" s="22">
        <f>VLOOKUP(A432,[3]Sheet2!$A:$F,6,FALSE)</f>
        <v>3526391</v>
      </c>
      <c r="G432" s="22" t="s">
        <v>1124</v>
      </c>
      <c r="H432" s="22" t="s">
        <v>393</v>
      </c>
      <c r="I432" s="22" t="s">
        <v>25</v>
      </c>
      <c r="J432" s="22" t="s">
        <v>38</v>
      </c>
      <c r="K432" s="22" t="s">
        <v>38</v>
      </c>
      <c r="L432" s="29" t="s">
        <v>28</v>
      </c>
      <c r="P432" s="30">
        <v>45715</v>
      </c>
      <c r="Q432" s="30">
        <v>45717</v>
      </c>
      <c r="R432" s="22" t="s">
        <v>29</v>
      </c>
      <c r="S432" s="29" t="s">
        <v>30</v>
      </c>
      <c r="T432" s="22" t="s">
        <v>31</v>
      </c>
      <c r="U432" s="25" t="s">
        <v>32</v>
      </c>
      <c r="V432" s="22" t="s">
        <v>33</v>
      </c>
      <c r="W432" s="32" t="s">
        <v>34</v>
      </c>
    </row>
    <row r="433" spans="1:23">
      <c r="A433" s="22" t="s">
        <v>1125</v>
      </c>
      <c r="B433" s="25">
        <f>VLOOKUP(A433,[1]ProjectsResults!$D:$E,2,FALSE)</f>
        <v>10346</v>
      </c>
      <c r="C433" s="22">
        <f>VLOOKUP(A433,[2]Sheet2!$D:$E,2,FALSE)</f>
        <v>9097</v>
      </c>
      <c r="D433" s="22">
        <v>9097</v>
      </c>
      <c r="E433" s="22">
        <f>VLOOKUP(A433,[3]Sheet2!$A:$F,6,FALSE)</f>
        <v>1000000</v>
      </c>
      <c r="G433" s="22" t="s">
        <v>1126</v>
      </c>
      <c r="H433" s="22" t="s">
        <v>249</v>
      </c>
      <c r="I433" s="22" t="s">
        <v>25</v>
      </c>
      <c r="J433" s="22" t="s">
        <v>250</v>
      </c>
      <c r="K433" s="22" t="s">
        <v>281</v>
      </c>
      <c r="L433" s="29" t="s">
        <v>28</v>
      </c>
      <c r="P433" s="30">
        <v>45698</v>
      </c>
      <c r="Q433" s="30">
        <v>45698</v>
      </c>
      <c r="R433" s="22" t="s">
        <v>29</v>
      </c>
      <c r="S433" s="29" t="s">
        <v>30</v>
      </c>
      <c r="T433" s="22" t="s">
        <v>31</v>
      </c>
      <c r="U433" s="25" t="s">
        <v>32</v>
      </c>
      <c r="V433" s="22" t="s">
        <v>33</v>
      </c>
      <c r="W433" s="32" t="s">
        <v>34</v>
      </c>
    </row>
    <row r="434" spans="1:23">
      <c r="A434" s="22" t="s">
        <v>1127</v>
      </c>
      <c r="B434" s="25">
        <f>VLOOKUP(A434,[1]ProjectsResults!$D:$E,2,FALSE)</f>
        <v>11219</v>
      </c>
      <c r="C434" s="22">
        <f>VLOOKUP(A434,[2]Sheet2!$D:$E,2,FALSE)</f>
        <v>10198</v>
      </c>
      <c r="D434" s="22">
        <v>10198</v>
      </c>
      <c r="E434" s="22">
        <f>VLOOKUP(A434,[3]Sheet2!$A:$F,6,FALSE)</f>
        <v>1805742</v>
      </c>
      <c r="G434" s="22" t="s">
        <v>1128</v>
      </c>
      <c r="H434" s="22" t="s">
        <v>1129</v>
      </c>
      <c r="I434" s="22" t="s">
        <v>25</v>
      </c>
      <c r="J434" s="29" t="s">
        <v>168</v>
      </c>
      <c r="K434" s="29" t="s">
        <v>328</v>
      </c>
      <c r="L434" s="29" t="s">
        <v>28</v>
      </c>
      <c r="P434" s="30">
        <v>45734</v>
      </c>
      <c r="Q434" s="30">
        <v>45734</v>
      </c>
      <c r="R434" s="22" t="s">
        <v>29</v>
      </c>
      <c r="S434" s="29" t="s">
        <v>30</v>
      </c>
      <c r="T434" s="22" t="s">
        <v>31</v>
      </c>
      <c r="U434" s="25" t="s">
        <v>32</v>
      </c>
      <c r="V434" s="22" t="s">
        <v>33</v>
      </c>
      <c r="W434" s="32" t="s">
        <v>34</v>
      </c>
    </row>
    <row r="435" spans="1:23">
      <c r="A435" s="22" t="s">
        <v>1130</v>
      </c>
      <c r="B435" s="25">
        <f>VLOOKUP(A435,[1]ProjectsResults!$D:$E,2,FALSE)</f>
        <v>10347</v>
      </c>
      <c r="C435" s="22">
        <f>VLOOKUP(A435,[2]Sheet2!$D:$E,2,FALSE)</f>
        <v>9098</v>
      </c>
      <c r="D435" s="22">
        <v>9098</v>
      </c>
      <c r="E435" s="22">
        <f>VLOOKUP(A435,[3]Sheet2!$A:$F,6,FALSE)</f>
        <v>346580</v>
      </c>
      <c r="G435" s="22" t="s">
        <v>1131</v>
      </c>
      <c r="H435" s="22" t="s">
        <v>140</v>
      </c>
      <c r="I435" s="22" t="s">
        <v>25</v>
      </c>
      <c r="J435" s="22" t="s">
        <v>141</v>
      </c>
      <c r="K435" s="22" t="s">
        <v>1132</v>
      </c>
      <c r="L435" s="29" t="s">
        <v>28</v>
      </c>
      <c r="P435" s="30">
        <v>45700</v>
      </c>
      <c r="Q435" s="30">
        <v>45700</v>
      </c>
      <c r="R435" s="22" t="s">
        <v>29</v>
      </c>
      <c r="S435" s="29" t="s">
        <v>30</v>
      </c>
      <c r="T435" s="22" t="s">
        <v>74</v>
      </c>
      <c r="U435" s="25" t="s">
        <v>32</v>
      </c>
      <c r="V435" s="22" t="s">
        <v>75</v>
      </c>
      <c r="W435" s="32" t="s">
        <v>34</v>
      </c>
    </row>
    <row r="436" spans="1:23">
      <c r="A436" s="22" t="s">
        <v>1133</v>
      </c>
      <c r="B436" s="25">
        <f>VLOOKUP(A436,[1]ProjectsResults!$D:$E,2,FALSE)</f>
        <v>10348</v>
      </c>
      <c r="C436" s="22">
        <f>VLOOKUP(A436,[2]Sheet2!$D:$E,2,FALSE)</f>
        <v>9099</v>
      </c>
      <c r="D436" s="22">
        <v>9099</v>
      </c>
      <c r="E436" s="22">
        <f>VLOOKUP(A436,[3]Sheet2!$A:$F,6,FALSE)</f>
        <v>2682808</v>
      </c>
      <c r="G436" s="22" t="s">
        <v>1134</v>
      </c>
      <c r="H436" s="22" t="s">
        <v>249</v>
      </c>
      <c r="I436" s="22" t="s">
        <v>25</v>
      </c>
      <c r="J436" s="22" t="s">
        <v>250</v>
      </c>
      <c r="K436" s="22" t="s">
        <v>281</v>
      </c>
      <c r="L436" s="29" t="s">
        <v>28</v>
      </c>
      <c r="P436" s="30">
        <v>45696</v>
      </c>
      <c r="Q436" s="30">
        <v>45696</v>
      </c>
      <c r="R436" s="22" t="s">
        <v>29</v>
      </c>
      <c r="S436" s="29" t="s">
        <v>30</v>
      </c>
      <c r="T436" s="22" t="s">
        <v>31</v>
      </c>
      <c r="U436" s="25" t="s">
        <v>32</v>
      </c>
      <c r="V436" s="22" t="s">
        <v>33</v>
      </c>
      <c r="W436" s="32" t="s">
        <v>34</v>
      </c>
    </row>
    <row r="437" spans="1:23">
      <c r="A437" s="22" t="s">
        <v>1135</v>
      </c>
      <c r="B437" s="25">
        <f>VLOOKUP(A437,[1]ProjectsResults!$D:$E,2,FALSE)</f>
        <v>10349</v>
      </c>
      <c r="C437" s="22">
        <f>VLOOKUP(A437,[2]Sheet2!$D:$E,2,FALSE)</f>
        <v>9100</v>
      </c>
      <c r="D437" s="22">
        <v>9100</v>
      </c>
      <c r="E437" s="22">
        <f>VLOOKUP(A437,[3]Sheet2!$A:$F,6,FALSE)</f>
        <v>5671000</v>
      </c>
      <c r="G437" s="22" t="s">
        <v>1136</v>
      </c>
      <c r="H437" s="22" t="s">
        <v>249</v>
      </c>
      <c r="I437" s="22" t="s">
        <v>25</v>
      </c>
      <c r="J437" s="22" t="s">
        <v>250</v>
      </c>
      <c r="K437" s="22" t="s">
        <v>281</v>
      </c>
      <c r="L437" s="29" t="s">
        <v>28</v>
      </c>
      <c r="P437" s="30">
        <v>45712</v>
      </c>
      <c r="Q437" s="30">
        <v>45712</v>
      </c>
      <c r="R437" s="22" t="s">
        <v>29</v>
      </c>
      <c r="S437" s="29" t="s">
        <v>30</v>
      </c>
      <c r="T437" s="22" t="s">
        <v>31</v>
      </c>
      <c r="U437" s="25" t="s">
        <v>32</v>
      </c>
      <c r="V437" s="22" t="s">
        <v>33</v>
      </c>
      <c r="W437" s="32" t="s">
        <v>34</v>
      </c>
    </row>
    <row r="438" spans="1:23">
      <c r="A438" s="22" t="s">
        <v>1137</v>
      </c>
      <c r="B438" s="25">
        <f>VLOOKUP(A438,[1]ProjectsResults!$D:$E,2,FALSE)</f>
        <v>10350</v>
      </c>
      <c r="C438" s="22">
        <f>VLOOKUP(A438,[2]Sheet2!$D:$E,2,FALSE)</f>
        <v>9101</v>
      </c>
      <c r="D438" s="22">
        <v>9101</v>
      </c>
      <c r="E438" s="22">
        <f>VLOOKUP(A438,[3]Sheet2!$A:$F,6,FALSE)</f>
        <v>1342236</v>
      </c>
      <c r="G438" s="22" t="s">
        <v>1138</v>
      </c>
      <c r="H438" s="22" t="s">
        <v>86</v>
      </c>
      <c r="I438" s="22" t="s">
        <v>25</v>
      </c>
      <c r="J438" s="22" t="s">
        <v>42</v>
      </c>
      <c r="K438" s="29" t="s">
        <v>238</v>
      </c>
      <c r="L438" s="29" t="s">
        <v>28</v>
      </c>
      <c r="P438" s="30">
        <v>45703</v>
      </c>
      <c r="Q438" s="30">
        <v>45703</v>
      </c>
      <c r="R438" s="22" t="s">
        <v>29</v>
      </c>
      <c r="S438" s="29" t="s">
        <v>30</v>
      </c>
      <c r="T438" s="22" t="s">
        <v>31</v>
      </c>
      <c r="U438" s="25" t="s">
        <v>32</v>
      </c>
      <c r="V438" s="22" t="s">
        <v>33</v>
      </c>
      <c r="W438" s="32" t="s">
        <v>34</v>
      </c>
    </row>
    <row r="439" spans="1:23">
      <c r="A439" s="22" t="s">
        <v>1139</v>
      </c>
      <c r="B439" s="25">
        <f>VLOOKUP(A439,[1]ProjectsResults!$D:$E,2,FALSE)</f>
        <v>10351</v>
      </c>
      <c r="C439" s="22">
        <f>VLOOKUP(A439,[2]Sheet2!$D:$E,2,FALSE)</f>
        <v>9102</v>
      </c>
      <c r="D439" s="22">
        <v>9102</v>
      </c>
      <c r="E439" s="22">
        <f>VLOOKUP(A439,[3]Sheet2!$A:$F,6,FALSE)</f>
        <v>8887714</v>
      </c>
      <c r="G439" s="22" t="s">
        <v>1140</v>
      </c>
      <c r="H439" s="22" t="s">
        <v>114</v>
      </c>
      <c r="I439" s="22" t="s">
        <v>25</v>
      </c>
      <c r="J439" s="29" t="s">
        <v>115</v>
      </c>
      <c r="K439" s="22" t="s">
        <v>164</v>
      </c>
      <c r="L439" s="29" t="s">
        <v>28</v>
      </c>
      <c r="P439" s="30">
        <v>45701</v>
      </c>
      <c r="Q439" s="30">
        <v>45701</v>
      </c>
      <c r="R439" s="22" t="s">
        <v>29</v>
      </c>
      <c r="S439" s="29" t="s">
        <v>30</v>
      </c>
      <c r="T439" s="22" t="s">
        <v>49</v>
      </c>
      <c r="U439" s="25" t="s">
        <v>32</v>
      </c>
      <c r="V439" s="22" t="s">
        <v>117</v>
      </c>
      <c r="W439" s="32" t="s">
        <v>34</v>
      </c>
    </row>
    <row r="440" spans="1:23">
      <c r="A440" s="22" t="s">
        <v>1141</v>
      </c>
      <c r="B440" s="25">
        <f>VLOOKUP(A440,[1]ProjectsResults!$D:$E,2,FALSE)</f>
        <v>10352</v>
      </c>
      <c r="C440" s="22">
        <f>VLOOKUP(A440,[2]Sheet2!$D:$E,2,FALSE)</f>
        <v>9594</v>
      </c>
      <c r="D440" s="22">
        <v>9594</v>
      </c>
      <c r="E440" s="22">
        <f>VLOOKUP(A440,[3]Sheet2!$A:$F,6,FALSE)</f>
        <v>885811</v>
      </c>
      <c r="G440" s="22" t="s">
        <v>1142</v>
      </c>
      <c r="H440" s="22" t="s">
        <v>1143</v>
      </c>
      <c r="I440" s="22" t="s">
        <v>25</v>
      </c>
      <c r="J440" s="29" t="s">
        <v>47</v>
      </c>
      <c r="K440" s="22" t="s">
        <v>66</v>
      </c>
      <c r="L440" s="29" t="s">
        <v>28</v>
      </c>
      <c r="P440" s="30">
        <v>45702</v>
      </c>
      <c r="Q440" s="30">
        <v>45702</v>
      </c>
      <c r="R440" s="22" t="s">
        <v>29</v>
      </c>
      <c r="S440" s="29" t="s">
        <v>30</v>
      </c>
      <c r="T440" s="22" t="s">
        <v>49</v>
      </c>
      <c r="U440" s="25" t="s">
        <v>32</v>
      </c>
      <c r="V440" s="22" t="s">
        <v>50</v>
      </c>
      <c r="W440" s="32" t="s">
        <v>34</v>
      </c>
    </row>
    <row r="441" spans="1:23">
      <c r="A441" s="22" t="s">
        <v>1144</v>
      </c>
      <c r="B441" s="25">
        <f>VLOOKUP(A441,[1]ProjectsResults!$D:$E,2,FALSE)</f>
        <v>10353</v>
      </c>
      <c r="C441" s="22">
        <f>VLOOKUP(A441,[2]Sheet2!$D:$E,2,FALSE)</f>
        <v>9103</v>
      </c>
      <c r="D441" s="22">
        <v>9103</v>
      </c>
      <c r="E441" s="22">
        <f>VLOOKUP(A441,[3]Sheet2!$A:$F,6,FALSE)</f>
        <v>25157</v>
      </c>
      <c r="G441" s="22" t="s">
        <v>1145</v>
      </c>
      <c r="H441" s="22" t="s">
        <v>86</v>
      </c>
      <c r="I441" s="22" t="s">
        <v>25</v>
      </c>
      <c r="J441" s="22" t="s">
        <v>42</v>
      </c>
      <c r="K441" s="29" t="s">
        <v>238</v>
      </c>
      <c r="L441" s="29" t="s">
        <v>28</v>
      </c>
      <c r="P441" s="30">
        <v>45698</v>
      </c>
      <c r="Q441" s="30">
        <v>45698</v>
      </c>
      <c r="R441" s="22" t="s">
        <v>29</v>
      </c>
      <c r="S441" s="29" t="s">
        <v>30</v>
      </c>
      <c r="T441" s="22" t="s">
        <v>31</v>
      </c>
      <c r="U441" s="25" t="s">
        <v>32</v>
      </c>
      <c r="V441" s="22" t="s">
        <v>33</v>
      </c>
      <c r="W441" s="32" t="s">
        <v>34</v>
      </c>
    </row>
    <row r="442" spans="1:23">
      <c r="A442" s="22" t="s">
        <v>1146</v>
      </c>
      <c r="B442" s="25">
        <f>VLOOKUP(A442,[1]ProjectsResults!$D:$E,2,FALSE)</f>
        <v>10354</v>
      </c>
      <c r="C442" s="22">
        <f>VLOOKUP(A442,[2]Sheet2!$D:$E,2,FALSE)</f>
        <v>9104</v>
      </c>
      <c r="D442" s="22">
        <v>9104</v>
      </c>
      <c r="E442" s="22">
        <f>VLOOKUP(A442,[3]Sheet2!$A:$F,6,FALSE)</f>
        <v>7769834</v>
      </c>
      <c r="G442" s="22" t="s">
        <v>1147</v>
      </c>
      <c r="H442" s="22" t="s">
        <v>284</v>
      </c>
      <c r="I442" s="22" t="s">
        <v>25</v>
      </c>
      <c r="J442" s="22" t="s">
        <v>42</v>
      </c>
      <c r="K442" s="22" t="s">
        <v>43</v>
      </c>
      <c r="L442" s="29" t="s">
        <v>28</v>
      </c>
      <c r="P442" s="30">
        <v>45707</v>
      </c>
      <c r="Q442" s="30">
        <v>45709</v>
      </c>
      <c r="R442" s="22" t="s">
        <v>29</v>
      </c>
      <c r="S442" s="29" t="s">
        <v>30</v>
      </c>
      <c r="T442" s="22" t="s">
        <v>31</v>
      </c>
      <c r="U442" s="25" t="s">
        <v>32</v>
      </c>
      <c r="V442" s="22" t="s">
        <v>33</v>
      </c>
      <c r="W442" s="32" t="s">
        <v>34</v>
      </c>
    </row>
    <row r="443" spans="1:23">
      <c r="A443" s="22" t="s">
        <v>1148</v>
      </c>
      <c r="B443" s="25">
        <f>VLOOKUP(A443,[1]ProjectsResults!$D:$E,2,FALSE)</f>
        <v>10355</v>
      </c>
      <c r="C443" s="22">
        <f>VLOOKUP(A443,[2]Sheet2!$D:$E,2,FALSE)</f>
        <v>9105</v>
      </c>
      <c r="D443" s="22">
        <v>9105</v>
      </c>
      <c r="E443" s="22">
        <f>VLOOKUP(A443,[3]Sheet2!$A:$F,6,FALSE)</f>
        <v>452837</v>
      </c>
      <c r="G443" s="22" t="s">
        <v>1149</v>
      </c>
      <c r="H443" s="22" t="s">
        <v>86</v>
      </c>
      <c r="I443" s="22" t="s">
        <v>25</v>
      </c>
      <c r="J443" s="22" t="s">
        <v>42</v>
      </c>
      <c r="K443" s="22" t="s">
        <v>87</v>
      </c>
      <c r="L443" s="29" t="s">
        <v>28</v>
      </c>
      <c r="P443" s="30">
        <v>45716</v>
      </c>
      <c r="Q443" s="30">
        <v>45716</v>
      </c>
      <c r="R443" s="22" t="s">
        <v>29</v>
      </c>
      <c r="S443" s="29" t="s">
        <v>30</v>
      </c>
      <c r="T443" s="22" t="s">
        <v>31</v>
      </c>
      <c r="U443" s="25" t="s">
        <v>32</v>
      </c>
      <c r="V443" s="22" t="s">
        <v>33</v>
      </c>
      <c r="W443" s="32" t="s">
        <v>34</v>
      </c>
    </row>
    <row r="444" spans="1:23">
      <c r="A444" s="22" t="s">
        <v>1150</v>
      </c>
      <c r="B444" s="25">
        <f>VLOOKUP(A444,[1]ProjectsResults!$D:$E,2,FALSE)</f>
        <v>10356</v>
      </c>
      <c r="C444" s="22">
        <f>VLOOKUP(A444,[2]Sheet2!$D:$E,2,FALSE)</f>
        <v>9106</v>
      </c>
      <c r="D444" s="22">
        <v>9106</v>
      </c>
      <c r="E444" s="22">
        <f>VLOOKUP(A444,[3]Sheet2!$A:$F,6,FALSE)</f>
        <v>322650</v>
      </c>
      <c r="G444" s="22" t="s">
        <v>1151</v>
      </c>
      <c r="H444" s="22" t="s">
        <v>86</v>
      </c>
      <c r="I444" s="22" t="s">
        <v>25</v>
      </c>
      <c r="J444" s="22" t="s">
        <v>42</v>
      </c>
      <c r="K444" s="22" t="s">
        <v>149</v>
      </c>
      <c r="L444" s="29" t="s">
        <v>28</v>
      </c>
      <c r="P444" s="30">
        <v>45714</v>
      </c>
      <c r="Q444" s="30">
        <v>45714</v>
      </c>
      <c r="R444" s="22" t="s">
        <v>29</v>
      </c>
      <c r="S444" s="29" t="s">
        <v>30</v>
      </c>
      <c r="T444" s="22" t="s">
        <v>31</v>
      </c>
      <c r="U444" s="25" t="s">
        <v>32</v>
      </c>
      <c r="V444" s="22" t="s">
        <v>33</v>
      </c>
      <c r="W444" s="32" t="s">
        <v>34</v>
      </c>
    </row>
    <row r="445" spans="1:23">
      <c r="A445" s="22" t="s">
        <v>1152</v>
      </c>
      <c r="B445" s="25">
        <f>VLOOKUP(A445,[1]ProjectsResults!$D:$E,2,FALSE)</f>
        <v>10357</v>
      </c>
      <c r="C445" s="22">
        <f>VLOOKUP(A445,[2]Sheet2!$D:$E,2,FALSE)</f>
        <v>9107</v>
      </c>
      <c r="D445" s="22">
        <v>9107</v>
      </c>
      <c r="E445" s="22">
        <f>VLOOKUP(A445,[3]Sheet2!$A:$F,6,FALSE)</f>
        <v>5001282</v>
      </c>
      <c r="G445" s="22" t="s">
        <v>1153</v>
      </c>
      <c r="H445" s="22" t="s">
        <v>249</v>
      </c>
      <c r="I445" s="22" t="s">
        <v>25</v>
      </c>
      <c r="J445" s="22" t="s">
        <v>250</v>
      </c>
      <c r="K445" s="22" t="s">
        <v>1010</v>
      </c>
      <c r="L445" s="29" t="s">
        <v>28</v>
      </c>
      <c r="P445" s="30">
        <v>45703</v>
      </c>
      <c r="Q445" s="30">
        <v>45704</v>
      </c>
      <c r="R445" s="22" t="s">
        <v>29</v>
      </c>
      <c r="S445" s="29" t="s">
        <v>30</v>
      </c>
      <c r="T445" s="22" t="s">
        <v>31</v>
      </c>
      <c r="U445" s="25" t="s">
        <v>32</v>
      </c>
      <c r="V445" s="22" t="s">
        <v>33</v>
      </c>
      <c r="W445" s="32" t="s">
        <v>34</v>
      </c>
    </row>
    <row r="446" spans="1:23">
      <c r="A446" s="22" t="s">
        <v>1154</v>
      </c>
      <c r="B446" s="25">
        <f>VLOOKUP(A446,[1]ProjectsResults!$D:$E,2,FALSE)</f>
        <v>10358</v>
      </c>
      <c r="C446" s="22">
        <f>VLOOKUP(A446,[2]Sheet2!$D:$E,2,FALSE)</f>
        <v>9108</v>
      </c>
      <c r="D446" s="22">
        <v>9108</v>
      </c>
      <c r="E446" s="22">
        <f>VLOOKUP(A446,[3]Sheet2!$A:$F,6,FALSE)</f>
        <v>2100000</v>
      </c>
      <c r="G446" s="22" t="s">
        <v>1155</v>
      </c>
      <c r="H446" s="22" t="s">
        <v>433</v>
      </c>
      <c r="I446" s="22" t="s">
        <v>25</v>
      </c>
      <c r="J446" s="22" t="s">
        <v>72</v>
      </c>
      <c r="K446" s="22" t="s">
        <v>73</v>
      </c>
      <c r="L446" s="29" t="s">
        <v>28</v>
      </c>
      <c r="P446" s="30">
        <v>45791</v>
      </c>
      <c r="Q446" s="30">
        <v>45791</v>
      </c>
      <c r="R446" s="22" t="s">
        <v>29</v>
      </c>
      <c r="S446" s="29" t="s">
        <v>30</v>
      </c>
      <c r="T446" s="22" t="s">
        <v>74</v>
      </c>
      <c r="U446" s="25" t="s">
        <v>32</v>
      </c>
      <c r="V446" s="22" t="s">
        <v>75</v>
      </c>
      <c r="W446" s="32" t="s">
        <v>34</v>
      </c>
    </row>
    <row r="447" spans="1:23">
      <c r="A447" s="22" t="s">
        <v>1156</v>
      </c>
      <c r="B447" s="25">
        <f>VLOOKUP(A447,[1]ProjectsResults!$D:$E,2,FALSE)</f>
        <v>10359</v>
      </c>
      <c r="C447" s="22">
        <f>VLOOKUP(A447,[2]Sheet2!$D:$E,2,FALSE)</f>
        <v>9109</v>
      </c>
      <c r="D447" s="22">
        <v>9109</v>
      </c>
      <c r="E447" s="22">
        <f>VLOOKUP(A447,[3]Sheet2!$A:$F,6,FALSE)</f>
        <v>715823</v>
      </c>
      <c r="G447" s="22" t="s">
        <v>1157</v>
      </c>
      <c r="H447" s="22" t="s">
        <v>65</v>
      </c>
      <c r="I447" s="22" t="s">
        <v>25</v>
      </c>
      <c r="J447" s="29" t="s">
        <v>47</v>
      </c>
      <c r="K447" s="22" t="s">
        <v>66</v>
      </c>
      <c r="L447" s="29" t="s">
        <v>28</v>
      </c>
      <c r="P447" s="30">
        <v>45771</v>
      </c>
      <c r="Q447" s="30">
        <v>45772</v>
      </c>
      <c r="R447" s="22" t="s">
        <v>29</v>
      </c>
      <c r="S447" s="29" t="s">
        <v>30</v>
      </c>
      <c r="T447" s="22" t="s">
        <v>49</v>
      </c>
      <c r="U447" s="25" t="s">
        <v>32</v>
      </c>
      <c r="V447" s="22" t="s">
        <v>50</v>
      </c>
      <c r="W447" s="32" t="s">
        <v>34</v>
      </c>
    </row>
    <row r="448" spans="1:23">
      <c r="A448" s="22" t="s">
        <v>1158</v>
      </c>
      <c r="B448" s="25">
        <f>VLOOKUP(A448,[1]ProjectsResults!$D:$E,2,FALSE)</f>
        <v>10360</v>
      </c>
      <c r="C448" s="22">
        <f>VLOOKUP(A448,[2]Sheet2!$D:$E,2,FALSE)</f>
        <v>9110</v>
      </c>
      <c r="D448" s="22">
        <v>9110</v>
      </c>
      <c r="E448" s="22">
        <f>VLOOKUP(A448,[3]Sheet2!$A:$F,6,FALSE)</f>
        <v>1801782</v>
      </c>
      <c r="G448" s="22" t="s">
        <v>1159</v>
      </c>
      <c r="H448" s="22" t="s">
        <v>249</v>
      </c>
      <c r="I448" s="22" t="s">
        <v>25</v>
      </c>
      <c r="J448" s="22" t="s">
        <v>250</v>
      </c>
      <c r="K448" s="29" t="s">
        <v>310</v>
      </c>
      <c r="L448" s="29" t="s">
        <v>28</v>
      </c>
      <c r="P448" s="30">
        <v>45702</v>
      </c>
      <c r="Q448" s="30">
        <v>45702</v>
      </c>
      <c r="R448" s="22" t="s">
        <v>29</v>
      </c>
      <c r="S448" s="29" t="s">
        <v>30</v>
      </c>
      <c r="T448" s="22" t="s">
        <v>31</v>
      </c>
      <c r="U448" s="25" t="s">
        <v>32</v>
      </c>
      <c r="V448" s="22" t="s">
        <v>33</v>
      </c>
      <c r="W448" s="32" t="s">
        <v>34</v>
      </c>
    </row>
    <row r="449" spans="1:23">
      <c r="A449" s="22" t="s">
        <v>1160</v>
      </c>
      <c r="B449" s="25">
        <f>VLOOKUP(A449,[1]ProjectsResults!$D:$E,2,FALSE)</f>
        <v>10361</v>
      </c>
      <c r="C449" s="22">
        <f>VLOOKUP(A449,[2]Sheet2!$D:$E,2,FALSE)</f>
        <v>9111</v>
      </c>
      <c r="D449" s="22">
        <v>9111</v>
      </c>
      <c r="E449" s="22">
        <f>VLOOKUP(A449,[3]Sheet2!$A:$F,6,FALSE)</f>
        <v>2806680</v>
      </c>
      <c r="G449" s="22" t="s">
        <v>1161</v>
      </c>
      <c r="H449" s="22" t="s">
        <v>966</v>
      </c>
      <c r="I449" s="22" t="s">
        <v>25</v>
      </c>
      <c r="J449" s="22" t="s">
        <v>38</v>
      </c>
      <c r="K449" s="22" t="s">
        <v>38</v>
      </c>
      <c r="L449" s="29" t="s">
        <v>28</v>
      </c>
      <c r="P449" s="30">
        <v>45736</v>
      </c>
      <c r="Q449" s="30">
        <v>45736</v>
      </c>
      <c r="R449" s="22" t="s">
        <v>29</v>
      </c>
      <c r="S449" s="29" t="s">
        <v>30</v>
      </c>
      <c r="T449" s="22" t="s">
        <v>31</v>
      </c>
      <c r="U449" s="25" t="s">
        <v>32</v>
      </c>
      <c r="V449" s="22" t="s">
        <v>33</v>
      </c>
      <c r="W449" s="32" t="s">
        <v>34</v>
      </c>
    </row>
    <row r="450" spans="1:23">
      <c r="A450" s="22" t="s">
        <v>1162</v>
      </c>
      <c r="B450" s="25">
        <f>VLOOKUP(A450,[1]ProjectsResults!$D:$E,2,FALSE)</f>
        <v>10362</v>
      </c>
      <c r="C450" s="22">
        <f>VLOOKUP(A450,[2]Sheet2!$D:$E,2,FALSE)</f>
        <v>9112</v>
      </c>
      <c r="D450" s="22">
        <v>9112</v>
      </c>
      <c r="E450" s="22">
        <f>VLOOKUP(A450,[3]Sheet2!$A:$F,6,FALSE)</f>
        <v>3290000</v>
      </c>
      <c r="G450" s="22" t="s">
        <v>1163</v>
      </c>
      <c r="H450" s="22" t="s">
        <v>37</v>
      </c>
      <c r="I450" s="22" t="s">
        <v>25</v>
      </c>
      <c r="J450" s="22" t="s">
        <v>38</v>
      </c>
      <c r="K450" s="22" t="s">
        <v>38</v>
      </c>
      <c r="L450" s="29" t="s">
        <v>28</v>
      </c>
      <c r="P450" s="30">
        <v>45741</v>
      </c>
      <c r="Q450" s="30">
        <v>12868</v>
      </c>
      <c r="R450" s="22" t="s">
        <v>29</v>
      </c>
      <c r="S450" s="29" t="s">
        <v>30</v>
      </c>
      <c r="T450" s="22" t="s">
        <v>31</v>
      </c>
      <c r="U450" s="25" t="s">
        <v>32</v>
      </c>
      <c r="V450" s="22" t="s">
        <v>33</v>
      </c>
      <c r="W450" s="32" t="s">
        <v>34</v>
      </c>
    </row>
    <row r="451" spans="1:23">
      <c r="A451" s="22" t="s">
        <v>1164</v>
      </c>
      <c r="B451" s="25">
        <f>VLOOKUP(A451,[1]ProjectsResults!$D:$E,2,FALSE)</f>
        <v>10363</v>
      </c>
      <c r="C451" s="22">
        <f>VLOOKUP(A451,[2]Sheet2!$D:$E,2,FALSE)</f>
        <v>9595</v>
      </c>
      <c r="D451" s="22">
        <v>9595</v>
      </c>
      <c r="E451" s="22">
        <f>VLOOKUP(A451,[3]Sheet2!$A:$F,6,FALSE)</f>
        <v>1850000</v>
      </c>
      <c r="G451" s="22" t="s">
        <v>1165</v>
      </c>
      <c r="H451" s="22" t="s">
        <v>1166</v>
      </c>
      <c r="I451" s="22" t="s">
        <v>25</v>
      </c>
      <c r="J451" s="22" t="s">
        <v>42</v>
      </c>
      <c r="K451" s="22" t="s">
        <v>87</v>
      </c>
      <c r="L451" s="29" t="s">
        <v>28</v>
      </c>
      <c r="P451" s="30">
        <v>45711</v>
      </c>
      <c r="Q451" s="30">
        <v>45711</v>
      </c>
      <c r="R451" s="22" t="s">
        <v>29</v>
      </c>
      <c r="S451" s="29" t="s">
        <v>30</v>
      </c>
      <c r="T451" s="22" t="s">
        <v>31</v>
      </c>
      <c r="U451" s="25" t="s">
        <v>32</v>
      </c>
      <c r="V451" s="22" t="s">
        <v>33</v>
      </c>
      <c r="W451" s="32" t="s">
        <v>34</v>
      </c>
    </row>
    <row r="452" spans="1:23">
      <c r="A452" s="22" t="s">
        <v>1167</v>
      </c>
      <c r="B452" s="25">
        <f>VLOOKUP(A452,[1]ProjectsResults!$D:$E,2,FALSE)</f>
        <v>10364</v>
      </c>
      <c r="C452" s="22">
        <f>VLOOKUP(A452,[2]Sheet2!$D:$E,2,FALSE)</f>
        <v>9113</v>
      </c>
      <c r="D452" s="22">
        <v>9113</v>
      </c>
      <c r="E452" s="22">
        <f>VLOOKUP(A452,[3]Sheet2!$A:$F,6,FALSE)</f>
        <v>244750</v>
      </c>
      <c r="G452" s="22" t="s">
        <v>1168</v>
      </c>
      <c r="H452" s="22" t="s">
        <v>313</v>
      </c>
      <c r="I452" s="22" t="s">
        <v>25</v>
      </c>
      <c r="J452" s="29" t="s">
        <v>168</v>
      </c>
      <c r="K452" s="22" t="s">
        <v>314</v>
      </c>
      <c r="L452" s="29" t="s">
        <v>28</v>
      </c>
      <c r="P452" s="30">
        <v>45705</v>
      </c>
      <c r="Q452" s="30">
        <v>45705</v>
      </c>
      <c r="R452" s="22" t="s">
        <v>29</v>
      </c>
      <c r="S452" s="29" t="s">
        <v>30</v>
      </c>
      <c r="T452" s="22" t="s">
        <v>31</v>
      </c>
      <c r="U452" s="25" t="s">
        <v>32</v>
      </c>
      <c r="V452" s="22" t="s">
        <v>33</v>
      </c>
      <c r="W452" s="32" t="s">
        <v>34</v>
      </c>
    </row>
    <row r="453" spans="1:23">
      <c r="A453" s="22" t="s">
        <v>1169</v>
      </c>
      <c r="B453" s="25">
        <f>VLOOKUP(A453,[1]ProjectsResults!$D:$E,2,FALSE)</f>
        <v>10365</v>
      </c>
      <c r="C453" s="22">
        <f>VLOOKUP(A453,[2]Sheet2!$D:$E,2,FALSE)</f>
        <v>9114</v>
      </c>
      <c r="D453" s="22">
        <v>9114</v>
      </c>
      <c r="E453" s="22">
        <f>VLOOKUP(A453,[3]Sheet2!$A:$F,6,FALSE)</f>
        <v>20000</v>
      </c>
      <c r="G453" s="22" t="s">
        <v>1170</v>
      </c>
      <c r="H453" s="22" t="s">
        <v>58</v>
      </c>
      <c r="I453" s="22" t="s">
        <v>25</v>
      </c>
      <c r="J453" s="29" t="s">
        <v>47</v>
      </c>
      <c r="K453" s="22" t="s">
        <v>48</v>
      </c>
      <c r="L453" s="29" t="s">
        <v>1171</v>
      </c>
      <c r="P453" s="30">
        <v>45705</v>
      </c>
      <c r="Q453" s="30">
        <v>45705</v>
      </c>
      <c r="R453" s="22" t="s">
        <v>29</v>
      </c>
      <c r="S453" s="29" t="s">
        <v>30</v>
      </c>
      <c r="T453" s="22" t="s">
        <v>49</v>
      </c>
      <c r="U453" s="25" t="s">
        <v>32</v>
      </c>
      <c r="V453" s="22" t="s">
        <v>50</v>
      </c>
      <c r="W453" s="32" t="s">
        <v>34</v>
      </c>
    </row>
    <row r="454" spans="1:23">
      <c r="A454" s="22" t="s">
        <v>1172</v>
      </c>
      <c r="B454" s="25">
        <f>VLOOKUP(A454,[1]ProjectsResults!$D:$E,2,FALSE)</f>
        <v>10366</v>
      </c>
      <c r="C454" s="22">
        <f>VLOOKUP(A454,[2]Sheet2!$D:$E,2,FALSE)</f>
        <v>9115</v>
      </c>
      <c r="D454" s="22">
        <v>9115</v>
      </c>
      <c r="E454" s="22">
        <f>VLOOKUP(A454,[3]Sheet2!$A:$F,6,FALSE)</f>
        <v>263913</v>
      </c>
      <c r="G454" s="22" t="s">
        <v>1173</v>
      </c>
      <c r="H454" s="22" t="s">
        <v>140</v>
      </c>
      <c r="I454" s="22" t="s">
        <v>25</v>
      </c>
      <c r="J454" s="22" t="s">
        <v>141</v>
      </c>
      <c r="K454" s="22" t="s">
        <v>537</v>
      </c>
      <c r="L454" s="29" t="s">
        <v>28</v>
      </c>
      <c r="P454" s="30">
        <v>45706</v>
      </c>
      <c r="Q454" s="30">
        <v>45706</v>
      </c>
      <c r="R454" s="22" t="s">
        <v>29</v>
      </c>
      <c r="S454" s="29" t="s">
        <v>30</v>
      </c>
      <c r="T454" s="22" t="s">
        <v>74</v>
      </c>
      <c r="U454" s="25" t="s">
        <v>32</v>
      </c>
      <c r="V454" s="22" t="s">
        <v>75</v>
      </c>
      <c r="W454" s="32" t="s">
        <v>34</v>
      </c>
    </row>
    <row r="455" spans="1:23">
      <c r="A455" s="22" t="s">
        <v>1174</v>
      </c>
      <c r="B455" s="25">
        <f>VLOOKUP(A455,[1]ProjectsResults!$D:$E,2,FALSE)</f>
        <v>10367</v>
      </c>
      <c r="C455" s="22">
        <f>VLOOKUP(A455,[2]Sheet2!$D:$E,2,FALSE)</f>
        <v>9116</v>
      </c>
      <c r="D455" s="22">
        <v>9116</v>
      </c>
      <c r="E455" s="22">
        <f>VLOOKUP(A455,[3]Sheet2!$A:$F,6,FALSE)</f>
        <v>5000000</v>
      </c>
      <c r="G455" s="22" t="s">
        <v>1175</v>
      </c>
      <c r="H455" s="22" t="s">
        <v>678</v>
      </c>
      <c r="I455" s="22" t="s">
        <v>25</v>
      </c>
      <c r="J455" s="22" t="s">
        <v>679</v>
      </c>
      <c r="K455" s="22" t="s">
        <v>190</v>
      </c>
      <c r="L455" s="29" t="s">
        <v>28</v>
      </c>
      <c r="P455" s="30">
        <v>45707</v>
      </c>
      <c r="Q455" s="30">
        <v>45709</v>
      </c>
      <c r="R455" s="22" t="s">
        <v>29</v>
      </c>
      <c r="S455" s="29" t="s">
        <v>30</v>
      </c>
      <c r="T455" s="22" t="s">
        <v>74</v>
      </c>
      <c r="U455" s="25" t="s">
        <v>32</v>
      </c>
      <c r="V455" s="22" t="s">
        <v>75</v>
      </c>
      <c r="W455" s="32" t="s">
        <v>34</v>
      </c>
    </row>
    <row r="456" spans="1:23">
      <c r="A456" s="22" t="s">
        <v>1176</v>
      </c>
      <c r="B456" s="25">
        <f>VLOOKUP(A456,[1]ProjectsResults!$D:$E,2,FALSE)</f>
        <v>10368</v>
      </c>
      <c r="C456" s="22">
        <f>VLOOKUP(A456,[2]Sheet2!$D:$E,2,FALSE)</f>
        <v>9117</v>
      </c>
      <c r="D456" s="22">
        <v>9117</v>
      </c>
      <c r="E456" s="22">
        <f>VLOOKUP(A456,[3]Sheet2!$A:$F,6,FALSE)</f>
        <v>198423</v>
      </c>
      <c r="G456" s="22" t="s">
        <v>1177</v>
      </c>
      <c r="H456" s="22" t="s">
        <v>86</v>
      </c>
      <c r="I456" s="22" t="s">
        <v>25</v>
      </c>
      <c r="J456" s="22" t="s">
        <v>42</v>
      </c>
      <c r="K456" s="22" t="s">
        <v>149</v>
      </c>
      <c r="L456" s="29" t="s">
        <v>28</v>
      </c>
      <c r="P456" s="30">
        <v>45703</v>
      </c>
      <c r="Q456" s="30">
        <v>45703</v>
      </c>
      <c r="R456" s="22" t="s">
        <v>29</v>
      </c>
      <c r="S456" s="29" t="s">
        <v>30</v>
      </c>
      <c r="T456" s="22" t="s">
        <v>31</v>
      </c>
      <c r="U456" s="25" t="s">
        <v>32</v>
      </c>
      <c r="V456" s="22" t="s">
        <v>33</v>
      </c>
      <c r="W456" s="32" t="s">
        <v>34</v>
      </c>
    </row>
    <row r="457" spans="1:23">
      <c r="A457" s="22" t="s">
        <v>1178</v>
      </c>
      <c r="B457" s="25">
        <f>VLOOKUP(A457,[1]ProjectsResults!$D:$E,2,FALSE)</f>
        <v>10369</v>
      </c>
      <c r="C457" s="22">
        <f>VLOOKUP(A457,[2]Sheet2!$D:$E,2,FALSE)</f>
        <v>9356</v>
      </c>
      <c r="D457" s="22">
        <v>9356</v>
      </c>
      <c r="E457" s="22">
        <f>VLOOKUP(A457,[3]Sheet2!$A:$F,6,FALSE)</f>
        <v>58131</v>
      </c>
      <c r="G457" s="22" t="s">
        <v>1179</v>
      </c>
      <c r="H457" s="22" t="s">
        <v>159</v>
      </c>
      <c r="I457" s="22" t="s">
        <v>25</v>
      </c>
      <c r="J457" s="29" t="s">
        <v>115</v>
      </c>
      <c r="K457" s="22" t="s">
        <v>591</v>
      </c>
      <c r="L457" s="29" t="s">
        <v>28</v>
      </c>
      <c r="P457" s="30">
        <v>45705</v>
      </c>
      <c r="Q457" s="30">
        <v>45705</v>
      </c>
      <c r="R457" s="22" t="s">
        <v>29</v>
      </c>
      <c r="S457" s="29" t="s">
        <v>30</v>
      </c>
      <c r="T457" s="22" t="s">
        <v>49</v>
      </c>
      <c r="U457" s="25" t="s">
        <v>32</v>
      </c>
      <c r="V457" s="22" t="s">
        <v>117</v>
      </c>
      <c r="W457" s="32" t="s">
        <v>34</v>
      </c>
    </row>
    <row r="458" spans="1:23">
      <c r="A458" s="22" t="s">
        <v>1180</v>
      </c>
      <c r="B458" s="25">
        <f>VLOOKUP(A458,[1]ProjectsResults!$D:$E,2,FALSE)</f>
        <v>10370</v>
      </c>
      <c r="C458" s="22">
        <f>VLOOKUP(A458,[2]Sheet2!$D:$E,2,FALSE)</f>
        <v>9118</v>
      </c>
      <c r="D458" s="22">
        <v>9118</v>
      </c>
      <c r="E458" s="22">
        <f>VLOOKUP(A458,[3]Sheet2!$A:$F,6,FALSE)</f>
        <v>9350</v>
      </c>
      <c r="G458" s="22" t="s">
        <v>1181</v>
      </c>
      <c r="H458" s="22" t="s">
        <v>114</v>
      </c>
      <c r="I458" s="22" t="s">
        <v>25</v>
      </c>
      <c r="J458" s="29" t="s">
        <v>115</v>
      </c>
      <c r="K458" s="22" t="s">
        <v>164</v>
      </c>
      <c r="L458" s="29" t="s">
        <v>28</v>
      </c>
      <c r="P458" s="30">
        <v>45705</v>
      </c>
      <c r="Q458" s="30">
        <v>45705</v>
      </c>
      <c r="R458" s="22" t="s">
        <v>29</v>
      </c>
      <c r="S458" s="29" t="s">
        <v>30</v>
      </c>
      <c r="T458" s="22" t="s">
        <v>49</v>
      </c>
      <c r="U458" s="25" t="s">
        <v>32</v>
      </c>
      <c r="V458" s="22" t="s">
        <v>117</v>
      </c>
      <c r="W458" s="32" t="s">
        <v>34</v>
      </c>
    </row>
    <row r="459" spans="1:23">
      <c r="A459" s="22" t="s">
        <v>1182</v>
      </c>
      <c r="B459" s="25">
        <f>VLOOKUP(A459,[1]ProjectsResults!$D:$E,2,FALSE)</f>
        <v>10371</v>
      </c>
      <c r="C459" s="22">
        <f>VLOOKUP(A459,[2]Sheet2!$D:$E,2,FALSE)</f>
        <v>9596</v>
      </c>
      <c r="D459" s="22">
        <v>9596</v>
      </c>
      <c r="E459" s="22">
        <f>VLOOKUP(A459,[3]Sheet2!$A:$F,6,FALSE)</f>
        <v>343114</v>
      </c>
      <c r="G459" s="22" t="s">
        <v>1183</v>
      </c>
      <c r="H459" s="22" t="s">
        <v>1184</v>
      </c>
      <c r="I459" s="22" t="s">
        <v>25</v>
      </c>
      <c r="J459" s="22" t="s">
        <v>38</v>
      </c>
      <c r="K459" s="22" t="s">
        <v>38</v>
      </c>
      <c r="L459" s="29" t="s">
        <v>28</v>
      </c>
      <c r="P459" s="30">
        <v>45705</v>
      </c>
      <c r="Q459" s="30">
        <v>45705</v>
      </c>
      <c r="R459" s="22" t="s">
        <v>29</v>
      </c>
      <c r="S459" s="29" t="s">
        <v>30</v>
      </c>
      <c r="T459" s="22" t="s">
        <v>31</v>
      </c>
      <c r="U459" s="25" t="s">
        <v>32</v>
      </c>
      <c r="V459" s="22" t="s">
        <v>33</v>
      </c>
      <c r="W459" s="32" t="s">
        <v>34</v>
      </c>
    </row>
    <row r="460" spans="1:23">
      <c r="A460" s="22" t="s">
        <v>1185</v>
      </c>
      <c r="B460" s="25">
        <f>VLOOKUP(A460,[1]ProjectsResults!$D:$E,2,FALSE)</f>
        <v>10372</v>
      </c>
      <c r="C460" s="22">
        <f>VLOOKUP(A460,[2]Sheet2!$D:$E,2,FALSE)</f>
        <v>9119</v>
      </c>
      <c r="D460" s="22">
        <v>9119</v>
      </c>
      <c r="E460" s="22">
        <f>VLOOKUP(A460,[3]Sheet2!$A:$F,6,FALSE)</f>
        <v>1673113</v>
      </c>
      <c r="G460" s="22" t="s">
        <v>1186</v>
      </c>
      <c r="H460" s="22" t="s">
        <v>249</v>
      </c>
      <c r="I460" s="22" t="s">
        <v>25</v>
      </c>
      <c r="J460" s="22" t="s">
        <v>250</v>
      </c>
      <c r="K460" s="29" t="s">
        <v>251</v>
      </c>
      <c r="L460" s="29" t="s">
        <v>28</v>
      </c>
      <c r="P460" s="30">
        <v>45707</v>
      </c>
      <c r="Q460" s="30">
        <v>45707</v>
      </c>
      <c r="R460" s="22" t="s">
        <v>29</v>
      </c>
      <c r="S460" s="29" t="s">
        <v>30</v>
      </c>
      <c r="T460" s="22" t="s">
        <v>31</v>
      </c>
      <c r="U460" s="25" t="s">
        <v>32</v>
      </c>
      <c r="V460" s="22" t="s">
        <v>33</v>
      </c>
      <c r="W460" s="32" t="s">
        <v>34</v>
      </c>
    </row>
    <row r="461" spans="1:23">
      <c r="A461" s="22" t="s">
        <v>1187</v>
      </c>
      <c r="B461" s="25">
        <f>VLOOKUP(A461,[1]ProjectsResults!$D:$E,2,FALSE)</f>
        <v>10373</v>
      </c>
      <c r="C461" s="22">
        <f>VLOOKUP(A461,[2]Sheet2!$D:$E,2,FALSE)</f>
        <v>9120</v>
      </c>
      <c r="D461" s="22">
        <v>9120</v>
      </c>
      <c r="E461" s="22">
        <f>VLOOKUP(A461,[3]Sheet2!$A:$F,6,FALSE)</f>
        <v>194464</v>
      </c>
      <c r="G461" s="22" t="s">
        <v>1188</v>
      </c>
      <c r="H461" s="22" t="s">
        <v>58</v>
      </c>
      <c r="I461" s="22" t="s">
        <v>25</v>
      </c>
      <c r="J461" s="29" t="s">
        <v>47</v>
      </c>
      <c r="K461" s="22" t="s">
        <v>1189</v>
      </c>
      <c r="L461" s="29" t="s">
        <v>28</v>
      </c>
      <c r="P461" s="30">
        <v>45706</v>
      </c>
      <c r="Q461" s="30">
        <v>45706</v>
      </c>
      <c r="R461" s="22" t="s">
        <v>29</v>
      </c>
      <c r="S461" s="29" t="s">
        <v>30</v>
      </c>
      <c r="T461" s="22" t="s">
        <v>49</v>
      </c>
      <c r="U461" s="25" t="s">
        <v>32</v>
      </c>
      <c r="V461" s="22" t="s">
        <v>50</v>
      </c>
      <c r="W461" s="32" t="s">
        <v>34</v>
      </c>
    </row>
    <row r="462" spans="1:23">
      <c r="A462" s="22" t="s">
        <v>1190</v>
      </c>
      <c r="B462" s="25">
        <f>VLOOKUP(A462,[1]ProjectsResults!$D:$E,2,FALSE)</f>
        <v>10374</v>
      </c>
      <c r="C462" s="22">
        <f>VLOOKUP(A462,[2]Sheet2!$D:$E,2,FALSE)</f>
        <v>9121</v>
      </c>
      <c r="D462" s="22">
        <v>9121</v>
      </c>
      <c r="E462" s="22">
        <f>VLOOKUP(A462,[3]Sheet2!$A:$F,6,FALSE)</f>
        <v>194464</v>
      </c>
      <c r="G462" s="22" t="s">
        <v>1191</v>
      </c>
      <c r="H462" s="22" t="s">
        <v>58</v>
      </c>
      <c r="I462" s="22" t="s">
        <v>25</v>
      </c>
      <c r="J462" s="29" t="s">
        <v>47</v>
      </c>
      <c r="K462" s="22" t="s">
        <v>1189</v>
      </c>
      <c r="L462" s="29" t="s">
        <v>28</v>
      </c>
      <c r="P462" s="30">
        <v>45707</v>
      </c>
      <c r="Q462" s="30">
        <v>45707</v>
      </c>
      <c r="R462" s="22" t="s">
        <v>29</v>
      </c>
      <c r="S462" s="29" t="s">
        <v>30</v>
      </c>
      <c r="T462" s="22" t="s">
        <v>49</v>
      </c>
      <c r="U462" s="25" t="s">
        <v>32</v>
      </c>
      <c r="V462" s="22" t="s">
        <v>50</v>
      </c>
      <c r="W462" s="32" t="s">
        <v>34</v>
      </c>
    </row>
    <row r="463" spans="1:23">
      <c r="A463" s="22" t="s">
        <v>1192</v>
      </c>
      <c r="B463" s="25">
        <f>VLOOKUP(A463,[1]ProjectsResults!$D:$E,2,FALSE)</f>
        <v>10375</v>
      </c>
      <c r="C463" s="22">
        <f>VLOOKUP(A463,[2]Sheet2!$D:$E,2,FALSE)</f>
        <v>9122</v>
      </c>
      <c r="D463" s="22">
        <v>9122</v>
      </c>
      <c r="E463" s="22">
        <f>VLOOKUP(A463,[3]Sheet2!$A:$F,6,FALSE)</f>
        <v>6084041</v>
      </c>
      <c r="G463" s="22" t="s">
        <v>1193</v>
      </c>
      <c r="H463" s="22" t="s">
        <v>249</v>
      </c>
      <c r="I463" s="22" t="s">
        <v>25</v>
      </c>
      <c r="J463" s="22" t="s">
        <v>250</v>
      </c>
      <c r="K463" s="22" t="s">
        <v>149</v>
      </c>
      <c r="L463" s="29" t="s">
        <v>28</v>
      </c>
      <c r="P463" s="30">
        <v>45713</v>
      </c>
      <c r="Q463" s="30">
        <v>45717</v>
      </c>
      <c r="R463" s="22" t="s">
        <v>29</v>
      </c>
      <c r="S463" s="29" t="s">
        <v>30</v>
      </c>
      <c r="T463" s="22" t="s">
        <v>31</v>
      </c>
      <c r="U463" s="25" t="s">
        <v>32</v>
      </c>
      <c r="V463" s="22" t="s">
        <v>33</v>
      </c>
      <c r="W463" s="32" t="s">
        <v>34</v>
      </c>
    </row>
    <row r="464" spans="1:23">
      <c r="A464" s="22" t="s">
        <v>1194</v>
      </c>
      <c r="B464" s="25">
        <f>VLOOKUP(A464,[1]ProjectsResults!$D:$E,2,FALSE)</f>
        <v>10376</v>
      </c>
      <c r="C464" s="22">
        <f>VLOOKUP(A464,[2]Sheet2!$D:$E,2,FALSE)</f>
        <v>9123</v>
      </c>
      <c r="D464" s="22">
        <v>9123</v>
      </c>
      <c r="E464" s="22">
        <f>VLOOKUP(A464,[3]Sheet2!$A:$F,6,FALSE)</f>
        <v>8194780</v>
      </c>
      <c r="G464" s="22" t="s">
        <v>1195</v>
      </c>
      <c r="H464" s="22" t="s">
        <v>82</v>
      </c>
      <c r="I464" s="22" t="s">
        <v>25</v>
      </c>
      <c r="J464" s="22" t="s">
        <v>72</v>
      </c>
      <c r="K464" s="22" t="s">
        <v>83</v>
      </c>
      <c r="L464" s="29" t="s">
        <v>28</v>
      </c>
      <c r="P464" s="30">
        <v>45722</v>
      </c>
      <c r="Q464" s="30">
        <v>45728</v>
      </c>
      <c r="R464" s="22" t="s">
        <v>29</v>
      </c>
      <c r="S464" s="29" t="s">
        <v>30</v>
      </c>
      <c r="T464" s="22" t="s">
        <v>74</v>
      </c>
      <c r="U464" s="25" t="s">
        <v>32</v>
      </c>
      <c r="V464" s="22" t="s">
        <v>75</v>
      </c>
      <c r="W464" s="32" t="s">
        <v>34</v>
      </c>
    </row>
    <row r="465" spans="1:23">
      <c r="A465" s="22" t="s">
        <v>1196</v>
      </c>
      <c r="B465" s="25">
        <f>VLOOKUP(A465,[1]ProjectsResults!$D:$E,2,FALSE)</f>
        <v>10377</v>
      </c>
      <c r="C465" s="22">
        <f>VLOOKUP(A465,[2]Sheet2!$D:$E,2,FALSE)</f>
        <v>9124</v>
      </c>
      <c r="D465" s="22">
        <v>9124</v>
      </c>
      <c r="E465" s="22">
        <f>VLOOKUP(A465,[3]Sheet2!$A:$F,6,FALSE)</f>
        <v>272338</v>
      </c>
      <c r="G465" s="22" t="s">
        <v>1197</v>
      </c>
      <c r="H465" s="22" t="s">
        <v>1198</v>
      </c>
      <c r="I465" s="22" t="s">
        <v>25</v>
      </c>
      <c r="J465" s="29" t="s">
        <v>115</v>
      </c>
      <c r="K465" s="22" t="s">
        <v>116</v>
      </c>
      <c r="L465" s="29" t="s">
        <v>28</v>
      </c>
      <c r="P465" s="30">
        <v>45706</v>
      </c>
      <c r="Q465" s="30">
        <v>45706</v>
      </c>
      <c r="R465" s="22" t="s">
        <v>29</v>
      </c>
      <c r="S465" s="29" t="s">
        <v>30</v>
      </c>
      <c r="T465" s="22" t="s">
        <v>49</v>
      </c>
      <c r="U465" s="25" t="s">
        <v>32</v>
      </c>
      <c r="V465" s="22" t="s">
        <v>117</v>
      </c>
      <c r="W465" s="32" t="s">
        <v>34</v>
      </c>
    </row>
    <row r="466" spans="1:23">
      <c r="A466" s="22" t="s">
        <v>1199</v>
      </c>
      <c r="B466" s="25">
        <f>VLOOKUP(A466,[1]ProjectsResults!$D:$E,2,FALSE)</f>
        <v>10378</v>
      </c>
      <c r="C466" s="22">
        <f>VLOOKUP(A466,[2]Sheet2!$D:$E,2,FALSE)</f>
        <v>9125</v>
      </c>
      <c r="D466" s="22">
        <v>9125</v>
      </c>
      <c r="E466" s="22">
        <f>VLOOKUP(A466,[3]Sheet2!$A:$F,6,FALSE)</f>
        <v>278300</v>
      </c>
      <c r="G466" s="22" t="s">
        <v>1200</v>
      </c>
      <c r="H466" s="22" t="s">
        <v>453</v>
      </c>
      <c r="I466" s="22" t="s">
        <v>25</v>
      </c>
      <c r="J466" s="22" t="s">
        <v>42</v>
      </c>
      <c r="K466" s="22" t="s">
        <v>454</v>
      </c>
      <c r="L466" s="29" t="s">
        <v>28</v>
      </c>
      <c r="P466" s="30">
        <v>45706</v>
      </c>
      <c r="Q466" s="30">
        <v>45706</v>
      </c>
      <c r="R466" s="22" t="s">
        <v>29</v>
      </c>
      <c r="S466" s="29" t="s">
        <v>30</v>
      </c>
      <c r="T466" s="22" t="s">
        <v>31</v>
      </c>
      <c r="U466" s="25" t="s">
        <v>32</v>
      </c>
      <c r="V466" s="22" t="s">
        <v>33</v>
      </c>
      <c r="W466" s="32" t="s">
        <v>34</v>
      </c>
    </row>
    <row r="467" spans="1:23">
      <c r="A467" s="22" t="s">
        <v>1201</v>
      </c>
      <c r="B467" s="25">
        <f>VLOOKUP(A467,[1]ProjectsResults!$D:$E,2,FALSE)</f>
        <v>10379</v>
      </c>
      <c r="C467" s="22">
        <f>VLOOKUP(A467,[2]Sheet2!$D:$E,2,FALSE)</f>
        <v>9126</v>
      </c>
      <c r="D467" s="22">
        <v>9126</v>
      </c>
      <c r="E467" s="22">
        <f>VLOOKUP(A467,[3]Sheet2!$A:$F,6,FALSE)</f>
        <v>1503942</v>
      </c>
      <c r="G467" s="22" t="s">
        <v>1202</v>
      </c>
      <c r="H467" s="22" t="s">
        <v>188</v>
      </c>
      <c r="I467" s="22" t="s">
        <v>25</v>
      </c>
      <c r="J467" s="29" t="s">
        <v>47</v>
      </c>
      <c r="K467" s="22" t="s">
        <v>1020</v>
      </c>
      <c r="L467" s="29" t="s">
        <v>28</v>
      </c>
      <c r="P467" s="30">
        <v>45707</v>
      </c>
      <c r="Q467" s="30">
        <v>45707</v>
      </c>
      <c r="R467" s="22" t="s">
        <v>29</v>
      </c>
      <c r="S467" s="29" t="s">
        <v>30</v>
      </c>
      <c r="T467" s="22" t="s">
        <v>49</v>
      </c>
      <c r="U467" s="25" t="s">
        <v>32</v>
      </c>
      <c r="V467" s="22" t="s">
        <v>50</v>
      </c>
      <c r="W467" s="32" t="s">
        <v>34</v>
      </c>
    </row>
    <row r="468" spans="1:23">
      <c r="A468" s="22" t="s">
        <v>1203</v>
      </c>
      <c r="B468" s="25">
        <f>VLOOKUP(A468,[1]ProjectsResults!$D:$E,2,FALSE)</f>
        <v>10380</v>
      </c>
      <c r="C468" s="22">
        <f>VLOOKUP(A468,[2]Sheet2!$D:$E,2,FALSE)</f>
        <v>9127</v>
      </c>
      <c r="D468" s="22">
        <v>9127</v>
      </c>
      <c r="E468" s="22">
        <f>VLOOKUP(A468,[3]Sheet2!$A:$F,6,FALSE)</f>
        <v>838179</v>
      </c>
      <c r="G468" s="22" t="s">
        <v>1204</v>
      </c>
      <c r="H468" s="22" t="s">
        <v>601</v>
      </c>
      <c r="I468" s="22" t="s">
        <v>25</v>
      </c>
      <c r="J468" s="22" t="s">
        <v>38</v>
      </c>
      <c r="K468" s="22" t="s">
        <v>38</v>
      </c>
      <c r="L468" s="29" t="s">
        <v>28</v>
      </c>
      <c r="P468" s="30">
        <v>45706</v>
      </c>
      <c r="Q468" s="30">
        <v>45706</v>
      </c>
      <c r="R468" s="22" t="s">
        <v>29</v>
      </c>
      <c r="S468" s="29" t="s">
        <v>30</v>
      </c>
      <c r="T468" s="22" t="s">
        <v>31</v>
      </c>
      <c r="U468" s="25" t="s">
        <v>32</v>
      </c>
      <c r="V468" s="22" t="s">
        <v>33</v>
      </c>
      <c r="W468" s="32" t="s">
        <v>34</v>
      </c>
    </row>
    <row r="469" spans="1:23">
      <c r="A469" s="22" t="s">
        <v>1205</v>
      </c>
      <c r="B469" s="25">
        <f>VLOOKUP(A469,[1]ProjectsResults!$D:$E,2,FALSE)</f>
        <v>10381</v>
      </c>
      <c r="C469" s="22">
        <f>VLOOKUP(A469,[2]Sheet2!$D:$E,2,FALSE)</f>
        <v>9357</v>
      </c>
      <c r="D469" s="22">
        <v>9357</v>
      </c>
      <c r="E469" s="22">
        <f>VLOOKUP(A469,[3]Sheet2!$A:$F,6,FALSE)</f>
        <v>62162</v>
      </c>
      <c r="G469" s="22" t="s">
        <v>1206</v>
      </c>
      <c r="H469" s="22" t="s">
        <v>159</v>
      </c>
      <c r="I469" s="22" t="s">
        <v>25</v>
      </c>
      <c r="J469" s="29" t="s">
        <v>115</v>
      </c>
      <c r="K469" s="22" t="s">
        <v>591</v>
      </c>
      <c r="L469" s="29" t="s">
        <v>28</v>
      </c>
      <c r="P469" s="30">
        <v>45706</v>
      </c>
      <c r="Q469" s="30">
        <v>45706</v>
      </c>
      <c r="R469" s="22" t="s">
        <v>29</v>
      </c>
      <c r="S469" s="29" t="s">
        <v>30</v>
      </c>
      <c r="T469" s="22" t="s">
        <v>49</v>
      </c>
      <c r="U469" s="25" t="s">
        <v>32</v>
      </c>
      <c r="V469" s="22" t="s">
        <v>117</v>
      </c>
      <c r="W469" s="32" t="s">
        <v>34</v>
      </c>
    </row>
    <row r="470" spans="1:23">
      <c r="A470" s="22" t="s">
        <v>1207</v>
      </c>
      <c r="B470" s="25">
        <f>VLOOKUP(A470,[1]ProjectsResults!$D:$E,2,FALSE)</f>
        <v>11220</v>
      </c>
      <c r="C470" s="22">
        <f>VLOOKUP(A470,[2]Sheet2!$D:$E,2,FALSE)</f>
        <v>10199</v>
      </c>
      <c r="D470" s="22">
        <v>10199</v>
      </c>
      <c r="E470" s="22">
        <f>VLOOKUP(A470,[3]Sheet2!$A:$F,6,FALSE)</f>
        <v>450000</v>
      </c>
      <c r="G470" s="22" t="s">
        <v>1208</v>
      </c>
      <c r="H470" s="22" t="s">
        <v>1209</v>
      </c>
      <c r="I470" s="22" t="s">
        <v>25</v>
      </c>
      <c r="J470" s="22" t="s">
        <v>72</v>
      </c>
      <c r="K470" s="22" t="s">
        <v>1210</v>
      </c>
      <c r="L470" s="29" t="s">
        <v>28</v>
      </c>
      <c r="P470" s="30">
        <v>45706</v>
      </c>
      <c r="Q470" s="30">
        <v>45706</v>
      </c>
      <c r="R470" s="22" t="s">
        <v>29</v>
      </c>
      <c r="S470" s="29" t="s">
        <v>30</v>
      </c>
      <c r="T470" s="22" t="s">
        <v>74</v>
      </c>
      <c r="U470" s="25" t="s">
        <v>32</v>
      </c>
      <c r="V470" s="22" t="s">
        <v>75</v>
      </c>
      <c r="W470" s="32" t="s">
        <v>34</v>
      </c>
    </row>
    <row r="471" spans="1:23">
      <c r="A471" s="22" t="s">
        <v>1211</v>
      </c>
      <c r="B471" s="25">
        <f>VLOOKUP(A471,[1]ProjectsResults!$D:$E,2,FALSE)</f>
        <v>10382</v>
      </c>
      <c r="C471" s="22">
        <f>VLOOKUP(A471,[2]Sheet2!$D:$E,2,FALSE)</f>
        <v>9128</v>
      </c>
      <c r="D471" s="22">
        <v>9128</v>
      </c>
      <c r="E471" s="22">
        <f>VLOOKUP(A471,[3]Sheet2!$A:$F,6,FALSE)</f>
        <v>624250</v>
      </c>
      <c r="G471" s="22" t="s">
        <v>1212</v>
      </c>
      <c r="H471" s="22" t="s">
        <v>313</v>
      </c>
      <c r="I471" s="22" t="s">
        <v>25</v>
      </c>
      <c r="J471" s="29" t="s">
        <v>168</v>
      </c>
      <c r="K471" s="22" t="s">
        <v>314</v>
      </c>
      <c r="L471" s="29" t="s">
        <v>28</v>
      </c>
      <c r="P471" s="30">
        <v>45707</v>
      </c>
      <c r="Q471" s="30">
        <v>45707</v>
      </c>
      <c r="R471" s="22" t="s">
        <v>29</v>
      </c>
      <c r="S471" s="29" t="s">
        <v>30</v>
      </c>
      <c r="T471" s="22" t="s">
        <v>31</v>
      </c>
      <c r="U471" s="25" t="s">
        <v>32</v>
      </c>
      <c r="V471" s="22" t="s">
        <v>33</v>
      </c>
      <c r="W471" s="32" t="s">
        <v>34</v>
      </c>
    </row>
    <row r="472" spans="1:23">
      <c r="A472" s="22" t="s">
        <v>1213</v>
      </c>
      <c r="B472" s="25">
        <f>VLOOKUP(A472,[1]ProjectsResults!$D:$E,2,FALSE)</f>
        <v>11221</v>
      </c>
      <c r="C472" s="22">
        <f>VLOOKUP(A472,[2]Sheet2!$D:$E,2,FALSE)</f>
        <v>10200</v>
      </c>
      <c r="D472" s="22">
        <v>10200</v>
      </c>
      <c r="E472" s="22">
        <f>VLOOKUP(A472,[3]Sheet2!$A:$F,6,FALSE)</f>
        <v>2500000</v>
      </c>
      <c r="G472" s="22" t="s">
        <v>1214</v>
      </c>
      <c r="H472" s="22" t="s">
        <v>1215</v>
      </c>
      <c r="I472" s="22" t="s">
        <v>25</v>
      </c>
      <c r="J472" s="22" t="s">
        <v>42</v>
      </c>
      <c r="K472" s="22" t="s">
        <v>179</v>
      </c>
      <c r="L472" s="29" t="s">
        <v>28</v>
      </c>
      <c r="P472" s="30">
        <v>45714</v>
      </c>
      <c r="Q472" s="30">
        <v>45714</v>
      </c>
      <c r="R472" s="22" t="s">
        <v>29</v>
      </c>
      <c r="S472" s="29" t="s">
        <v>30</v>
      </c>
      <c r="T472" s="22" t="s">
        <v>31</v>
      </c>
      <c r="U472" s="25" t="s">
        <v>32</v>
      </c>
      <c r="V472" s="22" t="s">
        <v>33</v>
      </c>
      <c r="W472" s="32" t="s">
        <v>34</v>
      </c>
    </row>
    <row r="473" spans="1:23">
      <c r="A473" s="22" t="s">
        <v>1216</v>
      </c>
      <c r="B473" s="25">
        <f>VLOOKUP(A473,[1]ProjectsResults!$D:$E,2,FALSE)</f>
        <v>10383</v>
      </c>
      <c r="C473" s="22">
        <f>VLOOKUP(A473,[2]Sheet2!$D:$E,2,FALSE)</f>
        <v>9129</v>
      </c>
      <c r="D473" s="22">
        <v>9129</v>
      </c>
      <c r="E473" s="22">
        <f>VLOOKUP(A473,[3]Sheet2!$A:$F,6,FALSE)</f>
        <v>870931</v>
      </c>
      <c r="G473" s="22" t="s">
        <v>1217</v>
      </c>
      <c r="H473" s="22" t="s">
        <v>249</v>
      </c>
      <c r="I473" s="22" t="s">
        <v>25</v>
      </c>
      <c r="J473" s="22" t="s">
        <v>250</v>
      </c>
      <c r="K473" s="29" t="s">
        <v>310</v>
      </c>
      <c r="L473" s="29" t="s">
        <v>28</v>
      </c>
      <c r="P473" s="30">
        <v>45711</v>
      </c>
      <c r="Q473" s="30">
        <v>45711</v>
      </c>
      <c r="R473" s="22" t="s">
        <v>29</v>
      </c>
      <c r="S473" s="29" t="s">
        <v>30</v>
      </c>
      <c r="T473" s="22" t="s">
        <v>31</v>
      </c>
      <c r="U473" s="25" t="s">
        <v>32</v>
      </c>
      <c r="V473" s="22" t="s">
        <v>33</v>
      </c>
      <c r="W473" s="32" t="s">
        <v>34</v>
      </c>
    </row>
    <row r="474" spans="1:23">
      <c r="A474" s="22" t="s">
        <v>1218</v>
      </c>
      <c r="B474" s="25">
        <f>VLOOKUP(A474,[1]ProjectsResults!$D:$E,2,FALSE)</f>
        <v>10384</v>
      </c>
      <c r="C474" s="22">
        <f>VLOOKUP(A474,[2]Sheet2!$D:$E,2,FALSE)</f>
        <v>9130</v>
      </c>
      <c r="D474" s="22">
        <v>9130</v>
      </c>
      <c r="E474" s="22">
        <f>VLOOKUP(A474,[3]Sheet2!$A:$F,6,FALSE)</f>
        <v>4479045</v>
      </c>
      <c r="G474" s="22" t="s">
        <v>1219</v>
      </c>
      <c r="H474" s="22" t="s">
        <v>114</v>
      </c>
      <c r="I474" s="22" t="s">
        <v>25</v>
      </c>
      <c r="J474" s="29" t="s">
        <v>115</v>
      </c>
      <c r="K474" s="22" t="s">
        <v>164</v>
      </c>
      <c r="L474" s="29" t="s">
        <v>28</v>
      </c>
      <c r="P474" s="30">
        <v>45712</v>
      </c>
      <c r="Q474" s="30">
        <v>45712</v>
      </c>
      <c r="R474" s="22" t="s">
        <v>29</v>
      </c>
      <c r="S474" s="29" t="s">
        <v>30</v>
      </c>
      <c r="T474" s="22" t="s">
        <v>49</v>
      </c>
      <c r="U474" s="25" t="s">
        <v>32</v>
      </c>
      <c r="V474" s="22" t="s">
        <v>117</v>
      </c>
      <c r="W474" s="32" t="s">
        <v>34</v>
      </c>
    </row>
    <row r="475" spans="1:23">
      <c r="A475" s="22" t="s">
        <v>1220</v>
      </c>
      <c r="B475" s="25">
        <f>VLOOKUP(A475,[1]ProjectsResults!$D:$E,2,FALSE)</f>
        <v>10385</v>
      </c>
      <c r="C475" s="22">
        <f>VLOOKUP(A475,[2]Sheet2!$D:$E,2,FALSE)</f>
        <v>9131</v>
      </c>
      <c r="D475" s="22">
        <v>9131</v>
      </c>
      <c r="E475" s="22">
        <f>VLOOKUP(A475,[3]Sheet2!$A:$F,6,FALSE)</f>
        <v>1019799</v>
      </c>
      <c r="G475" s="22" t="s">
        <v>1221</v>
      </c>
      <c r="H475" s="22" t="s">
        <v>114</v>
      </c>
      <c r="I475" s="22" t="s">
        <v>25</v>
      </c>
      <c r="J475" s="29" t="s">
        <v>115</v>
      </c>
      <c r="K475" s="29" t="s">
        <v>160</v>
      </c>
      <c r="L475" s="29" t="s">
        <v>28</v>
      </c>
      <c r="P475" s="30">
        <v>45714</v>
      </c>
      <c r="Q475" s="30">
        <v>45714</v>
      </c>
      <c r="R475" s="22" t="s">
        <v>29</v>
      </c>
      <c r="S475" s="29" t="s">
        <v>30</v>
      </c>
      <c r="T475" s="22" t="s">
        <v>49</v>
      </c>
      <c r="U475" s="25" t="s">
        <v>32</v>
      </c>
      <c r="V475" s="22" t="s">
        <v>117</v>
      </c>
      <c r="W475" s="32" t="s">
        <v>34</v>
      </c>
    </row>
    <row r="476" spans="1:23">
      <c r="A476" s="22" t="s">
        <v>1222</v>
      </c>
      <c r="B476" s="25">
        <f>VLOOKUP(A476,[1]ProjectsResults!$D:$E,2,FALSE)</f>
        <v>10386</v>
      </c>
      <c r="C476" s="22">
        <f>VLOOKUP(A476,[2]Sheet2!$D:$E,2,FALSE)</f>
        <v>9132</v>
      </c>
      <c r="D476" s="22">
        <v>9132</v>
      </c>
      <c r="E476" s="22">
        <f>VLOOKUP(A476,[3]Sheet2!$A:$F,6,FALSE)</f>
        <v>229636</v>
      </c>
      <c r="G476" s="22" t="s">
        <v>1223</v>
      </c>
      <c r="H476" s="22" t="s">
        <v>114</v>
      </c>
      <c r="I476" s="22" t="s">
        <v>25</v>
      </c>
      <c r="J476" s="29" t="s">
        <v>115</v>
      </c>
      <c r="K476" s="29" t="s">
        <v>160</v>
      </c>
      <c r="L476" s="29" t="s">
        <v>28</v>
      </c>
      <c r="P476" s="30">
        <v>45714</v>
      </c>
      <c r="Q476" s="30">
        <v>45715</v>
      </c>
      <c r="R476" s="22" t="s">
        <v>29</v>
      </c>
      <c r="S476" s="29" t="s">
        <v>30</v>
      </c>
      <c r="T476" s="22" t="s">
        <v>49</v>
      </c>
      <c r="U476" s="25" t="s">
        <v>32</v>
      </c>
      <c r="V476" s="22" t="s">
        <v>117</v>
      </c>
      <c r="W476" s="32" t="s">
        <v>34</v>
      </c>
    </row>
    <row r="477" spans="1:23">
      <c r="A477" s="22" t="s">
        <v>1224</v>
      </c>
      <c r="B477" s="25">
        <f>VLOOKUP(A477,[1]ProjectsResults!$D:$E,2,FALSE)</f>
        <v>10387</v>
      </c>
      <c r="C477" s="22">
        <f>VLOOKUP(A477,[2]Sheet2!$D:$E,2,FALSE)</f>
        <v>9133</v>
      </c>
      <c r="D477" s="22">
        <v>9133</v>
      </c>
      <c r="E477" s="22">
        <f>VLOOKUP(A477,[3]Sheet2!$A:$F,6,FALSE)</f>
        <v>242935</v>
      </c>
      <c r="G477" s="22" t="s">
        <v>1225</v>
      </c>
      <c r="H477" s="22" t="s">
        <v>114</v>
      </c>
      <c r="I477" s="22" t="s">
        <v>25</v>
      </c>
      <c r="J477" s="29" t="s">
        <v>115</v>
      </c>
      <c r="K477" s="29" t="s">
        <v>160</v>
      </c>
      <c r="L477" s="29" t="s">
        <v>28</v>
      </c>
      <c r="P477" s="30">
        <v>45712</v>
      </c>
      <c r="Q477" s="30">
        <v>45712</v>
      </c>
      <c r="R477" s="22" t="s">
        <v>29</v>
      </c>
      <c r="S477" s="29" t="s">
        <v>30</v>
      </c>
      <c r="T477" s="22" t="s">
        <v>49</v>
      </c>
      <c r="U477" s="25" t="s">
        <v>32</v>
      </c>
      <c r="V477" s="22" t="s">
        <v>117</v>
      </c>
      <c r="W477" s="32" t="s">
        <v>34</v>
      </c>
    </row>
    <row r="478" spans="1:23">
      <c r="A478" s="22" t="s">
        <v>1226</v>
      </c>
      <c r="B478" s="25">
        <f>VLOOKUP(A478,[1]ProjectsResults!$D:$E,2,FALSE)</f>
        <v>10388</v>
      </c>
      <c r="C478" s="22">
        <f>VLOOKUP(A478,[2]Sheet2!$D:$E,2,FALSE)</f>
        <v>9134</v>
      </c>
      <c r="D478" s="22">
        <v>9134</v>
      </c>
      <c r="E478" s="22">
        <f>VLOOKUP(A478,[3]Sheet2!$A:$F,6,FALSE)</f>
        <v>3412500</v>
      </c>
      <c r="G478" s="22" t="s">
        <v>1227</v>
      </c>
      <c r="H478" s="22" t="s">
        <v>348</v>
      </c>
      <c r="I478" s="22" t="s">
        <v>25</v>
      </c>
      <c r="J478" s="29" t="s">
        <v>168</v>
      </c>
      <c r="K478" s="29" t="s">
        <v>328</v>
      </c>
      <c r="L478" s="29" t="s">
        <v>28</v>
      </c>
      <c r="P478" s="30">
        <v>45727</v>
      </c>
      <c r="Q478" s="30">
        <v>45727</v>
      </c>
      <c r="R478" s="22" t="s">
        <v>29</v>
      </c>
      <c r="S478" s="29" t="s">
        <v>30</v>
      </c>
      <c r="T478" s="22" t="s">
        <v>31</v>
      </c>
      <c r="U478" s="25" t="s">
        <v>32</v>
      </c>
      <c r="V478" s="22" t="s">
        <v>33</v>
      </c>
      <c r="W478" s="32" t="s">
        <v>34</v>
      </c>
    </row>
    <row r="479" spans="1:23">
      <c r="A479" s="22" t="s">
        <v>1228</v>
      </c>
      <c r="B479" s="25">
        <f>VLOOKUP(A479,[1]ProjectsResults!$D:$E,2,FALSE)</f>
        <v>10389</v>
      </c>
      <c r="C479" s="22">
        <f>VLOOKUP(A479,[2]Sheet2!$D:$E,2,FALSE)</f>
        <v>9135</v>
      </c>
      <c r="D479" s="22">
        <v>9135</v>
      </c>
      <c r="E479" s="22">
        <f>VLOOKUP(A479,[3]Sheet2!$A:$F,6,FALSE)</f>
        <v>70875</v>
      </c>
      <c r="G479" s="22" t="s">
        <v>1229</v>
      </c>
      <c r="H479" s="22" t="s">
        <v>65</v>
      </c>
      <c r="I479" s="22" t="s">
        <v>25</v>
      </c>
      <c r="J479" s="29" t="s">
        <v>47</v>
      </c>
      <c r="K479" s="22" t="s">
        <v>66</v>
      </c>
      <c r="L479" s="29" t="s">
        <v>28</v>
      </c>
      <c r="P479" s="30">
        <v>45737</v>
      </c>
      <c r="Q479" s="30">
        <v>45737</v>
      </c>
      <c r="R479" s="22" t="s">
        <v>29</v>
      </c>
      <c r="S479" s="29" t="s">
        <v>30</v>
      </c>
      <c r="T479" s="22" t="s">
        <v>49</v>
      </c>
      <c r="U479" s="25" t="s">
        <v>32</v>
      </c>
      <c r="V479" s="22" t="s">
        <v>50</v>
      </c>
      <c r="W479" s="32" t="s">
        <v>34</v>
      </c>
    </row>
    <row r="480" spans="1:23">
      <c r="A480" s="22" t="s">
        <v>1230</v>
      </c>
      <c r="B480" s="25">
        <f>VLOOKUP(A480,[1]ProjectsResults!$D:$E,2,FALSE)</f>
        <v>10390</v>
      </c>
      <c r="C480" s="22">
        <f>VLOOKUP(A480,[2]Sheet2!$D:$E,2,FALSE)</f>
        <v>9597</v>
      </c>
      <c r="D480" s="22">
        <v>9597</v>
      </c>
      <c r="E480" s="22">
        <f>VLOOKUP(A480,[3]Sheet2!$A:$F,6,FALSE)</f>
        <v>790956</v>
      </c>
      <c r="G480" s="22" t="s">
        <v>1231</v>
      </c>
      <c r="H480" s="22" t="s">
        <v>1232</v>
      </c>
      <c r="I480" s="22" t="s">
        <v>25</v>
      </c>
      <c r="J480" s="29" t="s">
        <v>47</v>
      </c>
      <c r="K480" s="22" t="s">
        <v>196</v>
      </c>
      <c r="L480" s="29" t="s">
        <v>28</v>
      </c>
      <c r="P480" s="30">
        <v>45713</v>
      </c>
      <c r="Q480" s="30">
        <v>45714</v>
      </c>
      <c r="R480" s="22" t="s">
        <v>29</v>
      </c>
      <c r="S480" s="29" t="s">
        <v>30</v>
      </c>
      <c r="T480" s="22" t="s">
        <v>49</v>
      </c>
      <c r="U480" s="25" t="s">
        <v>32</v>
      </c>
      <c r="V480" s="22" t="s">
        <v>50</v>
      </c>
      <c r="W480" s="32" t="s">
        <v>34</v>
      </c>
    </row>
    <row r="481" spans="1:23">
      <c r="A481" s="22" t="s">
        <v>1233</v>
      </c>
      <c r="B481" s="25">
        <f>VLOOKUP(A481,[1]ProjectsResults!$D:$E,2,FALSE)</f>
        <v>10391</v>
      </c>
      <c r="C481" s="22">
        <f>VLOOKUP(A481,[2]Sheet2!$D:$E,2,FALSE)</f>
        <v>9136</v>
      </c>
      <c r="D481" s="22">
        <v>9136</v>
      </c>
      <c r="E481" s="22">
        <f>VLOOKUP(A481,[3]Sheet2!$A:$F,6,FALSE)</f>
        <v>586740</v>
      </c>
      <c r="G481" s="22" t="s">
        <v>1234</v>
      </c>
      <c r="H481" s="22" t="s">
        <v>65</v>
      </c>
      <c r="I481" s="22" t="s">
        <v>25</v>
      </c>
      <c r="J481" s="29" t="s">
        <v>47</v>
      </c>
      <c r="K481" s="22" t="s">
        <v>66</v>
      </c>
      <c r="L481" s="29" t="s">
        <v>28</v>
      </c>
      <c r="P481" s="30">
        <v>45744</v>
      </c>
      <c r="Q481" s="30">
        <v>45807</v>
      </c>
      <c r="R481" s="22" t="s">
        <v>29</v>
      </c>
      <c r="S481" s="29" t="s">
        <v>30</v>
      </c>
      <c r="T481" s="22" t="s">
        <v>49</v>
      </c>
      <c r="U481" s="25" t="s">
        <v>32</v>
      </c>
      <c r="V481" s="22" t="s">
        <v>50</v>
      </c>
      <c r="W481" s="32" t="s">
        <v>34</v>
      </c>
    </row>
    <row r="482" spans="1:23">
      <c r="A482" s="22" t="s">
        <v>1235</v>
      </c>
      <c r="B482" s="25">
        <f>VLOOKUP(A482,[1]ProjectsResults!$D:$E,2,FALSE)</f>
        <v>10392</v>
      </c>
      <c r="C482" s="22">
        <f>VLOOKUP(A482,[2]Sheet2!$D:$E,2,FALSE)</f>
        <v>9598</v>
      </c>
      <c r="D482" s="22">
        <v>9598</v>
      </c>
      <c r="E482" s="22">
        <f>VLOOKUP(A482,[3]Sheet2!$A:$F,6,FALSE)</f>
        <v>890340</v>
      </c>
      <c r="G482" s="22" t="s">
        <v>1236</v>
      </c>
      <c r="H482" s="22" t="s">
        <v>955</v>
      </c>
      <c r="I482" s="22" t="s">
        <v>25</v>
      </c>
      <c r="J482" s="29" t="s">
        <v>47</v>
      </c>
      <c r="K482" s="22" t="s">
        <v>1020</v>
      </c>
      <c r="L482" s="29" t="s">
        <v>28</v>
      </c>
      <c r="P482" s="30">
        <v>45710</v>
      </c>
      <c r="Q482" s="30">
        <v>45710</v>
      </c>
      <c r="R482" s="22" t="s">
        <v>29</v>
      </c>
      <c r="S482" s="29" t="s">
        <v>30</v>
      </c>
      <c r="T482" s="22" t="s">
        <v>49</v>
      </c>
      <c r="U482" s="25" t="s">
        <v>32</v>
      </c>
      <c r="V482" s="22" t="s">
        <v>50</v>
      </c>
      <c r="W482" s="32" t="s">
        <v>34</v>
      </c>
    </row>
    <row r="483" spans="1:23">
      <c r="A483" s="22" t="s">
        <v>1237</v>
      </c>
      <c r="B483" s="25">
        <f>VLOOKUP(A483,[1]ProjectsResults!$D:$E,2,FALSE)</f>
        <v>10393</v>
      </c>
      <c r="C483" s="22">
        <f>VLOOKUP(A483,[2]Sheet2!$D:$E,2,FALSE)</f>
        <v>9137</v>
      </c>
      <c r="D483" s="22">
        <v>9137</v>
      </c>
      <c r="E483" s="22">
        <f>VLOOKUP(A483,[3]Sheet2!$A:$F,6,FALSE)</f>
        <v>317178</v>
      </c>
      <c r="G483" s="22" t="s">
        <v>1238</v>
      </c>
      <c r="H483" s="22" t="s">
        <v>1239</v>
      </c>
      <c r="I483" s="22" t="s">
        <v>25</v>
      </c>
      <c r="J483" s="29" t="s">
        <v>47</v>
      </c>
      <c r="K483" s="22" t="s">
        <v>196</v>
      </c>
      <c r="L483" s="29" t="s">
        <v>28</v>
      </c>
      <c r="P483" s="30">
        <v>45722</v>
      </c>
      <c r="Q483" s="30">
        <v>45722</v>
      </c>
      <c r="R483" s="22" t="s">
        <v>29</v>
      </c>
      <c r="S483" s="29" t="s">
        <v>30</v>
      </c>
      <c r="T483" s="22" t="s">
        <v>49</v>
      </c>
      <c r="U483" s="25" t="s">
        <v>32</v>
      </c>
      <c r="V483" s="22" t="s">
        <v>50</v>
      </c>
      <c r="W483" s="32" t="s">
        <v>34</v>
      </c>
    </row>
    <row r="484" spans="1:23">
      <c r="A484" s="22" t="s">
        <v>1240</v>
      </c>
      <c r="B484" s="25">
        <f>VLOOKUP(A484,[1]ProjectsResults!$D:$E,2,FALSE)</f>
        <v>10394</v>
      </c>
      <c r="C484" s="22">
        <f>VLOOKUP(A484,[2]Sheet2!$D:$E,2,FALSE)</f>
        <v>9138</v>
      </c>
      <c r="D484" s="22">
        <v>9138</v>
      </c>
      <c r="E484" s="22">
        <f>VLOOKUP(A484,[3]Sheet2!$A:$F,6,FALSE)</f>
        <v>207932</v>
      </c>
      <c r="G484" s="22" t="s">
        <v>1241</v>
      </c>
      <c r="H484" s="22" t="s">
        <v>58</v>
      </c>
      <c r="I484" s="22" t="s">
        <v>25</v>
      </c>
      <c r="J484" s="29" t="s">
        <v>47</v>
      </c>
      <c r="K484" s="22" t="s">
        <v>1189</v>
      </c>
      <c r="L484" s="29" t="s">
        <v>28</v>
      </c>
      <c r="P484" s="30">
        <v>45709</v>
      </c>
      <c r="Q484" s="30">
        <v>45709</v>
      </c>
      <c r="R484" s="22" t="s">
        <v>29</v>
      </c>
      <c r="S484" s="29" t="s">
        <v>30</v>
      </c>
      <c r="T484" s="22" t="s">
        <v>49</v>
      </c>
      <c r="U484" s="25" t="s">
        <v>32</v>
      </c>
      <c r="V484" s="22" t="s">
        <v>50</v>
      </c>
      <c r="W484" s="32" t="s">
        <v>34</v>
      </c>
    </row>
    <row r="485" spans="1:23">
      <c r="A485" s="22" t="s">
        <v>1242</v>
      </c>
      <c r="B485" s="25">
        <f>VLOOKUP(A485,[1]ProjectsResults!$D:$E,2,FALSE)</f>
        <v>10395</v>
      </c>
      <c r="C485" s="22">
        <f>VLOOKUP(A485,[2]Sheet2!$D:$E,2,FALSE)</f>
        <v>9358</v>
      </c>
      <c r="D485" s="22">
        <v>9358</v>
      </c>
      <c r="E485" s="22">
        <f>VLOOKUP(A485,[3]Sheet2!$A:$F,6,FALSE)</f>
        <v>21500</v>
      </c>
      <c r="G485" s="22" t="s">
        <v>1243</v>
      </c>
      <c r="H485" s="22" t="s">
        <v>159</v>
      </c>
      <c r="I485" s="22" t="s">
        <v>25</v>
      </c>
      <c r="J485" s="29" t="s">
        <v>115</v>
      </c>
      <c r="K485" s="22" t="s">
        <v>591</v>
      </c>
      <c r="L485" s="29" t="s">
        <v>28</v>
      </c>
      <c r="P485" s="30">
        <v>45710</v>
      </c>
      <c r="Q485" s="30">
        <v>45710</v>
      </c>
      <c r="R485" s="22" t="s">
        <v>29</v>
      </c>
      <c r="S485" s="29" t="s">
        <v>30</v>
      </c>
      <c r="T485" s="22" t="s">
        <v>49</v>
      </c>
      <c r="U485" s="25" t="s">
        <v>32</v>
      </c>
      <c r="V485" s="22" t="s">
        <v>117</v>
      </c>
      <c r="W485" s="32" t="s">
        <v>34</v>
      </c>
    </row>
    <row r="486" spans="1:23">
      <c r="A486" s="22" t="s">
        <v>1244</v>
      </c>
      <c r="B486" s="25">
        <f>VLOOKUP(A486,[1]ProjectsResults!$D:$E,2,FALSE)</f>
        <v>10396</v>
      </c>
      <c r="C486" s="22">
        <f>VLOOKUP(A486,[2]Sheet2!$D:$E,2,FALSE)</f>
        <v>9139</v>
      </c>
      <c r="D486" s="22">
        <v>9139</v>
      </c>
      <c r="E486" s="22">
        <f>VLOOKUP(A486,[3]Sheet2!$A:$F,6,FALSE)</f>
        <v>840000</v>
      </c>
      <c r="G486" s="22" t="s">
        <v>1245</v>
      </c>
      <c r="H486" s="22" t="s">
        <v>82</v>
      </c>
      <c r="I486" s="22" t="s">
        <v>25</v>
      </c>
      <c r="J486" s="22" t="s">
        <v>72</v>
      </c>
      <c r="K486" s="22" t="s">
        <v>83</v>
      </c>
      <c r="L486" s="29" t="s">
        <v>28</v>
      </c>
      <c r="P486" s="30">
        <v>45722</v>
      </c>
      <c r="Q486" s="30">
        <v>45723</v>
      </c>
      <c r="R486" s="22" t="s">
        <v>29</v>
      </c>
      <c r="S486" s="29" t="s">
        <v>30</v>
      </c>
      <c r="T486" s="22" t="s">
        <v>74</v>
      </c>
      <c r="U486" s="25" t="s">
        <v>32</v>
      </c>
      <c r="V486" s="22" t="s">
        <v>75</v>
      </c>
      <c r="W486" s="32" t="s">
        <v>34</v>
      </c>
    </row>
    <row r="487" spans="1:23">
      <c r="A487" s="22" t="s">
        <v>1246</v>
      </c>
      <c r="B487" s="25">
        <f>VLOOKUP(A487,[1]ProjectsResults!$D:$E,2,FALSE)</f>
        <v>10397</v>
      </c>
      <c r="C487" s="22">
        <f>VLOOKUP(A487,[2]Sheet2!$D:$E,2,FALSE)</f>
        <v>9140</v>
      </c>
      <c r="D487" s="22">
        <v>9140</v>
      </c>
      <c r="E487" s="22">
        <f>VLOOKUP(A487,[3]Sheet2!$A:$F,6,FALSE)</f>
        <v>5130720</v>
      </c>
      <c r="G487" s="22" t="s">
        <v>1247</v>
      </c>
      <c r="H487" s="22" t="s">
        <v>1248</v>
      </c>
      <c r="I487" s="22" t="s">
        <v>25</v>
      </c>
      <c r="J487" s="22" t="s">
        <v>72</v>
      </c>
      <c r="K487" s="22" t="s">
        <v>83</v>
      </c>
      <c r="L487" s="29" t="s">
        <v>28</v>
      </c>
      <c r="P487" s="30">
        <v>45756</v>
      </c>
      <c r="Q487" s="30">
        <v>45756</v>
      </c>
      <c r="R487" s="22" t="s">
        <v>29</v>
      </c>
      <c r="S487" s="29" t="s">
        <v>30</v>
      </c>
      <c r="T487" s="22" t="s">
        <v>74</v>
      </c>
      <c r="U487" s="25" t="s">
        <v>32</v>
      </c>
      <c r="V487" s="22" t="s">
        <v>75</v>
      </c>
      <c r="W487" s="32" t="s">
        <v>34</v>
      </c>
    </row>
    <row r="488" spans="1:23">
      <c r="A488" s="22" t="s">
        <v>1249</v>
      </c>
      <c r="B488" s="25">
        <f>VLOOKUP(A488,[1]ProjectsResults!$D:$E,2,FALSE)</f>
        <v>10398</v>
      </c>
      <c r="C488" s="22">
        <f>VLOOKUP(A488,[2]Sheet2!$D:$E,2,FALSE)</f>
        <v>9141</v>
      </c>
      <c r="D488" s="22">
        <v>9141</v>
      </c>
      <c r="E488" s="22">
        <f>VLOOKUP(A488,[3]Sheet2!$A:$F,6,FALSE)</f>
        <v>593505</v>
      </c>
      <c r="G488" s="22" t="s">
        <v>1250</v>
      </c>
      <c r="H488" s="22" t="s">
        <v>1251</v>
      </c>
      <c r="I488" s="22" t="s">
        <v>25</v>
      </c>
      <c r="J488" s="29" t="s">
        <v>47</v>
      </c>
      <c r="K488" s="22" t="s">
        <v>196</v>
      </c>
      <c r="L488" s="29" t="s">
        <v>28</v>
      </c>
      <c r="P488" s="30">
        <v>45715</v>
      </c>
      <c r="Q488" s="30">
        <v>45715</v>
      </c>
      <c r="R488" s="22" t="s">
        <v>29</v>
      </c>
      <c r="S488" s="29" t="s">
        <v>30</v>
      </c>
      <c r="T488" s="22" t="s">
        <v>49</v>
      </c>
      <c r="U488" s="25" t="s">
        <v>32</v>
      </c>
      <c r="V488" s="22" t="s">
        <v>50</v>
      </c>
      <c r="W488" s="32" t="s">
        <v>34</v>
      </c>
    </row>
    <row r="489" spans="1:23">
      <c r="A489" s="22" t="s">
        <v>1252</v>
      </c>
      <c r="B489" s="25">
        <f>VLOOKUP(A489,[1]ProjectsResults!$D:$E,2,FALSE)</f>
        <v>10399</v>
      </c>
      <c r="C489" s="22">
        <f>VLOOKUP(A489,[2]Sheet2!$D:$E,2,FALSE)</f>
        <v>9142</v>
      </c>
      <c r="D489" s="22">
        <v>9142</v>
      </c>
      <c r="E489" s="22">
        <f>VLOOKUP(A489,[3]Sheet2!$A:$F,6,FALSE)</f>
        <v>1232800</v>
      </c>
      <c r="G489" s="22" t="s">
        <v>1253</v>
      </c>
      <c r="H489" s="22" t="s">
        <v>37</v>
      </c>
      <c r="I489" s="22" t="s">
        <v>25</v>
      </c>
      <c r="J489" s="22" t="s">
        <v>38</v>
      </c>
      <c r="K489" s="22" t="s">
        <v>38</v>
      </c>
      <c r="L489" s="29" t="s">
        <v>28</v>
      </c>
      <c r="P489" s="30">
        <v>45744</v>
      </c>
      <c r="Q489" s="30">
        <v>45744</v>
      </c>
      <c r="R489" s="22" t="s">
        <v>29</v>
      </c>
      <c r="S489" s="29" t="s">
        <v>30</v>
      </c>
      <c r="T489" s="22" t="s">
        <v>31</v>
      </c>
      <c r="U489" s="25" t="s">
        <v>32</v>
      </c>
      <c r="V489" s="22" t="s">
        <v>33</v>
      </c>
      <c r="W489" s="32" t="s">
        <v>34</v>
      </c>
    </row>
    <row r="490" spans="1:23">
      <c r="A490" s="22" t="s">
        <v>1254</v>
      </c>
      <c r="B490" s="25">
        <f>VLOOKUP(A490,[1]ProjectsResults!$D:$E,2,FALSE)</f>
        <v>10400</v>
      </c>
      <c r="C490" s="22">
        <f>VLOOKUP(A490,[2]Sheet2!$D:$E,2,FALSE)</f>
        <v>9143</v>
      </c>
      <c r="D490" s="22">
        <v>9143</v>
      </c>
      <c r="E490" s="22">
        <f>VLOOKUP(A490,[3]Sheet2!$A:$F,6,FALSE)</f>
        <v>618622</v>
      </c>
      <c r="G490" s="22" t="s">
        <v>1255</v>
      </c>
      <c r="H490" s="22" t="s">
        <v>372</v>
      </c>
      <c r="I490" s="22" t="s">
        <v>25</v>
      </c>
      <c r="J490" s="22" t="s">
        <v>1256</v>
      </c>
      <c r="K490" s="22" t="s">
        <v>1257</v>
      </c>
      <c r="L490" s="29" t="s">
        <v>28</v>
      </c>
      <c r="P490" s="30">
        <v>45712</v>
      </c>
      <c r="Q490" s="30">
        <v>45712</v>
      </c>
      <c r="R490" s="22" t="s">
        <v>29</v>
      </c>
      <c r="S490" s="29" t="s">
        <v>30</v>
      </c>
      <c r="T490" s="22" t="s">
        <v>31</v>
      </c>
      <c r="U490" s="25" t="s">
        <v>32</v>
      </c>
      <c r="V490" s="22" t="s">
        <v>33</v>
      </c>
      <c r="W490" s="32" t="s">
        <v>34</v>
      </c>
    </row>
    <row r="491" spans="1:23">
      <c r="A491" s="22" t="s">
        <v>1258</v>
      </c>
      <c r="B491" s="25">
        <f>VLOOKUP(A491,[1]ProjectsResults!$D:$E,2,FALSE)</f>
        <v>10401</v>
      </c>
      <c r="C491" s="22">
        <f>VLOOKUP(A491,[2]Sheet2!$D:$E,2,FALSE)</f>
        <v>9144</v>
      </c>
      <c r="D491" s="22">
        <v>9144</v>
      </c>
      <c r="E491" s="22">
        <f>VLOOKUP(A491,[3]Sheet2!$A:$F,6,FALSE)</f>
        <v>0</v>
      </c>
      <c r="G491" s="22" t="s">
        <v>1259</v>
      </c>
      <c r="H491" s="22" t="s">
        <v>348</v>
      </c>
      <c r="I491" s="22" t="s">
        <v>25</v>
      </c>
      <c r="J491" s="29" t="s">
        <v>168</v>
      </c>
      <c r="K491" s="29" t="s">
        <v>328</v>
      </c>
      <c r="L491" s="29" t="s">
        <v>28</v>
      </c>
      <c r="P491" s="30">
        <v>45712</v>
      </c>
      <c r="Q491" s="30">
        <v>45713</v>
      </c>
      <c r="R491" s="22" t="s">
        <v>29</v>
      </c>
      <c r="S491" s="29" t="s">
        <v>30</v>
      </c>
      <c r="T491" s="22" t="s">
        <v>31</v>
      </c>
      <c r="U491" s="25" t="s">
        <v>32</v>
      </c>
      <c r="V491" s="22" t="s">
        <v>33</v>
      </c>
      <c r="W491" s="32" t="s">
        <v>34</v>
      </c>
    </row>
    <row r="492" spans="1:23">
      <c r="A492" s="22" t="s">
        <v>1260</v>
      </c>
      <c r="B492" s="25">
        <f>VLOOKUP(A492,[1]ProjectsResults!$D:$E,2,FALSE)</f>
        <v>10402</v>
      </c>
      <c r="C492" s="22">
        <f>VLOOKUP(A492,[2]Sheet2!$D:$E,2,FALSE)</f>
        <v>9145</v>
      </c>
      <c r="D492" s="22">
        <v>9145</v>
      </c>
      <c r="E492" s="22">
        <f>VLOOKUP(A492,[3]Sheet2!$A:$F,6,FALSE)</f>
        <v>0</v>
      </c>
      <c r="G492" s="22" t="s">
        <v>1261</v>
      </c>
      <c r="H492" s="22" t="s">
        <v>105</v>
      </c>
      <c r="I492" s="22" t="s">
        <v>25</v>
      </c>
      <c r="J492" s="22" t="s">
        <v>42</v>
      </c>
      <c r="K492" s="22" t="s">
        <v>43</v>
      </c>
      <c r="L492" s="29" t="s">
        <v>28</v>
      </c>
      <c r="P492" s="30">
        <v>45715</v>
      </c>
      <c r="Q492" s="30">
        <v>45716</v>
      </c>
      <c r="R492" s="22" t="s">
        <v>29</v>
      </c>
      <c r="S492" s="29" t="s">
        <v>30</v>
      </c>
      <c r="T492" s="22" t="s">
        <v>31</v>
      </c>
      <c r="U492" s="25" t="s">
        <v>32</v>
      </c>
      <c r="V492" s="22" t="s">
        <v>33</v>
      </c>
      <c r="W492" s="32" t="s">
        <v>34</v>
      </c>
    </row>
    <row r="493" spans="1:23">
      <c r="A493" s="22" t="s">
        <v>1262</v>
      </c>
      <c r="B493" s="25">
        <f>VLOOKUP(A493,[1]ProjectsResults!$D:$E,2,FALSE)</f>
        <v>10403</v>
      </c>
      <c r="C493" s="22">
        <f>VLOOKUP(A493,[2]Sheet2!$D:$E,2,FALSE)</f>
        <v>9146</v>
      </c>
      <c r="D493" s="22">
        <v>9146</v>
      </c>
      <c r="E493" s="22">
        <f>VLOOKUP(A493,[3]Sheet2!$A:$F,6,FALSE)</f>
        <v>0</v>
      </c>
      <c r="G493" s="22" t="s">
        <v>1263</v>
      </c>
      <c r="H493" s="22" t="s">
        <v>493</v>
      </c>
      <c r="I493" s="22" t="s">
        <v>25</v>
      </c>
      <c r="J493" s="29" t="s">
        <v>168</v>
      </c>
      <c r="K493" s="22" t="s">
        <v>494</v>
      </c>
      <c r="L493" s="29" t="s">
        <v>28</v>
      </c>
      <c r="P493" s="30">
        <v>45713</v>
      </c>
      <c r="Q493" s="30">
        <v>45713</v>
      </c>
      <c r="R493" s="22" t="s">
        <v>29</v>
      </c>
      <c r="S493" s="29" t="s">
        <v>30</v>
      </c>
      <c r="T493" s="22" t="s">
        <v>31</v>
      </c>
      <c r="U493" s="25" t="s">
        <v>32</v>
      </c>
      <c r="V493" s="22" t="s">
        <v>33</v>
      </c>
      <c r="W493" s="32" t="s">
        <v>34</v>
      </c>
    </row>
    <row r="494" spans="1:23">
      <c r="A494" s="22" t="s">
        <v>1264</v>
      </c>
      <c r="B494" s="25">
        <f>VLOOKUP(A494,[1]ProjectsResults!$D:$E,2,FALSE)</f>
        <v>10404</v>
      </c>
      <c r="C494" s="22">
        <f>VLOOKUP(A494,[2]Sheet2!$D:$E,2,FALSE)</f>
        <v>9599</v>
      </c>
      <c r="D494" s="22">
        <v>9599</v>
      </c>
      <c r="E494" s="22">
        <f>VLOOKUP(A494,[3]Sheet2!$A:$F,6,FALSE)</f>
        <v>0</v>
      </c>
      <c r="G494" s="22" t="s">
        <v>1265</v>
      </c>
      <c r="H494" s="22" t="s">
        <v>772</v>
      </c>
      <c r="I494" s="22" t="s">
        <v>25</v>
      </c>
      <c r="J494" s="29" t="s">
        <v>47</v>
      </c>
      <c r="K494" s="22" t="s">
        <v>557</v>
      </c>
      <c r="L494" s="29" t="s">
        <v>28</v>
      </c>
      <c r="P494" s="30">
        <v>45716</v>
      </c>
      <c r="Q494" s="30">
        <v>45716</v>
      </c>
      <c r="R494" s="22" t="s">
        <v>29</v>
      </c>
      <c r="S494" s="29" t="s">
        <v>30</v>
      </c>
      <c r="T494" s="22" t="s">
        <v>49</v>
      </c>
      <c r="U494" s="25" t="s">
        <v>32</v>
      </c>
      <c r="V494" s="22" t="s">
        <v>50</v>
      </c>
      <c r="W494" s="32" t="s">
        <v>34</v>
      </c>
    </row>
    <row r="495" spans="1:23">
      <c r="A495" s="22" t="s">
        <v>1266</v>
      </c>
      <c r="B495" s="25">
        <f>VLOOKUP(A495,[1]ProjectsResults!$D:$E,2,FALSE)</f>
        <v>10405</v>
      </c>
      <c r="C495" s="22">
        <f>VLOOKUP(A495,[2]Sheet2!$D:$E,2,FALSE)</f>
        <v>9359</v>
      </c>
      <c r="D495" s="22">
        <v>9359</v>
      </c>
      <c r="E495" s="22">
        <f>VLOOKUP(A495,[3]Sheet2!$A:$F,6,FALSE)</f>
        <v>0</v>
      </c>
      <c r="G495" s="22" t="s">
        <v>1267</v>
      </c>
      <c r="H495" s="22" t="s">
        <v>159</v>
      </c>
      <c r="I495" s="22" t="s">
        <v>25</v>
      </c>
      <c r="J495" s="29" t="s">
        <v>115</v>
      </c>
      <c r="K495" s="22" t="s">
        <v>164</v>
      </c>
      <c r="L495" s="29" t="s">
        <v>28</v>
      </c>
      <c r="P495" s="30">
        <v>45713</v>
      </c>
      <c r="Q495" s="30">
        <v>45713</v>
      </c>
      <c r="R495" s="22" t="s">
        <v>29</v>
      </c>
      <c r="S495" s="29" t="s">
        <v>30</v>
      </c>
      <c r="T495" s="22" t="s">
        <v>49</v>
      </c>
      <c r="U495" s="25" t="s">
        <v>32</v>
      </c>
      <c r="V495" s="22" t="s">
        <v>117</v>
      </c>
      <c r="W495" s="32" t="s">
        <v>34</v>
      </c>
    </row>
    <row r="496" spans="1:23">
      <c r="A496" s="22" t="s">
        <v>1268</v>
      </c>
      <c r="B496" s="25">
        <f>VLOOKUP(A496,[1]ProjectsResults!$D:$E,2,FALSE)</f>
        <v>10406</v>
      </c>
      <c r="C496" s="22">
        <f>VLOOKUP(A496,[2]Sheet2!$D:$E,2,FALSE)</f>
        <v>9147</v>
      </c>
      <c r="D496" s="22">
        <v>9147</v>
      </c>
      <c r="E496" s="22">
        <f>VLOOKUP(A496,[3]Sheet2!$A:$F,6,FALSE)</f>
        <v>0</v>
      </c>
      <c r="G496" s="22" t="s">
        <v>1269</v>
      </c>
      <c r="H496" s="22" t="s">
        <v>114</v>
      </c>
      <c r="I496" s="22" t="s">
        <v>25</v>
      </c>
      <c r="J496" s="29" t="s">
        <v>115</v>
      </c>
      <c r="K496" s="22" t="s">
        <v>164</v>
      </c>
      <c r="L496" s="29" t="s">
        <v>28</v>
      </c>
      <c r="P496" s="30">
        <v>45719</v>
      </c>
      <c r="Q496" s="30">
        <v>45719</v>
      </c>
      <c r="R496" s="22" t="s">
        <v>29</v>
      </c>
      <c r="S496" s="29" t="s">
        <v>30</v>
      </c>
      <c r="T496" s="22" t="s">
        <v>49</v>
      </c>
      <c r="U496" s="25" t="s">
        <v>32</v>
      </c>
      <c r="V496" s="22" t="s">
        <v>117</v>
      </c>
      <c r="W496" s="32" t="s">
        <v>34</v>
      </c>
    </row>
    <row r="497" spans="1:23">
      <c r="A497" s="22" t="s">
        <v>1270</v>
      </c>
      <c r="B497" s="25">
        <f>VLOOKUP(A497,[1]ProjectsResults!$D:$E,2,FALSE)</f>
        <v>10407</v>
      </c>
      <c r="C497" s="22">
        <f>VLOOKUP(A497,[2]Sheet2!$D:$E,2,FALSE)</f>
        <v>9148</v>
      </c>
      <c r="D497" s="22">
        <v>9148</v>
      </c>
      <c r="E497" s="22">
        <f>VLOOKUP(A497,[3]Sheet2!$A:$F,6,FALSE)</f>
        <v>0</v>
      </c>
      <c r="G497" s="22" t="s">
        <v>1271</v>
      </c>
      <c r="H497" s="22" t="s">
        <v>601</v>
      </c>
      <c r="I497" s="22" t="s">
        <v>25</v>
      </c>
      <c r="J497" s="22" t="s">
        <v>38</v>
      </c>
      <c r="K497" s="22" t="s">
        <v>588</v>
      </c>
      <c r="L497" s="29" t="s">
        <v>28</v>
      </c>
      <c r="P497" s="30">
        <v>45720</v>
      </c>
      <c r="Q497" s="30">
        <v>45720</v>
      </c>
      <c r="R497" s="22" t="s">
        <v>29</v>
      </c>
      <c r="S497" s="29" t="s">
        <v>30</v>
      </c>
      <c r="T497" s="22" t="s">
        <v>31</v>
      </c>
      <c r="U497" s="25" t="s">
        <v>32</v>
      </c>
      <c r="V497" s="22" t="s">
        <v>33</v>
      </c>
      <c r="W497" s="32" t="s">
        <v>34</v>
      </c>
    </row>
    <row r="498" spans="1:23">
      <c r="A498" s="22" t="s">
        <v>1272</v>
      </c>
      <c r="B498" s="25">
        <f>VLOOKUP(A498,[1]ProjectsResults!$D:$E,2,FALSE)</f>
        <v>10408</v>
      </c>
      <c r="C498" s="22">
        <f>VLOOKUP(A498,[2]Sheet2!$D:$E,2,FALSE)</f>
        <v>9149</v>
      </c>
      <c r="D498" s="22">
        <v>9149</v>
      </c>
      <c r="E498" s="22">
        <f>VLOOKUP(A498,[3]Sheet2!$A:$F,6,FALSE)</f>
        <v>0</v>
      </c>
      <c r="G498" s="22" t="s">
        <v>1273</v>
      </c>
      <c r="H498" s="22" t="s">
        <v>133</v>
      </c>
      <c r="I498" s="22" t="s">
        <v>25</v>
      </c>
      <c r="J498" s="22" t="s">
        <v>72</v>
      </c>
      <c r="K498" s="22" t="s">
        <v>83</v>
      </c>
      <c r="L498" s="29" t="s">
        <v>28</v>
      </c>
      <c r="P498" s="30">
        <v>45722</v>
      </c>
      <c r="Q498" s="30">
        <v>45728</v>
      </c>
      <c r="R498" s="22" t="s">
        <v>29</v>
      </c>
      <c r="S498" s="29" t="s">
        <v>30</v>
      </c>
      <c r="T498" s="22" t="s">
        <v>74</v>
      </c>
      <c r="U498" s="25" t="s">
        <v>32</v>
      </c>
      <c r="V498" s="22" t="s">
        <v>75</v>
      </c>
      <c r="W498" s="32" t="s">
        <v>34</v>
      </c>
    </row>
    <row r="499" spans="1:23">
      <c r="A499" s="22" t="s">
        <v>1274</v>
      </c>
      <c r="B499" s="25">
        <f>VLOOKUP(A499,[1]ProjectsResults!$D:$E,2,FALSE)</f>
        <v>10409</v>
      </c>
      <c r="C499" s="22">
        <f>VLOOKUP(A499,[2]Sheet2!$D:$E,2,FALSE)</f>
        <v>9150</v>
      </c>
      <c r="D499" s="22">
        <v>9150</v>
      </c>
      <c r="E499" s="22">
        <f>VLOOKUP(A499,[3]Sheet2!$A:$F,6,FALSE)</f>
        <v>0</v>
      </c>
      <c r="G499" s="22" t="s">
        <v>1275</v>
      </c>
      <c r="H499" s="22" t="s">
        <v>86</v>
      </c>
      <c r="I499" s="22" t="s">
        <v>25</v>
      </c>
      <c r="J499" s="22" t="s">
        <v>42</v>
      </c>
      <c r="K499" s="25" t="s">
        <v>254</v>
      </c>
      <c r="L499" s="29" t="s">
        <v>28</v>
      </c>
      <c r="P499" s="30">
        <v>45726</v>
      </c>
      <c r="Q499" s="30">
        <v>45736</v>
      </c>
      <c r="R499" s="22" t="s">
        <v>29</v>
      </c>
      <c r="S499" s="29" t="s">
        <v>30</v>
      </c>
      <c r="T499" s="22" t="s">
        <v>31</v>
      </c>
      <c r="U499" s="25" t="s">
        <v>32</v>
      </c>
      <c r="V499" s="22" t="s">
        <v>33</v>
      </c>
      <c r="W499" s="32" t="s">
        <v>34</v>
      </c>
    </row>
    <row r="500" spans="1:23">
      <c r="A500" s="22" t="s">
        <v>1276</v>
      </c>
      <c r="B500" s="25">
        <f>VLOOKUP(A500,[1]ProjectsResults!$D:$E,2,FALSE)</f>
        <v>10410</v>
      </c>
      <c r="C500" s="22">
        <f>VLOOKUP(A500,[2]Sheet2!$D:$E,2,FALSE)</f>
        <v>9339</v>
      </c>
      <c r="D500" s="22">
        <v>9339</v>
      </c>
      <c r="E500" s="22">
        <f>VLOOKUP(A500,[3]Sheet2!$A:$F,6,FALSE)</f>
        <v>0</v>
      </c>
      <c r="G500" s="22" t="s">
        <v>1277</v>
      </c>
      <c r="H500" s="22" t="s">
        <v>420</v>
      </c>
      <c r="I500" s="22" t="s">
        <v>25</v>
      </c>
      <c r="J500" s="29" t="s">
        <v>47</v>
      </c>
      <c r="K500" s="22" t="s">
        <v>1278</v>
      </c>
      <c r="L500" s="29" t="s">
        <v>28</v>
      </c>
      <c r="P500" s="30">
        <v>45742</v>
      </c>
      <c r="Q500" s="30">
        <v>45742</v>
      </c>
      <c r="R500" s="22" t="s">
        <v>29</v>
      </c>
      <c r="S500" s="29" t="s">
        <v>30</v>
      </c>
      <c r="T500" s="22" t="s">
        <v>49</v>
      </c>
      <c r="U500" s="25" t="s">
        <v>32</v>
      </c>
      <c r="V500" s="22" t="s">
        <v>50</v>
      </c>
      <c r="W500" s="32" t="s">
        <v>34</v>
      </c>
    </row>
    <row r="501" spans="1:23">
      <c r="A501" s="22" t="s">
        <v>1279</v>
      </c>
      <c r="B501" s="25">
        <f>VLOOKUP(A501,[1]ProjectsResults!$D:$E,2,FALSE)</f>
        <v>10411</v>
      </c>
      <c r="C501" s="22">
        <f>VLOOKUP(A501,[2]Sheet2!$D:$E,2,FALSE)</f>
        <v>9151</v>
      </c>
      <c r="D501" s="22">
        <v>9151</v>
      </c>
      <c r="E501" s="22">
        <f>VLOOKUP(A501,[3]Sheet2!$A:$F,6,FALSE)</f>
        <v>0</v>
      </c>
      <c r="G501" s="22" t="s">
        <v>1280</v>
      </c>
      <c r="H501" s="22" t="s">
        <v>472</v>
      </c>
      <c r="I501" s="22" t="s">
        <v>25</v>
      </c>
      <c r="J501" s="29" t="s">
        <v>47</v>
      </c>
      <c r="K501" s="22" t="s">
        <v>129</v>
      </c>
      <c r="L501" s="29" t="s">
        <v>28</v>
      </c>
      <c r="P501" s="30">
        <v>45716</v>
      </c>
      <c r="Q501" s="30">
        <v>45716</v>
      </c>
      <c r="R501" s="22" t="s">
        <v>29</v>
      </c>
      <c r="S501" s="29" t="s">
        <v>30</v>
      </c>
      <c r="T501" s="22" t="s">
        <v>49</v>
      </c>
      <c r="U501" s="25" t="s">
        <v>32</v>
      </c>
      <c r="V501" s="22" t="s">
        <v>50</v>
      </c>
      <c r="W501" s="32" t="s">
        <v>34</v>
      </c>
    </row>
    <row r="502" spans="1:23">
      <c r="A502" s="22" t="s">
        <v>1281</v>
      </c>
      <c r="B502" s="25">
        <f>VLOOKUP(A502,[1]ProjectsResults!$D:$E,2,FALSE)</f>
        <v>10412</v>
      </c>
      <c r="C502" s="22">
        <f>VLOOKUP(A502,[2]Sheet2!$D:$E,2,FALSE)</f>
        <v>9706</v>
      </c>
      <c r="D502" s="22">
        <v>9706</v>
      </c>
      <c r="E502" s="22">
        <f>VLOOKUP(A502,[3]Sheet2!$A:$F,6,FALSE)</f>
        <v>0</v>
      </c>
      <c r="G502" s="22" t="s">
        <v>1282</v>
      </c>
      <c r="H502" s="22" t="s">
        <v>751</v>
      </c>
      <c r="I502" s="22" t="s">
        <v>25</v>
      </c>
      <c r="J502" s="29" t="s">
        <v>115</v>
      </c>
      <c r="K502" s="22" t="s">
        <v>116</v>
      </c>
      <c r="L502" s="29" t="s">
        <v>28</v>
      </c>
      <c r="P502" s="30">
        <v>45726</v>
      </c>
      <c r="Q502" s="30">
        <v>45726</v>
      </c>
      <c r="R502" s="22" t="s">
        <v>29</v>
      </c>
      <c r="S502" s="29" t="s">
        <v>30</v>
      </c>
      <c r="T502" s="22" t="s">
        <v>49</v>
      </c>
      <c r="U502" s="25" t="s">
        <v>32</v>
      </c>
      <c r="V502" s="22" t="s">
        <v>117</v>
      </c>
      <c r="W502" s="32" t="s">
        <v>34</v>
      </c>
    </row>
    <row r="503" spans="1:23">
      <c r="A503" s="22" t="s">
        <v>1283</v>
      </c>
      <c r="B503" s="25">
        <f>VLOOKUP(A503,[1]ProjectsResults!$D:$E,2,FALSE)</f>
        <v>10413</v>
      </c>
      <c r="C503" s="22">
        <f>VLOOKUP(A503,[2]Sheet2!$D:$E,2,FALSE)</f>
        <v>9152</v>
      </c>
      <c r="D503" s="22">
        <v>9152</v>
      </c>
      <c r="E503" s="22">
        <f>VLOOKUP(A503,[3]Sheet2!$A:$F,6,FALSE)</f>
        <v>0</v>
      </c>
      <c r="G503" s="22" t="s">
        <v>1284</v>
      </c>
      <c r="H503" s="22" t="s">
        <v>540</v>
      </c>
      <c r="I503" s="22" t="s">
        <v>25</v>
      </c>
      <c r="J503" s="29" t="s">
        <v>115</v>
      </c>
      <c r="K503" s="22" t="s">
        <v>116</v>
      </c>
      <c r="L503" s="29" t="s">
        <v>1171</v>
      </c>
      <c r="P503" s="30">
        <v>45723</v>
      </c>
      <c r="Q503" s="30">
        <v>45723</v>
      </c>
      <c r="R503" s="22" t="s">
        <v>29</v>
      </c>
      <c r="S503" s="29" t="s">
        <v>30</v>
      </c>
      <c r="T503" s="22" t="s">
        <v>49</v>
      </c>
      <c r="U503" s="25" t="s">
        <v>32</v>
      </c>
      <c r="V503" s="22" t="s">
        <v>117</v>
      </c>
      <c r="W503" s="32" t="s">
        <v>34</v>
      </c>
    </row>
    <row r="504" spans="1:23">
      <c r="A504" s="22" t="s">
        <v>1285</v>
      </c>
      <c r="B504" s="25">
        <f>VLOOKUP(A504,[1]ProjectsResults!$D:$E,2,FALSE)</f>
        <v>10414</v>
      </c>
      <c r="C504" s="22">
        <f>VLOOKUP(A504,[2]Sheet2!$D:$E,2,FALSE)</f>
        <v>9153</v>
      </c>
      <c r="D504" s="22">
        <v>9153</v>
      </c>
      <c r="E504" s="22">
        <f>VLOOKUP(A504,[3]Sheet2!$A:$F,6,FALSE)</f>
        <v>0</v>
      </c>
      <c r="G504" s="22" t="s">
        <v>1286</v>
      </c>
      <c r="H504" s="22" t="s">
        <v>58</v>
      </c>
      <c r="I504" s="22" t="s">
        <v>25</v>
      </c>
      <c r="J504" s="29" t="s">
        <v>47</v>
      </c>
      <c r="K504" s="22" t="s">
        <v>48</v>
      </c>
      <c r="L504" s="29" t="s">
        <v>28</v>
      </c>
      <c r="P504" s="30">
        <v>45715</v>
      </c>
      <c r="Q504" s="30">
        <v>45715</v>
      </c>
      <c r="R504" s="22" t="s">
        <v>29</v>
      </c>
      <c r="S504" s="29" t="s">
        <v>30</v>
      </c>
      <c r="T504" s="22" t="s">
        <v>49</v>
      </c>
      <c r="U504" s="25" t="s">
        <v>32</v>
      </c>
      <c r="V504" s="22" t="s">
        <v>50</v>
      </c>
      <c r="W504" s="32" t="s">
        <v>34</v>
      </c>
    </row>
    <row r="505" spans="1:23">
      <c r="A505" s="22" t="s">
        <v>1287</v>
      </c>
      <c r="B505" s="25">
        <f>VLOOKUP(A505,[1]ProjectsResults!$D:$E,2,FALSE)</f>
        <v>10415</v>
      </c>
      <c r="C505" s="22">
        <f>VLOOKUP(A505,[2]Sheet2!$D:$E,2,FALSE)</f>
        <v>9154</v>
      </c>
      <c r="D505" s="22">
        <v>9154</v>
      </c>
      <c r="E505" s="22">
        <f>VLOOKUP(A505,[3]Sheet2!$A:$F,6,FALSE)</f>
        <v>0</v>
      </c>
      <c r="G505" s="22" t="s">
        <v>1288</v>
      </c>
      <c r="H505" s="22" t="s">
        <v>437</v>
      </c>
      <c r="I505" s="22" t="s">
        <v>25</v>
      </c>
      <c r="J505" s="22" t="s">
        <v>679</v>
      </c>
      <c r="K505" s="22" t="s">
        <v>189</v>
      </c>
      <c r="L505" s="29" t="s">
        <v>28</v>
      </c>
      <c r="P505" s="30">
        <v>45727</v>
      </c>
      <c r="Q505" s="30">
        <v>45727</v>
      </c>
      <c r="R505" s="22" t="s">
        <v>29</v>
      </c>
      <c r="S505" s="29" t="s">
        <v>30</v>
      </c>
      <c r="T505" s="22" t="s">
        <v>74</v>
      </c>
      <c r="U505" s="25" t="s">
        <v>32</v>
      </c>
      <c r="V505" s="22" t="s">
        <v>75</v>
      </c>
      <c r="W505" s="32" t="s">
        <v>34</v>
      </c>
    </row>
    <row r="506" spans="1:23">
      <c r="A506" s="22" t="s">
        <v>1289</v>
      </c>
      <c r="B506" s="25">
        <f>VLOOKUP(A506,[1]ProjectsResults!$D:$E,2,FALSE)</f>
        <v>10416</v>
      </c>
      <c r="C506" s="22">
        <f>VLOOKUP(A506,[2]Sheet2!$D:$E,2,FALSE)</f>
        <v>9155</v>
      </c>
      <c r="D506" s="22">
        <v>9155</v>
      </c>
      <c r="E506" s="22">
        <f>VLOOKUP(A506,[3]Sheet2!$A:$F,6,FALSE)</f>
        <v>0</v>
      </c>
      <c r="G506" s="22" t="s">
        <v>1290</v>
      </c>
      <c r="H506" s="22" t="s">
        <v>453</v>
      </c>
      <c r="I506" s="22" t="s">
        <v>25</v>
      </c>
      <c r="J506" s="22" t="s">
        <v>42</v>
      </c>
      <c r="K506" s="22" t="s">
        <v>454</v>
      </c>
      <c r="L506" s="29" t="s">
        <v>28</v>
      </c>
      <c r="P506" s="30">
        <v>45715</v>
      </c>
      <c r="Q506" s="30">
        <v>45715</v>
      </c>
      <c r="R506" s="22" t="s">
        <v>29</v>
      </c>
      <c r="S506" s="29" t="s">
        <v>30</v>
      </c>
      <c r="T506" s="22" t="s">
        <v>31</v>
      </c>
      <c r="U506" s="25" t="s">
        <v>32</v>
      </c>
      <c r="V506" s="22" t="s">
        <v>33</v>
      </c>
      <c r="W506" s="32" t="s">
        <v>34</v>
      </c>
    </row>
    <row r="507" spans="1:23">
      <c r="A507" s="22" t="s">
        <v>1291</v>
      </c>
      <c r="B507" s="25">
        <f>VLOOKUP(A507,[1]ProjectsResults!$D:$E,2,FALSE)</f>
        <v>10417</v>
      </c>
      <c r="C507" s="22">
        <f>VLOOKUP(A507,[2]Sheet2!$D:$E,2,FALSE)</f>
        <v>9156</v>
      </c>
      <c r="D507" s="22">
        <v>9156</v>
      </c>
      <c r="E507" s="22">
        <f>VLOOKUP(A507,[3]Sheet2!$A:$F,6,FALSE)</f>
        <v>0</v>
      </c>
      <c r="G507" s="22" t="s">
        <v>1292</v>
      </c>
      <c r="H507" s="22" t="s">
        <v>114</v>
      </c>
      <c r="I507" s="22" t="s">
        <v>25</v>
      </c>
      <c r="J507" s="29" t="s">
        <v>115</v>
      </c>
      <c r="K507" s="22" t="s">
        <v>164</v>
      </c>
      <c r="L507" s="29" t="s">
        <v>28</v>
      </c>
      <c r="P507" s="30">
        <v>45716</v>
      </c>
      <c r="Q507" s="30">
        <v>45716</v>
      </c>
      <c r="R507" s="22" t="s">
        <v>29</v>
      </c>
      <c r="S507" s="29" t="s">
        <v>30</v>
      </c>
      <c r="T507" s="22" t="s">
        <v>49</v>
      </c>
      <c r="U507" s="25" t="s">
        <v>32</v>
      </c>
      <c r="V507" s="22" t="s">
        <v>117</v>
      </c>
      <c r="W507" s="32" t="s">
        <v>34</v>
      </c>
    </row>
    <row r="508" spans="1:23">
      <c r="A508" s="22" t="s">
        <v>1293</v>
      </c>
      <c r="B508" s="25">
        <f>VLOOKUP(A508,[1]ProjectsResults!$D:$E,2,FALSE)</f>
        <v>10418</v>
      </c>
      <c r="C508" s="22">
        <f>VLOOKUP(A508,[2]Sheet2!$D:$E,2,FALSE)</f>
        <v>9157</v>
      </c>
      <c r="D508" s="22">
        <v>9157</v>
      </c>
      <c r="E508" s="22">
        <f>VLOOKUP(A508,[3]Sheet2!$A:$F,6,FALSE)</f>
        <v>0</v>
      </c>
      <c r="G508" s="22" t="s">
        <v>1294</v>
      </c>
      <c r="H508" s="22" t="s">
        <v>453</v>
      </c>
      <c r="I508" s="22" t="s">
        <v>25</v>
      </c>
      <c r="J508" s="22" t="s">
        <v>42</v>
      </c>
      <c r="K508" s="22" t="s">
        <v>454</v>
      </c>
      <c r="L508" s="29" t="s">
        <v>28</v>
      </c>
      <c r="P508" s="30">
        <v>45716</v>
      </c>
      <c r="Q508" s="30">
        <v>45716</v>
      </c>
      <c r="R508" s="22" t="s">
        <v>29</v>
      </c>
      <c r="S508" s="29" t="s">
        <v>30</v>
      </c>
      <c r="T508" s="22" t="s">
        <v>31</v>
      </c>
      <c r="U508" s="25" t="s">
        <v>32</v>
      </c>
      <c r="V508" s="22" t="s">
        <v>33</v>
      </c>
      <c r="W508" s="32" t="s">
        <v>34</v>
      </c>
    </row>
    <row r="509" spans="1:23">
      <c r="A509" s="22" t="s">
        <v>1295</v>
      </c>
      <c r="B509" s="25">
        <f>VLOOKUP(A509,[1]ProjectsResults!$D:$E,2,FALSE)</f>
        <v>11222</v>
      </c>
      <c r="C509" s="22">
        <f>VLOOKUP(A509,[2]Sheet2!$D:$E,2,FALSE)</f>
        <v>10201</v>
      </c>
      <c r="D509" s="22">
        <v>10201</v>
      </c>
      <c r="E509" s="22">
        <f>VLOOKUP(A509,[3]Sheet2!$A:$F,6,FALSE)</f>
        <v>0</v>
      </c>
      <c r="G509" s="22" t="s">
        <v>1296</v>
      </c>
      <c r="H509" s="22" t="s">
        <v>1297</v>
      </c>
      <c r="I509" s="22" t="s">
        <v>25</v>
      </c>
      <c r="J509" s="22" t="s">
        <v>1298</v>
      </c>
      <c r="K509" s="22" t="s">
        <v>205</v>
      </c>
      <c r="L509" s="29" t="s">
        <v>28</v>
      </c>
      <c r="P509" s="30">
        <v>45720</v>
      </c>
      <c r="Q509" s="30">
        <v>45720</v>
      </c>
      <c r="R509" s="22" t="s">
        <v>29</v>
      </c>
      <c r="S509" s="29" t="s">
        <v>30</v>
      </c>
      <c r="T509" s="22" t="s">
        <v>74</v>
      </c>
      <c r="U509" s="25" t="s">
        <v>32</v>
      </c>
      <c r="V509" s="22" t="s">
        <v>75</v>
      </c>
      <c r="W509" s="32" t="s">
        <v>34</v>
      </c>
    </row>
    <row r="510" spans="1:23">
      <c r="A510" s="22" t="s">
        <v>1299</v>
      </c>
      <c r="B510" s="25">
        <f>VLOOKUP(A510,[1]ProjectsResults!$D:$E,2,FALSE)</f>
        <v>10419</v>
      </c>
      <c r="C510" s="22">
        <f>VLOOKUP(A510,[2]Sheet2!$D:$E,2,FALSE)</f>
        <v>9158</v>
      </c>
      <c r="D510" s="22">
        <v>9158</v>
      </c>
      <c r="E510" s="22">
        <f>VLOOKUP(A510,[3]Sheet2!$A:$F,6,FALSE)</f>
        <v>0</v>
      </c>
      <c r="G510" s="22" t="s">
        <v>1300</v>
      </c>
      <c r="H510" s="22" t="s">
        <v>154</v>
      </c>
      <c r="I510" s="22" t="s">
        <v>25</v>
      </c>
      <c r="J510" s="22" t="s">
        <v>1298</v>
      </c>
      <c r="K510" s="29" t="s">
        <v>352</v>
      </c>
      <c r="L510" s="29" t="s">
        <v>28</v>
      </c>
      <c r="P510" s="30">
        <v>45720</v>
      </c>
      <c r="Q510" s="30">
        <v>45720</v>
      </c>
      <c r="R510" s="22" t="s">
        <v>29</v>
      </c>
      <c r="S510" s="29" t="s">
        <v>30</v>
      </c>
      <c r="T510" s="22" t="s">
        <v>74</v>
      </c>
      <c r="U510" s="25" t="s">
        <v>32</v>
      </c>
      <c r="V510" s="22" t="s">
        <v>75</v>
      </c>
      <c r="W510" s="32" t="s">
        <v>34</v>
      </c>
    </row>
    <row r="511" spans="1:23">
      <c r="A511" s="22" t="s">
        <v>1301</v>
      </c>
      <c r="B511" s="25">
        <f>VLOOKUP(A511,[1]ProjectsResults!$D:$E,2,FALSE)</f>
        <v>10420</v>
      </c>
      <c r="C511" s="22">
        <f>VLOOKUP(A511,[2]Sheet2!$D:$E,2,FALSE)</f>
        <v>9159</v>
      </c>
      <c r="D511" s="22">
        <v>9159</v>
      </c>
      <c r="E511" s="22">
        <f>VLOOKUP(A511,[3]Sheet2!$A:$F,6,FALSE)</f>
        <v>0</v>
      </c>
      <c r="G511" s="22" t="s">
        <v>1302</v>
      </c>
      <c r="H511" s="22" t="s">
        <v>188</v>
      </c>
      <c r="I511" s="22" t="s">
        <v>25</v>
      </c>
      <c r="J511" s="29" t="s">
        <v>47</v>
      </c>
      <c r="K511" s="22" t="s">
        <v>1020</v>
      </c>
      <c r="L511" s="29" t="s">
        <v>28</v>
      </c>
      <c r="P511" s="30">
        <v>45730</v>
      </c>
      <c r="Q511" s="30">
        <v>45730</v>
      </c>
      <c r="R511" s="22" t="s">
        <v>29</v>
      </c>
      <c r="S511" s="29" t="s">
        <v>30</v>
      </c>
      <c r="T511" s="22" t="s">
        <v>49</v>
      </c>
      <c r="U511" s="25" t="s">
        <v>32</v>
      </c>
      <c r="V511" s="22" t="s">
        <v>50</v>
      </c>
      <c r="W511" s="32" t="s">
        <v>34</v>
      </c>
    </row>
    <row r="512" spans="1:23">
      <c r="A512" s="22" t="s">
        <v>1303</v>
      </c>
      <c r="B512" s="25">
        <f>VLOOKUP(A512,[1]ProjectsResults!$D:$E,2,FALSE)</f>
        <v>10421</v>
      </c>
      <c r="C512" s="22">
        <f>VLOOKUP(A512,[2]Sheet2!$D:$E,2,FALSE)</f>
        <v>9160</v>
      </c>
      <c r="D512" s="22">
        <v>9160</v>
      </c>
      <c r="E512" s="22">
        <f>VLOOKUP(A512,[3]Sheet2!$A:$F,6,FALSE)</f>
        <v>0</v>
      </c>
      <c r="G512" s="22" t="s">
        <v>1304</v>
      </c>
      <c r="H512" s="22" t="s">
        <v>86</v>
      </c>
      <c r="I512" s="22" t="s">
        <v>25</v>
      </c>
      <c r="J512" s="22" t="s">
        <v>42</v>
      </c>
      <c r="K512" s="29" t="s">
        <v>238</v>
      </c>
      <c r="L512" s="29" t="s">
        <v>28</v>
      </c>
      <c r="P512" s="30">
        <v>45720</v>
      </c>
      <c r="Q512" s="30">
        <v>45720</v>
      </c>
      <c r="R512" s="22" t="s">
        <v>29</v>
      </c>
      <c r="S512" s="29" t="s">
        <v>30</v>
      </c>
      <c r="T512" s="22" t="s">
        <v>31</v>
      </c>
      <c r="U512" s="25" t="s">
        <v>32</v>
      </c>
      <c r="V512" s="22" t="s">
        <v>33</v>
      </c>
      <c r="W512" s="32" t="s">
        <v>34</v>
      </c>
    </row>
    <row r="513" spans="1:23">
      <c r="A513" s="22" t="s">
        <v>1305</v>
      </c>
      <c r="B513" s="25">
        <f>VLOOKUP(A513,[1]ProjectsResults!$D:$E,2,FALSE)</f>
        <v>10422</v>
      </c>
      <c r="C513" s="22">
        <f>VLOOKUP(A513,[2]Sheet2!$D:$E,2,FALSE)</f>
        <v>9161</v>
      </c>
      <c r="D513" s="22">
        <v>9161</v>
      </c>
      <c r="E513" s="22">
        <f>VLOOKUP(A513,[3]Sheet2!$A:$F,6,FALSE)</f>
        <v>0</v>
      </c>
      <c r="G513" s="22" t="s">
        <v>1306</v>
      </c>
      <c r="H513" s="22" t="s">
        <v>114</v>
      </c>
      <c r="I513" s="22" t="s">
        <v>25</v>
      </c>
      <c r="J513" s="29" t="s">
        <v>115</v>
      </c>
      <c r="K513" s="22" t="s">
        <v>164</v>
      </c>
      <c r="L513" s="29" t="s">
        <v>28</v>
      </c>
      <c r="P513" s="30">
        <v>45719</v>
      </c>
      <c r="Q513" s="30">
        <v>12848</v>
      </c>
      <c r="R513" s="22" t="s">
        <v>29</v>
      </c>
      <c r="S513" s="29" t="s">
        <v>30</v>
      </c>
      <c r="T513" s="22" t="s">
        <v>49</v>
      </c>
      <c r="U513" s="25" t="s">
        <v>32</v>
      </c>
      <c r="V513" s="22" t="s">
        <v>117</v>
      </c>
      <c r="W513" s="32" t="s">
        <v>34</v>
      </c>
    </row>
    <row r="514" spans="1:23">
      <c r="A514" s="22" t="s">
        <v>1307</v>
      </c>
      <c r="B514" s="25">
        <f>VLOOKUP(A514,[1]ProjectsResults!$D:$E,2,FALSE)</f>
        <v>10423</v>
      </c>
      <c r="C514" s="22">
        <f>VLOOKUP(A514,[2]Sheet2!$D:$E,2,FALSE)</f>
        <v>9162</v>
      </c>
      <c r="D514" s="22">
        <v>9162</v>
      </c>
      <c r="E514" s="22">
        <f>VLOOKUP(A514,[3]Sheet2!$A:$F,6,FALSE)</f>
        <v>0</v>
      </c>
      <c r="G514" s="22" t="s">
        <v>1308</v>
      </c>
      <c r="H514" s="22" t="s">
        <v>163</v>
      </c>
      <c r="I514" s="22" t="s">
        <v>25</v>
      </c>
      <c r="J514" s="29" t="s">
        <v>115</v>
      </c>
      <c r="K514" s="22" t="s">
        <v>164</v>
      </c>
      <c r="L514" s="29" t="s">
        <v>28</v>
      </c>
      <c r="P514" s="30">
        <v>45720</v>
      </c>
      <c r="Q514" s="30">
        <v>45720</v>
      </c>
      <c r="R514" s="22" t="s">
        <v>29</v>
      </c>
      <c r="S514" s="29" t="s">
        <v>30</v>
      </c>
      <c r="T514" s="22" t="s">
        <v>49</v>
      </c>
      <c r="U514" s="25" t="s">
        <v>32</v>
      </c>
      <c r="V514" s="22" t="s">
        <v>117</v>
      </c>
      <c r="W514" s="32" t="s">
        <v>34</v>
      </c>
    </row>
    <row r="515" spans="1:23">
      <c r="A515" s="22" t="s">
        <v>1309</v>
      </c>
      <c r="B515" s="25">
        <f>VLOOKUP(A515,[1]ProjectsResults!$D:$E,2,FALSE)</f>
        <v>10424</v>
      </c>
      <c r="C515" s="22">
        <f>VLOOKUP(A515,[2]Sheet2!$D:$E,2,FALSE)</f>
        <v>9163</v>
      </c>
      <c r="D515" s="22">
        <v>9163</v>
      </c>
      <c r="E515" s="22">
        <f>VLOOKUP(A515,[3]Sheet2!$A:$F,6,FALSE)</f>
        <v>0</v>
      </c>
      <c r="G515" s="22" t="s">
        <v>1310</v>
      </c>
      <c r="H515" s="22" t="s">
        <v>249</v>
      </c>
      <c r="I515" s="22" t="s">
        <v>25</v>
      </c>
      <c r="J515" s="22" t="s">
        <v>250</v>
      </c>
      <c r="K515" s="22" t="s">
        <v>525</v>
      </c>
      <c r="L515" s="29" t="s">
        <v>28</v>
      </c>
      <c r="P515" s="30">
        <v>45721</v>
      </c>
      <c r="Q515" s="30">
        <v>45726</v>
      </c>
      <c r="R515" s="22" t="s">
        <v>29</v>
      </c>
      <c r="S515" s="29" t="s">
        <v>30</v>
      </c>
      <c r="T515" s="22" t="s">
        <v>31</v>
      </c>
      <c r="U515" s="25" t="s">
        <v>32</v>
      </c>
      <c r="V515" s="22" t="s">
        <v>33</v>
      </c>
      <c r="W515" s="32" t="s">
        <v>34</v>
      </c>
    </row>
    <row r="516" spans="1:23">
      <c r="A516" s="22" t="s">
        <v>1311</v>
      </c>
      <c r="B516" s="25">
        <f>VLOOKUP(A516,[1]ProjectsResults!$D:$E,2,FALSE)</f>
        <v>10425</v>
      </c>
      <c r="C516" s="22">
        <f>VLOOKUP(A516,[2]Sheet2!$D:$E,2,FALSE)</f>
        <v>9600</v>
      </c>
      <c r="D516" s="22">
        <v>9600</v>
      </c>
      <c r="E516" s="22">
        <f>VLOOKUP(A516,[3]Sheet2!$A:$F,6,FALSE)</f>
        <v>0</v>
      </c>
      <c r="G516" s="22" t="s">
        <v>1312</v>
      </c>
      <c r="H516" s="22" t="s">
        <v>1003</v>
      </c>
      <c r="I516" s="22" t="s">
        <v>25</v>
      </c>
      <c r="J516" s="29" t="s">
        <v>271</v>
      </c>
      <c r="K516" s="22" t="s">
        <v>803</v>
      </c>
      <c r="L516" s="29" t="s">
        <v>28</v>
      </c>
      <c r="P516" s="30">
        <v>45720</v>
      </c>
      <c r="Q516" s="30">
        <v>45720</v>
      </c>
      <c r="R516" s="22" t="s">
        <v>29</v>
      </c>
      <c r="S516" s="29" t="s">
        <v>30</v>
      </c>
      <c r="T516" s="22" t="s">
        <v>74</v>
      </c>
      <c r="U516" s="25" t="s">
        <v>32</v>
      </c>
      <c r="V516" s="22" t="s">
        <v>75</v>
      </c>
      <c r="W516" s="32" t="s">
        <v>34</v>
      </c>
    </row>
    <row r="517" spans="1:23">
      <c r="A517" s="22" t="s">
        <v>1313</v>
      </c>
      <c r="B517" s="25">
        <f>VLOOKUP(A517,[1]ProjectsResults!$D:$E,2,FALSE)</f>
        <v>10426</v>
      </c>
      <c r="C517" s="22">
        <f>VLOOKUP(A517,[2]Sheet2!$D:$E,2,FALSE)</f>
        <v>9164</v>
      </c>
      <c r="D517" s="22">
        <v>9164</v>
      </c>
      <c r="E517" s="22">
        <f>VLOOKUP(A517,[3]Sheet2!$A:$F,6,FALSE)</f>
        <v>0</v>
      </c>
      <c r="G517" s="22" t="s">
        <v>1314</v>
      </c>
      <c r="H517" s="22" t="s">
        <v>114</v>
      </c>
      <c r="I517" s="22" t="s">
        <v>25</v>
      </c>
      <c r="J517" s="29" t="s">
        <v>115</v>
      </c>
      <c r="K517" s="22" t="s">
        <v>164</v>
      </c>
      <c r="L517" s="29" t="s">
        <v>28</v>
      </c>
      <c r="P517" s="30">
        <v>45719</v>
      </c>
      <c r="Q517" s="30">
        <v>45719</v>
      </c>
      <c r="R517" s="22" t="s">
        <v>29</v>
      </c>
      <c r="S517" s="29" t="s">
        <v>30</v>
      </c>
      <c r="T517" s="22" t="s">
        <v>49</v>
      </c>
      <c r="U517" s="25" t="s">
        <v>32</v>
      </c>
      <c r="V517" s="22" t="s">
        <v>117</v>
      </c>
      <c r="W517" s="32" t="s">
        <v>34</v>
      </c>
    </row>
    <row r="518" spans="1:23">
      <c r="A518" s="22" t="s">
        <v>1315</v>
      </c>
      <c r="B518" s="25">
        <f>VLOOKUP(A518,[1]ProjectsResults!$D:$E,2,FALSE)</f>
        <v>10427</v>
      </c>
      <c r="C518" s="22">
        <f>VLOOKUP(A518,[2]Sheet2!$D:$E,2,FALSE)</f>
        <v>9165</v>
      </c>
      <c r="D518" s="22">
        <v>9165</v>
      </c>
      <c r="E518" s="22">
        <f>VLOOKUP(A518,[3]Sheet2!$A:$F,6,FALSE)</f>
        <v>0</v>
      </c>
      <c r="G518" s="22" t="s">
        <v>1316</v>
      </c>
      <c r="H518" s="22" t="s">
        <v>114</v>
      </c>
      <c r="I518" s="22" t="s">
        <v>25</v>
      </c>
      <c r="J518" s="29" t="s">
        <v>115</v>
      </c>
      <c r="K518" s="22" t="s">
        <v>164</v>
      </c>
      <c r="L518" s="29" t="s">
        <v>28</v>
      </c>
      <c r="P518" s="30">
        <v>45720</v>
      </c>
      <c r="Q518" s="30">
        <v>45720</v>
      </c>
      <c r="R518" s="22" t="s">
        <v>29</v>
      </c>
      <c r="S518" s="29" t="s">
        <v>30</v>
      </c>
      <c r="T518" s="22" t="s">
        <v>49</v>
      </c>
      <c r="U518" s="25" t="s">
        <v>32</v>
      </c>
      <c r="V518" s="22" t="s">
        <v>117</v>
      </c>
      <c r="W518" s="32" t="s">
        <v>34</v>
      </c>
    </row>
    <row r="519" spans="1:23">
      <c r="A519" s="22" t="s">
        <v>1317</v>
      </c>
      <c r="B519" s="25">
        <f>VLOOKUP(A519,[1]ProjectsResults!$D:$E,2,FALSE)</f>
        <v>10428</v>
      </c>
      <c r="C519" s="22">
        <f>VLOOKUP(A519,[2]Sheet2!$D:$E,2,FALSE)</f>
        <v>9166</v>
      </c>
      <c r="D519" s="22">
        <v>9166</v>
      </c>
      <c r="E519" s="22">
        <f>VLOOKUP(A519,[3]Sheet2!$A:$F,6,FALSE)</f>
        <v>0</v>
      </c>
      <c r="G519" s="22" t="s">
        <v>1318</v>
      </c>
      <c r="H519" s="22" t="s">
        <v>114</v>
      </c>
      <c r="I519" s="22" t="s">
        <v>25</v>
      </c>
      <c r="J519" s="29" t="s">
        <v>115</v>
      </c>
      <c r="K519" s="22" t="s">
        <v>164</v>
      </c>
      <c r="L519" s="29" t="s">
        <v>28</v>
      </c>
      <c r="P519" s="30">
        <v>45740</v>
      </c>
      <c r="Q519" s="30">
        <v>45742</v>
      </c>
      <c r="R519" s="22" t="s">
        <v>29</v>
      </c>
      <c r="S519" s="29" t="s">
        <v>30</v>
      </c>
      <c r="T519" s="22" t="s">
        <v>49</v>
      </c>
      <c r="U519" s="25" t="s">
        <v>32</v>
      </c>
      <c r="V519" s="22" t="s">
        <v>117</v>
      </c>
      <c r="W519" s="32" t="s">
        <v>34</v>
      </c>
    </row>
    <row r="520" spans="1:23">
      <c r="A520" s="22" t="s">
        <v>1319</v>
      </c>
      <c r="B520" s="25">
        <f>VLOOKUP(A520,[1]ProjectsResults!$D:$E,2,FALSE)</f>
        <v>10429</v>
      </c>
      <c r="C520" s="22">
        <f>VLOOKUP(A520,[2]Sheet2!$D:$E,2,FALSE)</f>
        <v>9167</v>
      </c>
      <c r="D520" s="22">
        <v>9167</v>
      </c>
      <c r="E520" s="22">
        <f>VLOOKUP(A520,[3]Sheet2!$A:$F,6,FALSE)</f>
        <v>0</v>
      </c>
      <c r="G520" s="22" t="s">
        <v>1320</v>
      </c>
      <c r="H520" s="22" t="s">
        <v>1321</v>
      </c>
      <c r="I520" s="22" t="s">
        <v>25</v>
      </c>
      <c r="J520" s="29" t="s">
        <v>47</v>
      </c>
      <c r="K520" s="22" t="s">
        <v>365</v>
      </c>
      <c r="L520" s="29" t="s">
        <v>28</v>
      </c>
      <c r="P520" s="30">
        <v>45721</v>
      </c>
      <c r="Q520" s="30">
        <v>45721</v>
      </c>
      <c r="R520" s="22" t="s">
        <v>29</v>
      </c>
      <c r="S520" s="29" t="s">
        <v>30</v>
      </c>
      <c r="T520" s="22" t="s">
        <v>49</v>
      </c>
      <c r="U520" s="25" t="s">
        <v>32</v>
      </c>
      <c r="V520" s="22" t="s">
        <v>50</v>
      </c>
      <c r="W520" s="32" t="s">
        <v>34</v>
      </c>
    </row>
    <row r="521" spans="1:23">
      <c r="A521" s="22" t="s">
        <v>1322</v>
      </c>
      <c r="B521" s="25">
        <f>VLOOKUP(A521,[1]ProjectsResults!$D:$E,2,FALSE)</f>
        <v>10430</v>
      </c>
      <c r="C521" s="22">
        <f>VLOOKUP(A521,[2]Sheet2!$D:$E,2,FALSE)</f>
        <v>9601</v>
      </c>
      <c r="D521" s="22">
        <v>9601</v>
      </c>
      <c r="E521" s="22">
        <f>VLOOKUP(A521,[3]Sheet2!$A:$F,6,FALSE)</f>
        <v>0</v>
      </c>
      <c r="G521" s="22" t="s">
        <v>1323</v>
      </c>
      <c r="H521" s="22" t="s">
        <v>682</v>
      </c>
      <c r="I521" s="22" t="s">
        <v>25</v>
      </c>
      <c r="J521" s="29" t="s">
        <v>47</v>
      </c>
      <c r="K521" s="22" t="s">
        <v>683</v>
      </c>
      <c r="L521" s="29" t="s">
        <v>28</v>
      </c>
      <c r="P521" s="30">
        <v>45729</v>
      </c>
      <c r="Q521" s="30">
        <v>45730</v>
      </c>
      <c r="R521" s="22" t="s">
        <v>29</v>
      </c>
      <c r="S521" s="29" t="s">
        <v>30</v>
      </c>
      <c r="T521" s="22" t="s">
        <v>49</v>
      </c>
      <c r="U521" s="25" t="s">
        <v>32</v>
      </c>
      <c r="V521" s="22" t="s">
        <v>50</v>
      </c>
      <c r="W521" s="32" t="s">
        <v>34</v>
      </c>
    </row>
    <row r="522" spans="1:23">
      <c r="A522" s="22" t="s">
        <v>1324</v>
      </c>
      <c r="B522" s="25">
        <f>VLOOKUP(A522,[1]ProjectsResults!$D:$E,2,FALSE)</f>
        <v>11223</v>
      </c>
      <c r="C522" s="22">
        <f>VLOOKUP(A522,[2]Sheet2!$D:$E,2,FALSE)</f>
        <v>10202</v>
      </c>
      <c r="D522" s="22">
        <v>10202</v>
      </c>
      <c r="E522" s="22">
        <f>VLOOKUP(A522,[3]Sheet2!$A:$F,6,FALSE)</f>
        <v>0</v>
      </c>
      <c r="G522" s="22" t="s">
        <v>1325</v>
      </c>
      <c r="H522" s="22" t="s">
        <v>1326</v>
      </c>
      <c r="I522" s="22" t="s">
        <v>25</v>
      </c>
      <c r="J522" s="22" t="s">
        <v>1256</v>
      </c>
      <c r="K522" s="22" t="s">
        <v>1257</v>
      </c>
      <c r="L522" s="29" t="s">
        <v>28</v>
      </c>
      <c r="P522" s="30">
        <v>45727</v>
      </c>
      <c r="Q522" s="30">
        <v>45727</v>
      </c>
      <c r="R522" s="22" t="s">
        <v>29</v>
      </c>
      <c r="S522" s="29" t="s">
        <v>30</v>
      </c>
      <c r="T522" s="22" t="s">
        <v>31</v>
      </c>
      <c r="U522" s="25" t="s">
        <v>32</v>
      </c>
      <c r="V522" s="22" t="s">
        <v>33</v>
      </c>
      <c r="W522" s="32" t="s">
        <v>34</v>
      </c>
    </row>
    <row r="523" spans="1:23">
      <c r="A523" s="22" t="s">
        <v>1327</v>
      </c>
      <c r="B523" s="25">
        <f>VLOOKUP(A523,[1]ProjectsResults!$D:$E,2,FALSE)</f>
        <v>11224</v>
      </c>
      <c r="C523" s="22">
        <f>VLOOKUP(A523,[2]Sheet2!$D:$E,2,FALSE)</f>
        <v>10203</v>
      </c>
      <c r="D523" s="22">
        <v>10203</v>
      </c>
      <c r="E523" s="22">
        <f>VLOOKUP(A523,[3]Sheet2!$A:$F,6,FALSE)</f>
        <v>0</v>
      </c>
      <c r="G523" s="22" t="s">
        <v>1328</v>
      </c>
      <c r="H523" s="22" t="s">
        <v>1329</v>
      </c>
      <c r="I523" s="22" t="s">
        <v>25</v>
      </c>
      <c r="J523" s="29" t="s">
        <v>168</v>
      </c>
      <c r="K523" s="22" t="s">
        <v>494</v>
      </c>
      <c r="L523" s="29" t="s">
        <v>28</v>
      </c>
      <c r="P523" s="30">
        <v>45733</v>
      </c>
      <c r="Q523" s="30">
        <v>45733</v>
      </c>
      <c r="R523" s="22" t="s">
        <v>29</v>
      </c>
      <c r="S523" s="29" t="s">
        <v>30</v>
      </c>
      <c r="T523" s="22" t="s">
        <v>31</v>
      </c>
      <c r="U523" s="25" t="s">
        <v>32</v>
      </c>
      <c r="V523" s="22" t="s">
        <v>33</v>
      </c>
      <c r="W523" s="32" t="s">
        <v>34</v>
      </c>
    </row>
    <row r="524" spans="1:23">
      <c r="A524" s="22" t="s">
        <v>1330</v>
      </c>
      <c r="B524" s="25">
        <f>VLOOKUP(A524,[1]ProjectsResults!$D:$E,2,FALSE)</f>
        <v>11225</v>
      </c>
      <c r="C524" s="22">
        <f>VLOOKUP(A524,[2]Sheet2!$D:$E,2,FALSE)</f>
        <v>10204</v>
      </c>
      <c r="D524" s="22">
        <v>10204</v>
      </c>
      <c r="E524" s="22">
        <f>VLOOKUP(A524,[3]Sheet2!$A:$F,6,FALSE)</f>
        <v>0</v>
      </c>
      <c r="G524" s="22" t="s">
        <v>1331</v>
      </c>
      <c r="H524" s="22" t="s">
        <v>1332</v>
      </c>
      <c r="I524" s="22" t="s">
        <v>25</v>
      </c>
      <c r="J524" s="29" t="s">
        <v>168</v>
      </c>
      <c r="K524" s="22" t="s">
        <v>314</v>
      </c>
      <c r="L524" s="29" t="s">
        <v>28</v>
      </c>
      <c r="P524" s="30">
        <v>45724</v>
      </c>
      <c r="Q524" s="30">
        <v>45724</v>
      </c>
      <c r="R524" s="22" t="s">
        <v>29</v>
      </c>
      <c r="S524" s="29" t="s">
        <v>30</v>
      </c>
      <c r="T524" s="22" t="s">
        <v>31</v>
      </c>
      <c r="U524" s="25" t="s">
        <v>32</v>
      </c>
      <c r="V524" s="22" t="s">
        <v>33</v>
      </c>
      <c r="W524" s="32" t="s">
        <v>34</v>
      </c>
    </row>
    <row r="525" spans="1:23">
      <c r="A525" s="22" t="s">
        <v>1333</v>
      </c>
      <c r="B525" s="25">
        <f>VLOOKUP(A525,[1]ProjectsResults!$D:$E,2,FALSE)</f>
        <v>10431</v>
      </c>
      <c r="C525" s="22">
        <f>VLOOKUP(A525,[2]Sheet2!$D:$E,2,FALSE)</f>
        <v>9168</v>
      </c>
      <c r="D525" s="22">
        <v>9168</v>
      </c>
      <c r="E525" s="22">
        <f>VLOOKUP(A525,[3]Sheet2!$A:$F,6,FALSE)</f>
        <v>0</v>
      </c>
      <c r="G525" s="22" t="s">
        <v>1334</v>
      </c>
      <c r="H525" s="22" t="s">
        <v>669</v>
      </c>
      <c r="I525" s="22" t="s">
        <v>25</v>
      </c>
      <c r="J525" s="22" t="s">
        <v>72</v>
      </c>
      <c r="K525" s="22" t="s">
        <v>155</v>
      </c>
      <c r="L525" s="29" t="s">
        <v>28</v>
      </c>
      <c r="P525" s="30">
        <v>45723</v>
      </c>
      <c r="Q525" s="30">
        <v>45724</v>
      </c>
      <c r="R525" s="22" t="s">
        <v>29</v>
      </c>
      <c r="S525" s="29" t="s">
        <v>30</v>
      </c>
      <c r="T525" s="22" t="s">
        <v>74</v>
      </c>
      <c r="U525" s="25" t="s">
        <v>32</v>
      </c>
      <c r="V525" s="22" t="s">
        <v>75</v>
      </c>
      <c r="W525" s="32" t="s">
        <v>34</v>
      </c>
    </row>
    <row r="526" spans="1:23">
      <c r="A526" s="22" t="s">
        <v>1335</v>
      </c>
      <c r="B526" s="25">
        <f>VLOOKUP(A526,[1]ProjectsResults!$D:$E,2,FALSE)</f>
        <v>11226</v>
      </c>
      <c r="C526" s="22">
        <f>VLOOKUP(A526,[2]Sheet2!$D:$E,2,FALSE)</f>
        <v>10205</v>
      </c>
      <c r="D526" s="22">
        <v>10205</v>
      </c>
      <c r="E526" s="22">
        <f>VLOOKUP(A526,[3]Sheet2!$A:$F,6,FALSE)</f>
        <v>0</v>
      </c>
      <c r="G526" s="22" t="s">
        <v>1336</v>
      </c>
      <c r="H526" s="25" t="s">
        <v>1337</v>
      </c>
      <c r="I526" s="22" t="s">
        <v>25</v>
      </c>
      <c r="J526" s="22" t="s">
        <v>155</v>
      </c>
      <c r="K526" s="22" t="s">
        <v>826</v>
      </c>
      <c r="L526" s="29" t="s">
        <v>28</v>
      </c>
      <c r="P526" s="30">
        <v>45721</v>
      </c>
      <c r="Q526" s="30">
        <v>45721</v>
      </c>
      <c r="R526" s="22" t="s">
        <v>29</v>
      </c>
      <c r="S526" s="29" t="s">
        <v>30</v>
      </c>
      <c r="T526" s="22" t="s">
        <v>74</v>
      </c>
      <c r="U526" s="25" t="s">
        <v>32</v>
      </c>
      <c r="V526" s="22" t="s">
        <v>75</v>
      </c>
      <c r="W526" s="32" t="s">
        <v>34</v>
      </c>
    </row>
    <row r="527" spans="1:23">
      <c r="A527" s="22" t="s">
        <v>1338</v>
      </c>
      <c r="B527" s="25">
        <f>VLOOKUP(A527,[1]ProjectsResults!$D:$E,2,FALSE)</f>
        <v>10432</v>
      </c>
      <c r="C527" s="22">
        <f>VLOOKUP(A527,[2]Sheet2!$D:$E,2,FALSE)</f>
        <v>9340</v>
      </c>
      <c r="D527" s="22">
        <v>9340</v>
      </c>
      <c r="E527" s="22">
        <f>VLOOKUP(A527,[3]Sheet2!$A:$F,6,FALSE)</f>
        <v>0</v>
      </c>
      <c r="G527" s="22" t="s">
        <v>1339</v>
      </c>
      <c r="H527" s="22" t="s">
        <v>317</v>
      </c>
      <c r="I527" s="22" t="s">
        <v>25</v>
      </c>
      <c r="J527" s="22" t="s">
        <v>803</v>
      </c>
      <c r="K527" s="21" t="s">
        <v>1004</v>
      </c>
      <c r="L527" s="29" t="s">
        <v>28</v>
      </c>
      <c r="P527" s="30">
        <v>45736</v>
      </c>
      <c r="Q527" s="30">
        <v>45736</v>
      </c>
      <c r="R527" s="22" t="s">
        <v>29</v>
      </c>
      <c r="S527" s="29" t="s">
        <v>30</v>
      </c>
      <c r="T527" s="22" t="s">
        <v>74</v>
      </c>
      <c r="U527" s="25" t="s">
        <v>32</v>
      </c>
      <c r="V527" s="22" t="s">
        <v>75</v>
      </c>
      <c r="W527" s="32" t="s">
        <v>34</v>
      </c>
    </row>
    <row r="528" spans="1:23">
      <c r="A528" s="22" t="s">
        <v>1340</v>
      </c>
      <c r="B528" s="25">
        <f>VLOOKUP(A528,[1]ProjectsResults!$D:$E,2,FALSE)</f>
        <v>10433</v>
      </c>
      <c r="C528" s="22">
        <f>VLOOKUP(A528,[2]Sheet2!$D:$E,2,FALSE)</f>
        <v>9169</v>
      </c>
      <c r="D528" s="22">
        <v>9169</v>
      </c>
      <c r="E528" s="22">
        <f>VLOOKUP(A528,[3]Sheet2!$A:$F,6,FALSE)</f>
        <v>0</v>
      </c>
      <c r="G528" s="22" t="s">
        <v>1341</v>
      </c>
      <c r="H528" s="22" t="s">
        <v>1342</v>
      </c>
      <c r="I528" s="22" t="s">
        <v>25</v>
      </c>
      <c r="J528" s="22" t="s">
        <v>72</v>
      </c>
      <c r="K528" s="22" t="s">
        <v>96</v>
      </c>
      <c r="L528" s="29" t="s">
        <v>28</v>
      </c>
      <c r="P528" s="30">
        <v>45726</v>
      </c>
      <c r="Q528" s="30">
        <v>45727</v>
      </c>
      <c r="R528" s="22" t="s">
        <v>29</v>
      </c>
      <c r="S528" s="29" t="s">
        <v>30</v>
      </c>
      <c r="T528" s="22" t="s">
        <v>74</v>
      </c>
      <c r="U528" s="25" t="s">
        <v>32</v>
      </c>
      <c r="V528" s="22" t="s">
        <v>75</v>
      </c>
      <c r="W528" s="32" t="s">
        <v>34</v>
      </c>
    </row>
    <row r="529" spans="1:23">
      <c r="A529" s="22" t="s">
        <v>1343</v>
      </c>
      <c r="B529" s="25">
        <f>VLOOKUP(A529,[1]ProjectsResults!$D:$E,2,FALSE)</f>
        <v>10434</v>
      </c>
      <c r="C529" s="22">
        <f>VLOOKUP(A529,[2]Sheet2!$D:$E,2,FALSE)</f>
        <v>9341</v>
      </c>
      <c r="D529" s="22">
        <v>9341</v>
      </c>
      <c r="E529" s="22">
        <f>VLOOKUP(A529,[3]Sheet2!$A:$F,6,FALSE)</f>
        <v>0</v>
      </c>
      <c r="G529" s="22" t="s">
        <v>1344</v>
      </c>
      <c r="H529" s="22" t="s">
        <v>188</v>
      </c>
      <c r="I529" s="22" t="s">
        <v>25</v>
      </c>
      <c r="J529" s="29" t="s">
        <v>47</v>
      </c>
      <c r="K529" s="22" t="s">
        <v>1345</v>
      </c>
      <c r="L529" s="29" t="s">
        <v>28</v>
      </c>
      <c r="P529" s="30">
        <v>45723</v>
      </c>
      <c r="Q529" s="30">
        <v>45723</v>
      </c>
      <c r="R529" s="22" t="s">
        <v>29</v>
      </c>
      <c r="S529" s="29" t="s">
        <v>30</v>
      </c>
      <c r="T529" s="22" t="s">
        <v>49</v>
      </c>
      <c r="U529" s="25" t="s">
        <v>32</v>
      </c>
      <c r="V529" s="22" t="s">
        <v>50</v>
      </c>
      <c r="W529" s="32" t="s">
        <v>34</v>
      </c>
    </row>
    <row r="530" spans="1:23">
      <c r="A530" s="22" t="s">
        <v>1346</v>
      </c>
      <c r="B530" s="25">
        <f>VLOOKUP(A530,[1]ProjectsResults!$D:$E,2,FALSE)</f>
        <v>10435</v>
      </c>
      <c r="C530" s="22">
        <f>VLOOKUP(A530,[2]Sheet2!$D:$E,2,FALSE)</f>
        <v>9170</v>
      </c>
      <c r="D530" s="22">
        <v>9170</v>
      </c>
      <c r="E530" s="22">
        <f>VLOOKUP(A530,[3]Sheet2!$A:$F,6,FALSE)</f>
        <v>0</v>
      </c>
      <c r="G530" s="22" t="s">
        <v>1347</v>
      </c>
      <c r="H530" s="22" t="s">
        <v>453</v>
      </c>
      <c r="I530" s="22" t="s">
        <v>25</v>
      </c>
      <c r="J530" s="22" t="s">
        <v>42</v>
      </c>
      <c r="K530" s="22" t="s">
        <v>454</v>
      </c>
      <c r="L530" s="29" t="s">
        <v>28</v>
      </c>
      <c r="P530" s="30">
        <v>45723</v>
      </c>
      <c r="Q530" s="30">
        <v>45723</v>
      </c>
      <c r="R530" s="22" t="s">
        <v>29</v>
      </c>
      <c r="S530" s="29" t="s">
        <v>30</v>
      </c>
      <c r="T530" s="22" t="s">
        <v>31</v>
      </c>
      <c r="U530" s="25" t="s">
        <v>32</v>
      </c>
      <c r="V530" s="22" t="s">
        <v>33</v>
      </c>
      <c r="W530" s="32" t="s">
        <v>34</v>
      </c>
    </row>
    <row r="531" spans="1:23">
      <c r="A531" s="22" t="s">
        <v>1348</v>
      </c>
      <c r="B531" s="25">
        <f>VLOOKUP(A531,[1]ProjectsResults!$D:$E,2,FALSE)</f>
        <v>10623</v>
      </c>
      <c r="C531" s="22">
        <f>VLOOKUP(A531,[2]Sheet2!$D:$E,2,FALSE)</f>
        <v>9929</v>
      </c>
      <c r="D531" s="22">
        <v>9929</v>
      </c>
      <c r="E531" s="22">
        <f>VLOOKUP(A531,[3]Sheet2!$A:$F,6,FALSE)</f>
        <v>0</v>
      </c>
      <c r="G531" s="22" t="s">
        <v>1349</v>
      </c>
      <c r="H531" s="22" t="s">
        <v>1031</v>
      </c>
      <c r="I531" s="22" t="s">
        <v>25</v>
      </c>
      <c r="J531" s="29" t="s">
        <v>115</v>
      </c>
      <c r="K531" s="29" t="s">
        <v>356</v>
      </c>
      <c r="L531" s="29" t="s">
        <v>28</v>
      </c>
      <c r="P531" s="30">
        <v>45723</v>
      </c>
      <c r="Q531" s="30">
        <v>45723</v>
      </c>
      <c r="R531" s="22" t="s">
        <v>29</v>
      </c>
      <c r="S531" s="29" t="s">
        <v>30</v>
      </c>
      <c r="T531" s="22" t="s">
        <v>49</v>
      </c>
      <c r="U531" s="22" t="s">
        <v>32</v>
      </c>
      <c r="V531" s="22" t="s">
        <v>117</v>
      </c>
      <c r="W531" s="32" t="s">
        <v>34</v>
      </c>
    </row>
    <row r="532" spans="1:23">
      <c r="A532" s="22" t="s">
        <v>1350</v>
      </c>
      <c r="B532" s="25">
        <f>VLOOKUP(A532,[1]ProjectsResults!$D:$E,2,FALSE)</f>
        <v>10624</v>
      </c>
      <c r="C532" s="22">
        <f>VLOOKUP(A532,[2]Sheet2!$D:$E,2,FALSE)</f>
        <v>9930</v>
      </c>
      <c r="D532" s="22">
        <v>9930</v>
      </c>
      <c r="E532" s="22">
        <f>VLOOKUP(A532,[3]Sheet2!$A:$F,6,FALSE)</f>
        <v>0</v>
      </c>
      <c r="G532" s="22" t="s">
        <v>1351</v>
      </c>
      <c r="H532" s="22" t="s">
        <v>159</v>
      </c>
      <c r="I532" s="22" t="s">
        <v>25</v>
      </c>
      <c r="J532" s="29" t="s">
        <v>115</v>
      </c>
      <c r="K532" s="22" t="s">
        <v>164</v>
      </c>
      <c r="L532" s="29" t="s">
        <v>28</v>
      </c>
      <c r="P532" s="30">
        <v>45723</v>
      </c>
      <c r="Q532" s="30">
        <v>45723</v>
      </c>
      <c r="R532" s="22" t="s">
        <v>29</v>
      </c>
      <c r="S532" s="29" t="s">
        <v>30</v>
      </c>
      <c r="T532" s="22" t="s">
        <v>49</v>
      </c>
      <c r="U532" s="22" t="s">
        <v>32</v>
      </c>
      <c r="V532" s="22" t="s">
        <v>117</v>
      </c>
      <c r="W532" s="32" t="s">
        <v>34</v>
      </c>
    </row>
    <row r="533" spans="1:23">
      <c r="A533" s="22" t="s">
        <v>1352</v>
      </c>
      <c r="B533" s="25">
        <f>VLOOKUP(A533,[1]ProjectsResults!$D:$E,2,FALSE)</f>
        <v>10625</v>
      </c>
      <c r="C533" s="22">
        <f>VLOOKUP(A533,[2]Sheet2!$D:$E,2,FALSE)</f>
        <v>9931</v>
      </c>
      <c r="D533" s="22">
        <v>9931</v>
      </c>
      <c r="E533" s="22">
        <f>VLOOKUP(A533,[3]Sheet2!$A:$F,6,FALSE)</f>
        <v>0</v>
      </c>
      <c r="G533" s="22" t="s">
        <v>1353</v>
      </c>
      <c r="H533" s="22" t="s">
        <v>669</v>
      </c>
      <c r="I533" s="22" t="s">
        <v>25</v>
      </c>
      <c r="J533" s="22" t="s">
        <v>155</v>
      </c>
      <c r="K533" s="29" t="s">
        <v>352</v>
      </c>
      <c r="L533" s="29" t="s">
        <v>28</v>
      </c>
      <c r="P533" s="30">
        <v>45724</v>
      </c>
      <c r="Q533" s="30">
        <v>45726</v>
      </c>
      <c r="R533" s="22" t="s">
        <v>29</v>
      </c>
      <c r="S533" s="29" t="s">
        <v>30</v>
      </c>
      <c r="T533" s="22" t="s">
        <v>74</v>
      </c>
      <c r="U533" s="22" t="s">
        <v>32</v>
      </c>
      <c r="V533" s="22" t="s">
        <v>75</v>
      </c>
      <c r="W533" s="32" t="s">
        <v>34</v>
      </c>
    </row>
    <row r="534" spans="1:23">
      <c r="A534" s="22" t="s">
        <v>1354</v>
      </c>
      <c r="B534" s="25">
        <f>VLOOKUP(A534,[1]ProjectsResults!$D:$E,2,FALSE)</f>
        <v>10626</v>
      </c>
      <c r="C534" s="22">
        <f>VLOOKUP(A534,[2]Sheet2!$D:$E,2,FALSE)</f>
        <v>9932</v>
      </c>
      <c r="D534" s="22">
        <v>9932</v>
      </c>
      <c r="E534" s="22">
        <f>VLOOKUP(A534,[3]Sheet2!$A:$F,6,FALSE)</f>
        <v>0</v>
      </c>
      <c r="G534" s="22" t="s">
        <v>1355</v>
      </c>
      <c r="H534" s="22" t="s">
        <v>453</v>
      </c>
      <c r="I534" s="22" t="s">
        <v>25</v>
      </c>
      <c r="J534" s="22" t="s">
        <v>42</v>
      </c>
      <c r="K534" s="22" t="s">
        <v>454</v>
      </c>
      <c r="L534" s="29" t="s">
        <v>28</v>
      </c>
      <c r="P534" s="30">
        <v>45728</v>
      </c>
      <c r="Q534" s="30">
        <v>45729</v>
      </c>
      <c r="R534" s="22" t="s">
        <v>29</v>
      </c>
      <c r="S534" s="29" t="s">
        <v>30</v>
      </c>
      <c r="T534" s="22" t="s">
        <v>31</v>
      </c>
      <c r="U534" s="22" t="s">
        <v>32</v>
      </c>
      <c r="V534" s="22" t="s">
        <v>33</v>
      </c>
      <c r="W534" s="32" t="s">
        <v>34</v>
      </c>
    </row>
    <row r="535" spans="1:23">
      <c r="A535" s="22" t="s">
        <v>1356</v>
      </c>
      <c r="B535" s="25">
        <f>VLOOKUP(A535,[1]ProjectsResults!$D:$E,2,FALSE)</f>
        <v>11227</v>
      </c>
      <c r="C535" s="22">
        <f>VLOOKUP(A535,[2]Sheet2!$D:$E,2,FALSE)</f>
        <v>10206</v>
      </c>
      <c r="D535" s="22">
        <v>10206</v>
      </c>
      <c r="E535" s="22">
        <f>VLOOKUP(A535,[3]Sheet2!$A:$F,6,FALSE)</f>
        <v>0</v>
      </c>
      <c r="G535" s="22" t="s">
        <v>1357</v>
      </c>
      <c r="H535" s="22" t="s">
        <v>1358</v>
      </c>
      <c r="I535" s="22" t="s">
        <v>25</v>
      </c>
      <c r="J535" s="22" t="s">
        <v>38</v>
      </c>
      <c r="K535" s="22" t="s">
        <v>38</v>
      </c>
      <c r="L535" s="29" t="s">
        <v>28</v>
      </c>
      <c r="P535" s="30">
        <v>45742</v>
      </c>
      <c r="Q535" s="30">
        <v>45742</v>
      </c>
      <c r="R535" s="22" t="s">
        <v>29</v>
      </c>
      <c r="S535" s="29" t="s">
        <v>30</v>
      </c>
      <c r="T535" s="22" t="s">
        <v>31</v>
      </c>
      <c r="U535" s="22" t="s">
        <v>32</v>
      </c>
      <c r="V535" s="22" t="s">
        <v>33</v>
      </c>
      <c r="W535" s="32" t="s">
        <v>34</v>
      </c>
    </row>
    <row r="536" spans="1:23">
      <c r="A536" s="22" t="s">
        <v>1359</v>
      </c>
      <c r="B536" s="25">
        <f>VLOOKUP(A536,[1]ProjectsResults!$D:$E,2,FALSE)</f>
        <v>10627</v>
      </c>
      <c r="C536" s="22">
        <f>VLOOKUP(A536,[2]Sheet2!$D:$E,2,FALSE)</f>
        <v>9933</v>
      </c>
      <c r="D536" s="22">
        <v>9933</v>
      </c>
      <c r="E536" s="22">
        <f>VLOOKUP(A536,[3]Sheet2!$A:$F,6,FALSE)</f>
        <v>0</v>
      </c>
      <c r="G536" s="22" t="s">
        <v>1360</v>
      </c>
      <c r="H536" s="22" t="s">
        <v>86</v>
      </c>
      <c r="I536" s="22" t="s">
        <v>25</v>
      </c>
      <c r="J536" s="22" t="s">
        <v>42</v>
      </c>
      <c r="K536" s="29" t="s">
        <v>238</v>
      </c>
      <c r="L536" s="29" t="s">
        <v>28</v>
      </c>
      <c r="P536" s="30">
        <v>45727</v>
      </c>
      <c r="Q536" s="30">
        <v>45727</v>
      </c>
      <c r="R536" s="22" t="s">
        <v>29</v>
      </c>
      <c r="S536" s="29" t="s">
        <v>30</v>
      </c>
      <c r="T536" s="22" t="s">
        <v>31</v>
      </c>
      <c r="U536" s="22" t="s">
        <v>32</v>
      </c>
      <c r="V536" s="22" t="s">
        <v>33</v>
      </c>
      <c r="W536" s="32" t="s">
        <v>34</v>
      </c>
    </row>
    <row r="537" spans="1:23">
      <c r="A537" s="22" t="s">
        <v>1361</v>
      </c>
      <c r="B537" s="25">
        <f>VLOOKUP(A537,[1]ProjectsResults!$D:$E,2,FALSE)</f>
        <v>10628</v>
      </c>
      <c r="C537" s="22">
        <f>VLOOKUP(A537,[2]Sheet2!$D:$E,2,FALSE)</f>
        <v>9934</v>
      </c>
      <c r="D537" s="22">
        <v>9934</v>
      </c>
      <c r="E537" s="22">
        <f>VLOOKUP(A537,[3]Sheet2!$A:$F,6,FALSE)</f>
        <v>0</v>
      </c>
      <c r="G537" s="22" t="s">
        <v>1362</v>
      </c>
      <c r="H537" s="22" t="s">
        <v>58</v>
      </c>
      <c r="I537" s="22" t="s">
        <v>25</v>
      </c>
      <c r="J537" s="29" t="s">
        <v>47</v>
      </c>
      <c r="K537" s="22" t="s">
        <v>48</v>
      </c>
      <c r="L537" s="29" t="s">
        <v>28</v>
      </c>
      <c r="P537" s="30">
        <v>45727</v>
      </c>
      <c r="Q537" s="30">
        <v>45727</v>
      </c>
      <c r="R537" s="22" t="s">
        <v>29</v>
      </c>
      <c r="S537" s="29" t="s">
        <v>30</v>
      </c>
      <c r="T537" s="22" t="s">
        <v>49</v>
      </c>
      <c r="U537" s="22" t="s">
        <v>32</v>
      </c>
      <c r="V537" s="22" t="s">
        <v>50</v>
      </c>
      <c r="W537" s="32" t="s">
        <v>34</v>
      </c>
    </row>
    <row r="538" spans="1:23">
      <c r="A538" s="22" t="s">
        <v>1363</v>
      </c>
      <c r="B538" s="25">
        <f>VLOOKUP(A538,[1]ProjectsResults!$D:$E,2,FALSE)</f>
        <v>10629</v>
      </c>
      <c r="C538" s="22">
        <f>VLOOKUP(A538,[2]Sheet2!$D:$E,2,FALSE)</f>
        <v>9935</v>
      </c>
      <c r="D538" s="22">
        <v>9935</v>
      </c>
      <c r="E538" s="22">
        <f>VLOOKUP(A538,[3]Sheet2!$A:$F,6,FALSE)</f>
        <v>0</v>
      </c>
      <c r="G538" s="22" t="s">
        <v>1364</v>
      </c>
      <c r="H538" s="22" t="s">
        <v>137</v>
      </c>
      <c r="I538" s="22" t="s">
        <v>25</v>
      </c>
      <c r="J538" s="29" t="s">
        <v>47</v>
      </c>
      <c r="K538" s="22" t="s">
        <v>196</v>
      </c>
      <c r="L538" s="29" t="s">
        <v>28</v>
      </c>
      <c r="P538" s="30">
        <v>45729</v>
      </c>
      <c r="Q538" s="30">
        <v>45729</v>
      </c>
      <c r="R538" s="22" t="s">
        <v>29</v>
      </c>
      <c r="S538" s="29" t="s">
        <v>30</v>
      </c>
      <c r="T538" s="22" t="s">
        <v>49</v>
      </c>
      <c r="U538" s="22" t="s">
        <v>32</v>
      </c>
      <c r="V538" s="22" t="s">
        <v>50</v>
      </c>
      <c r="W538" s="32" t="s">
        <v>34</v>
      </c>
    </row>
    <row r="539" spans="1:23">
      <c r="A539" s="22" t="s">
        <v>1365</v>
      </c>
      <c r="B539" s="25">
        <f>VLOOKUP(A539,[1]ProjectsResults!$D:$E,2,FALSE)</f>
        <v>10630</v>
      </c>
      <c r="C539" s="22">
        <f>VLOOKUP(A539,[2]Sheet2!$D:$E,2,FALSE)</f>
        <v>9936</v>
      </c>
      <c r="D539" s="22">
        <v>9936</v>
      </c>
      <c r="E539" s="22">
        <f>VLOOKUP(A539,[3]Sheet2!$A:$F,6,FALSE)</f>
        <v>0</v>
      </c>
      <c r="G539" s="22" t="s">
        <v>1366</v>
      </c>
      <c r="H539" s="22" t="s">
        <v>58</v>
      </c>
      <c r="I539" s="22" t="s">
        <v>25</v>
      </c>
      <c r="J539" s="29" t="s">
        <v>47</v>
      </c>
      <c r="K539" s="22" t="s">
        <v>1367</v>
      </c>
      <c r="L539" s="29" t="s">
        <v>28</v>
      </c>
      <c r="P539" s="30">
        <v>45726</v>
      </c>
      <c r="Q539" s="30">
        <v>45726</v>
      </c>
      <c r="R539" s="22" t="s">
        <v>29</v>
      </c>
      <c r="S539" s="29" t="s">
        <v>30</v>
      </c>
      <c r="T539" s="22" t="s">
        <v>49</v>
      </c>
      <c r="U539" s="22" t="s">
        <v>32</v>
      </c>
      <c r="V539" s="22" t="s">
        <v>50</v>
      </c>
      <c r="W539" s="32" t="s">
        <v>34</v>
      </c>
    </row>
    <row r="540" spans="1:23">
      <c r="A540" s="22" t="s">
        <v>1368</v>
      </c>
      <c r="B540" s="25">
        <f>VLOOKUP(A540,[1]ProjectsResults!$D:$E,2,FALSE)</f>
        <v>10631</v>
      </c>
      <c r="C540" s="22">
        <f>VLOOKUP(A540,[2]Sheet2!$D:$E,2,FALSE)</f>
        <v>9937</v>
      </c>
      <c r="D540" s="22">
        <v>9937</v>
      </c>
      <c r="E540" s="22">
        <f>VLOOKUP(A540,[3]Sheet2!$A:$F,6,FALSE)</f>
        <v>0</v>
      </c>
      <c r="G540" s="22" t="s">
        <v>1369</v>
      </c>
      <c r="H540" s="22" t="s">
        <v>453</v>
      </c>
      <c r="I540" s="22" t="s">
        <v>25</v>
      </c>
      <c r="J540" s="22" t="s">
        <v>42</v>
      </c>
      <c r="K540" s="22" t="s">
        <v>454</v>
      </c>
      <c r="L540" s="29" t="s">
        <v>28</v>
      </c>
      <c r="P540" s="30">
        <v>45726</v>
      </c>
      <c r="Q540" s="30">
        <v>45726</v>
      </c>
      <c r="R540" s="22" t="s">
        <v>29</v>
      </c>
      <c r="S540" s="29" t="s">
        <v>30</v>
      </c>
      <c r="T540" s="22" t="s">
        <v>31</v>
      </c>
      <c r="U540" s="22" t="s">
        <v>32</v>
      </c>
      <c r="V540" s="22" t="s">
        <v>33</v>
      </c>
      <c r="W540" s="32" t="s">
        <v>34</v>
      </c>
    </row>
    <row r="541" spans="1:23">
      <c r="A541" s="22" t="s">
        <v>1370</v>
      </c>
      <c r="B541" s="25">
        <f>VLOOKUP(A541,[1]ProjectsResults!$D:$E,2,FALSE)</f>
        <v>10632</v>
      </c>
      <c r="C541" s="22">
        <f>VLOOKUP(A541,[2]Sheet2!$D:$E,2,FALSE)</f>
        <v>9938</v>
      </c>
      <c r="D541" s="22">
        <v>9938</v>
      </c>
      <c r="E541" s="22">
        <f>VLOOKUP(A541,[3]Sheet2!$A:$F,6,FALSE)</f>
        <v>0</v>
      </c>
      <c r="G541" s="22" t="s">
        <v>1371</v>
      </c>
      <c r="H541" s="22" t="s">
        <v>249</v>
      </c>
      <c r="I541" s="22" t="s">
        <v>25</v>
      </c>
      <c r="J541" s="22" t="s">
        <v>250</v>
      </c>
      <c r="K541" s="22" t="s">
        <v>183</v>
      </c>
      <c r="L541" s="29" t="s">
        <v>28</v>
      </c>
      <c r="P541" s="30">
        <v>45742</v>
      </c>
      <c r="Q541" s="30">
        <v>45746</v>
      </c>
      <c r="R541" s="22" t="s">
        <v>29</v>
      </c>
      <c r="S541" s="29" t="s">
        <v>30</v>
      </c>
      <c r="T541" s="22" t="s">
        <v>31</v>
      </c>
      <c r="U541" s="22" t="s">
        <v>32</v>
      </c>
      <c r="V541" s="22" t="s">
        <v>33</v>
      </c>
      <c r="W541" s="32" t="s">
        <v>34</v>
      </c>
    </row>
    <row r="542" spans="1:23">
      <c r="A542" s="22" t="s">
        <v>1372</v>
      </c>
      <c r="B542" s="25">
        <f>VLOOKUP(A542,[1]ProjectsResults!$D:$E,2,FALSE)</f>
        <v>10633</v>
      </c>
      <c r="C542" s="22">
        <f>VLOOKUP(A542,[2]Sheet2!$D:$E,2,FALSE)</f>
        <v>9939</v>
      </c>
      <c r="D542" s="22">
        <v>9939</v>
      </c>
      <c r="E542" s="22">
        <f>VLOOKUP(A542,[3]Sheet2!$A:$F,6,FALSE)</f>
        <v>0</v>
      </c>
      <c r="G542" s="22" t="s">
        <v>1373</v>
      </c>
      <c r="H542" s="22" t="s">
        <v>453</v>
      </c>
      <c r="I542" s="22" t="s">
        <v>25</v>
      </c>
      <c r="J542" s="22" t="s">
        <v>42</v>
      </c>
      <c r="K542" s="22" t="s">
        <v>454</v>
      </c>
      <c r="L542" s="29" t="s">
        <v>28</v>
      </c>
      <c r="P542" s="30">
        <v>45744</v>
      </c>
      <c r="Q542" s="30">
        <v>45744</v>
      </c>
      <c r="R542" s="22" t="s">
        <v>29</v>
      </c>
      <c r="S542" s="29" t="s">
        <v>30</v>
      </c>
      <c r="T542" s="22" t="s">
        <v>31</v>
      </c>
      <c r="U542" s="22" t="s">
        <v>32</v>
      </c>
      <c r="V542" s="22" t="s">
        <v>33</v>
      </c>
      <c r="W542" s="32" t="s">
        <v>34</v>
      </c>
    </row>
    <row r="543" spans="1:23">
      <c r="A543" s="22" t="s">
        <v>1374</v>
      </c>
      <c r="B543" s="25">
        <f>VLOOKUP(A543,[1]ProjectsResults!$D:$E,2,FALSE)</f>
        <v>10634</v>
      </c>
      <c r="C543" s="22">
        <f>VLOOKUP(A543,[2]Sheet2!$D:$E,2,FALSE)</f>
        <v>9940</v>
      </c>
      <c r="D543" s="22">
        <v>9940</v>
      </c>
      <c r="E543" s="22">
        <f>VLOOKUP(A543,[3]Sheet2!$A:$F,6,FALSE)</f>
        <v>0</v>
      </c>
      <c r="G543" s="22" t="s">
        <v>1375</v>
      </c>
      <c r="H543" s="22" t="s">
        <v>453</v>
      </c>
      <c r="I543" s="22" t="s">
        <v>25</v>
      </c>
      <c r="J543" s="22" t="s">
        <v>42</v>
      </c>
      <c r="K543" s="22" t="s">
        <v>454</v>
      </c>
      <c r="L543" s="29" t="s">
        <v>28</v>
      </c>
      <c r="P543" s="30">
        <v>45727</v>
      </c>
      <c r="Q543" s="30">
        <v>45727</v>
      </c>
      <c r="R543" s="22" t="s">
        <v>29</v>
      </c>
      <c r="S543" s="29" t="s">
        <v>30</v>
      </c>
      <c r="T543" s="22" t="s">
        <v>31</v>
      </c>
      <c r="U543" s="22" t="s">
        <v>32</v>
      </c>
      <c r="V543" s="22" t="s">
        <v>33</v>
      </c>
      <c r="W543" s="32" t="s">
        <v>34</v>
      </c>
    </row>
    <row r="544" spans="1:23">
      <c r="A544" s="22" t="s">
        <v>1376</v>
      </c>
      <c r="B544" s="25">
        <f>VLOOKUP(A544,[1]ProjectsResults!$D:$E,2,FALSE)</f>
        <v>10635</v>
      </c>
      <c r="C544" s="22">
        <f>VLOOKUP(A544,[2]Sheet2!$D:$E,2,FALSE)</f>
        <v>9941</v>
      </c>
      <c r="D544" s="22">
        <v>9941</v>
      </c>
      <c r="E544" s="22">
        <f>VLOOKUP(A544,[3]Sheet2!$A:$F,6,FALSE)</f>
        <v>0</v>
      </c>
      <c r="G544" s="22" t="s">
        <v>1377</v>
      </c>
      <c r="H544" s="22" t="s">
        <v>86</v>
      </c>
      <c r="I544" s="22" t="s">
        <v>25</v>
      </c>
      <c r="J544" s="22" t="s">
        <v>42</v>
      </c>
      <c r="K544" s="22" t="s">
        <v>149</v>
      </c>
      <c r="L544" s="29" t="s">
        <v>28</v>
      </c>
      <c r="P544" s="30">
        <v>45729</v>
      </c>
      <c r="Q544" s="30">
        <v>45729</v>
      </c>
      <c r="R544" s="22" t="s">
        <v>29</v>
      </c>
      <c r="S544" s="29" t="s">
        <v>30</v>
      </c>
      <c r="T544" s="22" t="s">
        <v>31</v>
      </c>
      <c r="U544" s="22" t="s">
        <v>32</v>
      </c>
      <c r="V544" s="22" t="s">
        <v>33</v>
      </c>
      <c r="W544" s="32" t="s">
        <v>34</v>
      </c>
    </row>
    <row r="545" spans="1:23">
      <c r="A545" s="22" t="s">
        <v>1378</v>
      </c>
      <c r="B545" s="25">
        <f>VLOOKUP(A545,[1]ProjectsResults!$D:$E,2,FALSE)</f>
        <v>10636</v>
      </c>
      <c r="C545" s="22">
        <f>VLOOKUP(A545,[2]Sheet2!$D:$E,2,FALSE)</f>
        <v>9942</v>
      </c>
      <c r="D545" s="22">
        <v>9942</v>
      </c>
      <c r="E545" s="22">
        <f>VLOOKUP(A545,[3]Sheet2!$A:$F,6,FALSE)</f>
        <v>0</v>
      </c>
      <c r="G545" s="22" t="s">
        <v>1379</v>
      </c>
      <c r="H545" s="22" t="s">
        <v>249</v>
      </c>
      <c r="I545" s="22" t="s">
        <v>25</v>
      </c>
      <c r="J545" s="22" t="s">
        <v>250</v>
      </c>
      <c r="K545" s="22" t="s">
        <v>281</v>
      </c>
      <c r="L545" s="29" t="s">
        <v>28</v>
      </c>
      <c r="P545" s="30">
        <v>45734</v>
      </c>
      <c r="Q545" s="30">
        <v>45735</v>
      </c>
      <c r="R545" s="22" t="s">
        <v>29</v>
      </c>
      <c r="S545" s="29" t="s">
        <v>30</v>
      </c>
      <c r="T545" s="22" t="s">
        <v>31</v>
      </c>
      <c r="U545" s="22" t="s">
        <v>32</v>
      </c>
      <c r="V545" s="22" t="s">
        <v>33</v>
      </c>
      <c r="W545" s="32" t="s">
        <v>34</v>
      </c>
    </row>
    <row r="546" spans="1:23">
      <c r="A546" s="22" t="s">
        <v>1380</v>
      </c>
      <c r="B546" s="25">
        <f>VLOOKUP(A546,[1]ProjectsResults!$D:$E,2,FALSE)</f>
        <v>10637</v>
      </c>
      <c r="C546" s="22">
        <f>VLOOKUP(A546,[2]Sheet2!$D:$E,2,FALSE)</f>
        <v>9943</v>
      </c>
      <c r="D546" s="22">
        <v>9943</v>
      </c>
      <c r="E546" s="22">
        <f>VLOOKUP(A546,[3]Sheet2!$A:$F,6,FALSE)</f>
        <v>0</v>
      </c>
      <c r="G546" s="22" t="s">
        <v>1381</v>
      </c>
      <c r="H546" s="22" t="s">
        <v>249</v>
      </c>
      <c r="I546" s="22" t="s">
        <v>25</v>
      </c>
      <c r="J546" s="22" t="s">
        <v>250</v>
      </c>
      <c r="K546" s="29" t="s">
        <v>251</v>
      </c>
      <c r="L546" s="29" t="s">
        <v>28</v>
      </c>
      <c r="P546" s="30">
        <v>45728</v>
      </c>
      <c r="Q546" s="30">
        <v>45728</v>
      </c>
      <c r="R546" s="22" t="s">
        <v>29</v>
      </c>
      <c r="S546" s="29" t="s">
        <v>30</v>
      </c>
      <c r="T546" s="22" t="s">
        <v>31</v>
      </c>
      <c r="U546" s="22" t="s">
        <v>32</v>
      </c>
      <c r="V546" s="22" t="s">
        <v>33</v>
      </c>
      <c r="W546" s="32" t="s">
        <v>34</v>
      </c>
    </row>
    <row r="547" spans="1:23">
      <c r="A547" s="22" t="s">
        <v>1382</v>
      </c>
      <c r="B547" s="25">
        <f>VLOOKUP(A547,[1]ProjectsResults!$D:$E,2,FALSE)</f>
        <v>10638</v>
      </c>
      <c r="C547" s="22">
        <f>VLOOKUP(A547,[2]Sheet2!$D:$E,2,FALSE)</f>
        <v>9944</v>
      </c>
      <c r="D547" s="22">
        <v>9944</v>
      </c>
      <c r="E547" s="22">
        <f>VLOOKUP(A547,[3]Sheet2!$A:$F,6,FALSE)</f>
        <v>0</v>
      </c>
      <c r="G547" s="22" t="s">
        <v>1383</v>
      </c>
      <c r="H547" s="22" t="s">
        <v>249</v>
      </c>
      <c r="I547" s="22" t="s">
        <v>25</v>
      </c>
      <c r="J547" s="22" t="s">
        <v>250</v>
      </c>
      <c r="K547" s="22" t="s">
        <v>179</v>
      </c>
      <c r="L547" s="29" t="s">
        <v>28</v>
      </c>
      <c r="P547" s="30">
        <v>45728</v>
      </c>
      <c r="Q547" s="30">
        <v>45728</v>
      </c>
      <c r="R547" s="22" t="s">
        <v>29</v>
      </c>
      <c r="S547" s="29" t="s">
        <v>30</v>
      </c>
      <c r="T547" s="22" t="s">
        <v>31</v>
      </c>
      <c r="U547" s="22" t="s">
        <v>32</v>
      </c>
      <c r="V547" s="22" t="s">
        <v>33</v>
      </c>
      <c r="W547" s="32" t="s">
        <v>34</v>
      </c>
    </row>
    <row r="548" spans="1:23">
      <c r="A548" s="22" t="s">
        <v>1384</v>
      </c>
      <c r="B548" s="25">
        <f>VLOOKUP(A548,[1]ProjectsResults!$D:$E,2,FALSE)</f>
        <v>10639</v>
      </c>
      <c r="C548" s="22">
        <f>VLOOKUP(A548,[2]Sheet2!$D:$E,2,FALSE)</f>
        <v>9945</v>
      </c>
      <c r="D548" s="22">
        <v>9945</v>
      </c>
      <c r="E548" s="22">
        <f>VLOOKUP(A548,[3]Sheet2!$A:$F,6,FALSE)</f>
        <v>0</v>
      </c>
      <c r="G548" s="22" t="s">
        <v>1385</v>
      </c>
      <c r="H548" s="22" t="s">
        <v>331</v>
      </c>
      <c r="I548" s="22" t="s">
        <v>25</v>
      </c>
      <c r="J548" s="22" t="s">
        <v>72</v>
      </c>
      <c r="K548" s="22" t="s">
        <v>141</v>
      </c>
      <c r="L548" s="29" t="s">
        <v>28</v>
      </c>
      <c r="P548" s="30">
        <v>45728</v>
      </c>
      <c r="Q548" s="30">
        <v>45728</v>
      </c>
      <c r="R548" s="22" t="s">
        <v>29</v>
      </c>
      <c r="S548" s="29" t="s">
        <v>30</v>
      </c>
      <c r="T548" s="22" t="s">
        <v>74</v>
      </c>
      <c r="U548" s="22" t="s">
        <v>32</v>
      </c>
      <c r="V548" s="22" t="s">
        <v>75</v>
      </c>
      <c r="W548" s="32" t="s">
        <v>34</v>
      </c>
    </row>
    <row r="549" spans="1:23">
      <c r="A549" s="22" t="s">
        <v>1386</v>
      </c>
      <c r="B549" s="25">
        <f>VLOOKUP(A549,[1]ProjectsResults!$D:$E,2,FALSE)</f>
        <v>10640</v>
      </c>
      <c r="C549" s="22">
        <f>VLOOKUP(A549,[2]Sheet2!$D:$E,2,FALSE)</f>
        <v>9946</v>
      </c>
      <c r="D549" s="22">
        <v>9946</v>
      </c>
      <c r="E549" s="22">
        <f>VLOOKUP(A549,[3]Sheet2!$A:$F,6,FALSE)</f>
        <v>0</v>
      </c>
      <c r="G549" s="22" t="s">
        <v>1387</v>
      </c>
      <c r="H549" s="22" t="s">
        <v>331</v>
      </c>
      <c r="I549" s="22" t="s">
        <v>25</v>
      </c>
      <c r="J549" s="22" t="s">
        <v>72</v>
      </c>
      <c r="K549" s="22" t="s">
        <v>141</v>
      </c>
      <c r="L549" s="29" t="s">
        <v>28</v>
      </c>
      <c r="P549" s="30">
        <v>45728</v>
      </c>
      <c r="Q549" s="30">
        <v>45728</v>
      </c>
      <c r="R549" s="22" t="s">
        <v>29</v>
      </c>
      <c r="S549" s="29" t="s">
        <v>30</v>
      </c>
      <c r="T549" s="22" t="s">
        <v>74</v>
      </c>
      <c r="U549" s="22" t="s">
        <v>32</v>
      </c>
      <c r="V549" s="22" t="s">
        <v>75</v>
      </c>
      <c r="W549" s="32" t="s">
        <v>34</v>
      </c>
    </row>
    <row r="550" spans="1:23">
      <c r="A550" s="22" t="s">
        <v>1388</v>
      </c>
      <c r="B550" s="25">
        <f>VLOOKUP(A550,[1]ProjectsResults!$D:$E,2,FALSE)</f>
        <v>10641</v>
      </c>
      <c r="C550" s="22">
        <f>VLOOKUP(A550,[2]Sheet2!$D:$E,2,FALSE)</f>
        <v>9947</v>
      </c>
      <c r="D550" s="22">
        <v>9947</v>
      </c>
      <c r="E550" s="22">
        <f>VLOOKUP(A550,[3]Sheet2!$A:$F,6,FALSE)</f>
        <v>0</v>
      </c>
      <c r="G550" s="22" t="s">
        <v>1389</v>
      </c>
      <c r="H550" s="22" t="s">
        <v>1390</v>
      </c>
      <c r="I550" s="22" t="s">
        <v>25</v>
      </c>
      <c r="J550" s="29" t="s">
        <v>271</v>
      </c>
      <c r="K550" s="22" t="s">
        <v>272</v>
      </c>
      <c r="L550" s="29" t="s">
        <v>28</v>
      </c>
      <c r="P550" s="30">
        <v>45732</v>
      </c>
      <c r="Q550" s="30">
        <v>45738</v>
      </c>
      <c r="R550" s="22" t="s">
        <v>29</v>
      </c>
      <c r="S550" s="29" t="s">
        <v>30</v>
      </c>
      <c r="T550" s="22" t="s">
        <v>74</v>
      </c>
      <c r="U550" s="22" t="s">
        <v>32</v>
      </c>
      <c r="V550" s="22" t="s">
        <v>75</v>
      </c>
      <c r="W550" s="32" t="s">
        <v>34</v>
      </c>
    </row>
    <row r="551" spans="1:23">
      <c r="A551" s="22" t="s">
        <v>1391</v>
      </c>
      <c r="B551" s="25">
        <f>VLOOKUP(A551,[1]ProjectsResults!$D:$E,2,FALSE)</f>
        <v>10642</v>
      </c>
      <c r="C551" s="22">
        <f>VLOOKUP(A551,[2]Sheet2!$D:$E,2,FALSE)</f>
        <v>9948</v>
      </c>
      <c r="D551" s="22">
        <v>9948</v>
      </c>
      <c r="E551" s="22">
        <f>VLOOKUP(A551,[3]Sheet2!$A:$F,6,FALSE)</f>
        <v>0</v>
      </c>
      <c r="G551" s="22" t="s">
        <v>1392</v>
      </c>
      <c r="H551" s="22" t="s">
        <v>86</v>
      </c>
      <c r="I551" s="22" t="s">
        <v>25</v>
      </c>
      <c r="J551" s="22" t="s">
        <v>42</v>
      </c>
      <c r="K551" s="22" t="s">
        <v>149</v>
      </c>
      <c r="L551" s="29" t="s">
        <v>28</v>
      </c>
      <c r="P551" s="30">
        <v>45727</v>
      </c>
      <c r="Q551" s="30">
        <v>45727</v>
      </c>
      <c r="R551" s="22" t="s">
        <v>29</v>
      </c>
      <c r="S551" s="29" t="s">
        <v>30</v>
      </c>
      <c r="T551" s="22" t="s">
        <v>31</v>
      </c>
      <c r="U551" s="22" t="s">
        <v>32</v>
      </c>
      <c r="V551" s="22" t="s">
        <v>33</v>
      </c>
      <c r="W551" s="32" t="s">
        <v>34</v>
      </c>
    </row>
    <row r="552" spans="1:23">
      <c r="A552" s="22" t="s">
        <v>1393</v>
      </c>
      <c r="B552" s="25">
        <f>VLOOKUP(A552,[1]ProjectsResults!$D:$E,2,FALSE)</f>
        <v>10643</v>
      </c>
      <c r="C552" s="22">
        <f>VLOOKUP(A552,[2]Sheet2!$D:$E,2,FALSE)</f>
        <v>9949</v>
      </c>
      <c r="D552" s="22">
        <v>9949</v>
      </c>
      <c r="E552" s="22">
        <f>VLOOKUP(A552,[3]Sheet2!$A:$F,6,FALSE)</f>
        <v>0</v>
      </c>
      <c r="G552" s="22" t="s">
        <v>1394</v>
      </c>
      <c r="H552" s="22" t="s">
        <v>86</v>
      </c>
      <c r="I552" s="22" t="s">
        <v>25</v>
      </c>
      <c r="J552" s="22" t="s">
        <v>42</v>
      </c>
      <c r="K552" s="22" t="s">
        <v>149</v>
      </c>
      <c r="L552" s="29" t="s">
        <v>28</v>
      </c>
      <c r="P552" s="30">
        <v>45728</v>
      </c>
      <c r="Q552" s="30">
        <v>45741</v>
      </c>
      <c r="R552" s="22" t="s">
        <v>29</v>
      </c>
      <c r="S552" s="29" t="s">
        <v>30</v>
      </c>
      <c r="T552" s="22" t="s">
        <v>31</v>
      </c>
      <c r="U552" s="22" t="s">
        <v>32</v>
      </c>
      <c r="V552" s="22" t="s">
        <v>33</v>
      </c>
      <c r="W552" s="32" t="s">
        <v>34</v>
      </c>
    </row>
    <row r="553" spans="1:23">
      <c r="A553" s="22" t="s">
        <v>1395</v>
      </c>
      <c r="B553" s="25">
        <f>VLOOKUP(A553,[1]ProjectsResults!$D:$E,2,FALSE)</f>
        <v>10644</v>
      </c>
      <c r="C553" s="22">
        <f>VLOOKUP(A553,[2]Sheet2!$D:$E,2,FALSE)</f>
        <v>9950</v>
      </c>
      <c r="D553" s="22">
        <v>9950</v>
      </c>
      <c r="E553" s="22">
        <f>VLOOKUP(A553,[3]Sheet2!$A:$F,6,FALSE)</f>
        <v>0</v>
      </c>
      <c r="G553" s="22" t="s">
        <v>1396</v>
      </c>
      <c r="H553" s="22" t="s">
        <v>249</v>
      </c>
      <c r="I553" s="22" t="s">
        <v>25</v>
      </c>
      <c r="J553" s="22" t="s">
        <v>42</v>
      </c>
      <c r="K553" s="22" t="s">
        <v>183</v>
      </c>
      <c r="L553" s="29" t="s">
        <v>28</v>
      </c>
      <c r="P553" s="30">
        <v>45733</v>
      </c>
      <c r="Q553" s="30">
        <v>45733</v>
      </c>
      <c r="R553" s="22" t="s">
        <v>29</v>
      </c>
      <c r="S553" s="29" t="s">
        <v>30</v>
      </c>
      <c r="T553" s="22" t="s">
        <v>31</v>
      </c>
      <c r="U553" s="22" t="s">
        <v>32</v>
      </c>
      <c r="V553" s="22" t="s">
        <v>33</v>
      </c>
      <c r="W553" s="32" t="s">
        <v>34</v>
      </c>
    </row>
    <row r="554" spans="1:23">
      <c r="A554" s="22" t="s">
        <v>1397</v>
      </c>
      <c r="B554" s="25">
        <f>VLOOKUP(A554,[1]ProjectsResults!$D:$E,2,FALSE)</f>
        <v>10645</v>
      </c>
      <c r="C554" s="22">
        <f>VLOOKUP(A554,[2]Sheet2!$D:$E,2,FALSE)</f>
        <v>9951</v>
      </c>
      <c r="D554" s="22">
        <v>9951</v>
      </c>
      <c r="E554" s="22">
        <f>VLOOKUP(A554,[3]Sheet2!$A:$F,6,FALSE)</f>
        <v>0</v>
      </c>
      <c r="G554" s="22" t="s">
        <v>1398</v>
      </c>
      <c r="H554" s="22" t="s">
        <v>58</v>
      </c>
      <c r="I554" s="22" t="s">
        <v>25</v>
      </c>
      <c r="J554" s="29" t="s">
        <v>47</v>
      </c>
      <c r="K554" s="22" t="s">
        <v>48</v>
      </c>
      <c r="L554" s="29" t="s">
        <v>28</v>
      </c>
      <c r="P554" s="30">
        <v>45735</v>
      </c>
      <c r="Q554" s="30">
        <v>45735</v>
      </c>
      <c r="R554" s="22" t="s">
        <v>29</v>
      </c>
      <c r="S554" s="29" t="s">
        <v>30</v>
      </c>
      <c r="T554" s="22" t="s">
        <v>49</v>
      </c>
      <c r="U554" s="22" t="s">
        <v>32</v>
      </c>
      <c r="V554" s="22" t="s">
        <v>50</v>
      </c>
      <c r="W554" s="32" t="s">
        <v>34</v>
      </c>
    </row>
    <row r="555" spans="1:23">
      <c r="A555" s="22" t="s">
        <v>1399</v>
      </c>
      <c r="B555" s="25">
        <f>VLOOKUP(A555,[1]ProjectsResults!$D:$E,2,FALSE)</f>
        <v>10646</v>
      </c>
      <c r="C555" s="22">
        <f>VLOOKUP(A555,[2]Sheet2!$D:$E,2,FALSE)</f>
        <v>9952</v>
      </c>
      <c r="D555" s="22">
        <v>9952</v>
      </c>
      <c r="E555" s="22">
        <f>VLOOKUP(A555,[3]Sheet2!$A:$F,6,FALSE)</f>
        <v>0</v>
      </c>
      <c r="G555" s="22" t="s">
        <v>1400</v>
      </c>
      <c r="H555" s="22" t="s">
        <v>167</v>
      </c>
      <c r="I555" s="22" t="s">
        <v>25</v>
      </c>
      <c r="J555" s="29" t="s">
        <v>168</v>
      </c>
      <c r="K555" s="22" t="s">
        <v>169</v>
      </c>
      <c r="L555" s="29" t="s">
        <v>28</v>
      </c>
      <c r="P555" s="30">
        <v>45727</v>
      </c>
      <c r="Q555" s="30">
        <v>45727</v>
      </c>
      <c r="R555" s="22" t="s">
        <v>29</v>
      </c>
      <c r="S555" s="29" t="s">
        <v>30</v>
      </c>
      <c r="T555" s="22" t="s">
        <v>31</v>
      </c>
      <c r="U555" s="22" t="s">
        <v>32</v>
      </c>
      <c r="V555" s="22" t="s">
        <v>33</v>
      </c>
      <c r="W555" s="32" t="s">
        <v>34</v>
      </c>
    </row>
    <row r="556" spans="1:23">
      <c r="A556" s="22" t="s">
        <v>1401</v>
      </c>
      <c r="B556" s="25">
        <f>VLOOKUP(A556,[1]ProjectsResults!$D:$E,2,FALSE)</f>
        <v>10647</v>
      </c>
      <c r="C556" s="22">
        <f>VLOOKUP(A556,[2]Sheet2!$D:$E,2,FALSE)</f>
        <v>9953</v>
      </c>
      <c r="D556" s="22">
        <v>9953</v>
      </c>
      <c r="E556" s="22">
        <f>VLOOKUP(A556,[3]Sheet2!$A:$F,6,FALSE)</f>
        <v>0</v>
      </c>
      <c r="G556" s="22" t="s">
        <v>1402</v>
      </c>
      <c r="H556" s="22" t="s">
        <v>453</v>
      </c>
      <c r="I556" s="22" t="s">
        <v>25</v>
      </c>
      <c r="J556" s="22" t="s">
        <v>42</v>
      </c>
      <c r="K556" s="22" t="s">
        <v>454</v>
      </c>
      <c r="L556" s="29" t="s">
        <v>28</v>
      </c>
      <c r="P556" s="30">
        <v>45737</v>
      </c>
      <c r="Q556" s="30">
        <v>45737</v>
      </c>
      <c r="R556" s="22" t="s">
        <v>29</v>
      </c>
      <c r="S556" s="29" t="s">
        <v>30</v>
      </c>
      <c r="T556" s="22" t="s">
        <v>31</v>
      </c>
      <c r="U556" s="22" t="s">
        <v>32</v>
      </c>
      <c r="V556" s="22" t="s">
        <v>33</v>
      </c>
      <c r="W556" s="32" t="s">
        <v>34</v>
      </c>
    </row>
    <row r="557" spans="1:23">
      <c r="A557" s="22" t="s">
        <v>1403</v>
      </c>
      <c r="B557" s="25">
        <f>VLOOKUP(A557,[1]ProjectsResults!$D:$E,2,FALSE)</f>
        <v>10648</v>
      </c>
      <c r="C557" s="22">
        <f>VLOOKUP(A557,[2]Sheet2!$D:$E,2,FALSE)</f>
        <v>9954</v>
      </c>
      <c r="D557" s="22">
        <v>9954</v>
      </c>
      <c r="E557" s="22">
        <f>VLOOKUP(A557,[3]Sheet2!$A:$F,6,FALSE)</f>
        <v>0</v>
      </c>
      <c r="G557" s="22" t="s">
        <v>1404</v>
      </c>
      <c r="H557" s="22" t="s">
        <v>65</v>
      </c>
      <c r="I557" s="22" t="s">
        <v>25</v>
      </c>
      <c r="J557" s="29" t="s">
        <v>47</v>
      </c>
      <c r="K557" s="22" t="s">
        <v>66</v>
      </c>
      <c r="L557" s="29" t="s">
        <v>28</v>
      </c>
      <c r="P557" s="30">
        <v>45728</v>
      </c>
      <c r="Q557" s="30">
        <v>45728</v>
      </c>
      <c r="R557" s="22" t="s">
        <v>29</v>
      </c>
      <c r="S557" s="29" t="s">
        <v>30</v>
      </c>
      <c r="T557" s="22" t="s">
        <v>49</v>
      </c>
      <c r="U557" s="22" t="s">
        <v>32</v>
      </c>
      <c r="V557" s="22" t="s">
        <v>50</v>
      </c>
      <c r="W557" s="32" t="s">
        <v>34</v>
      </c>
    </row>
    <row r="558" spans="1:23">
      <c r="A558" s="22" t="s">
        <v>1405</v>
      </c>
      <c r="B558" s="25">
        <f>VLOOKUP(A558,[1]ProjectsResults!$D:$E,2,FALSE)</f>
        <v>10649</v>
      </c>
      <c r="C558" s="22">
        <f>VLOOKUP(A558,[2]Sheet2!$D:$E,2,FALSE)</f>
        <v>9955</v>
      </c>
      <c r="D558" s="22">
        <v>9955</v>
      </c>
      <c r="E558" s="22">
        <f>VLOOKUP(A558,[3]Sheet2!$A:$F,6,FALSE)</f>
        <v>0</v>
      </c>
      <c r="G558" s="22" t="s">
        <v>1406</v>
      </c>
      <c r="H558" s="22" t="s">
        <v>65</v>
      </c>
      <c r="I558" s="22" t="s">
        <v>25</v>
      </c>
      <c r="J558" s="29" t="s">
        <v>47</v>
      </c>
      <c r="K558" s="22" t="s">
        <v>66</v>
      </c>
      <c r="L558" s="29" t="s">
        <v>28</v>
      </c>
      <c r="P558" s="30">
        <v>45744</v>
      </c>
      <c r="Q558" s="30">
        <v>45744</v>
      </c>
      <c r="R558" s="22" t="s">
        <v>29</v>
      </c>
      <c r="S558" s="29" t="s">
        <v>30</v>
      </c>
      <c r="T558" s="22" t="s">
        <v>49</v>
      </c>
      <c r="U558" s="22" t="s">
        <v>32</v>
      </c>
      <c r="V558" s="22" t="s">
        <v>50</v>
      </c>
      <c r="W558" s="32" t="s">
        <v>34</v>
      </c>
    </row>
    <row r="559" spans="1:23">
      <c r="A559" s="22" t="s">
        <v>1407</v>
      </c>
      <c r="B559" s="25">
        <f>VLOOKUP(A559,[1]ProjectsResults!$D:$E,2,FALSE)</f>
        <v>11228</v>
      </c>
      <c r="C559" s="22">
        <f>VLOOKUP(A559,[2]Sheet2!$D:$E,2,FALSE)</f>
        <v>10207</v>
      </c>
      <c r="D559" s="22">
        <v>10207</v>
      </c>
      <c r="E559" s="22">
        <f>VLOOKUP(A559,[3]Sheet2!$A:$F,6,FALSE)</f>
        <v>0</v>
      </c>
      <c r="G559" s="22" t="s">
        <v>1408</v>
      </c>
      <c r="H559" s="22" t="s">
        <v>1409</v>
      </c>
      <c r="I559" s="22" t="s">
        <v>25</v>
      </c>
      <c r="J559" s="29" t="s">
        <v>47</v>
      </c>
      <c r="K559" s="22" t="s">
        <v>1020</v>
      </c>
      <c r="L559" s="29" t="s">
        <v>28</v>
      </c>
      <c r="P559" s="30">
        <v>45727</v>
      </c>
      <c r="Q559" s="30">
        <v>45727</v>
      </c>
      <c r="R559" s="22" t="s">
        <v>29</v>
      </c>
      <c r="S559" s="29" t="s">
        <v>30</v>
      </c>
      <c r="T559" s="22" t="s">
        <v>49</v>
      </c>
      <c r="U559" s="22" t="s">
        <v>32</v>
      </c>
      <c r="V559" s="22" t="s">
        <v>50</v>
      </c>
      <c r="W559" s="32" t="s">
        <v>34</v>
      </c>
    </row>
    <row r="560" spans="1:23">
      <c r="A560" s="22" t="s">
        <v>1410</v>
      </c>
      <c r="B560" s="25">
        <f>VLOOKUP(A560,[1]ProjectsResults!$D:$E,2,FALSE)</f>
        <v>10650</v>
      </c>
      <c r="C560" s="22">
        <f>VLOOKUP(A560,[2]Sheet2!$D:$E,2,FALSE)</f>
        <v>9956</v>
      </c>
      <c r="D560" s="22">
        <v>9956</v>
      </c>
      <c r="E560" s="22">
        <f>VLOOKUP(A560,[3]Sheet2!$A:$F,6,FALSE)</f>
        <v>0</v>
      </c>
      <c r="G560" s="22" t="s">
        <v>1360</v>
      </c>
      <c r="H560" s="22" t="s">
        <v>86</v>
      </c>
      <c r="I560" s="22" t="s">
        <v>25</v>
      </c>
      <c r="J560" s="22" t="s">
        <v>42</v>
      </c>
      <c r="K560" s="22" t="s">
        <v>254</v>
      </c>
      <c r="L560" s="29" t="s">
        <v>28</v>
      </c>
      <c r="P560" s="30">
        <v>45729</v>
      </c>
      <c r="Q560" s="30">
        <v>45729</v>
      </c>
      <c r="R560" s="22" t="s">
        <v>29</v>
      </c>
      <c r="S560" s="29" t="s">
        <v>30</v>
      </c>
      <c r="T560" s="22" t="s">
        <v>31</v>
      </c>
      <c r="U560" s="22" t="s">
        <v>32</v>
      </c>
      <c r="V560" s="22" t="s">
        <v>33</v>
      </c>
      <c r="W560" s="32" t="s">
        <v>34</v>
      </c>
    </row>
    <row r="561" spans="1:23">
      <c r="A561" s="22" t="s">
        <v>1411</v>
      </c>
      <c r="B561" s="25">
        <f>VLOOKUP(A561,[1]ProjectsResults!$D:$E,2,FALSE)</f>
        <v>10651</v>
      </c>
      <c r="C561" s="22">
        <f>VLOOKUP(A561,[2]Sheet2!$D:$E,2,FALSE)</f>
        <v>9957</v>
      </c>
      <c r="D561" s="22">
        <v>9957</v>
      </c>
      <c r="E561" s="22">
        <f>VLOOKUP(A561,[3]Sheet2!$A:$F,6,FALSE)</f>
        <v>0</v>
      </c>
      <c r="G561" s="22" t="s">
        <v>1412</v>
      </c>
      <c r="H561" s="22" t="s">
        <v>313</v>
      </c>
      <c r="I561" s="22" t="s">
        <v>25</v>
      </c>
      <c r="J561" s="29" t="s">
        <v>168</v>
      </c>
      <c r="K561" s="22" t="s">
        <v>314</v>
      </c>
      <c r="L561" s="29" t="s">
        <v>28</v>
      </c>
      <c r="P561" s="30">
        <v>45751</v>
      </c>
      <c r="Q561" s="30">
        <v>45751</v>
      </c>
      <c r="R561" s="22" t="s">
        <v>29</v>
      </c>
      <c r="S561" s="29" t="s">
        <v>30</v>
      </c>
      <c r="T561" s="22" t="s">
        <v>31</v>
      </c>
      <c r="U561" s="22" t="s">
        <v>32</v>
      </c>
      <c r="V561" s="22" t="s">
        <v>33</v>
      </c>
      <c r="W561" s="32" t="s">
        <v>34</v>
      </c>
    </row>
    <row r="562" spans="1:23">
      <c r="A562" s="22" t="s">
        <v>1413</v>
      </c>
      <c r="B562" s="25">
        <f>VLOOKUP(A562,[1]ProjectsResults!$D:$E,2,FALSE)</f>
        <v>10652</v>
      </c>
      <c r="C562" s="22">
        <f>VLOOKUP(A562,[2]Sheet2!$D:$E,2,FALSE)</f>
        <v>9958</v>
      </c>
      <c r="D562" s="22">
        <v>9958</v>
      </c>
      <c r="E562" s="22">
        <f>VLOOKUP(A562,[3]Sheet2!$A:$F,6,FALSE)</f>
        <v>0</v>
      </c>
      <c r="G562" s="22" t="s">
        <v>1414</v>
      </c>
      <c r="H562" s="22" t="s">
        <v>90</v>
      </c>
      <c r="I562" s="22" t="s">
        <v>25</v>
      </c>
      <c r="J562" s="22" t="s">
        <v>91</v>
      </c>
      <c r="K562" s="22" t="s">
        <v>182</v>
      </c>
      <c r="L562" s="29" t="s">
        <v>28</v>
      </c>
      <c r="P562" s="30">
        <v>46016</v>
      </c>
      <c r="Q562" s="30">
        <v>46016</v>
      </c>
      <c r="R562" s="22" t="s">
        <v>29</v>
      </c>
      <c r="S562" s="29" t="s">
        <v>30</v>
      </c>
      <c r="T562" s="22" t="s">
        <v>31</v>
      </c>
      <c r="U562" s="22" t="s">
        <v>32</v>
      </c>
      <c r="V562" s="22" t="s">
        <v>33</v>
      </c>
      <c r="W562" s="32" t="s">
        <v>34</v>
      </c>
    </row>
    <row r="563" spans="1:23">
      <c r="A563" s="22" t="s">
        <v>1415</v>
      </c>
      <c r="B563" s="25">
        <f>VLOOKUP(A563,[1]ProjectsResults!$D:$E,2,FALSE)</f>
        <v>10653</v>
      </c>
      <c r="C563" s="22">
        <f>VLOOKUP(A563,[2]Sheet2!$D:$E,2,FALSE)</f>
        <v>9959</v>
      </c>
      <c r="D563" s="22">
        <v>9959</v>
      </c>
      <c r="E563" s="22">
        <f>VLOOKUP(A563,[3]Sheet2!$A:$F,6,FALSE)</f>
        <v>0</v>
      </c>
      <c r="G563" s="22" t="s">
        <v>1416</v>
      </c>
      <c r="H563" s="22" t="s">
        <v>53</v>
      </c>
      <c r="I563" s="22" t="s">
        <v>25</v>
      </c>
      <c r="J563" s="22" t="s">
        <v>38</v>
      </c>
      <c r="K563" s="22" t="s">
        <v>38</v>
      </c>
      <c r="L563" s="29" t="s">
        <v>28</v>
      </c>
      <c r="P563" s="30">
        <v>45777</v>
      </c>
      <c r="Q563" s="30">
        <v>45777</v>
      </c>
      <c r="R563" s="22" t="s">
        <v>29</v>
      </c>
      <c r="S563" s="29" t="s">
        <v>30</v>
      </c>
      <c r="T563" s="22" t="s">
        <v>31</v>
      </c>
      <c r="U563" s="22" t="s">
        <v>32</v>
      </c>
      <c r="V563" s="22" t="s">
        <v>33</v>
      </c>
      <c r="W563" s="32" t="s">
        <v>34</v>
      </c>
    </row>
    <row r="564" spans="1:23">
      <c r="A564" s="22" t="s">
        <v>1417</v>
      </c>
      <c r="B564" s="25">
        <f>VLOOKUP(A564,[1]ProjectsResults!$D:$E,2,FALSE)</f>
        <v>10654</v>
      </c>
      <c r="C564" s="22">
        <f>VLOOKUP(A564,[2]Sheet2!$D:$E,2,FALSE)</f>
        <v>9960</v>
      </c>
      <c r="D564" s="22">
        <v>9960</v>
      </c>
      <c r="E564" s="22">
        <f>VLOOKUP(A564,[3]Sheet2!$A:$F,6,FALSE)</f>
        <v>0</v>
      </c>
      <c r="G564" s="22" t="s">
        <v>1418</v>
      </c>
      <c r="H564" s="22" t="s">
        <v>313</v>
      </c>
      <c r="I564" s="22" t="s">
        <v>25</v>
      </c>
      <c r="J564" s="29" t="s">
        <v>168</v>
      </c>
      <c r="K564" s="22" t="s">
        <v>314</v>
      </c>
      <c r="L564" s="29" t="s">
        <v>28</v>
      </c>
      <c r="P564" s="30">
        <v>45734</v>
      </c>
      <c r="Q564" s="30">
        <v>45734</v>
      </c>
      <c r="R564" s="22" t="s">
        <v>29</v>
      </c>
      <c r="S564" s="29" t="s">
        <v>30</v>
      </c>
      <c r="T564" s="22" t="s">
        <v>31</v>
      </c>
      <c r="U564" s="22" t="s">
        <v>32</v>
      </c>
      <c r="V564" s="22" t="s">
        <v>33</v>
      </c>
      <c r="W564" s="32" t="s">
        <v>34</v>
      </c>
    </row>
    <row r="565" spans="1:23">
      <c r="A565" s="22" t="s">
        <v>1419</v>
      </c>
      <c r="B565" s="25">
        <f>VLOOKUP(A565,[1]ProjectsResults!$D:$E,2,FALSE)</f>
        <v>10655</v>
      </c>
      <c r="C565" s="22">
        <f>VLOOKUP(A565,[2]Sheet2!$D:$E,2,FALSE)</f>
        <v>9961</v>
      </c>
      <c r="D565" s="22">
        <v>9961</v>
      </c>
      <c r="E565" s="22">
        <f>VLOOKUP(A565,[3]Sheet2!$A:$F,6,FALSE)</f>
        <v>0</v>
      </c>
      <c r="G565" s="22" t="s">
        <v>1420</v>
      </c>
      <c r="H565" s="22" t="s">
        <v>114</v>
      </c>
      <c r="I565" s="22" t="s">
        <v>25</v>
      </c>
      <c r="J565" s="29" t="s">
        <v>115</v>
      </c>
      <c r="K565" s="22" t="s">
        <v>164</v>
      </c>
      <c r="L565" s="29" t="s">
        <v>28</v>
      </c>
      <c r="P565" s="30">
        <v>45729</v>
      </c>
      <c r="Q565" s="30">
        <v>45729</v>
      </c>
      <c r="R565" s="22" t="s">
        <v>29</v>
      </c>
      <c r="S565" s="29" t="s">
        <v>30</v>
      </c>
      <c r="T565" s="22" t="s">
        <v>49</v>
      </c>
      <c r="U565" s="22" t="s">
        <v>32</v>
      </c>
      <c r="V565" s="22" t="s">
        <v>117</v>
      </c>
      <c r="W565" s="32" t="s">
        <v>34</v>
      </c>
    </row>
    <row r="566" spans="1:23">
      <c r="A566" s="22" t="s">
        <v>1421</v>
      </c>
      <c r="B566" s="25">
        <f>VLOOKUP(A566,[1]ProjectsResults!$D:$E,2,FALSE)</f>
        <v>10656</v>
      </c>
      <c r="C566" s="22">
        <f>VLOOKUP(A566,[2]Sheet2!$D:$E,2,FALSE)</f>
        <v>9962</v>
      </c>
      <c r="D566" s="22">
        <v>9962</v>
      </c>
      <c r="E566" s="22">
        <f>VLOOKUP(A566,[3]Sheet2!$A:$F,6,FALSE)</f>
        <v>0</v>
      </c>
      <c r="G566" s="22" t="s">
        <v>1422</v>
      </c>
      <c r="H566" s="22" t="s">
        <v>313</v>
      </c>
      <c r="I566" s="22" t="s">
        <v>25</v>
      </c>
      <c r="J566" s="29" t="s">
        <v>168</v>
      </c>
      <c r="K566" s="22" t="s">
        <v>314</v>
      </c>
      <c r="L566" s="29" t="s">
        <v>28</v>
      </c>
      <c r="P566" s="30">
        <v>45741</v>
      </c>
      <c r="Q566" s="30">
        <v>45741</v>
      </c>
      <c r="R566" s="22" t="s">
        <v>29</v>
      </c>
      <c r="S566" s="29" t="s">
        <v>30</v>
      </c>
      <c r="T566" s="22" t="s">
        <v>31</v>
      </c>
      <c r="U566" s="22" t="s">
        <v>32</v>
      </c>
      <c r="V566" s="22" t="s">
        <v>33</v>
      </c>
      <c r="W566" s="32" t="s">
        <v>34</v>
      </c>
    </row>
    <row r="567" spans="1:23">
      <c r="A567" s="22" t="s">
        <v>1423</v>
      </c>
      <c r="B567" s="25">
        <f>VLOOKUP(A567,[1]ProjectsResults!$D:$E,2,FALSE)</f>
        <v>10657</v>
      </c>
      <c r="C567" s="22">
        <f>VLOOKUP(A567,[2]Sheet2!$D:$E,2,FALSE)</f>
        <v>9963</v>
      </c>
      <c r="D567" s="22">
        <v>9963</v>
      </c>
      <c r="E567" s="22">
        <f>VLOOKUP(A567,[3]Sheet2!$A:$F,6,FALSE)</f>
        <v>0</v>
      </c>
      <c r="G567" s="22" t="s">
        <v>1424</v>
      </c>
      <c r="H567" s="22" t="s">
        <v>102</v>
      </c>
      <c r="I567" s="22" t="s">
        <v>25</v>
      </c>
      <c r="J567" s="22" t="s">
        <v>38</v>
      </c>
      <c r="K567" s="22" t="s">
        <v>38</v>
      </c>
      <c r="L567" s="29" t="s">
        <v>28</v>
      </c>
      <c r="P567" s="30">
        <v>45833</v>
      </c>
      <c r="Q567" s="30">
        <v>45833</v>
      </c>
      <c r="R567" s="22" t="s">
        <v>29</v>
      </c>
      <c r="S567" s="29" t="s">
        <v>30</v>
      </c>
      <c r="T567" s="22" t="s">
        <v>31</v>
      </c>
      <c r="U567" s="22" t="s">
        <v>32</v>
      </c>
      <c r="V567" s="22" t="s">
        <v>33</v>
      </c>
      <c r="W567" s="32" t="s">
        <v>34</v>
      </c>
    </row>
    <row r="568" spans="1:23">
      <c r="A568" s="22" t="s">
        <v>1425</v>
      </c>
      <c r="B568" s="25">
        <f>VLOOKUP(A568,[1]ProjectsResults!$D:$E,2,FALSE)</f>
        <v>10658</v>
      </c>
      <c r="C568" s="22">
        <f>VLOOKUP(A568,[2]Sheet2!$D:$E,2,FALSE)</f>
        <v>9964</v>
      </c>
      <c r="D568" s="22">
        <v>9964</v>
      </c>
      <c r="E568" s="22">
        <f>VLOOKUP(A568,[3]Sheet2!$A:$F,6,FALSE)</f>
        <v>0</v>
      </c>
      <c r="G568" s="22" t="s">
        <v>1426</v>
      </c>
      <c r="H568" s="22" t="s">
        <v>393</v>
      </c>
      <c r="I568" s="22" t="s">
        <v>25</v>
      </c>
      <c r="J568" s="22" t="s">
        <v>38</v>
      </c>
      <c r="K568" s="22" t="s">
        <v>38</v>
      </c>
      <c r="L568" s="29" t="s">
        <v>28</v>
      </c>
      <c r="P568" s="30">
        <v>45733</v>
      </c>
      <c r="Q568" s="30">
        <v>45733</v>
      </c>
      <c r="R568" s="22" t="s">
        <v>29</v>
      </c>
      <c r="S568" s="29" t="s">
        <v>30</v>
      </c>
      <c r="T568" s="22" t="s">
        <v>31</v>
      </c>
      <c r="U568" s="22" t="s">
        <v>32</v>
      </c>
      <c r="V568" s="22" t="s">
        <v>33</v>
      </c>
      <c r="W568" s="32" t="s">
        <v>34</v>
      </c>
    </row>
    <row r="569" spans="1:23">
      <c r="A569" s="22" t="s">
        <v>1427</v>
      </c>
      <c r="B569" s="25">
        <f>VLOOKUP(A569,[1]ProjectsResults!$D:$E,2,FALSE)</f>
        <v>10659</v>
      </c>
      <c r="C569" s="22">
        <f>VLOOKUP(A569,[2]Sheet2!$D:$E,2,FALSE)</f>
        <v>9965</v>
      </c>
      <c r="D569" s="22">
        <v>9965</v>
      </c>
      <c r="E569" s="22">
        <f>VLOOKUP(A569,[3]Sheet2!$A:$F,6,FALSE)</f>
        <v>0</v>
      </c>
      <c r="G569" s="22" t="s">
        <v>1428</v>
      </c>
      <c r="H569" s="22" t="s">
        <v>393</v>
      </c>
      <c r="I569" s="22" t="s">
        <v>25</v>
      </c>
      <c r="J569" s="22" t="s">
        <v>38</v>
      </c>
      <c r="K569" s="22" t="s">
        <v>38</v>
      </c>
      <c r="L569" s="29" t="s">
        <v>1171</v>
      </c>
      <c r="P569" s="30">
        <v>45734</v>
      </c>
      <c r="Q569" s="30">
        <v>45734</v>
      </c>
      <c r="R569" s="22" t="s">
        <v>29</v>
      </c>
      <c r="S569" s="29" t="s">
        <v>30</v>
      </c>
      <c r="T569" s="22" t="s">
        <v>31</v>
      </c>
      <c r="U569" s="22" t="s">
        <v>32</v>
      </c>
      <c r="V569" s="22" t="s">
        <v>33</v>
      </c>
      <c r="W569" s="32" t="s">
        <v>34</v>
      </c>
    </row>
    <row r="570" spans="1:23">
      <c r="A570" s="22" t="s">
        <v>1429</v>
      </c>
      <c r="B570" s="25">
        <f>VLOOKUP(A570,[1]ProjectsResults!$D:$E,2,FALSE)</f>
        <v>10660</v>
      </c>
      <c r="C570" s="22">
        <f>VLOOKUP(A570,[2]Sheet2!$D:$E,2,FALSE)</f>
        <v>9966</v>
      </c>
      <c r="D570" s="22">
        <v>9966</v>
      </c>
      <c r="E570" s="22">
        <f>VLOOKUP(A570,[3]Sheet2!$A:$F,6,FALSE)</f>
        <v>0</v>
      </c>
      <c r="G570" s="22" t="s">
        <v>1430</v>
      </c>
      <c r="H570" s="22" t="s">
        <v>1184</v>
      </c>
      <c r="I570" s="22" t="s">
        <v>25</v>
      </c>
      <c r="J570" s="22" t="s">
        <v>38</v>
      </c>
      <c r="K570" s="22" t="s">
        <v>38</v>
      </c>
      <c r="L570" s="29" t="s">
        <v>28</v>
      </c>
      <c r="P570" s="30">
        <v>45774</v>
      </c>
      <c r="Q570" s="30">
        <v>45774</v>
      </c>
      <c r="R570" s="22" t="s">
        <v>29</v>
      </c>
      <c r="S570" s="29" t="s">
        <v>30</v>
      </c>
      <c r="T570" s="22" t="s">
        <v>31</v>
      </c>
      <c r="U570" s="22" t="s">
        <v>32</v>
      </c>
      <c r="V570" s="22" t="s">
        <v>33</v>
      </c>
      <c r="W570" s="32" t="s">
        <v>34</v>
      </c>
    </row>
    <row r="571" spans="1:23">
      <c r="A571" s="22" t="s">
        <v>1431</v>
      </c>
      <c r="B571" s="25">
        <f>VLOOKUP(A571,[1]ProjectsResults!$D:$E,2,FALSE)</f>
        <v>10661</v>
      </c>
      <c r="C571" s="22">
        <f>VLOOKUP(A571,[2]Sheet2!$D:$E,2,FALSE)</f>
        <v>9967</v>
      </c>
      <c r="D571" s="22">
        <v>9967</v>
      </c>
      <c r="E571" s="22">
        <f>VLOOKUP(A571,[3]Sheet2!$A:$F,6,FALSE)</f>
        <v>0</v>
      </c>
      <c r="G571" s="22" t="s">
        <v>1432</v>
      </c>
      <c r="H571" s="22" t="s">
        <v>249</v>
      </c>
      <c r="I571" s="22" t="s">
        <v>25</v>
      </c>
      <c r="J571" s="22" t="s">
        <v>250</v>
      </c>
      <c r="K571" s="22" t="s">
        <v>1433</v>
      </c>
      <c r="L571" s="29" t="s">
        <v>28</v>
      </c>
      <c r="P571" s="30">
        <v>45734</v>
      </c>
      <c r="Q571" s="30">
        <v>45734</v>
      </c>
      <c r="R571" s="22" t="s">
        <v>29</v>
      </c>
      <c r="S571" s="29" t="s">
        <v>30</v>
      </c>
      <c r="T571" s="22" t="s">
        <v>31</v>
      </c>
      <c r="U571" s="22" t="s">
        <v>32</v>
      </c>
      <c r="V571" s="22" t="s">
        <v>33</v>
      </c>
      <c r="W571" s="32" t="s">
        <v>34</v>
      </c>
    </row>
    <row r="572" spans="1:23">
      <c r="A572" s="22" t="s">
        <v>1434</v>
      </c>
      <c r="B572" s="25">
        <f>VLOOKUP(A572,[1]ProjectsResults!$D:$E,2,FALSE)</f>
        <v>11229</v>
      </c>
      <c r="C572" s="22">
        <f>VLOOKUP(A572,[2]Sheet2!$D:$E,2,FALSE)</f>
        <v>10208</v>
      </c>
      <c r="D572" s="22">
        <v>10208</v>
      </c>
      <c r="E572" s="22">
        <f>VLOOKUP(A572,[3]Sheet2!$A:$F,6,FALSE)</f>
        <v>0</v>
      </c>
      <c r="G572" s="22" t="s">
        <v>1435</v>
      </c>
      <c r="H572" s="22" t="s">
        <v>1436</v>
      </c>
      <c r="I572" s="22" t="s">
        <v>25</v>
      </c>
      <c r="J572" s="29" t="s">
        <v>47</v>
      </c>
      <c r="K572" s="29" t="s">
        <v>227</v>
      </c>
      <c r="L572" s="29" t="s">
        <v>28</v>
      </c>
      <c r="P572" s="30">
        <v>45744</v>
      </c>
      <c r="Q572" s="30">
        <v>45744</v>
      </c>
      <c r="R572" s="22" t="s">
        <v>29</v>
      </c>
      <c r="S572" s="29" t="s">
        <v>30</v>
      </c>
      <c r="T572" s="22" t="s">
        <v>49</v>
      </c>
      <c r="U572" s="22" t="s">
        <v>32</v>
      </c>
      <c r="V572" s="22" t="s">
        <v>50</v>
      </c>
      <c r="W572" s="32" t="s">
        <v>34</v>
      </c>
    </row>
    <row r="573" spans="1:23">
      <c r="A573" s="22" t="s">
        <v>1437</v>
      </c>
      <c r="B573" s="25">
        <f>VLOOKUP(A573,[1]ProjectsResults!$D:$E,2,FALSE)</f>
        <v>10662</v>
      </c>
      <c r="C573" s="22">
        <f>VLOOKUP(A573,[2]Sheet2!$D:$E,2,FALSE)</f>
        <v>9968</v>
      </c>
      <c r="D573" s="22">
        <v>9968</v>
      </c>
      <c r="E573" s="22">
        <f>VLOOKUP(A573,[3]Sheet2!$A:$F,6,FALSE)</f>
        <v>0</v>
      </c>
      <c r="G573" s="22" t="s">
        <v>1438</v>
      </c>
      <c r="H573" s="22" t="s">
        <v>232</v>
      </c>
      <c r="I573" s="22" t="s">
        <v>25</v>
      </c>
      <c r="J573" s="29" t="s">
        <v>115</v>
      </c>
      <c r="K573" s="29" t="s">
        <v>356</v>
      </c>
      <c r="L573" s="29" t="s">
        <v>28</v>
      </c>
      <c r="P573" s="30">
        <v>45735</v>
      </c>
      <c r="Q573" s="30">
        <v>45735</v>
      </c>
      <c r="R573" s="22" t="s">
        <v>29</v>
      </c>
      <c r="S573" s="29" t="s">
        <v>30</v>
      </c>
      <c r="T573" s="22" t="s">
        <v>49</v>
      </c>
      <c r="U573" s="22" t="s">
        <v>32</v>
      </c>
      <c r="V573" s="22" t="s">
        <v>117</v>
      </c>
      <c r="W573" s="32" t="s">
        <v>34</v>
      </c>
    </row>
    <row r="574" spans="1:23">
      <c r="A574" s="22" t="s">
        <v>1439</v>
      </c>
      <c r="B574" s="25">
        <f>VLOOKUP(A574,[1]ProjectsResults!$D:$E,2,FALSE)</f>
        <v>10663</v>
      </c>
      <c r="C574" s="22">
        <f>VLOOKUP(A574,[2]Sheet2!$D:$E,2,FALSE)</f>
        <v>9969</v>
      </c>
      <c r="D574" s="22">
        <v>9969</v>
      </c>
      <c r="E574" s="22">
        <f>VLOOKUP(A574,[3]Sheet2!$A:$F,6,FALSE)</f>
        <v>0</v>
      </c>
      <c r="G574" s="22" t="s">
        <v>1440</v>
      </c>
      <c r="H574" s="22" t="s">
        <v>58</v>
      </c>
      <c r="I574" s="22" t="s">
        <v>25</v>
      </c>
      <c r="J574" s="29" t="s">
        <v>47</v>
      </c>
      <c r="K574" s="22" t="s">
        <v>48</v>
      </c>
      <c r="L574" s="29" t="s">
        <v>28</v>
      </c>
      <c r="P574" s="30">
        <v>45735</v>
      </c>
      <c r="Q574" s="30">
        <v>45735</v>
      </c>
      <c r="R574" s="22" t="s">
        <v>29</v>
      </c>
      <c r="S574" s="29" t="s">
        <v>30</v>
      </c>
      <c r="T574" s="22" t="s">
        <v>49</v>
      </c>
      <c r="U574" s="22" t="s">
        <v>32</v>
      </c>
      <c r="V574" s="22" t="s">
        <v>50</v>
      </c>
      <c r="W574" s="32" t="s">
        <v>34</v>
      </c>
    </row>
    <row r="575" spans="1:23">
      <c r="A575" s="22" t="s">
        <v>1441</v>
      </c>
      <c r="B575" s="25">
        <f>VLOOKUP(A575,[1]ProjectsResults!$D:$E,2,FALSE)</f>
        <v>10664</v>
      </c>
      <c r="C575" s="22">
        <f>VLOOKUP(A575,[2]Sheet2!$D:$E,2,FALSE)</f>
        <v>9970</v>
      </c>
      <c r="D575" s="22">
        <v>9970</v>
      </c>
      <c r="E575" s="22">
        <f>VLOOKUP(A575,[3]Sheet2!$A:$F,6,FALSE)</f>
        <v>0</v>
      </c>
      <c r="G575" s="22" t="s">
        <v>1442</v>
      </c>
      <c r="H575" s="22" t="s">
        <v>546</v>
      </c>
      <c r="I575" s="22" t="s">
        <v>25</v>
      </c>
      <c r="J575" s="29" t="s">
        <v>168</v>
      </c>
      <c r="K575" s="29" t="s">
        <v>446</v>
      </c>
      <c r="L575" s="29" t="s">
        <v>28</v>
      </c>
      <c r="P575" s="30">
        <v>45735</v>
      </c>
      <c r="Q575" s="30">
        <v>45735</v>
      </c>
      <c r="R575" s="22" t="s">
        <v>29</v>
      </c>
      <c r="S575" s="29" t="s">
        <v>30</v>
      </c>
      <c r="T575" s="22" t="s">
        <v>31</v>
      </c>
      <c r="U575" s="22" t="s">
        <v>32</v>
      </c>
      <c r="V575" s="22" t="s">
        <v>33</v>
      </c>
      <c r="W575" s="32" t="s">
        <v>34</v>
      </c>
    </row>
    <row r="576" spans="1:23">
      <c r="A576" s="22" t="s">
        <v>1443</v>
      </c>
      <c r="B576" s="25">
        <f>VLOOKUP(A576,[1]ProjectsResults!$D:$E,2,FALSE)</f>
        <v>10665</v>
      </c>
      <c r="C576" s="22">
        <f>VLOOKUP(A576,[2]Sheet2!$D:$E,2,FALSE)</f>
        <v>9971</v>
      </c>
      <c r="D576" s="22">
        <v>9971</v>
      </c>
      <c r="E576" s="22">
        <f>VLOOKUP(A576,[3]Sheet2!$A:$F,6,FALSE)</f>
        <v>0</v>
      </c>
      <c r="G576" s="22" t="s">
        <v>1444</v>
      </c>
      <c r="H576" s="22" t="s">
        <v>313</v>
      </c>
      <c r="I576" s="22" t="s">
        <v>25</v>
      </c>
      <c r="J576" s="29" t="s">
        <v>168</v>
      </c>
      <c r="K576" s="22" t="s">
        <v>314</v>
      </c>
      <c r="L576" s="29" t="s">
        <v>28</v>
      </c>
      <c r="P576" s="30">
        <v>45735</v>
      </c>
      <c r="Q576" s="30">
        <v>45735</v>
      </c>
      <c r="R576" s="22" t="s">
        <v>29</v>
      </c>
      <c r="S576" s="29" t="s">
        <v>30</v>
      </c>
      <c r="T576" s="22" t="s">
        <v>31</v>
      </c>
      <c r="U576" s="22" t="s">
        <v>32</v>
      </c>
      <c r="V576" s="22" t="s">
        <v>33</v>
      </c>
      <c r="W576" s="32" t="s">
        <v>34</v>
      </c>
    </row>
    <row r="577" spans="1:23">
      <c r="A577" s="22" t="s">
        <v>1445</v>
      </c>
      <c r="B577" s="25">
        <f>VLOOKUP(A577,[1]ProjectsResults!$D:$E,2,FALSE)</f>
        <v>10666</v>
      </c>
      <c r="C577" s="22">
        <f>VLOOKUP(A577,[2]Sheet2!$D:$E,2,FALSE)</f>
        <v>9972</v>
      </c>
      <c r="D577" s="22">
        <v>9972</v>
      </c>
      <c r="E577" s="22">
        <f>VLOOKUP(A577,[3]Sheet2!$A:$F,6,FALSE)</f>
        <v>0</v>
      </c>
      <c r="G577" s="22" t="s">
        <v>1446</v>
      </c>
      <c r="H577" s="22" t="s">
        <v>140</v>
      </c>
      <c r="I577" s="22" t="s">
        <v>25</v>
      </c>
      <c r="J577" s="22" t="s">
        <v>72</v>
      </c>
      <c r="K577" s="22" t="s">
        <v>141</v>
      </c>
      <c r="L577" s="29" t="s">
        <v>28</v>
      </c>
      <c r="P577" s="30">
        <v>45734</v>
      </c>
      <c r="Q577" s="30">
        <v>45734</v>
      </c>
      <c r="R577" s="22" t="s">
        <v>29</v>
      </c>
      <c r="S577" s="29" t="s">
        <v>30</v>
      </c>
      <c r="T577" s="22" t="s">
        <v>74</v>
      </c>
      <c r="U577" s="22" t="s">
        <v>32</v>
      </c>
      <c r="V577" s="22" t="s">
        <v>75</v>
      </c>
      <c r="W577" s="32" t="s">
        <v>34</v>
      </c>
    </row>
    <row r="578" spans="1:23">
      <c r="A578" s="22" t="s">
        <v>1447</v>
      </c>
      <c r="B578" s="25">
        <f>VLOOKUP(A578,[1]ProjectsResults!$D:$E,2,FALSE)</f>
        <v>10667</v>
      </c>
      <c r="C578" s="22">
        <f>VLOOKUP(A578,[2]Sheet2!$D:$E,2,FALSE)</f>
        <v>9973</v>
      </c>
      <c r="D578" s="22">
        <v>9973</v>
      </c>
      <c r="E578" s="22">
        <f>VLOOKUP(A578,[3]Sheet2!$A:$F,6,FALSE)</f>
        <v>0</v>
      </c>
      <c r="G578" s="22" t="s">
        <v>1448</v>
      </c>
      <c r="H578" s="22" t="s">
        <v>345</v>
      </c>
      <c r="I578" s="22" t="s">
        <v>25</v>
      </c>
      <c r="J578" s="22" t="s">
        <v>141</v>
      </c>
      <c r="K578" s="22" t="s">
        <v>537</v>
      </c>
      <c r="L578" s="29" t="s">
        <v>28</v>
      </c>
      <c r="P578" s="30">
        <v>45734</v>
      </c>
      <c r="Q578" s="30">
        <v>45734</v>
      </c>
      <c r="R578" s="22" t="s">
        <v>29</v>
      </c>
      <c r="S578" s="29" t="s">
        <v>30</v>
      </c>
      <c r="T578" s="22" t="s">
        <v>74</v>
      </c>
      <c r="U578" s="22" t="s">
        <v>32</v>
      </c>
      <c r="V578" s="22" t="s">
        <v>75</v>
      </c>
      <c r="W578" s="32" t="s">
        <v>34</v>
      </c>
    </row>
    <row r="579" spans="1:23">
      <c r="A579" s="22" t="s">
        <v>1449</v>
      </c>
      <c r="B579" s="25">
        <f>VLOOKUP(A579,[1]ProjectsResults!$D:$E,2,FALSE)</f>
        <v>10668</v>
      </c>
      <c r="C579" s="22">
        <f>VLOOKUP(A579,[2]Sheet2!$D:$E,2,FALSE)</f>
        <v>9974</v>
      </c>
      <c r="D579" s="22">
        <v>9974</v>
      </c>
      <c r="E579" s="22">
        <f>VLOOKUP(A579,[3]Sheet2!$A:$F,6,FALSE)</f>
        <v>0</v>
      </c>
      <c r="G579" s="22" t="s">
        <v>1450</v>
      </c>
      <c r="H579" s="22" t="s">
        <v>114</v>
      </c>
      <c r="I579" s="22" t="s">
        <v>25</v>
      </c>
      <c r="J579" s="29" t="s">
        <v>115</v>
      </c>
      <c r="K579" s="22" t="s">
        <v>164</v>
      </c>
      <c r="L579" s="29" t="s">
        <v>28</v>
      </c>
      <c r="P579" s="30">
        <v>45740</v>
      </c>
      <c r="Q579" s="30">
        <v>45740</v>
      </c>
      <c r="R579" s="22" t="s">
        <v>29</v>
      </c>
      <c r="S579" s="29" t="s">
        <v>30</v>
      </c>
      <c r="T579" s="22" t="s">
        <v>49</v>
      </c>
      <c r="U579" s="22" t="s">
        <v>32</v>
      </c>
      <c r="V579" s="22" t="s">
        <v>117</v>
      </c>
      <c r="W579" s="32" t="s">
        <v>34</v>
      </c>
    </row>
    <row r="580" spans="1:23">
      <c r="A580" s="22" t="s">
        <v>1451</v>
      </c>
      <c r="B580" s="25">
        <f>VLOOKUP(A580,[1]ProjectsResults!$D:$E,2,FALSE)</f>
        <v>11230</v>
      </c>
      <c r="C580" s="22">
        <f>VLOOKUP(A580,[2]Sheet2!$D:$E,2,FALSE)</f>
        <v>10209</v>
      </c>
      <c r="D580" s="22">
        <v>10209</v>
      </c>
      <c r="E580" s="22">
        <f>VLOOKUP(A580,[3]Sheet2!$A:$F,6,FALSE)</f>
        <v>0</v>
      </c>
      <c r="G580" s="22" t="s">
        <v>1452</v>
      </c>
      <c r="H580" s="22" t="s">
        <v>1453</v>
      </c>
      <c r="I580" s="22" t="s">
        <v>25</v>
      </c>
      <c r="J580" s="29" t="s">
        <v>47</v>
      </c>
      <c r="K580" s="22" t="s">
        <v>66</v>
      </c>
      <c r="L580" s="29" t="s">
        <v>28</v>
      </c>
      <c r="P580" s="30">
        <v>45734</v>
      </c>
      <c r="Q580" s="30">
        <v>45734</v>
      </c>
      <c r="R580" s="22" t="s">
        <v>29</v>
      </c>
      <c r="S580" s="29" t="s">
        <v>30</v>
      </c>
      <c r="T580" s="22" t="s">
        <v>49</v>
      </c>
      <c r="U580" s="22" t="s">
        <v>32</v>
      </c>
      <c r="V580" s="22" t="s">
        <v>50</v>
      </c>
      <c r="W580" s="32" t="s">
        <v>34</v>
      </c>
    </row>
    <row r="581" spans="1:23">
      <c r="A581" s="22" t="s">
        <v>1454</v>
      </c>
      <c r="B581" s="25">
        <f>VLOOKUP(A581,[1]ProjectsResults!$D:$E,2,FALSE)</f>
        <v>11231</v>
      </c>
      <c r="C581" s="22">
        <f>VLOOKUP(A581,[2]Sheet2!$D:$E,2,FALSE)</f>
        <v>10210</v>
      </c>
      <c r="D581" s="22">
        <v>10210</v>
      </c>
      <c r="E581" s="22">
        <f>VLOOKUP(A581,[3]Sheet2!$A:$F,6,FALSE)</f>
        <v>0</v>
      </c>
      <c r="G581" s="22" t="s">
        <v>1455</v>
      </c>
      <c r="H581" s="22" t="s">
        <v>1456</v>
      </c>
      <c r="I581" s="22" t="s">
        <v>25</v>
      </c>
      <c r="J581" s="29" t="s">
        <v>115</v>
      </c>
      <c r="K581" s="22" t="s">
        <v>164</v>
      </c>
      <c r="L581" s="29" t="s">
        <v>28</v>
      </c>
      <c r="P581" s="30">
        <v>45734</v>
      </c>
      <c r="Q581" s="30">
        <v>45734</v>
      </c>
      <c r="R581" s="22" t="s">
        <v>29</v>
      </c>
      <c r="S581" s="29" t="s">
        <v>30</v>
      </c>
      <c r="T581" s="22" t="s">
        <v>49</v>
      </c>
      <c r="U581" s="22" t="s">
        <v>32</v>
      </c>
      <c r="V581" s="22" t="s">
        <v>117</v>
      </c>
      <c r="W581" s="32" t="s">
        <v>34</v>
      </c>
    </row>
    <row r="582" spans="1:23">
      <c r="A582" s="22" t="s">
        <v>1457</v>
      </c>
      <c r="B582" s="25">
        <f>VLOOKUP(A582,[1]ProjectsResults!$D:$E,2,FALSE)</f>
        <v>10669</v>
      </c>
      <c r="C582" s="22">
        <f>VLOOKUP(A582,[2]Sheet2!$D:$E,2,FALSE)</f>
        <v>9975</v>
      </c>
      <c r="D582" s="22">
        <v>9975</v>
      </c>
      <c r="E582" s="22">
        <f>VLOOKUP(A582,[3]Sheet2!$A:$F,6,FALSE)</f>
        <v>0</v>
      </c>
      <c r="G582" s="22" t="s">
        <v>1458</v>
      </c>
      <c r="H582" s="22" t="s">
        <v>163</v>
      </c>
      <c r="I582" s="22" t="s">
        <v>25</v>
      </c>
      <c r="J582" s="29" t="s">
        <v>115</v>
      </c>
      <c r="K582" s="22" t="s">
        <v>164</v>
      </c>
      <c r="L582" s="29" t="s">
        <v>28</v>
      </c>
      <c r="P582" s="30">
        <v>45742</v>
      </c>
      <c r="Q582" s="30">
        <v>45742</v>
      </c>
      <c r="R582" s="22" t="s">
        <v>29</v>
      </c>
      <c r="S582" s="29" t="s">
        <v>30</v>
      </c>
      <c r="T582" s="22" t="s">
        <v>49</v>
      </c>
      <c r="U582" s="22" t="s">
        <v>32</v>
      </c>
      <c r="V582" s="22" t="s">
        <v>117</v>
      </c>
      <c r="W582" s="32" t="s">
        <v>34</v>
      </c>
    </row>
    <row r="583" spans="1:23">
      <c r="A583" s="22" t="s">
        <v>1459</v>
      </c>
      <c r="B583" s="25">
        <f>VLOOKUP(A583,[1]ProjectsResults!$D:$E,2,FALSE)</f>
        <v>10670</v>
      </c>
      <c r="C583" s="22">
        <f>VLOOKUP(A583,[2]Sheet2!$D:$E,2,FALSE)</f>
        <v>9976</v>
      </c>
      <c r="D583" s="22">
        <v>9976</v>
      </c>
      <c r="E583" s="22">
        <f>VLOOKUP(A583,[3]Sheet2!$A:$F,6,FALSE)</f>
        <v>0</v>
      </c>
      <c r="G583" s="22" t="s">
        <v>1460</v>
      </c>
      <c r="H583" s="22" t="s">
        <v>58</v>
      </c>
      <c r="I583" s="22" t="s">
        <v>25</v>
      </c>
      <c r="J583" s="29" t="s">
        <v>47</v>
      </c>
      <c r="K583" s="22" t="s">
        <v>48</v>
      </c>
      <c r="L583" s="29" t="s">
        <v>28</v>
      </c>
      <c r="P583" s="30">
        <v>45737</v>
      </c>
      <c r="Q583" s="30">
        <v>45737</v>
      </c>
      <c r="R583" s="22" t="s">
        <v>29</v>
      </c>
      <c r="S583" s="29" t="s">
        <v>30</v>
      </c>
      <c r="T583" s="22" t="s">
        <v>49</v>
      </c>
      <c r="U583" s="22" t="s">
        <v>32</v>
      </c>
      <c r="V583" s="22" t="s">
        <v>50</v>
      </c>
      <c r="W583" s="32" t="s">
        <v>34</v>
      </c>
    </row>
    <row r="584" spans="1:23">
      <c r="A584" s="22" t="s">
        <v>1461</v>
      </c>
      <c r="B584" s="25">
        <f>VLOOKUP(A584,[1]ProjectsResults!$D:$E,2,FALSE)</f>
        <v>10671</v>
      </c>
      <c r="C584" s="22">
        <f>VLOOKUP(A584,[2]Sheet2!$D:$E,2,FALSE)</f>
        <v>9977</v>
      </c>
      <c r="D584" s="22">
        <v>9977</v>
      </c>
      <c r="E584" s="22">
        <f>VLOOKUP(A584,[3]Sheet2!$A:$F,6,FALSE)</f>
        <v>0</v>
      </c>
      <c r="G584" s="22" t="s">
        <v>1462</v>
      </c>
      <c r="H584" s="22" t="s">
        <v>114</v>
      </c>
      <c r="I584" s="22" t="s">
        <v>25</v>
      </c>
      <c r="J584" s="29" t="s">
        <v>115</v>
      </c>
      <c r="K584" s="22" t="s">
        <v>164</v>
      </c>
      <c r="L584" s="29" t="s">
        <v>28</v>
      </c>
      <c r="P584" s="30">
        <v>45740</v>
      </c>
      <c r="Q584" s="30">
        <v>45747</v>
      </c>
      <c r="R584" s="22" t="s">
        <v>29</v>
      </c>
      <c r="S584" s="29" t="s">
        <v>30</v>
      </c>
      <c r="T584" s="22" t="s">
        <v>49</v>
      </c>
      <c r="U584" s="22" t="s">
        <v>32</v>
      </c>
      <c r="V584" s="22" t="s">
        <v>117</v>
      </c>
      <c r="W584" s="32" t="s">
        <v>34</v>
      </c>
    </row>
    <row r="585" spans="1:23">
      <c r="A585" s="22" t="s">
        <v>1463</v>
      </c>
      <c r="B585" s="25">
        <f>VLOOKUP(A585,[1]ProjectsResults!$D:$E,2,FALSE)</f>
        <v>10672</v>
      </c>
      <c r="C585" s="22">
        <f>VLOOKUP(A585,[2]Sheet2!$D:$E,2,FALSE)</f>
        <v>9978</v>
      </c>
      <c r="D585" s="22">
        <v>9978</v>
      </c>
      <c r="E585" s="22">
        <f>VLOOKUP(A585,[3]Sheet2!$A:$F,6,FALSE)</f>
        <v>0</v>
      </c>
      <c r="G585" s="22" t="s">
        <v>1462</v>
      </c>
      <c r="H585" s="22" t="s">
        <v>114</v>
      </c>
      <c r="I585" s="22" t="s">
        <v>25</v>
      </c>
      <c r="J585" s="29" t="s">
        <v>115</v>
      </c>
      <c r="K585" s="22" t="s">
        <v>164</v>
      </c>
      <c r="L585" s="29" t="s">
        <v>1171</v>
      </c>
      <c r="P585" s="30">
        <v>45751</v>
      </c>
      <c r="Q585" s="30">
        <v>45751</v>
      </c>
      <c r="R585" s="22" t="s">
        <v>29</v>
      </c>
      <c r="S585" s="29" t="s">
        <v>30</v>
      </c>
      <c r="T585" s="22" t="s">
        <v>49</v>
      </c>
      <c r="U585" s="22" t="s">
        <v>32</v>
      </c>
      <c r="V585" s="22" t="s">
        <v>117</v>
      </c>
      <c r="W585" s="32" t="s">
        <v>34</v>
      </c>
    </row>
    <row r="586" spans="1:23">
      <c r="A586" s="22" t="s">
        <v>1464</v>
      </c>
      <c r="B586" s="25">
        <f>VLOOKUP(A586,[1]ProjectsResults!$D:$E,2,FALSE)</f>
        <v>10673</v>
      </c>
      <c r="C586" s="22">
        <f>VLOOKUP(A586,[2]Sheet2!$D:$E,2,FALSE)</f>
        <v>9979</v>
      </c>
      <c r="D586" s="22">
        <v>9979</v>
      </c>
      <c r="E586" s="22">
        <f>VLOOKUP(A586,[3]Sheet2!$A:$F,6,FALSE)</f>
        <v>0</v>
      </c>
      <c r="G586" s="22" t="s">
        <v>1465</v>
      </c>
      <c r="H586" s="22" t="s">
        <v>701</v>
      </c>
      <c r="I586" s="22" t="s">
        <v>25</v>
      </c>
      <c r="J586" s="22" t="s">
        <v>42</v>
      </c>
      <c r="K586" s="22" t="s">
        <v>43</v>
      </c>
      <c r="L586" s="29" t="s">
        <v>28</v>
      </c>
      <c r="P586" s="30">
        <v>45735</v>
      </c>
      <c r="Q586" s="30">
        <v>45735</v>
      </c>
      <c r="R586" s="22" t="s">
        <v>29</v>
      </c>
      <c r="S586" s="29" t="s">
        <v>30</v>
      </c>
      <c r="T586" s="22" t="s">
        <v>31</v>
      </c>
      <c r="U586" s="22" t="s">
        <v>32</v>
      </c>
      <c r="V586" s="22" t="s">
        <v>33</v>
      </c>
      <c r="W586" s="32" t="s">
        <v>34</v>
      </c>
    </row>
    <row r="587" spans="1:23">
      <c r="A587" s="22" t="s">
        <v>1466</v>
      </c>
      <c r="B587" s="25">
        <f>VLOOKUP(A587,[1]ProjectsResults!$D:$E,2,FALSE)</f>
        <v>10674</v>
      </c>
      <c r="C587" s="22">
        <f>VLOOKUP(A587,[2]Sheet2!$D:$E,2,FALSE)</f>
        <v>9980</v>
      </c>
      <c r="D587" s="22">
        <v>9980</v>
      </c>
      <c r="E587" s="22">
        <f>VLOOKUP(A587,[3]Sheet2!$A:$F,6,FALSE)</f>
        <v>0</v>
      </c>
      <c r="G587" s="22" t="s">
        <v>1467</v>
      </c>
      <c r="H587" s="22" t="s">
        <v>86</v>
      </c>
      <c r="I587" s="22" t="s">
        <v>25</v>
      </c>
      <c r="J587" s="22" t="s">
        <v>42</v>
      </c>
      <c r="K587" s="22" t="s">
        <v>149</v>
      </c>
      <c r="L587" s="29" t="s">
        <v>28</v>
      </c>
      <c r="P587" s="30">
        <v>45735</v>
      </c>
      <c r="Q587" s="30">
        <v>45735</v>
      </c>
      <c r="R587" s="22" t="s">
        <v>29</v>
      </c>
      <c r="S587" s="29" t="s">
        <v>30</v>
      </c>
      <c r="T587" s="22" t="s">
        <v>31</v>
      </c>
      <c r="U587" s="22" t="s">
        <v>32</v>
      </c>
      <c r="V587" s="22" t="s">
        <v>33</v>
      </c>
      <c r="W587" s="32" t="s">
        <v>34</v>
      </c>
    </row>
    <row r="588" spans="1:23">
      <c r="A588" s="22" t="s">
        <v>1468</v>
      </c>
      <c r="B588" s="25">
        <f>VLOOKUP(A588,[1]ProjectsResults!$D:$E,2,FALSE)</f>
        <v>10675</v>
      </c>
      <c r="C588" s="22">
        <f>VLOOKUP(A588,[2]Sheet2!$D:$E,2,FALSE)</f>
        <v>9981</v>
      </c>
      <c r="D588" s="22">
        <v>9981</v>
      </c>
      <c r="E588" s="22">
        <f>VLOOKUP(A588,[3]Sheet2!$A:$F,6,FALSE)</f>
        <v>0</v>
      </c>
      <c r="G588" s="22" t="s">
        <v>1469</v>
      </c>
      <c r="H588" s="22" t="s">
        <v>262</v>
      </c>
      <c r="I588" s="22" t="s">
        <v>25</v>
      </c>
      <c r="J588" s="22" t="s">
        <v>42</v>
      </c>
      <c r="K588" s="22" t="s">
        <v>179</v>
      </c>
      <c r="L588" s="29" t="s">
        <v>28</v>
      </c>
      <c r="P588" s="30">
        <v>45743</v>
      </c>
      <c r="Q588" s="30">
        <v>45743</v>
      </c>
      <c r="R588" s="22" t="s">
        <v>29</v>
      </c>
      <c r="S588" s="29" t="s">
        <v>30</v>
      </c>
      <c r="T588" s="22" t="s">
        <v>31</v>
      </c>
      <c r="U588" s="22" t="s">
        <v>32</v>
      </c>
      <c r="V588" s="22" t="s">
        <v>33</v>
      </c>
      <c r="W588" s="32" t="s">
        <v>34</v>
      </c>
    </row>
    <row r="589" spans="1:23">
      <c r="A589" s="22" t="s">
        <v>1470</v>
      </c>
      <c r="B589" s="25">
        <f>VLOOKUP(A589,[1]ProjectsResults!$D:$E,2,FALSE)</f>
        <v>10676</v>
      </c>
      <c r="C589" s="22">
        <f>VLOOKUP(A589,[2]Sheet2!$D:$E,2,FALSE)</f>
        <v>9982</v>
      </c>
      <c r="D589" s="22">
        <v>9982</v>
      </c>
      <c r="E589" s="22">
        <f>VLOOKUP(A589,[3]Sheet2!$A:$F,6,FALSE)</f>
        <v>0</v>
      </c>
      <c r="G589" s="22" t="s">
        <v>1471</v>
      </c>
      <c r="H589" s="22" t="s">
        <v>678</v>
      </c>
      <c r="I589" s="22" t="s">
        <v>25</v>
      </c>
      <c r="J589" s="22" t="s">
        <v>679</v>
      </c>
      <c r="K589" s="22" t="s">
        <v>190</v>
      </c>
      <c r="L589" s="29" t="s">
        <v>28</v>
      </c>
      <c r="P589" s="30">
        <v>45740</v>
      </c>
      <c r="Q589" s="30">
        <v>45740</v>
      </c>
      <c r="R589" s="22" t="s">
        <v>29</v>
      </c>
      <c r="S589" s="29" t="s">
        <v>30</v>
      </c>
      <c r="T589" s="22" t="s">
        <v>74</v>
      </c>
      <c r="U589" s="22" t="s">
        <v>32</v>
      </c>
      <c r="V589" s="22" t="s">
        <v>75</v>
      </c>
      <c r="W589" s="32" t="s">
        <v>34</v>
      </c>
    </row>
    <row r="590" spans="1:23">
      <c r="A590" s="22" t="s">
        <v>1472</v>
      </c>
      <c r="B590" s="25">
        <f>VLOOKUP(A590,[1]ProjectsResults!$D:$E,2,FALSE)</f>
        <v>10677</v>
      </c>
      <c r="C590" s="22">
        <f>VLOOKUP(A590,[2]Sheet2!$D:$E,2,FALSE)</f>
        <v>9983</v>
      </c>
      <c r="D590" s="22">
        <v>9983</v>
      </c>
      <c r="E590" s="22">
        <f>VLOOKUP(A590,[3]Sheet2!$A:$F,6,FALSE)</f>
        <v>0</v>
      </c>
      <c r="G590" s="22" t="s">
        <v>1473</v>
      </c>
      <c r="H590" s="22" t="s">
        <v>348</v>
      </c>
      <c r="I590" s="22" t="s">
        <v>25</v>
      </c>
      <c r="J590" s="29" t="s">
        <v>168</v>
      </c>
      <c r="K590" s="29" t="s">
        <v>328</v>
      </c>
      <c r="L590" s="29" t="s">
        <v>28</v>
      </c>
      <c r="P590" s="30">
        <v>45770</v>
      </c>
      <c r="Q590" s="30">
        <v>45770</v>
      </c>
      <c r="R590" s="22" t="s">
        <v>29</v>
      </c>
      <c r="S590" s="29" t="s">
        <v>30</v>
      </c>
      <c r="T590" s="22" t="s">
        <v>31</v>
      </c>
      <c r="U590" s="22" t="s">
        <v>32</v>
      </c>
      <c r="V590" s="22" t="s">
        <v>33</v>
      </c>
      <c r="W590" s="32" t="s">
        <v>34</v>
      </c>
    </row>
    <row r="591" spans="1:23">
      <c r="A591" s="22" t="s">
        <v>1474</v>
      </c>
      <c r="B591" s="25">
        <f>VLOOKUP(A591,[1]ProjectsResults!$D:$E,2,FALSE)</f>
        <v>10678</v>
      </c>
      <c r="C591" s="22">
        <f>VLOOKUP(A591,[2]Sheet2!$D:$E,2,FALSE)</f>
        <v>9984</v>
      </c>
      <c r="D591" s="22">
        <v>9984</v>
      </c>
      <c r="E591" s="22">
        <f>VLOOKUP(A591,[3]Sheet2!$A:$F,6,FALSE)</f>
        <v>0</v>
      </c>
      <c r="G591" s="22" t="s">
        <v>1475</v>
      </c>
      <c r="H591" s="22" t="s">
        <v>993</v>
      </c>
      <c r="I591" s="22" t="s">
        <v>25</v>
      </c>
      <c r="J591" s="22" t="s">
        <v>38</v>
      </c>
      <c r="K591" s="22" t="s">
        <v>38</v>
      </c>
      <c r="L591" s="29" t="s">
        <v>28</v>
      </c>
      <c r="P591" s="30">
        <v>45765</v>
      </c>
      <c r="Q591" s="30">
        <v>45765</v>
      </c>
      <c r="R591" s="22" t="s">
        <v>29</v>
      </c>
      <c r="S591" s="29" t="s">
        <v>30</v>
      </c>
      <c r="T591" s="22" t="s">
        <v>31</v>
      </c>
      <c r="U591" s="22" t="s">
        <v>32</v>
      </c>
      <c r="V591" s="22" t="s">
        <v>33</v>
      </c>
      <c r="W591" s="32" t="s">
        <v>34</v>
      </c>
    </row>
    <row r="592" spans="1:23">
      <c r="A592" s="22" t="s">
        <v>1476</v>
      </c>
      <c r="B592" s="25">
        <f>VLOOKUP(A592,[1]ProjectsResults!$D:$E,2,FALSE)</f>
        <v>10679</v>
      </c>
      <c r="C592" s="22">
        <f>VLOOKUP(A592,[2]Sheet2!$D:$E,2,FALSE)</f>
        <v>9985</v>
      </c>
      <c r="D592" s="22">
        <v>9985</v>
      </c>
      <c r="E592" s="22">
        <f>VLOOKUP(A592,[3]Sheet2!$A:$F,6,FALSE)</f>
        <v>0</v>
      </c>
      <c r="G592" s="22" t="s">
        <v>1477</v>
      </c>
      <c r="H592" s="22" t="s">
        <v>1478</v>
      </c>
      <c r="I592" s="22" t="s">
        <v>25</v>
      </c>
      <c r="J592" s="22" t="s">
        <v>38</v>
      </c>
      <c r="K592" s="22" t="s">
        <v>38</v>
      </c>
      <c r="L592" s="29" t="s">
        <v>28</v>
      </c>
      <c r="P592" s="30">
        <v>45741</v>
      </c>
      <c r="Q592" s="30">
        <v>45741</v>
      </c>
      <c r="R592" s="22" t="s">
        <v>29</v>
      </c>
      <c r="S592" s="29" t="s">
        <v>30</v>
      </c>
      <c r="T592" s="22" t="s">
        <v>31</v>
      </c>
      <c r="U592" s="22" t="s">
        <v>32</v>
      </c>
      <c r="V592" s="22" t="s">
        <v>33</v>
      </c>
      <c r="W592" s="32" t="s">
        <v>34</v>
      </c>
    </row>
    <row r="593" spans="1:23">
      <c r="A593" s="22" t="s">
        <v>1479</v>
      </c>
      <c r="B593" s="25">
        <f>VLOOKUP(A593,[1]ProjectsResults!$D:$E,2,FALSE)</f>
        <v>10680</v>
      </c>
      <c r="C593" s="22">
        <f>VLOOKUP(A593,[2]Sheet2!$D:$E,2,FALSE)</f>
        <v>9986</v>
      </c>
      <c r="D593" s="22">
        <v>9986</v>
      </c>
      <c r="E593" s="22">
        <f>VLOOKUP(A593,[3]Sheet2!$A:$F,6,FALSE)</f>
        <v>0</v>
      </c>
      <c r="G593" s="22" t="s">
        <v>1480</v>
      </c>
      <c r="H593" s="22" t="s">
        <v>188</v>
      </c>
      <c r="I593" s="22" t="s">
        <v>25</v>
      </c>
      <c r="J593" s="29" t="s">
        <v>47</v>
      </c>
      <c r="K593" s="22" t="s">
        <v>1020</v>
      </c>
      <c r="L593" s="29" t="s">
        <v>28</v>
      </c>
      <c r="P593" s="30">
        <v>45737</v>
      </c>
      <c r="Q593" s="30">
        <v>45737</v>
      </c>
      <c r="R593" s="22" t="s">
        <v>29</v>
      </c>
      <c r="S593" s="29" t="s">
        <v>30</v>
      </c>
      <c r="T593" s="22" t="s">
        <v>49</v>
      </c>
      <c r="U593" s="22" t="s">
        <v>32</v>
      </c>
      <c r="V593" s="22" t="s">
        <v>50</v>
      </c>
      <c r="W593" s="32" t="s">
        <v>34</v>
      </c>
    </row>
    <row r="594" spans="1:23">
      <c r="A594" s="22" t="s">
        <v>1481</v>
      </c>
      <c r="B594" s="25">
        <f>VLOOKUP(A594,[1]ProjectsResults!$D:$E,2,FALSE)</f>
        <v>10681</v>
      </c>
      <c r="C594" s="22">
        <f>VLOOKUP(A594,[2]Sheet2!$D:$E,2,FALSE)</f>
        <v>9987</v>
      </c>
      <c r="D594" s="22">
        <v>9987</v>
      </c>
      <c r="E594" s="22">
        <f>VLOOKUP(A594,[3]Sheet2!$A:$F,6,FALSE)</f>
        <v>0</v>
      </c>
      <c r="G594" s="22" t="s">
        <v>1482</v>
      </c>
      <c r="H594" s="22" t="s">
        <v>65</v>
      </c>
      <c r="I594" s="22" t="s">
        <v>25</v>
      </c>
      <c r="J594" s="29" t="s">
        <v>47</v>
      </c>
      <c r="K594" s="22" t="s">
        <v>66</v>
      </c>
      <c r="L594" s="29" t="s">
        <v>28</v>
      </c>
      <c r="P594" s="30">
        <v>45736</v>
      </c>
      <c r="Q594" s="30">
        <v>45736</v>
      </c>
      <c r="R594" s="22" t="s">
        <v>29</v>
      </c>
      <c r="S594" s="29" t="s">
        <v>30</v>
      </c>
      <c r="T594" s="22" t="s">
        <v>49</v>
      </c>
      <c r="U594" s="22" t="s">
        <v>32</v>
      </c>
      <c r="V594" s="22" t="s">
        <v>50</v>
      </c>
      <c r="W594" s="32" t="s">
        <v>34</v>
      </c>
    </row>
    <row r="595" spans="1:23">
      <c r="A595" s="22" t="s">
        <v>1483</v>
      </c>
      <c r="B595" s="25">
        <f>VLOOKUP(A595,[1]ProjectsResults!$D:$E,2,FALSE)</f>
        <v>10682</v>
      </c>
      <c r="C595" s="22">
        <f>VLOOKUP(A595,[2]Sheet2!$D:$E,2,FALSE)</f>
        <v>9988</v>
      </c>
      <c r="D595" s="22">
        <v>9988</v>
      </c>
      <c r="E595" s="22">
        <f>VLOOKUP(A595,[3]Sheet2!$A:$F,6,FALSE)</f>
        <v>0</v>
      </c>
      <c r="G595" s="22" t="s">
        <v>1484</v>
      </c>
      <c r="H595" s="22" t="s">
        <v>102</v>
      </c>
      <c r="I595" s="22" t="s">
        <v>25</v>
      </c>
      <c r="J595" s="22" t="s">
        <v>38</v>
      </c>
      <c r="K595" s="22" t="s">
        <v>38</v>
      </c>
      <c r="L595" s="29" t="s">
        <v>28</v>
      </c>
      <c r="P595" s="30">
        <v>45770</v>
      </c>
      <c r="Q595" s="30">
        <v>45772</v>
      </c>
      <c r="R595" s="22" t="s">
        <v>29</v>
      </c>
      <c r="S595" s="29" t="s">
        <v>30</v>
      </c>
      <c r="T595" s="22" t="s">
        <v>31</v>
      </c>
      <c r="U595" s="22" t="s">
        <v>32</v>
      </c>
      <c r="V595" s="22" t="s">
        <v>33</v>
      </c>
      <c r="W595" s="32" t="s">
        <v>34</v>
      </c>
    </row>
    <row r="596" spans="1:23">
      <c r="A596" s="22" t="s">
        <v>1485</v>
      </c>
      <c r="B596" s="25">
        <f>VLOOKUP(A596,[1]ProjectsResults!$D:$E,2,FALSE)</f>
        <v>10683</v>
      </c>
      <c r="C596" s="22">
        <f>VLOOKUP(A596,[2]Sheet2!$D:$E,2,FALSE)</f>
        <v>9989</v>
      </c>
      <c r="D596" s="22">
        <v>9989</v>
      </c>
      <c r="E596" s="22">
        <f>VLOOKUP(A596,[3]Sheet2!$A:$F,6,FALSE)</f>
        <v>0</v>
      </c>
      <c r="G596" s="22" t="s">
        <v>1486</v>
      </c>
      <c r="H596" s="22" t="s">
        <v>114</v>
      </c>
      <c r="I596" s="22" t="s">
        <v>25</v>
      </c>
      <c r="J596" s="29" t="s">
        <v>115</v>
      </c>
      <c r="K596" s="29" t="s">
        <v>160</v>
      </c>
      <c r="L596" s="29" t="s">
        <v>28</v>
      </c>
      <c r="P596" s="30">
        <v>45742</v>
      </c>
      <c r="Q596" s="30">
        <v>45742</v>
      </c>
      <c r="R596" s="22" t="s">
        <v>29</v>
      </c>
      <c r="S596" s="29" t="s">
        <v>30</v>
      </c>
      <c r="T596" s="22" t="s">
        <v>49</v>
      </c>
      <c r="U596" s="22" t="s">
        <v>32</v>
      </c>
      <c r="V596" s="22" t="s">
        <v>117</v>
      </c>
      <c r="W596" s="32" t="s">
        <v>34</v>
      </c>
    </row>
    <row r="597" spans="1:23">
      <c r="A597" s="22" t="s">
        <v>1487</v>
      </c>
      <c r="B597" s="25">
        <f>VLOOKUP(A597,[1]ProjectsResults!$D:$E,2,FALSE)</f>
        <v>10684</v>
      </c>
      <c r="C597" s="22">
        <f>VLOOKUP(A597,[2]Sheet2!$D:$E,2,FALSE)</f>
        <v>9990</v>
      </c>
      <c r="D597" s="22">
        <v>9990</v>
      </c>
      <c r="E597" s="22">
        <f>VLOOKUP(A597,[3]Sheet2!$A:$F,6,FALSE)</f>
        <v>0</v>
      </c>
      <c r="G597" s="22" t="s">
        <v>1488</v>
      </c>
      <c r="H597" s="22" t="s">
        <v>58</v>
      </c>
      <c r="I597" s="22" t="s">
        <v>25</v>
      </c>
      <c r="J597" s="29" t="s">
        <v>47</v>
      </c>
      <c r="K597" s="22" t="s">
        <v>48</v>
      </c>
      <c r="L597" s="29" t="s">
        <v>28</v>
      </c>
      <c r="P597" s="30">
        <v>45739</v>
      </c>
      <c r="Q597" s="30">
        <v>45739</v>
      </c>
      <c r="R597" s="22" t="s">
        <v>29</v>
      </c>
      <c r="S597" s="29" t="s">
        <v>30</v>
      </c>
      <c r="T597" s="22" t="s">
        <v>49</v>
      </c>
      <c r="U597" s="22" t="s">
        <v>32</v>
      </c>
      <c r="V597" s="22" t="s">
        <v>50</v>
      </c>
      <c r="W597" s="32" t="s">
        <v>34</v>
      </c>
    </row>
    <row r="598" spans="1:23">
      <c r="A598" s="22" t="s">
        <v>1489</v>
      </c>
      <c r="B598" s="25">
        <f>VLOOKUP(A598,[1]ProjectsResults!$D:$E,2,FALSE)</f>
        <v>10685</v>
      </c>
      <c r="C598" s="22">
        <f>VLOOKUP(A598,[2]Sheet2!$D:$E,2,FALSE)</f>
        <v>9991</v>
      </c>
      <c r="D598" s="22">
        <v>9991</v>
      </c>
      <c r="E598" s="22">
        <f>VLOOKUP(A598,[3]Sheet2!$A:$F,6,FALSE)</f>
        <v>0</v>
      </c>
      <c r="G598" s="22" t="s">
        <v>1490</v>
      </c>
      <c r="H598" s="22" t="s">
        <v>284</v>
      </c>
      <c r="I598" s="22" t="s">
        <v>25</v>
      </c>
      <c r="J598" s="22" t="s">
        <v>42</v>
      </c>
      <c r="K598" s="22" t="s">
        <v>43</v>
      </c>
      <c r="L598" s="29" t="s">
        <v>28</v>
      </c>
      <c r="P598" s="30">
        <v>45739</v>
      </c>
      <c r="Q598" s="30">
        <v>45739</v>
      </c>
      <c r="R598" s="22" t="s">
        <v>29</v>
      </c>
      <c r="S598" s="29" t="s">
        <v>30</v>
      </c>
      <c r="T598" s="22" t="s">
        <v>31</v>
      </c>
      <c r="U598" s="22" t="s">
        <v>32</v>
      </c>
      <c r="V598" s="22" t="s">
        <v>33</v>
      </c>
      <c r="W598" s="32" t="s">
        <v>34</v>
      </c>
    </row>
    <row r="599" spans="1:23">
      <c r="A599" s="22" t="s">
        <v>1491</v>
      </c>
      <c r="B599" s="25">
        <f>VLOOKUP(A599,[1]ProjectsResults!$D:$E,2,FALSE)</f>
        <v>10686</v>
      </c>
      <c r="C599" s="22">
        <f>VLOOKUP(A599,[2]Sheet2!$D:$E,2,FALSE)</f>
        <v>9992</v>
      </c>
      <c r="D599" s="22">
        <v>9992</v>
      </c>
      <c r="E599" s="22">
        <f>VLOOKUP(A599,[3]Sheet2!$A:$F,6,FALSE)</f>
        <v>0</v>
      </c>
      <c r="G599" s="22" t="s">
        <v>1492</v>
      </c>
      <c r="H599" s="22" t="s">
        <v>86</v>
      </c>
      <c r="I599" s="22" t="s">
        <v>25</v>
      </c>
      <c r="J599" s="22" t="s">
        <v>42</v>
      </c>
      <c r="K599" s="29" t="s">
        <v>238</v>
      </c>
      <c r="L599" s="29" t="s">
        <v>28</v>
      </c>
      <c r="P599" s="30">
        <v>45735</v>
      </c>
      <c r="Q599" s="30">
        <v>45735</v>
      </c>
      <c r="R599" s="22" t="s">
        <v>29</v>
      </c>
      <c r="S599" s="29" t="s">
        <v>30</v>
      </c>
      <c r="T599" s="22" t="s">
        <v>31</v>
      </c>
      <c r="U599" s="22" t="s">
        <v>32</v>
      </c>
      <c r="V599" s="22" t="s">
        <v>33</v>
      </c>
      <c r="W599" s="32" t="s">
        <v>34</v>
      </c>
    </row>
    <row r="600" spans="1:23">
      <c r="A600" s="22" t="s">
        <v>1493</v>
      </c>
      <c r="B600" s="25">
        <f>VLOOKUP(A600,[1]ProjectsResults!$D:$E,2,FALSE)</f>
        <v>10687</v>
      </c>
      <c r="C600" s="22">
        <f>VLOOKUP(A600,[2]Sheet2!$D:$E,2,FALSE)</f>
        <v>9993</v>
      </c>
      <c r="D600" s="22">
        <v>9993</v>
      </c>
      <c r="E600" s="22">
        <f>VLOOKUP(A600,[3]Sheet2!$A:$F,6,FALSE)</f>
        <v>0</v>
      </c>
      <c r="G600" s="22" t="s">
        <v>1494</v>
      </c>
      <c r="H600" s="22" t="s">
        <v>1495</v>
      </c>
      <c r="I600" s="22" t="s">
        <v>25</v>
      </c>
      <c r="J600" s="22" t="s">
        <v>42</v>
      </c>
      <c r="K600" s="22" t="s">
        <v>43</v>
      </c>
      <c r="L600" s="29" t="s">
        <v>28</v>
      </c>
      <c r="P600" s="30">
        <v>45742</v>
      </c>
      <c r="Q600" s="30">
        <v>45744</v>
      </c>
      <c r="R600" s="22" t="s">
        <v>29</v>
      </c>
      <c r="S600" s="29" t="s">
        <v>30</v>
      </c>
      <c r="T600" s="22" t="s">
        <v>31</v>
      </c>
      <c r="U600" s="22" t="s">
        <v>32</v>
      </c>
      <c r="V600" s="22" t="s">
        <v>33</v>
      </c>
      <c r="W600" s="32" t="s">
        <v>34</v>
      </c>
    </row>
    <row r="601" spans="1:23">
      <c r="A601" s="22" t="s">
        <v>1496</v>
      </c>
      <c r="B601" s="25">
        <f>VLOOKUP(A601,[1]ProjectsResults!$D:$E,2,FALSE)</f>
        <v>10688</v>
      </c>
      <c r="C601" s="22">
        <f>VLOOKUP(A601,[2]Sheet2!$D:$E,2,FALSE)</f>
        <v>9994</v>
      </c>
      <c r="D601" s="22">
        <v>9994</v>
      </c>
      <c r="E601" s="22">
        <f>VLOOKUP(A601,[3]Sheet2!$A:$F,6,FALSE)</f>
        <v>0</v>
      </c>
      <c r="G601" s="22" t="s">
        <v>1497</v>
      </c>
      <c r="H601" s="22" t="s">
        <v>331</v>
      </c>
      <c r="I601" s="22" t="s">
        <v>25</v>
      </c>
      <c r="J601" s="22" t="s">
        <v>72</v>
      </c>
      <c r="K601" s="22" t="s">
        <v>141</v>
      </c>
      <c r="L601" s="29" t="s">
        <v>28</v>
      </c>
      <c r="P601" s="30">
        <v>45745</v>
      </c>
      <c r="Q601" s="30">
        <v>45746</v>
      </c>
      <c r="R601" s="22" t="s">
        <v>29</v>
      </c>
      <c r="S601" s="29" t="s">
        <v>30</v>
      </c>
      <c r="T601" s="22" t="s">
        <v>74</v>
      </c>
      <c r="U601" s="22" t="s">
        <v>32</v>
      </c>
      <c r="V601" s="22" t="s">
        <v>75</v>
      </c>
      <c r="W601" s="32" t="s">
        <v>34</v>
      </c>
    </row>
    <row r="602" spans="1:23">
      <c r="A602" s="22" t="s">
        <v>1498</v>
      </c>
      <c r="B602" s="25">
        <f>VLOOKUP(A602,[1]ProjectsResults!$D:$E,2,FALSE)</f>
        <v>10689</v>
      </c>
      <c r="C602" s="22">
        <f>VLOOKUP(A602,[2]Sheet2!$D:$E,2,FALSE)</f>
        <v>9995</v>
      </c>
      <c r="D602" s="22">
        <v>9995</v>
      </c>
      <c r="E602" s="22">
        <f>VLOOKUP(A602,[3]Sheet2!$A:$F,6,FALSE)</f>
        <v>0</v>
      </c>
      <c r="G602" s="22" t="s">
        <v>1499</v>
      </c>
      <c r="H602" s="22" t="s">
        <v>249</v>
      </c>
      <c r="I602" s="22" t="s">
        <v>25</v>
      </c>
      <c r="J602" s="22" t="s">
        <v>250</v>
      </c>
      <c r="K602" s="22" t="s">
        <v>525</v>
      </c>
      <c r="L602" s="29" t="s">
        <v>28</v>
      </c>
      <c r="P602" s="30">
        <v>45741</v>
      </c>
      <c r="Q602" s="30">
        <v>45741</v>
      </c>
      <c r="R602" s="22" t="s">
        <v>29</v>
      </c>
      <c r="S602" s="29" t="s">
        <v>30</v>
      </c>
      <c r="T602" s="22" t="s">
        <v>31</v>
      </c>
      <c r="U602" s="22" t="s">
        <v>32</v>
      </c>
      <c r="V602" s="22" t="s">
        <v>33</v>
      </c>
      <c r="W602" s="32" t="s">
        <v>34</v>
      </c>
    </row>
    <row r="603" spans="1:23">
      <c r="A603" s="22" t="s">
        <v>1500</v>
      </c>
      <c r="B603" s="25">
        <f>VLOOKUP(A603,[1]ProjectsResults!$D:$E,2,FALSE)</f>
        <v>10690</v>
      </c>
      <c r="C603" s="22">
        <f>VLOOKUP(A603,[2]Sheet2!$D:$E,2,FALSE)</f>
        <v>9996</v>
      </c>
      <c r="D603" s="22">
        <v>9996</v>
      </c>
      <c r="E603" s="22">
        <f>VLOOKUP(A603,[3]Sheet2!$A:$F,6,FALSE)</f>
        <v>0</v>
      </c>
      <c r="G603" s="22" t="s">
        <v>1501</v>
      </c>
      <c r="H603" s="22" t="s">
        <v>86</v>
      </c>
      <c r="I603" s="22" t="s">
        <v>25</v>
      </c>
      <c r="J603" s="22" t="s">
        <v>42</v>
      </c>
      <c r="K603" s="29" t="s">
        <v>238</v>
      </c>
      <c r="L603" s="29" t="s">
        <v>28</v>
      </c>
      <c r="P603" s="30">
        <v>45741</v>
      </c>
      <c r="Q603" s="30">
        <v>45741</v>
      </c>
      <c r="R603" s="22" t="s">
        <v>29</v>
      </c>
      <c r="S603" s="29" t="s">
        <v>30</v>
      </c>
      <c r="T603" s="22" t="s">
        <v>31</v>
      </c>
      <c r="U603" s="22" t="s">
        <v>32</v>
      </c>
      <c r="V603" s="22" t="s">
        <v>33</v>
      </c>
      <c r="W603" s="32" t="s">
        <v>34</v>
      </c>
    </row>
    <row r="604" spans="1:23">
      <c r="A604" s="22" t="s">
        <v>1502</v>
      </c>
      <c r="B604" s="25">
        <f>VLOOKUP(A604,[1]ProjectsResults!$D:$E,2,FALSE)</f>
        <v>10691</v>
      </c>
      <c r="C604" s="22">
        <f>VLOOKUP(A604,[2]Sheet2!$D:$E,2,FALSE)</f>
        <v>9997</v>
      </c>
      <c r="D604" s="22">
        <v>9997</v>
      </c>
      <c r="E604" s="22">
        <f>VLOOKUP(A604,[3]Sheet2!$A:$F,6,FALSE)</f>
        <v>0</v>
      </c>
      <c r="G604" s="22" t="s">
        <v>1503</v>
      </c>
      <c r="H604" s="22" t="s">
        <v>551</v>
      </c>
      <c r="I604" s="22" t="s">
        <v>25</v>
      </c>
      <c r="J604" s="29" t="s">
        <v>47</v>
      </c>
      <c r="K604" s="22" t="s">
        <v>129</v>
      </c>
      <c r="L604" s="29" t="s">
        <v>28</v>
      </c>
      <c r="P604" s="30">
        <v>45740</v>
      </c>
      <c r="Q604" s="30">
        <v>45740</v>
      </c>
      <c r="R604" s="22" t="s">
        <v>29</v>
      </c>
      <c r="S604" s="29" t="s">
        <v>30</v>
      </c>
      <c r="T604" s="22" t="s">
        <v>49</v>
      </c>
      <c r="U604" s="22" t="s">
        <v>32</v>
      </c>
      <c r="V604" s="22" t="s">
        <v>50</v>
      </c>
      <c r="W604" s="32" t="s">
        <v>34</v>
      </c>
    </row>
    <row r="605" spans="1:23">
      <c r="A605" s="22" t="s">
        <v>1504</v>
      </c>
      <c r="B605" s="25">
        <f>VLOOKUP(A605,[1]ProjectsResults!$D:$E,2,FALSE)</f>
        <v>10692</v>
      </c>
      <c r="C605" s="22">
        <f>VLOOKUP(A605,[2]Sheet2!$D:$E,2,FALSE)</f>
        <v>9998</v>
      </c>
      <c r="D605" s="22">
        <v>9998</v>
      </c>
      <c r="E605" s="22">
        <f>VLOOKUP(A605,[3]Sheet2!$A:$F,6,FALSE)</f>
        <v>0</v>
      </c>
      <c r="G605" s="22" t="s">
        <v>1505</v>
      </c>
      <c r="H605" s="22" t="s">
        <v>58</v>
      </c>
      <c r="I605" s="22" t="s">
        <v>25</v>
      </c>
      <c r="J605" s="29" t="s">
        <v>47</v>
      </c>
      <c r="K605" s="29" t="s">
        <v>337</v>
      </c>
      <c r="L605" s="29" t="s">
        <v>28</v>
      </c>
      <c r="P605" s="30">
        <v>45740</v>
      </c>
      <c r="Q605" s="30">
        <v>45740</v>
      </c>
      <c r="R605" s="22" t="s">
        <v>29</v>
      </c>
      <c r="S605" s="29" t="s">
        <v>30</v>
      </c>
      <c r="T605" s="22" t="s">
        <v>49</v>
      </c>
      <c r="U605" s="22" t="s">
        <v>32</v>
      </c>
      <c r="V605" s="22" t="s">
        <v>50</v>
      </c>
      <c r="W605" s="32" t="s">
        <v>34</v>
      </c>
    </row>
    <row r="606" spans="1:23">
      <c r="A606" s="22" t="s">
        <v>1506</v>
      </c>
      <c r="B606" s="25">
        <f>VLOOKUP(A606,[1]ProjectsResults!$D:$E,2,FALSE)</f>
        <v>10693</v>
      </c>
      <c r="C606" s="22">
        <f>VLOOKUP(A606,[2]Sheet2!$D:$E,2,FALSE)</f>
        <v>9999</v>
      </c>
      <c r="D606" s="22">
        <v>9999</v>
      </c>
      <c r="E606" s="22">
        <f>VLOOKUP(A606,[3]Sheet2!$A:$F,6,FALSE)</f>
        <v>0</v>
      </c>
      <c r="G606" s="22" t="s">
        <v>1507</v>
      </c>
      <c r="H606" s="22" t="s">
        <v>58</v>
      </c>
      <c r="I606" s="22" t="s">
        <v>25</v>
      </c>
      <c r="J606" s="29" t="s">
        <v>47</v>
      </c>
      <c r="K606" s="29" t="s">
        <v>337</v>
      </c>
      <c r="L606" s="29" t="s">
        <v>28</v>
      </c>
      <c r="P606" s="30">
        <v>45742</v>
      </c>
      <c r="Q606" s="30">
        <v>45742</v>
      </c>
      <c r="R606" s="22" t="s">
        <v>29</v>
      </c>
      <c r="S606" s="29" t="s">
        <v>30</v>
      </c>
      <c r="T606" s="22" t="s">
        <v>49</v>
      </c>
      <c r="U606" s="22" t="s">
        <v>32</v>
      </c>
      <c r="V606" s="22" t="s">
        <v>50</v>
      </c>
      <c r="W606" s="32" t="s">
        <v>34</v>
      </c>
    </row>
    <row r="607" spans="1:23">
      <c r="A607" s="22" t="s">
        <v>1508</v>
      </c>
      <c r="B607" s="25">
        <f>VLOOKUP(A607,[1]ProjectsResults!$D:$E,2,FALSE)</f>
        <v>10694</v>
      </c>
      <c r="C607" s="22">
        <f>VLOOKUP(A607,[2]Sheet2!$D:$E,2,FALSE)</f>
        <v>10000</v>
      </c>
      <c r="D607" s="22">
        <v>10000</v>
      </c>
      <c r="E607" s="22">
        <f>VLOOKUP(A607,[3]Sheet2!$A:$F,6,FALSE)</f>
        <v>0</v>
      </c>
      <c r="G607" s="22" t="s">
        <v>1509</v>
      </c>
      <c r="H607" s="22" t="s">
        <v>331</v>
      </c>
      <c r="I607" s="22" t="s">
        <v>25</v>
      </c>
      <c r="J607" s="22" t="s">
        <v>72</v>
      </c>
      <c r="K607" s="22" t="s">
        <v>141</v>
      </c>
      <c r="L607" s="29" t="s">
        <v>28</v>
      </c>
      <c r="P607" s="30">
        <v>45739</v>
      </c>
      <c r="Q607" s="30">
        <v>45739</v>
      </c>
      <c r="R607" s="22" t="s">
        <v>29</v>
      </c>
      <c r="S607" s="29" t="s">
        <v>30</v>
      </c>
      <c r="T607" s="22" t="s">
        <v>74</v>
      </c>
      <c r="U607" s="22" t="s">
        <v>32</v>
      </c>
      <c r="V607" s="22" t="s">
        <v>75</v>
      </c>
      <c r="W607" s="32" t="s">
        <v>34</v>
      </c>
    </row>
    <row r="608" spans="1:23">
      <c r="A608" s="22" t="s">
        <v>1510</v>
      </c>
      <c r="B608" s="25">
        <f>VLOOKUP(A608,[1]ProjectsResults!$D:$E,2,FALSE)</f>
        <v>10695</v>
      </c>
      <c r="C608" s="22">
        <f>VLOOKUP(A608,[2]Sheet2!$D:$E,2,FALSE)</f>
        <v>10001</v>
      </c>
      <c r="D608" s="22">
        <v>10001</v>
      </c>
      <c r="E608" s="22">
        <f>VLOOKUP(A608,[3]Sheet2!$A:$F,6,FALSE)</f>
        <v>0</v>
      </c>
      <c r="G608" s="22" t="s">
        <v>563</v>
      </c>
      <c r="H608" s="22" t="s">
        <v>114</v>
      </c>
      <c r="I608" s="22" t="s">
        <v>25</v>
      </c>
      <c r="J608" s="29" t="s">
        <v>115</v>
      </c>
      <c r="K608" s="22" t="s">
        <v>164</v>
      </c>
      <c r="L608" s="29" t="s">
        <v>28</v>
      </c>
      <c r="P608" s="30">
        <v>45744</v>
      </c>
      <c r="Q608" s="30">
        <v>45748</v>
      </c>
      <c r="R608" s="22" t="s">
        <v>29</v>
      </c>
      <c r="S608" s="29" t="s">
        <v>30</v>
      </c>
      <c r="T608" s="22" t="s">
        <v>49</v>
      </c>
      <c r="U608" s="22" t="s">
        <v>32</v>
      </c>
      <c r="V608" s="22" t="s">
        <v>117</v>
      </c>
      <c r="W608" s="32" t="s">
        <v>34</v>
      </c>
    </row>
    <row r="609" spans="1:23">
      <c r="A609" s="22" t="s">
        <v>1511</v>
      </c>
      <c r="B609" s="25">
        <f>VLOOKUP(A609,[1]ProjectsResults!$D:$E,2,FALSE)</f>
        <v>10696</v>
      </c>
      <c r="C609" s="22">
        <f>VLOOKUP(A609,[2]Sheet2!$D:$E,2,FALSE)</f>
        <v>10002</v>
      </c>
      <c r="D609" s="22">
        <v>10002</v>
      </c>
      <c r="E609" s="22">
        <f>VLOOKUP(A609,[3]Sheet2!$A:$F,6,FALSE)</f>
        <v>0</v>
      </c>
      <c r="G609" s="22" t="s">
        <v>1512</v>
      </c>
      <c r="H609" s="22" t="s">
        <v>95</v>
      </c>
      <c r="I609" s="22" t="s">
        <v>25</v>
      </c>
      <c r="J609" s="22" t="s">
        <v>72</v>
      </c>
      <c r="K609" s="22" t="s">
        <v>96</v>
      </c>
      <c r="L609" s="29" t="s">
        <v>28</v>
      </c>
      <c r="P609" s="30">
        <v>45772</v>
      </c>
      <c r="Q609" s="30">
        <v>45772</v>
      </c>
      <c r="R609" s="22" t="s">
        <v>29</v>
      </c>
      <c r="S609" s="29" t="s">
        <v>30</v>
      </c>
      <c r="T609" s="22" t="s">
        <v>74</v>
      </c>
      <c r="U609" s="22" t="s">
        <v>32</v>
      </c>
      <c r="V609" s="22" t="s">
        <v>75</v>
      </c>
      <c r="W609" s="32" t="s">
        <v>34</v>
      </c>
    </row>
    <row r="610" spans="1:23">
      <c r="A610" s="22" t="s">
        <v>1513</v>
      </c>
      <c r="B610" s="25">
        <f>VLOOKUP(A610,[1]ProjectsResults!$D:$E,2,FALSE)</f>
        <v>10697</v>
      </c>
      <c r="C610" s="22">
        <f>VLOOKUP(A610,[2]Sheet2!$D:$E,2,FALSE)</f>
        <v>10003</v>
      </c>
      <c r="D610" s="22">
        <v>10003</v>
      </c>
      <c r="E610" s="22">
        <f>VLOOKUP(A610,[3]Sheet2!$A:$F,6,FALSE)</f>
        <v>0</v>
      </c>
      <c r="G610" s="22" t="s">
        <v>1514</v>
      </c>
      <c r="H610" s="22" t="s">
        <v>95</v>
      </c>
      <c r="I610" s="22" t="s">
        <v>25</v>
      </c>
      <c r="J610" s="22" t="s">
        <v>72</v>
      </c>
      <c r="K610" s="22" t="s">
        <v>96</v>
      </c>
      <c r="L610" s="29" t="s">
        <v>28</v>
      </c>
      <c r="P610" s="30">
        <v>45743</v>
      </c>
      <c r="Q610" s="30">
        <v>45743</v>
      </c>
      <c r="R610" s="22" t="s">
        <v>29</v>
      </c>
      <c r="S610" s="29" t="s">
        <v>30</v>
      </c>
      <c r="T610" s="22" t="s">
        <v>74</v>
      </c>
      <c r="U610" s="22" t="s">
        <v>32</v>
      </c>
      <c r="V610" s="22" t="s">
        <v>75</v>
      </c>
      <c r="W610" s="32" t="s">
        <v>34</v>
      </c>
    </row>
    <row r="611" spans="1:23">
      <c r="A611" s="22" t="s">
        <v>1515</v>
      </c>
      <c r="B611" s="25">
        <f>VLOOKUP(A611,[1]ProjectsResults!$D:$E,2,FALSE)</f>
        <v>10698</v>
      </c>
      <c r="C611" s="22">
        <f>VLOOKUP(A611,[2]Sheet2!$D:$E,2,FALSE)</f>
        <v>10004</v>
      </c>
      <c r="D611" s="22">
        <v>10004</v>
      </c>
      <c r="E611" s="22">
        <f>VLOOKUP(A611,[3]Sheet2!$A:$F,6,FALSE)</f>
        <v>0</v>
      </c>
      <c r="G611" s="22" t="s">
        <v>1516</v>
      </c>
      <c r="H611" s="22" t="s">
        <v>433</v>
      </c>
      <c r="I611" s="22" t="s">
        <v>25</v>
      </c>
      <c r="J611" s="29" t="s">
        <v>73</v>
      </c>
      <c r="K611" s="22" t="s">
        <v>430</v>
      </c>
      <c r="L611" s="29" t="s">
        <v>28</v>
      </c>
      <c r="P611" s="30">
        <v>45798</v>
      </c>
      <c r="Q611" s="30">
        <v>45807</v>
      </c>
      <c r="R611" s="22" t="s">
        <v>29</v>
      </c>
      <c r="S611" s="29" t="s">
        <v>30</v>
      </c>
      <c r="T611" s="22" t="s">
        <v>74</v>
      </c>
      <c r="U611" s="22" t="s">
        <v>32</v>
      </c>
      <c r="V611" s="22" t="s">
        <v>75</v>
      </c>
      <c r="W611" s="32" t="s">
        <v>34</v>
      </c>
    </row>
    <row r="612" spans="1:23">
      <c r="A612" s="22" t="s">
        <v>1517</v>
      </c>
      <c r="B612" s="25">
        <f>VLOOKUP(A612,[1]ProjectsResults!$D:$E,2,FALSE)</f>
        <v>10699</v>
      </c>
      <c r="C612" s="22">
        <f>VLOOKUP(A612,[2]Sheet2!$D:$E,2,FALSE)</f>
        <v>10005</v>
      </c>
      <c r="D612" s="22">
        <v>10005</v>
      </c>
      <c r="E612" s="22">
        <f>VLOOKUP(A612,[3]Sheet2!$A:$F,6,FALSE)</f>
        <v>0</v>
      </c>
      <c r="G612" s="22" t="s">
        <v>1518</v>
      </c>
      <c r="H612" s="22" t="s">
        <v>433</v>
      </c>
      <c r="I612" s="22" t="s">
        <v>25</v>
      </c>
      <c r="J612" s="29" t="s">
        <v>73</v>
      </c>
      <c r="K612" s="22" t="s">
        <v>430</v>
      </c>
      <c r="L612" s="29" t="s">
        <v>28</v>
      </c>
      <c r="P612" s="30">
        <v>45812</v>
      </c>
      <c r="Q612" s="30">
        <v>45826</v>
      </c>
      <c r="R612" s="22" t="s">
        <v>29</v>
      </c>
      <c r="S612" s="29" t="s">
        <v>30</v>
      </c>
      <c r="T612" s="22" t="s">
        <v>74</v>
      </c>
      <c r="U612" s="22" t="s">
        <v>32</v>
      </c>
      <c r="V612" s="22" t="s">
        <v>75</v>
      </c>
      <c r="W612" s="32" t="s">
        <v>34</v>
      </c>
    </row>
    <row r="613" spans="1:23">
      <c r="A613" s="22" t="s">
        <v>1519</v>
      </c>
      <c r="B613" s="25">
        <f>VLOOKUP(A613,[1]ProjectsResults!$D:$E,2,FALSE)</f>
        <v>10700</v>
      </c>
      <c r="C613" s="22">
        <f>VLOOKUP(A613,[2]Sheet2!$D:$E,2,FALSE)</f>
        <v>10006</v>
      </c>
      <c r="D613" s="22">
        <v>10006</v>
      </c>
      <c r="E613" s="22">
        <f>VLOOKUP(A613,[3]Sheet2!$A:$F,6,FALSE)</f>
        <v>0</v>
      </c>
      <c r="G613" s="22" t="s">
        <v>1520</v>
      </c>
      <c r="H613" s="22" t="s">
        <v>433</v>
      </c>
      <c r="I613" s="22" t="s">
        <v>25</v>
      </c>
      <c r="J613" s="29" t="s">
        <v>73</v>
      </c>
      <c r="K613" s="22" t="s">
        <v>430</v>
      </c>
      <c r="L613" s="29" t="s">
        <v>28</v>
      </c>
      <c r="P613" s="30">
        <v>45840</v>
      </c>
      <c r="Q613" s="30">
        <v>45854</v>
      </c>
      <c r="R613" s="22" t="s">
        <v>29</v>
      </c>
      <c r="S613" s="29" t="s">
        <v>30</v>
      </c>
      <c r="T613" s="22" t="s">
        <v>74</v>
      </c>
      <c r="U613" s="22" t="s">
        <v>32</v>
      </c>
      <c r="V613" s="22" t="s">
        <v>75</v>
      </c>
      <c r="W613" s="32" t="s">
        <v>34</v>
      </c>
    </row>
    <row r="614" spans="1:23">
      <c r="A614" s="22" t="s">
        <v>1521</v>
      </c>
      <c r="B614" s="25">
        <f>VLOOKUP(A614,[1]ProjectsResults!$D:$E,2,FALSE)</f>
        <v>10701</v>
      </c>
      <c r="C614" s="22">
        <f>VLOOKUP(A614,[2]Sheet2!$D:$E,2,FALSE)</f>
        <v>10007</v>
      </c>
      <c r="D614" s="22">
        <v>10007</v>
      </c>
      <c r="E614" s="22">
        <f>VLOOKUP(A614,[3]Sheet2!$A:$F,6,FALSE)</f>
        <v>0</v>
      </c>
      <c r="G614" s="22" t="s">
        <v>1522</v>
      </c>
      <c r="H614" s="22" t="s">
        <v>178</v>
      </c>
      <c r="I614" s="22" t="s">
        <v>25</v>
      </c>
      <c r="J614" s="22" t="s">
        <v>42</v>
      </c>
      <c r="K614" s="22" t="s">
        <v>179</v>
      </c>
      <c r="L614" s="29" t="s">
        <v>28</v>
      </c>
      <c r="P614" s="30">
        <v>45748</v>
      </c>
      <c r="Q614" s="30">
        <v>45748</v>
      </c>
      <c r="R614" s="22" t="s">
        <v>29</v>
      </c>
      <c r="S614" s="29" t="s">
        <v>30</v>
      </c>
      <c r="T614" s="22" t="s">
        <v>31</v>
      </c>
      <c r="U614" s="22" t="s">
        <v>32</v>
      </c>
      <c r="V614" s="22" t="s">
        <v>33</v>
      </c>
      <c r="W614" s="32" t="s">
        <v>34</v>
      </c>
    </row>
    <row r="615" spans="1:23">
      <c r="A615" s="22" t="s">
        <v>1523</v>
      </c>
      <c r="B615" s="25">
        <f>VLOOKUP(A615,[1]ProjectsResults!$D:$E,2,FALSE)</f>
        <v>10702</v>
      </c>
      <c r="C615" s="22">
        <f>VLOOKUP(A615,[2]Sheet2!$D:$E,2,FALSE)</f>
        <v>10008</v>
      </c>
      <c r="D615" s="22">
        <v>10008</v>
      </c>
      <c r="E615" s="22">
        <f>VLOOKUP(A615,[3]Sheet2!$A:$F,6,FALSE)</f>
        <v>0</v>
      </c>
      <c r="G615" s="22" t="s">
        <v>1524</v>
      </c>
      <c r="H615" s="22" t="s">
        <v>1525</v>
      </c>
      <c r="I615" s="22" t="s">
        <v>25</v>
      </c>
      <c r="J615" s="29" t="s">
        <v>47</v>
      </c>
      <c r="K615" s="22" t="s">
        <v>196</v>
      </c>
      <c r="L615" s="29" t="s">
        <v>28</v>
      </c>
      <c r="P615" s="30">
        <v>45750</v>
      </c>
      <c r="Q615" s="30">
        <v>45751</v>
      </c>
      <c r="R615" s="22" t="s">
        <v>29</v>
      </c>
      <c r="S615" s="29" t="s">
        <v>30</v>
      </c>
      <c r="T615" s="22" t="s">
        <v>49</v>
      </c>
      <c r="U615" s="22" t="s">
        <v>32</v>
      </c>
      <c r="V615" s="22" t="s">
        <v>50</v>
      </c>
      <c r="W615" s="32" t="s">
        <v>34</v>
      </c>
    </row>
    <row r="616" spans="1:23">
      <c r="A616" s="22" t="s">
        <v>1526</v>
      </c>
      <c r="B616" s="25">
        <f>VLOOKUP(A616,[1]ProjectsResults!$D:$E,2,FALSE)</f>
        <v>10703</v>
      </c>
      <c r="C616" s="22">
        <f>VLOOKUP(A616,[2]Sheet2!$D:$E,2,FALSE)</f>
        <v>10009</v>
      </c>
      <c r="D616" s="22">
        <v>10009</v>
      </c>
      <c r="E616" s="22">
        <f>VLOOKUP(A616,[3]Sheet2!$A:$F,6,FALSE)</f>
        <v>0</v>
      </c>
      <c r="G616" s="22" t="s">
        <v>1527</v>
      </c>
      <c r="H616" s="22" t="s">
        <v>249</v>
      </c>
      <c r="I616" s="22" t="s">
        <v>25</v>
      </c>
      <c r="J616" s="22" t="s">
        <v>250</v>
      </c>
      <c r="K616" s="22" t="s">
        <v>281</v>
      </c>
      <c r="L616" s="29" t="s">
        <v>28</v>
      </c>
      <c r="P616" s="30">
        <v>45743</v>
      </c>
      <c r="Q616" s="30">
        <v>45743</v>
      </c>
      <c r="R616" s="22" t="s">
        <v>29</v>
      </c>
      <c r="S616" s="29" t="s">
        <v>30</v>
      </c>
      <c r="T616" s="22" t="s">
        <v>31</v>
      </c>
      <c r="U616" s="22" t="s">
        <v>32</v>
      </c>
      <c r="V616" s="22" t="s">
        <v>33</v>
      </c>
      <c r="W616" s="32" t="s">
        <v>34</v>
      </c>
    </row>
    <row r="617" spans="1:23">
      <c r="A617" s="22" t="s">
        <v>1528</v>
      </c>
      <c r="B617" s="25">
        <f>VLOOKUP(A617,[1]ProjectsResults!$D:$E,2,FALSE)</f>
        <v>10704</v>
      </c>
      <c r="C617" s="22">
        <f>VLOOKUP(A617,[2]Sheet2!$D:$E,2,FALSE)</f>
        <v>10010</v>
      </c>
      <c r="D617" s="22">
        <v>10010</v>
      </c>
      <c r="E617" s="22">
        <f>VLOOKUP(A617,[3]Sheet2!$A:$F,6,FALSE)</f>
        <v>0</v>
      </c>
      <c r="G617" s="22" t="s">
        <v>1529</v>
      </c>
      <c r="H617" s="22" t="s">
        <v>453</v>
      </c>
      <c r="I617" s="22" t="s">
        <v>25</v>
      </c>
      <c r="J617" s="22" t="s">
        <v>42</v>
      </c>
      <c r="K617" s="22" t="s">
        <v>454</v>
      </c>
      <c r="L617" s="29" t="s">
        <v>28</v>
      </c>
      <c r="P617" s="30">
        <v>45751</v>
      </c>
      <c r="Q617" s="30">
        <v>45751</v>
      </c>
      <c r="R617" s="22" t="s">
        <v>29</v>
      </c>
      <c r="S617" s="29" t="s">
        <v>30</v>
      </c>
      <c r="T617" s="22" t="s">
        <v>31</v>
      </c>
      <c r="U617" s="22" t="s">
        <v>32</v>
      </c>
      <c r="V617" s="22" t="s">
        <v>33</v>
      </c>
      <c r="W617" s="32" t="s">
        <v>34</v>
      </c>
    </row>
    <row r="618" spans="1:23">
      <c r="A618" s="22" t="s">
        <v>1530</v>
      </c>
      <c r="B618" s="25">
        <f>VLOOKUP(A618,[1]ProjectsResults!$D:$E,2,FALSE)</f>
        <v>10705</v>
      </c>
      <c r="C618" s="22">
        <f>VLOOKUP(A618,[2]Sheet2!$D:$E,2,FALSE)</f>
        <v>10011</v>
      </c>
      <c r="D618" s="22">
        <v>10011</v>
      </c>
      <c r="E618" s="22">
        <f>VLOOKUP(A618,[3]Sheet2!$A:$F,6,FALSE)</f>
        <v>0</v>
      </c>
      <c r="G618" s="22" t="s">
        <v>1531</v>
      </c>
      <c r="H618" s="22" t="s">
        <v>1390</v>
      </c>
      <c r="I618" s="22" t="s">
        <v>25</v>
      </c>
      <c r="J618" s="29" t="s">
        <v>168</v>
      </c>
      <c r="K618" s="22" t="s">
        <v>407</v>
      </c>
      <c r="L618" s="29" t="s">
        <v>28</v>
      </c>
      <c r="P618" s="30">
        <v>45817</v>
      </c>
      <c r="Q618" s="30">
        <v>45817</v>
      </c>
      <c r="R618" s="22" t="s">
        <v>29</v>
      </c>
      <c r="S618" s="29" t="s">
        <v>30</v>
      </c>
      <c r="T618" s="22" t="s">
        <v>31</v>
      </c>
      <c r="U618" s="22" t="s">
        <v>32</v>
      </c>
      <c r="V618" s="22" t="s">
        <v>33</v>
      </c>
      <c r="W618" s="32" t="s">
        <v>34</v>
      </c>
    </row>
    <row r="619" spans="1:23">
      <c r="A619" s="22" t="s">
        <v>1532</v>
      </c>
      <c r="B619" s="25">
        <f>VLOOKUP(A619,[1]ProjectsResults!$D:$E,2,FALSE)</f>
        <v>10706</v>
      </c>
      <c r="C619" s="22">
        <f>VLOOKUP(A619,[2]Sheet2!$D:$E,2,FALSE)</f>
        <v>10012</v>
      </c>
      <c r="D619" s="22">
        <v>10012</v>
      </c>
      <c r="E619" s="22">
        <f>VLOOKUP(A619,[3]Sheet2!$A:$F,6,FALSE)</f>
        <v>0</v>
      </c>
      <c r="G619" s="22" t="s">
        <v>1533</v>
      </c>
      <c r="H619" s="22" t="s">
        <v>437</v>
      </c>
      <c r="I619" s="22" t="s">
        <v>25</v>
      </c>
      <c r="J619" s="29" t="s">
        <v>271</v>
      </c>
      <c r="K619" s="22" t="s">
        <v>929</v>
      </c>
      <c r="L619" s="29" t="s">
        <v>28</v>
      </c>
      <c r="P619" s="30">
        <v>45757</v>
      </c>
      <c r="Q619" s="30">
        <v>45757</v>
      </c>
      <c r="R619" s="22" t="s">
        <v>29</v>
      </c>
      <c r="S619" s="29" t="s">
        <v>30</v>
      </c>
      <c r="T619" s="22" t="s">
        <v>74</v>
      </c>
      <c r="U619" s="22" t="s">
        <v>32</v>
      </c>
      <c r="V619" s="22" t="s">
        <v>75</v>
      </c>
      <c r="W619" s="32" t="s">
        <v>34</v>
      </c>
    </row>
    <row r="620" spans="1:23">
      <c r="A620" s="22" t="s">
        <v>1534</v>
      </c>
      <c r="B620" s="25">
        <f>VLOOKUP(A620,[1]ProjectsResults!$D:$E,2,FALSE)</f>
        <v>10707</v>
      </c>
      <c r="C620" s="22">
        <f>VLOOKUP(A620,[2]Sheet2!$D:$E,2,FALSE)</f>
        <v>10013</v>
      </c>
      <c r="D620" s="22">
        <v>10013</v>
      </c>
      <c r="E620" s="22">
        <f>VLOOKUP(A620,[3]Sheet2!$A:$F,6,FALSE)</f>
        <v>0</v>
      </c>
      <c r="G620" s="22" t="s">
        <v>1535</v>
      </c>
      <c r="H620" s="22" t="s">
        <v>313</v>
      </c>
      <c r="I620" s="22" t="s">
        <v>25</v>
      </c>
      <c r="J620" s="29" t="s">
        <v>168</v>
      </c>
      <c r="K620" s="29" t="s">
        <v>446</v>
      </c>
      <c r="L620" s="29" t="s">
        <v>28</v>
      </c>
      <c r="P620" s="30">
        <v>45754</v>
      </c>
      <c r="Q620" s="30">
        <v>45754</v>
      </c>
      <c r="R620" s="22" t="s">
        <v>29</v>
      </c>
      <c r="S620" s="29" t="s">
        <v>30</v>
      </c>
      <c r="T620" s="22" t="s">
        <v>31</v>
      </c>
      <c r="U620" s="22" t="s">
        <v>32</v>
      </c>
      <c r="V620" s="22" t="s">
        <v>33</v>
      </c>
      <c r="W620" s="32" t="s">
        <v>34</v>
      </c>
    </row>
    <row r="621" spans="1:23">
      <c r="A621" s="22" t="s">
        <v>1536</v>
      </c>
      <c r="B621" s="25">
        <f>VLOOKUP(A621,[1]ProjectsResults!$D:$E,2,FALSE)</f>
        <v>10708</v>
      </c>
      <c r="C621" s="22">
        <f>VLOOKUP(A621,[2]Sheet2!$D:$E,2,FALSE)</f>
        <v>10014</v>
      </c>
      <c r="D621" s="22">
        <v>10014</v>
      </c>
      <c r="E621" s="22">
        <f>VLOOKUP(A621,[3]Sheet2!$A:$F,6,FALSE)</f>
        <v>0</v>
      </c>
      <c r="G621" s="22" t="s">
        <v>1537</v>
      </c>
      <c r="H621" s="22" t="s">
        <v>65</v>
      </c>
      <c r="I621" s="22" t="s">
        <v>25</v>
      </c>
      <c r="J621" s="22" t="s">
        <v>42</v>
      </c>
      <c r="K621" s="22" t="s">
        <v>1010</v>
      </c>
      <c r="L621" s="29" t="s">
        <v>28</v>
      </c>
      <c r="P621" s="30">
        <v>45750</v>
      </c>
      <c r="Q621" s="30">
        <v>12879</v>
      </c>
      <c r="R621" s="22" t="s">
        <v>29</v>
      </c>
      <c r="S621" s="29" t="s">
        <v>30</v>
      </c>
      <c r="T621" s="22" t="s">
        <v>31</v>
      </c>
      <c r="U621" s="22" t="s">
        <v>32</v>
      </c>
      <c r="V621" s="22" t="s">
        <v>33</v>
      </c>
      <c r="W621" s="32" t="s">
        <v>34</v>
      </c>
    </row>
    <row r="622" spans="1:23">
      <c r="A622" s="22" t="s">
        <v>1538</v>
      </c>
      <c r="B622" s="25">
        <f>VLOOKUP(A622,[1]ProjectsResults!$D:$E,2,FALSE)</f>
        <v>10709</v>
      </c>
      <c r="C622" s="22">
        <f>VLOOKUP(A622,[2]Sheet2!$D:$E,2,FALSE)</f>
        <v>10015</v>
      </c>
      <c r="D622" s="22">
        <v>10015</v>
      </c>
      <c r="E622" s="22">
        <f>VLOOKUP(A622,[3]Sheet2!$A:$F,6,FALSE)</f>
        <v>0</v>
      </c>
      <c r="G622" s="22" t="s">
        <v>1539</v>
      </c>
      <c r="H622" s="22" t="s">
        <v>396</v>
      </c>
      <c r="I622" s="22" t="s">
        <v>25</v>
      </c>
      <c r="J622" s="29" t="s">
        <v>115</v>
      </c>
      <c r="K622" s="29" t="s">
        <v>356</v>
      </c>
      <c r="L622" s="29" t="s">
        <v>28</v>
      </c>
      <c r="P622" s="30">
        <v>45748</v>
      </c>
      <c r="Q622" s="30">
        <v>45748</v>
      </c>
      <c r="R622" s="22" t="s">
        <v>29</v>
      </c>
      <c r="S622" s="29" t="s">
        <v>30</v>
      </c>
      <c r="T622" s="22" t="s">
        <v>49</v>
      </c>
      <c r="U622" s="22" t="s">
        <v>32</v>
      </c>
      <c r="V622" s="22" t="s">
        <v>117</v>
      </c>
      <c r="W622" s="32" t="s">
        <v>34</v>
      </c>
    </row>
    <row r="623" spans="1:23">
      <c r="A623" s="22" t="s">
        <v>1540</v>
      </c>
      <c r="B623" s="25">
        <f>VLOOKUP(A623,[1]ProjectsResults!$D:$E,2,FALSE)</f>
        <v>10710</v>
      </c>
      <c r="C623" s="22">
        <f>VLOOKUP(A623,[2]Sheet2!$D:$E,2,FALSE)</f>
        <v>10016</v>
      </c>
      <c r="D623" s="22">
        <v>10016</v>
      </c>
      <c r="E623" s="22">
        <f>VLOOKUP(A623,[3]Sheet2!$A:$F,6,FALSE)</f>
        <v>0</v>
      </c>
      <c r="G623" s="22" t="s">
        <v>1541</v>
      </c>
      <c r="H623" s="22" t="s">
        <v>58</v>
      </c>
      <c r="I623" s="22" t="s">
        <v>25</v>
      </c>
      <c r="J623" s="29" t="s">
        <v>47</v>
      </c>
      <c r="K623" s="29" t="s">
        <v>337</v>
      </c>
      <c r="L623" s="29" t="s">
        <v>28</v>
      </c>
      <c r="P623" s="30">
        <v>45744</v>
      </c>
      <c r="Q623" s="30">
        <v>45744</v>
      </c>
      <c r="R623" s="22" t="s">
        <v>29</v>
      </c>
      <c r="S623" s="29" t="s">
        <v>30</v>
      </c>
      <c r="T623" s="22" t="s">
        <v>49</v>
      </c>
      <c r="U623" s="22" t="s">
        <v>32</v>
      </c>
      <c r="V623" s="22" t="s">
        <v>50</v>
      </c>
      <c r="W623" s="32" t="s">
        <v>34</v>
      </c>
    </row>
    <row r="624" spans="1:23">
      <c r="A624" s="22" t="s">
        <v>1542</v>
      </c>
      <c r="B624" s="25">
        <f>VLOOKUP(A624,[1]ProjectsResults!$D:$E,2,FALSE)</f>
        <v>10711</v>
      </c>
      <c r="C624" s="22">
        <f>VLOOKUP(A624,[2]Sheet2!$D:$E,2,FALSE)</f>
        <v>10017</v>
      </c>
      <c r="D624" s="22">
        <v>10017</v>
      </c>
      <c r="E624" s="22">
        <f>VLOOKUP(A624,[3]Sheet2!$A:$F,6,FALSE)</f>
        <v>0</v>
      </c>
      <c r="G624" s="22" t="s">
        <v>1543</v>
      </c>
      <c r="H624" s="22" t="s">
        <v>331</v>
      </c>
      <c r="I624" s="22" t="s">
        <v>25</v>
      </c>
      <c r="J624" s="22" t="s">
        <v>72</v>
      </c>
      <c r="K624" s="22" t="s">
        <v>141</v>
      </c>
      <c r="L624" s="29" t="s">
        <v>28</v>
      </c>
      <c r="P624" s="30">
        <v>45752</v>
      </c>
      <c r="Q624" s="30">
        <v>45753</v>
      </c>
      <c r="R624" s="22" t="s">
        <v>29</v>
      </c>
      <c r="S624" s="29" t="s">
        <v>30</v>
      </c>
      <c r="T624" s="22" t="s">
        <v>74</v>
      </c>
      <c r="U624" s="22" t="s">
        <v>32</v>
      </c>
      <c r="V624" s="22" t="s">
        <v>75</v>
      </c>
      <c r="W624" s="32" t="s">
        <v>34</v>
      </c>
    </row>
    <row r="625" spans="1:23">
      <c r="A625" s="22" t="s">
        <v>1544</v>
      </c>
      <c r="B625" s="25">
        <f>VLOOKUP(A625,[1]ProjectsResults!$D:$E,2,FALSE)</f>
        <v>10712</v>
      </c>
      <c r="C625" s="22">
        <f>VLOOKUP(A625,[2]Sheet2!$D:$E,2,FALSE)</f>
        <v>10018</v>
      </c>
      <c r="D625" s="22">
        <v>10018</v>
      </c>
      <c r="E625" s="22">
        <f>VLOOKUP(A625,[3]Sheet2!$A:$F,6,FALSE)</f>
        <v>0</v>
      </c>
      <c r="G625" s="22" t="s">
        <v>1545</v>
      </c>
      <c r="H625" s="22" t="s">
        <v>178</v>
      </c>
      <c r="I625" s="22" t="s">
        <v>25</v>
      </c>
      <c r="J625" s="22" t="s">
        <v>42</v>
      </c>
      <c r="K625" s="22" t="s">
        <v>179</v>
      </c>
      <c r="L625" s="29" t="s">
        <v>28</v>
      </c>
      <c r="P625" s="30">
        <v>45748</v>
      </c>
      <c r="Q625" s="30">
        <v>45748</v>
      </c>
      <c r="R625" s="22" t="s">
        <v>29</v>
      </c>
      <c r="S625" s="29" t="s">
        <v>30</v>
      </c>
      <c r="T625" s="22" t="s">
        <v>31</v>
      </c>
      <c r="U625" s="22" t="s">
        <v>32</v>
      </c>
      <c r="V625" s="22" t="s">
        <v>33</v>
      </c>
      <c r="W625" s="32" t="s">
        <v>34</v>
      </c>
    </row>
    <row r="626" spans="1:23">
      <c r="A626" s="22" t="s">
        <v>1546</v>
      </c>
      <c r="B626" s="25">
        <f>VLOOKUP(A626,[1]ProjectsResults!$D:$E,2,FALSE)</f>
        <v>10713</v>
      </c>
      <c r="C626" s="22">
        <f>VLOOKUP(A626,[2]Sheet2!$D:$E,2,FALSE)</f>
        <v>10019</v>
      </c>
      <c r="D626" s="22">
        <v>10019</v>
      </c>
      <c r="E626" s="22">
        <f>VLOOKUP(A626,[3]Sheet2!$A:$F,6,FALSE)</f>
        <v>0</v>
      </c>
      <c r="G626" s="22" t="s">
        <v>1547</v>
      </c>
      <c r="H626" s="22" t="s">
        <v>232</v>
      </c>
      <c r="I626" s="22" t="s">
        <v>25</v>
      </c>
      <c r="J626" s="29" t="s">
        <v>115</v>
      </c>
      <c r="K626" s="29" t="s">
        <v>356</v>
      </c>
      <c r="L626" s="29" t="s">
        <v>28</v>
      </c>
      <c r="P626" s="30">
        <v>45748</v>
      </c>
      <c r="Q626" s="30">
        <v>45751</v>
      </c>
      <c r="R626" s="22" t="s">
        <v>29</v>
      </c>
      <c r="S626" s="29" t="s">
        <v>30</v>
      </c>
      <c r="T626" s="22" t="s">
        <v>49</v>
      </c>
      <c r="U626" s="22" t="s">
        <v>32</v>
      </c>
      <c r="V626" s="22" t="s">
        <v>117</v>
      </c>
      <c r="W626" s="32" t="s">
        <v>34</v>
      </c>
    </row>
    <row r="627" spans="1:23">
      <c r="A627" s="22" t="s">
        <v>1548</v>
      </c>
      <c r="B627" s="25">
        <f>VLOOKUP(A627,[1]ProjectsResults!$D:$E,2,FALSE)</f>
        <v>10714</v>
      </c>
      <c r="C627" s="22">
        <f>VLOOKUP(A627,[2]Sheet2!$D:$E,2,FALSE)</f>
        <v>10020</v>
      </c>
      <c r="D627" s="22">
        <v>10020</v>
      </c>
      <c r="E627" s="22">
        <f>VLOOKUP(A627,[3]Sheet2!$A:$F,6,FALSE)</f>
        <v>0</v>
      </c>
      <c r="G627" s="22" t="s">
        <v>1549</v>
      </c>
      <c r="H627" s="22" t="s">
        <v>669</v>
      </c>
      <c r="I627" s="22" t="s">
        <v>25</v>
      </c>
      <c r="J627" s="22" t="s">
        <v>1550</v>
      </c>
      <c r="K627" s="29" t="s">
        <v>352</v>
      </c>
      <c r="L627" s="29" t="s">
        <v>28</v>
      </c>
      <c r="P627" s="30">
        <v>45754</v>
      </c>
      <c r="Q627" s="30">
        <v>45765</v>
      </c>
      <c r="R627" s="22" t="s">
        <v>29</v>
      </c>
      <c r="S627" s="29" t="s">
        <v>30</v>
      </c>
      <c r="T627" s="22" t="s">
        <v>74</v>
      </c>
      <c r="U627" s="22" t="s">
        <v>32</v>
      </c>
      <c r="V627" s="22" t="s">
        <v>75</v>
      </c>
      <c r="W627" s="32" t="s">
        <v>34</v>
      </c>
    </row>
    <row r="628" spans="1:23">
      <c r="A628" s="22" t="s">
        <v>1551</v>
      </c>
      <c r="B628" s="25">
        <f>VLOOKUP(A628,[1]ProjectsResults!$D:$E,2,FALSE)</f>
        <v>10715</v>
      </c>
      <c r="C628" s="22">
        <f>VLOOKUP(A628,[2]Sheet2!$D:$E,2,FALSE)</f>
        <v>10021</v>
      </c>
      <c r="D628" s="22">
        <v>10021</v>
      </c>
      <c r="E628" s="22">
        <f>VLOOKUP(A628,[3]Sheet2!$A:$F,6,FALSE)</f>
        <v>0</v>
      </c>
      <c r="G628" s="22" t="s">
        <v>1552</v>
      </c>
      <c r="H628" s="22" t="s">
        <v>86</v>
      </c>
      <c r="I628" s="22" t="s">
        <v>25</v>
      </c>
      <c r="J628" s="22" t="s">
        <v>42</v>
      </c>
      <c r="K628" s="22" t="s">
        <v>87</v>
      </c>
      <c r="L628" s="29" t="s">
        <v>28</v>
      </c>
      <c r="P628" s="30">
        <v>45752</v>
      </c>
      <c r="Q628" s="30">
        <v>45752</v>
      </c>
      <c r="R628" s="22" t="s">
        <v>29</v>
      </c>
      <c r="S628" s="29" t="s">
        <v>30</v>
      </c>
      <c r="T628" s="22" t="s">
        <v>31</v>
      </c>
      <c r="U628" s="22" t="s">
        <v>32</v>
      </c>
      <c r="V628" s="22" t="s">
        <v>33</v>
      </c>
      <c r="W628" s="32" t="s">
        <v>34</v>
      </c>
    </row>
    <row r="629" spans="1:23">
      <c r="A629" s="22" t="s">
        <v>1553</v>
      </c>
      <c r="B629" s="25">
        <f>VLOOKUP(A629,[1]ProjectsResults!$D:$E,2,FALSE)</f>
        <v>11232</v>
      </c>
      <c r="C629" s="22">
        <f>VLOOKUP(A629,[2]Sheet2!$D:$E,2,FALSE)</f>
        <v>10211</v>
      </c>
      <c r="D629" s="22">
        <v>10211</v>
      </c>
      <c r="E629" s="22">
        <f>VLOOKUP(A629,[3]Sheet2!$A:$F,6,FALSE)</f>
        <v>0</v>
      </c>
      <c r="G629" s="22" t="s">
        <v>1554</v>
      </c>
      <c r="H629" s="22" t="s">
        <v>1358</v>
      </c>
      <c r="I629" s="22" t="s">
        <v>25</v>
      </c>
      <c r="J629" s="22" t="s">
        <v>38</v>
      </c>
      <c r="K629" s="22" t="s">
        <v>38</v>
      </c>
      <c r="L629" s="29" t="s">
        <v>28</v>
      </c>
      <c r="P629" s="30">
        <v>45772</v>
      </c>
      <c r="Q629" s="30">
        <v>45772</v>
      </c>
      <c r="R629" s="22" t="s">
        <v>29</v>
      </c>
      <c r="S629" s="29" t="s">
        <v>30</v>
      </c>
      <c r="T629" s="22" t="s">
        <v>31</v>
      </c>
      <c r="U629" s="22" t="s">
        <v>32</v>
      </c>
      <c r="V629" s="22" t="s">
        <v>33</v>
      </c>
      <c r="W629" s="32" t="s">
        <v>34</v>
      </c>
    </row>
    <row r="630" spans="1:23">
      <c r="A630" s="22" t="s">
        <v>1555</v>
      </c>
      <c r="B630" s="25">
        <f>VLOOKUP(A630,[1]ProjectsResults!$D:$E,2,FALSE)</f>
        <v>10716</v>
      </c>
      <c r="C630" s="22">
        <f>VLOOKUP(A630,[2]Sheet2!$D:$E,2,FALSE)</f>
        <v>10022</v>
      </c>
      <c r="D630" s="22">
        <v>10022</v>
      </c>
      <c r="E630" s="22">
        <f>VLOOKUP(A630,[3]Sheet2!$A:$F,6,FALSE)</f>
        <v>0</v>
      </c>
      <c r="G630" s="22" t="s">
        <v>1556</v>
      </c>
      <c r="H630" s="22" t="s">
        <v>102</v>
      </c>
      <c r="I630" s="22" t="s">
        <v>25</v>
      </c>
      <c r="J630" s="22" t="s">
        <v>38</v>
      </c>
      <c r="K630" s="22" t="s">
        <v>38</v>
      </c>
      <c r="L630" s="29" t="s">
        <v>28</v>
      </c>
      <c r="P630" s="30">
        <v>45751</v>
      </c>
      <c r="Q630" s="30">
        <v>45751</v>
      </c>
      <c r="R630" s="22" t="s">
        <v>29</v>
      </c>
      <c r="S630" s="29" t="s">
        <v>30</v>
      </c>
      <c r="T630" s="22" t="s">
        <v>31</v>
      </c>
      <c r="U630" s="22" t="s">
        <v>32</v>
      </c>
      <c r="V630" s="22" t="s">
        <v>33</v>
      </c>
      <c r="W630" s="32" t="s">
        <v>34</v>
      </c>
    </row>
    <row r="631" spans="1:23">
      <c r="A631" s="22" t="s">
        <v>1557</v>
      </c>
      <c r="B631" s="25">
        <f>VLOOKUP(A631,[1]ProjectsResults!$D:$E,2,FALSE)</f>
        <v>10717</v>
      </c>
      <c r="C631" s="22">
        <f>VLOOKUP(A631,[2]Sheet2!$D:$E,2,FALSE)</f>
        <v>10023</v>
      </c>
      <c r="D631" s="22">
        <v>10023</v>
      </c>
      <c r="E631" s="22">
        <f>VLOOKUP(A631,[3]Sheet2!$A:$F,6,FALSE)</f>
        <v>0</v>
      </c>
      <c r="G631" s="22" t="s">
        <v>1558</v>
      </c>
      <c r="H631" s="22" t="s">
        <v>1559</v>
      </c>
      <c r="I631" s="22" t="s">
        <v>25</v>
      </c>
      <c r="J631" s="29" t="s">
        <v>168</v>
      </c>
      <c r="K631" s="22" t="s">
        <v>169</v>
      </c>
      <c r="L631" s="29" t="s">
        <v>28</v>
      </c>
      <c r="P631" s="30">
        <v>45755</v>
      </c>
      <c r="Q631" s="30">
        <v>45755</v>
      </c>
      <c r="R631" s="22" t="s">
        <v>29</v>
      </c>
      <c r="S631" s="29" t="s">
        <v>30</v>
      </c>
      <c r="T631" s="22" t="s">
        <v>31</v>
      </c>
      <c r="U631" s="22" t="s">
        <v>32</v>
      </c>
      <c r="V631" s="22" t="s">
        <v>33</v>
      </c>
      <c r="W631" s="32" t="s">
        <v>34</v>
      </c>
    </row>
    <row r="632" spans="1:23">
      <c r="A632" s="22" t="s">
        <v>1560</v>
      </c>
      <c r="B632" s="25">
        <f>VLOOKUP(A632,[1]ProjectsResults!$D:$E,2,FALSE)</f>
        <v>10718</v>
      </c>
      <c r="C632" s="22">
        <f>VLOOKUP(A632,[2]Sheet2!$D:$E,2,FALSE)</f>
        <v>10024</v>
      </c>
      <c r="D632" s="22">
        <v>10024</v>
      </c>
      <c r="E632" s="22">
        <f>VLOOKUP(A632,[3]Sheet2!$A:$F,6,FALSE)</f>
        <v>0</v>
      </c>
      <c r="G632" s="22" t="s">
        <v>1561</v>
      </c>
      <c r="H632" s="22" t="s">
        <v>178</v>
      </c>
      <c r="I632" s="22" t="s">
        <v>25</v>
      </c>
      <c r="J632" s="22" t="s">
        <v>42</v>
      </c>
      <c r="K632" s="22" t="s">
        <v>254</v>
      </c>
      <c r="L632" s="29" t="s">
        <v>28</v>
      </c>
      <c r="P632" s="30">
        <v>45749</v>
      </c>
      <c r="Q632" s="30">
        <v>45749</v>
      </c>
      <c r="R632" s="22" t="s">
        <v>29</v>
      </c>
      <c r="S632" s="29" t="s">
        <v>30</v>
      </c>
      <c r="T632" s="22" t="s">
        <v>31</v>
      </c>
      <c r="U632" s="22" t="s">
        <v>32</v>
      </c>
      <c r="V632" s="22" t="s">
        <v>33</v>
      </c>
      <c r="W632" s="32" t="s">
        <v>34</v>
      </c>
    </row>
    <row r="633" spans="1:23">
      <c r="A633" s="22" t="s">
        <v>1562</v>
      </c>
      <c r="B633" s="25">
        <f>VLOOKUP(A633,[1]ProjectsResults!$D:$E,2,FALSE)</f>
        <v>10719</v>
      </c>
      <c r="C633" s="22">
        <f>VLOOKUP(A633,[2]Sheet2!$D:$E,2,FALSE)</f>
        <v>10025</v>
      </c>
      <c r="D633" s="22">
        <v>10025</v>
      </c>
      <c r="E633" s="22">
        <f>VLOOKUP(A633,[3]Sheet2!$A:$F,6,FALSE)</f>
        <v>0</v>
      </c>
      <c r="G633" s="22" t="s">
        <v>1563</v>
      </c>
      <c r="H633" s="22" t="s">
        <v>453</v>
      </c>
      <c r="I633" s="22" t="s">
        <v>25</v>
      </c>
      <c r="J633" s="22" t="s">
        <v>42</v>
      </c>
      <c r="K633" s="22" t="s">
        <v>454</v>
      </c>
      <c r="L633" s="29" t="s">
        <v>28</v>
      </c>
      <c r="P633" s="30">
        <v>45749</v>
      </c>
      <c r="Q633" s="30">
        <v>45749</v>
      </c>
      <c r="R633" s="22" t="s">
        <v>29</v>
      </c>
      <c r="S633" s="29" t="s">
        <v>30</v>
      </c>
      <c r="T633" s="22" t="s">
        <v>31</v>
      </c>
      <c r="U633" s="22" t="s">
        <v>32</v>
      </c>
      <c r="V633" s="22" t="s">
        <v>33</v>
      </c>
      <c r="W633" s="32" t="s">
        <v>34</v>
      </c>
    </row>
    <row r="634" spans="1:23">
      <c r="A634" s="22" t="s">
        <v>1564</v>
      </c>
      <c r="B634" s="25">
        <f>VLOOKUP(A634,[1]ProjectsResults!$D:$E,2,FALSE)</f>
        <v>10720</v>
      </c>
      <c r="C634" s="22">
        <f>VLOOKUP(A634,[2]Sheet2!$D:$E,2,FALSE)</f>
        <v>10214</v>
      </c>
      <c r="D634" s="22">
        <v>10214</v>
      </c>
      <c r="E634" s="22">
        <f>VLOOKUP(A634,[3]Sheet2!$A:$F,6,FALSE)</f>
        <v>0</v>
      </c>
      <c r="G634" s="22" t="s">
        <v>1565</v>
      </c>
      <c r="H634" s="22" t="s">
        <v>1566</v>
      </c>
      <c r="I634" s="22" t="s">
        <v>25</v>
      </c>
      <c r="J634" s="22" t="s">
        <v>1256</v>
      </c>
      <c r="K634" s="22" t="s">
        <v>1257</v>
      </c>
      <c r="L634" s="29" t="s">
        <v>28</v>
      </c>
      <c r="P634" s="30">
        <v>45762</v>
      </c>
      <c r="Q634" s="30">
        <v>45762</v>
      </c>
      <c r="R634" s="22" t="s">
        <v>29</v>
      </c>
      <c r="S634" s="29" t="s">
        <v>30</v>
      </c>
      <c r="T634" s="22" t="s">
        <v>31</v>
      </c>
      <c r="U634" s="22" t="s">
        <v>32</v>
      </c>
      <c r="V634" s="22" t="s">
        <v>33</v>
      </c>
      <c r="W634" s="32" t="s">
        <v>34</v>
      </c>
    </row>
    <row r="635" spans="1:23">
      <c r="A635" s="22" t="s">
        <v>1567</v>
      </c>
      <c r="B635" s="25">
        <f>VLOOKUP(A635,[1]ProjectsResults!$D:$E,2,FALSE)</f>
        <v>10721</v>
      </c>
      <c r="C635" s="22">
        <f>VLOOKUP(A635,[2]Sheet2!$D:$E,2,FALSE)</f>
        <v>10026</v>
      </c>
      <c r="D635" s="22">
        <v>10026</v>
      </c>
      <c r="E635" s="22">
        <f>VLOOKUP(A635,[3]Sheet2!$A:$F,6,FALSE)</f>
        <v>0</v>
      </c>
      <c r="G635" s="22" t="s">
        <v>786</v>
      </c>
      <c r="H635" s="22" t="s">
        <v>393</v>
      </c>
      <c r="I635" s="22" t="s">
        <v>25</v>
      </c>
      <c r="J635" s="22" t="s">
        <v>38</v>
      </c>
      <c r="K635" s="22" t="s">
        <v>38</v>
      </c>
      <c r="L635" s="29" t="s">
        <v>28</v>
      </c>
      <c r="P635" s="30">
        <v>45757</v>
      </c>
      <c r="Q635" s="30">
        <v>45757</v>
      </c>
      <c r="R635" s="22" t="s">
        <v>29</v>
      </c>
      <c r="S635" s="29" t="s">
        <v>30</v>
      </c>
      <c r="T635" s="22" t="s">
        <v>31</v>
      </c>
      <c r="U635" s="22" t="s">
        <v>32</v>
      </c>
      <c r="V635" s="22" t="s">
        <v>33</v>
      </c>
      <c r="W635" s="32" t="s">
        <v>34</v>
      </c>
    </row>
    <row r="636" spans="1:23">
      <c r="A636" s="22" t="s">
        <v>1568</v>
      </c>
      <c r="B636" s="25">
        <f>VLOOKUP(A636,[1]ProjectsResults!$D:$E,2,FALSE)</f>
        <v>10722</v>
      </c>
      <c r="C636" s="22">
        <f>VLOOKUP(A636,[2]Sheet2!$D:$E,2,FALSE)</f>
        <v>10027</v>
      </c>
      <c r="D636" s="22">
        <v>10027</v>
      </c>
      <c r="E636" s="22">
        <f>VLOOKUP(A636,[3]Sheet2!$A:$F,6,FALSE)</f>
        <v>0</v>
      </c>
      <c r="G636" s="22" t="s">
        <v>1569</v>
      </c>
      <c r="H636" s="22" t="s">
        <v>249</v>
      </c>
      <c r="I636" s="22" t="s">
        <v>25</v>
      </c>
      <c r="J636" s="22" t="s">
        <v>250</v>
      </c>
      <c r="K636" s="22" t="s">
        <v>525</v>
      </c>
      <c r="L636" s="29" t="s">
        <v>28</v>
      </c>
      <c r="P636" s="30">
        <v>45751</v>
      </c>
      <c r="Q636" s="30">
        <v>45751</v>
      </c>
      <c r="R636" s="22" t="s">
        <v>29</v>
      </c>
      <c r="S636" s="29" t="s">
        <v>30</v>
      </c>
      <c r="T636" s="22" t="s">
        <v>31</v>
      </c>
      <c r="U636" s="22" t="s">
        <v>32</v>
      </c>
      <c r="V636" s="22" t="s">
        <v>33</v>
      </c>
      <c r="W636" s="32" t="s">
        <v>34</v>
      </c>
    </row>
    <row r="637" spans="1:23">
      <c r="A637" s="22" t="s">
        <v>1570</v>
      </c>
      <c r="B637" s="25">
        <f>VLOOKUP(A637,[1]ProjectsResults!$D:$E,2,FALSE)</f>
        <v>10723</v>
      </c>
      <c r="C637" s="22">
        <f>VLOOKUP(A637,[2]Sheet2!$D:$E,2,FALSE)</f>
        <v>10028</v>
      </c>
      <c r="D637" s="22">
        <v>10028</v>
      </c>
      <c r="E637" s="22">
        <f>VLOOKUP(A637,[3]Sheet2!$A:$F,6,FALSE)</f>
        <v>0</v>
      </c>
      <c r="G637" s="22" t="s">
        <v>1571</v>
      </c>
      <c r="H637" s="22" t="s">
        <v>993</v>
      </c>
      <c r="I637" s="22" t="s">
        <v>25</v>
      </c>
      <c r="J637" s="22" t="s">
        <v>38</v>
      </c>
      <c r="K637" s="22" t="s">
        <v>38</v>
      </c>
      <c r="L637" s="29" t="s">
        <v>28</v>
      </c>
      <c r="P637" s="30">
        <v>45749</v>
      </c>
      <c r="Q637" s="30">
        <v>45749</v>
      </c>
      <c r="R637" s="22" t="s">
        <v>29</v>
      </c>
      <c r="S637" s="29" t="s">
        <v>30</v>
      </c>
      <c r="T637" s="22" t="s">
        <v>31</v>
      </c>
      <c r="U637" s="22" t="s">
        <v>32</v>
      </c>
      <c r="V637" s="22" t="s">
        <v>33</v>
      </c>
      <c r="W637" s="32" t="s">
        <v>34</v>
      </c>
    </row>
    <row r="638" spans="1:23">
      <c r="A638" s="22" t="s">
        <v>1572</v>
      </c>
      <c r="B638" s="25">
        <f>VLOOKUP(A638,[1]ProjectsResults!$D:$E,2,FALSE)</f>
        <v>11233</v>
      </c>
      <c r="C638" s="22">
        <f>VLOOKUP(A638,[2]Sheet2!$D:$E,2,FALSE)</f>
        <v>10212</v>
      </c>
      <c r="D638" s="22">
        <v>10212</v>
      </c>
      <c r="E638" s="22">
        <f>VLOOKUP(A638,[3]Sheet2!$A:$F,6,FALSE)</f>
        <v>0</v>
      </c>
      <c r="G638" s="22" t="s">
        <v>1573</v>
      </c>
      <c r="H638" s="22" t="s">
        <v>1574</v>
      </c>
      <c r="I638" s="22" t="s">
        <v>25</v>
      </c>
      <c r="J638" s="29" t="s">
        <v>47</v>
      </c>
      <c r="K638" s="22" t="s">
        <v>227</v>
      </c>
      <c r="L638" s="29" t="s">
        <v>28</v>
      </c>
      <c r="P638" s="30">
        <v>45757</v>
      </c>
      <c r="Q638" s="30">
        <v>45757</v>
      </c>
      <c r="R638" s="22" t="s">
        <v>29</v>
      </c>
      <c r="S638" s="29" t="s">
        <v>30</v>
      </c>
      <c r="T638" s="22" t="s">
        <v>49</v>
      </c>
      <c r="U638" s="22" t="s">
        <v>32</v>
      </c>
      <c r="V638" s="22" t="s">
        <v>50</v>
      </c>
      <c r="W638" s="32" t="s">
        <v>34</v>
      </c>
    </row>
    <row r="639" spans="1:23">
      <c r="A639" s="22" t="s">
        <v>1575</v>
      </c>
      <c r="B639" s="25">
        <f>VLOOKUP(A639,[1]ProjectsResults!$D:$E,2,FALSE)</f>
        <v>10724</v>
      </c>
      <c r="C639" s="22">
        <f>VLOOKUP(A639,[2]Sheet2!$D:$E,2,FALSE)</f>
        <v>10029</v>
      </c>
      <c r="D639" s="22">
        <v>10029</v>
      </c>
      <c r="E639" s="22">
        <f>VLOOKUP(A639,[3]Sheet2!$A:$F,6,FALSE)</f>
        <v>0</v>
      </c>
      <c r="G639" s="22" t="s">
        <v>1576</v>
      </c>
      <c r="H639" s="22" t="s">
        <v>58</v>
      </c>
      <c r="I639" s="22" t="s">
        <v>25</v>
      </c>
      <c r="J639" s="29" t="s">
        <v>47</v>
      </c>
      <c r="K639" s="22" t="s">
        <v>48</v>
      </c>
      <c r="L639" s="29" t="s">
        <v>28</v>
      </c>
      <c r="P639" s="30">
        <v>45749</v>
      </c>
      <c r="Q639" s="30">
        <v>45749</v>
      </c>
      <c r="R639" s="22" t="s">
        <v>29</v>
      </c>
      <c r="S639" s="29" t="s">
        <v>30</v>
      </c>
      <c r="T639" s="22" t="s">
        <v>49</v>
      </c>
      <c r="U639" s="22" t="s">
        <v>32</v>
      </c>
      <c r="V639" s="22" t="s">
        <v>50</v>
      </c>
      <c r="W639" s="32" t="s">
        <v>34</v>
      </c>
    </row>
    <row r="640" spans="1:23">
      <c r="A640" s="22" t="s">
        <v>1577</v>
      </c>
      <c r="B640" s="25">
        <f>VLOOKUP(A640,[1]ProjectsResults!$D:$E,2,FALSE)</f>
        <v>10725</v>
      </c>
      <c r="C640" s="22">
        <f>VLOOKUP(A640,[2]Sheet2!$D:$E,2,FALSE)</f>
        <v>10030</v>
      </c>
      <c r="D640" s="22">
        <v>10030</v>
      </c>
      <c r="E640" s="22">
        <f>VLOOKUP(A640,[3]Sheet2!$A:$F,6,FALSE)</f>
        <v>0</v>
      </c>
      <c r="G640" s="22" t="s">
        <v>1578</v>
      </c>
      <c r="H640" s="22" t="s">
        <v>433</v>
      </c>
      <c r="I640" s="22" t="s">
        <v>25</v>
      </c>
      <c r="J640" s="29" t="s">
        <v>73</v>
      </c>
      <c r="K640" s="22" t="s">
        <v>430</v>
      </c>
      <c r="L640" s="29" t="s">
        <v>28</v>
      </c>
      <c r="P640" s="30">
        <v>45819</v>
      </c>
      <c r="Q640" s="30">
        <v>45819</v>
      </c>
      <c r="R640" s="22" t="s">
        <v>29</v>
      </c>
      <c r="S640" s="29" t="s">
        <v>30</v>
      </c>
      <c r="T640" s="22" t="s">
        <v>74</v>
      </c>
      <c r="U640" s="22" t="s">
        <v>32</v>
      </c>
      <c r="V640" s="22" t="s">
        <v>75</v>
      </c>
      <c r="W640" s="32" t="s">
        <v>34</v>
      </c>
    </row>
    <row r="641" spans="1:23">
      <c r="A641" s="22" t="s">
        <v>1579</v>
      </c>
      <c r="B641" s="25">
        <f>VLOOKUP(A641,[1]ProjectsResults!$D:$E,2,FALSE)</f>
        <v>10726</v>
      </c>
      <c r="C641" s="22">
        <f>VLOOKUP(A641,[2]Sheet2!$D:$E,2,FALSE)</f>
        <v>10031</v>
      </c>
      <c r="D641" s="22">
        <v>10031</v>
      </c>
      <c r="E641" s="22">
        <f>VLOOKUP(A641,[3]Sheet2!$A:$F,6,FALSE)</f>
        <v>0</v>
      </c>
      <c r="G641" s="22" t="s">
        <v>1580</v>
      </c>
      <c r="H641" s="22" t="s">
        <v>433</v>
      </c>
      <c r="I641" s="22" t="s">
        <v>25</v>
      </c>
      <c r="J641" s="29" t="s">
        <v>73</v>
      </c>
      <c r="K641" s="22" t="s">
        <v>430</v>
      </c>
      <c r="L641" s="29" t="s">
        <v>28</v>
      </c>
      <c r="P641" s="30">
        <v>45833</v>
      </c>
      <c r="Q641" s="30">
        <v>45833</v>
      </c>
      <c r="R641" s="22" t="s">
        <v>29</v>
      </c>
      <c r="S641" s="29" t="s">
        <v>30</v>
      </c>
      <c r="T641" s="22" t="s">
        <v>74</v>
      </c>
      <c r="U641" s="22" t="s">
        <v>32</v>
      </c>
      <c r="V641" s="22" t="s">
        <v>75</v>
      </c>
      <c r="W641" s="32" t="s">
        <v>34</v>
      </c>
    </row>
    <row r="642" spans="1:23">
      <c r="A642" s="22" t="s">
        <v>1581</v>
      </c>
      <c r="B642" s="25">
        <f>VLOOKUP(A642,[1]ProjectsResults!$D:$E,2,FALSE)</f>
        <v>10727</v>
      </c>
      <c r="C642" s="22">
        <f>VLOOKUP(A642,[2]Sheet2!$D:$E,2,FALSE)</f>
        <v>10032</v>
      </c>
      <c r="D642" s="22">
        <v>10032</v>
      </c>
      <c r="E642" s="22">
        <f>VLOOKUP(A642,[3]Sheet2!$A:$F,6,FALSE)</f>
        <v>0</v>
      </c>
      <c r="G642" s="22" t="s">
        <v>1582</v>
      </c>
      <c r="H642" s="22" t="s">
        <v>82</v>
      </c>
      <c r="I642" s="22" t="s">
        <v>25</v>
      </c>
      <c r="J642" s="22" t="s">
        <v>72</v>
      </c>
      <c r="K642" s="22" t="s">
        <v>83</v>
      </c>
      <c r="L642" s="29" t="s">
        <v>28</v>
      </c>
      <c r="P642" s="30">
        <v>45751</v>
      </c>
      <c r="Q642" s="30">
        <v>45751</v>
      </c>
      <c r="R642" s="22" t="s">
        <v>29</v>
      </c>
      <c r="S642" s="29" t="s">
        <v>30</v>
      </c>
      <c r="T642" s="22" t="s">
        <v>74</v>
      </c>
      <c r="U642" s="22" t="s">
        <v>32</v>
      </c>
      <c r="V642" s="22" t="s">
        <v>75</v>
      </c>
      <c r="W642" s="32" t="s">
        <v>34</v>
      </c>
    </row>
    <row r="643" spans="1:23">
      <c r="A643" s="22" t="s">
        <v>1583</v>
      </c>
      <c r="B643" s="25">
        <f>VLOOKUP(A643,[1]ProjectsResults!$D:$E,2,FALSE)</f>
        <v>10728</v>
      </c>
      <c r="C643" s="22">
        <f>VLOOKUP(A643,[2]Sheet2!$D:$E,2,FALSE)</f>
        <v>10033</v>
      </c>
      <c r="D643" s="22">
        <v>10033</v>
      </c>
      <c r="E643" s="22">
        <f>VLOOKUP(A643,[3]Sheet2!$A:$F,6,FALSE)</f>
        <v>0</v>
      </c>
      <c r="G643" s="22" t="s">
        <v>1584</v>
      </c>
      <c r="H643" s="22" t="s">
        <v>114</v>
      </c>
      <c r="I643" s="22" t="s">
        <v>25</v>
      </c>
      <c r="J643" s="29" t="s">
        <v>115</v>
      </c>
      <c r="K643" s="29" t="s">
        <v>160</v>
      </c>
      <c r="L643" s="29" t="s">
        <v>28</v>
      </c>
      <c r="P643" s="30">
        <v>45754</v>
      </c>
      <c r="Q643" s="30">
        <v>45756</v>
      </c>
      <c r="R643" s="22" t="s">
        <v>29</v>
      </c>
      <c r="S643" s="29" t="s">
        <v>30</v>
      </c>
      <c r="T643" s="22" t="s">
        <v>49</v>
      </c>
      <c r="U643" s="22" t="s">
        <v>32</v>
      </c>
      <c r="V643" s="22" t="s">
        <v>117</v>
      </c>
      <c r="W643" s="32" t="s">
        <v>34</v>
      </c>
    </row>
    <row r="644" spans="1:23">
      <c r="A644" s="22" t="s">
        <v>1585</v>
      </c>
      <c r="B644" s="25">
        <f>VLOOKUP(A644,[1]ProjectsResults!$D:$E,2,FALSE)</f>
        <v>10729</v>
      </c>
      <c r="C644" s="22">
        <f>VLOOKUP(A644,[2]Sheet2!$D:$E,2,FALSE)</f>
        <v>10034</v>
      </c>
      <c r="D644" s="22">
        <v>10034</v>
      </c>
      <c r="E644" s="22">
        <f>VLOOKUP(A644,[3]Sheet2!$A:$F,6,FALSE)</f>
        <v>0</v>
      </c>
      <c r="G644" s="22" t="s">
        <v>1586</v>
      </c>
      <c r="H644" s="22" t="s">
        <v>86</v>
      </c>
      <c r="I644" s="22" t="s">
        <v>25</v>
      </c>
      <c r="J644" s="22" t="s">
        <v>42</v>
      </c>
      <c r="K644" s="22" t="s">
        <v>149</v>
      </c>
      <c r="L644" s="29" t="s">
        <v>28</v>
      </c>
      <c r="P644" s="30">
        <v>45765</v>
      </c>
      <c r="Q644" s="30">
        <v>45765</v>
      </c>
      <c r="R644" s="22" t="s">
        <v>29</v>
      </c>
      <c r="S644" s="29" t="s">
        <v>30</v>
      </c>
      <c r="T644" s="22" t="s">
        <v>31</v>
      </c>
      <c r="U644" s="22" t="s">
        <v>32</v>
      </c>
      <c r="V644" s="22" t="s">
        <v>33</v>
      </c>
      <c r="W644" s="32" t="s">
        <v>34</v>
      </c>
    </row>
    <row r="645" spans="1:23">
      <c r="A645" s="22" t="s">
        <v>1587</v>
      </c>
      <c r="B645" s="25">
        <f>VLOOKUP(A645,[1]ProjectsResults!$D:$E,2,FALSE)</f>
        <v>10730</v>
      </c>
      <c r="C645" s="22">
        <f>VLOOKUP(A645,[2]Sheet2!$D:$E,2,FALSE)</f>
        <v>10035</v>
      </c>
      <c r="D645" s="22">
        <v>10035</v>
      </c>
      <c r="E645" s="22">
        <f>VLOOKUP(A645,[3]Sheet2!$A:$F,6,FALSE)</f>
        <v>0</v>
      </c>
      <c r="G645" s="22" t="s">
        <v>1588</v>
      </c>
      <c r="H645" s="22" t="s">
        <v>105</v>
      </c>
      <c r="I645" s="22" t="s">
        <v>25</v>
      </c>
      <c r="J645" s="22" t="s">
        <v>42</v>
      </c>
      <c r="K645" s="22" t="s">
        <v>43</v>
      </c>
      <c r="L645" s="29" t="s">
        <v>28</v>
      </c>
      <c r="P645" s="30">
        <v>45780</v>
      </c>
      <c r="Q645" s="30">
        <v>45780</v>
      </c>
      <c r="R645" s="22" t="s">
        <v>29</v>
      </c>
      <c r="S645" s="29" t="s">
        <v>30</v>
      </c>
      <c r="T645" s="22" t="s">
        <v>31</v>
      </c>
      <c r="U645" s="22" t="s">
        <v>32</v>
      </c>
      <c r="V645" s="22" t="s">
        <v>33</v>
      </c>
      <c r="W645" s="32" t="s">
        <v>34</v>
      </c>
    </row>
    <row r="646" spans="1:23">
      <c r="A646" s="22" t="s">
        <v>1589</v>
      </c>
      <c r="B646" s="25">
        <f>VLOOKUP(A646,[1]ProjectsResults!$D:$E,2,FALSE)</f>
        <v>10731</v>
      </c>
      <c r="C646" s="22">
        <f>VLOOKUP(A646,[2]Sheet2!$D:$E,2,FALSE)</f>
        <v>10036</v>
      </c>
      <c r="D646" s="22">
        <v>10036</v>
      </c>
      <c r="E646" s="22">
        <f>VLOOKUP(A646,[3]Sheet2!$A:$F,6,FALSE)</f>
        <v>0</v>
      </c>
      <c r="G646" s="22" t="s">
        <v>1590</v>
      </c>
      <c r="H646" s="22" t="s">
        <v>37</v>
      </c>
      <c r="I646" s="22" t="s">
        <v>25</v>
      </c>
      <c r="J646" s="22" t="s">
        <v>38</v>
      </c>
      <c r="K646" s="22" t="s">
        <v>38</v>
      </c>
      <c r="L646" s="29" t="s">
        <v>28</v>
      </c>
      <c r="P646" s="30">
        <v>45823</v>
      </c>
      <c r="Q646" s="30">
        <v>45823</v>
      </c>
      <c r="R646" s="22" t="s">
        <v>29</v>
      </c>
      <c r="S646" s="29" t="s">
        <v>30</v>
      </c>
      <c r="T646" s="22" t="s">
        <v>31</v>
      </c>
      <c r="U646" s="22" t="s">
        <v>32</v>
      </c>
      <c r="V646" s="22" t="s">
        <v>33</v>
      </c>
      <c r="W646" s="32" t="s">
        <v>34</v>
      </c>
    </row>
    <row r="647" spans="1:23">
      <c r="A647" s="22" t="s">
        <v>1591</v>
      </c>
      <c r="B647" s="25">
        <f>VLOOKUP(A647,[1]ProjectsResults!$D:$E,2,FALSE)</f>
        <v>10732</v>
      </c>
      <c r="C647" s="22">
        <f>VLOOKUP(A647,[2]Sheet2!$D:$E,2,FALSE)</f>
        <v>10037</v>
      </c>
      <c r="D647" s="22">
        <v>10037</v>
      </c>
      <c r="E647" s="22">
        <f>VLOOKUP(A647,[3]Sheet2!$A:$F,6,FALSE)</f>
        <v>0</v>
      </c>
      <c r="G647" s="22" t="s">
        <v>1592</v>
      </c>
      <c r="H647" s="22" t="s">
        <v>159</v>
      </c>
      <c r="I647" s="22" t="s">
        <v>25</v>
      </c>
      <c r="J647" s="29" t="s">
        <v>115</v>
      </c>
      <c r="K647" s="29" t="s">
        <v>160</v>
      </c>
      <c r="L647" s="29" t="s">
        <v>28</v>
      </c>
      <c r="P647" s="30">
        <v>45772</v>
      </c>
      <c r="Q647" s="30">
        <v>45772</v>
      </c>
      <c r="R647" s="22" t="s">
        <v>29</v>
      </c>
      <c r="S647" s="29" t="s">
        <v>30</v>
      </c>
      <c r="T647" s="22" t="s">
        <v>49</v>
      </c>
      <c r="U647" s="22" t="s">
        <v>32</v>
      </c>
      <c r="V647" s="22" t="s">
        <v>117</v>
      </c>
      <c r="W647" s="32" t="s">
        <v>34</v>
      </c>
    </row>
    <row r="648" spans="1:23">
      <c r="A648" s="22" t="s">
        <v>1593</v>
      </c>
      <c r="B648" s="25">
        <f>VLOOKUP(A648,[1]ProjectsResults!$D:$E,2,FALSE)</f>
        <v>10733</v>
      </c>
      <c r="C648" s="22">
        <f>VLOOKUP(A648,[2]Sheet2!$D:$E,2,FALSE)</f>
        <v>10038</v>
      </c>
      <c r="D648" s="22">
        <v>10038</v>
      </c>
      <c r="E648" s="22">
        <f>VLOOKUP(A648,[3]Sheet2!$A:$F,6,FALSE)</f>
        <v>0</v>
      </c>
      <c r="G648" s="22" t="s">
        <v>1594</v>
      </c>
      <c r="H648" s="22" t="s">
        <v>420</v>
      </c>
      <c r="I648" s="22" t="s">
        <v>25</v>
      </c>
      <c r="J648" s="29" t="s">
        <v>47</v>
      </c>
      <c r="K648" s="22" t="s">
        <v>227</v>
      </c>
      <c r="L648" s="29" t="s">
        <v>28</v>
      </c>
      <c r="P648" s="30">
        <v>45754</v>
      </c>
      <c r="Q648" s="30">
        <v>45754</v>
      </c>
      <c r="R648" s="22" t="s">
        <v>29</v>
      </c>
      <c r="S648" s="29" t="s">
        <v>30</v>
      </c>
      <c r="T648" s="22" t="s">
        <v>49</v>
      </c>
      <c r="U648" s="22" t="s">
        <v>32</v>
      </c>
      <c r="V648" s="22" t="s">
        <v>50</v>
      </c>
      <c r="W648" s="32" t="s">
        <v>34</v>
      </c>
    </row>
    <row r="649" spans="1:23">
      <c r="A649" s="22" t="s">
        <v>1595</v>
      </c>
      <c r="B649" s="25">
        <f>VLOOKUP(A649,[1]ProjectsResults!$D:$E,2,FALSE)</f>
        <v>10734</v>
      </c>
      <c r="C649" s="22">
        <f>VLOOKUP(A649,[2]Sheet2!$D:$E,2,FALSE)</f>
        <v>10039</v>
      </c>
      <c r="D649" s="22">
        <v>10039</v>
      </c>
      <c r="E649" s="22">
        <f>VLOOKUP(A649,[3]Sheet2!$A:$F,6,FALSE)</f>
        <v>0</v>
      </c>
      <c r="G649" s="22" t="s">
        <v>1596</v>
      </c>
      <c r="H649" s="22" t="s">
        <v>313</v>
      </c>
      <c r="I649" s="22" t="s">
        <v>25</v>
      </c>
      <c r="J649" s="22" t="s">
        <v>168</v>
      </c>
      <c r="K649" s="22" t="s">
        <v>314</v>
      </c>
      <c r="L649" s="29" t="s">
        <v>28</v>
      </c>
      <c r="P649" s="30">
        <v>45762</v>
      </c>
      <c r="Q649" s="30">
        <v>45762</v>
      </c>
      <c r="R649" s="22" t="s">
        <v>29</v>
      </c>
      <c r="S649" s="29" t="s">
        <v>30</v>
      </c>
      <c r="T649" s="22" t="s">
        <v>31</v>
      </c>
      <c r="U649" s="22" t="s">
        <v>32</v>
      </c>
      <c r="V649" s="22" t="s">
        <v>33</v>
      </c>
      <c r="W649" s="32" t="s">
        <v>34</v>
      </c>
    </row>
    <row r="650" spans="1:23">
      <c r="A650" s="22" t="s">
        <v>1597</v>
      </c>
      <c r="B650" s="25">
        <f>VLOOKUP(A650,[1]ProjectsResults!$D:$E,2,FALSE)</f>
        <v>11234</v>
      </c>
      <c r="C650" s="22">
        <f>VLOOKUP(A650,[2]Sheet2!$D:$E,2,FALSE)</f>
        <v>10213</v>
      </c>
      <c r="D650" s="22">
        <v>10213</v>
      </c>
      <c r="E650" s="22">
        <f>VLOOKUP(A650,[3]Sheet2!$A:$F,6,FALSE)</f>
        <v>0</v>
      </c>
      <c r="G650" s="22" t="s">
        <v>1598</v>
      </c>
      <c r="H650" s="22" t="s">
        <v>1599</v>
      </c>
      <c r="I650" s="22" t="s">
        <v>25</v>
      </c>
      <c r="J650" s="29" t="s">
        <v>47</v>
      </c>
      <c r="K650" s="22" t="s">
        <v>557</v>
      </c>
      <c r="L650" s="29" t="s">
        <v>28</v>
      </c>
      <c r="P650" s="30">
        <v>45754</v>
      </c>
      <c r="Q650" s="30">
        <v>45754</v>
      </c>
      <c r="R650" s="22" t="s">
        <v>29</v>
      </c>
      <c r="S650" s="29" t="s">
        <v>30</v>
      </c>
      <c r="T650" s="22" t="s">
        <v>49</v>
      </c>
      <c r="U650" s="22" t="s">
        <v>32</v>
      </c>
      <c r="V650" s="22" t="s">
        <v>50</v>
      </c>
      <c r="W650" s="32" t="s">
        <v>34</v>
      </c>
    </row>
    <row r="651" spans="1:23">
      <c r="A651" s="22" t="s">
        <v>1600</v>
      </c>
      <c r="B651" s="25">
        <f>VLOOKUP(A651,[1]ProjectsResults!$D:$E,2,FALSE)</f>
        <v>10735</v>
      </c>
      <c r="C651" s="22">
        <f>VLOOKUP(A651,[2]Sheet2!$D:$E,2,FALSE)</f>
        <v>10040</v>
      </c>
      <c r="D651" s="22">
        <v>10040</v>
      </c>
      <c r="E651" s="22">
        <f>VLOOKUP(A651,[3]Sheet2!$A:$F,6,FALSE)</f>
        <v>0</v>
      </c>
      <c r="G651" s="22" t="s">
        <v>1601</v>
      </c>
      <c r="H651" s="22" t="s">
        <v>249</v>
      </c>
      <c r="I651" s="22" t="s">
        <v>25</v>
      </c>
      <c r="J651" s="22" t="s">
        <v>250</v>
      </c>
      <c r="K651" s="29" t="s">
        <v>310</v>
      </c>
      <c r="L651" s="29" t="s">
        <v>28</v>
      </c>
      <c r="P651" s="30">
        <v>45754</v>
      </c>
      <c r="Q651" s="30">
        <v>45754</v>
      </c>
      <c r="R651" s="22" t="s">
        <v>29</v>
      </c>
      <c r="S651" s="29" t="s">
        <v>30</v>
      </c>
      <c r="T651" s="22" t="s">
        <v>31</v>
      </c>
      <c r="U651" s="22" t="s">
        <v>32</v>
      </c>
      <c r="V651" s="22" t="s">
        <v>33</v>
      </c>
      <c r="W651" s="32" t="s">
        <v>34</v>
      </c>
    </row>
    <row r="652" spans="1:23">
      <c r="A652" s="22" t="s">
        <v>1602</v>
      </c>
      <c r="B652" s="25">
        <f>VLOOKUP(A652,[1]ProjectsResults!$D:$E,2,FALSE)</f>
        <v>10736</v>
      </c>
      <c r="C652" s="22">
        <f>VLOOKUP(A652,[2]Sheet2!$D:$E,2,FALSE)</f>
        <v>10041</v>
      </c>
      <c r="D652" s="22">
        <v>10041</v>
      </c>
      <c r="E652" s="22">
        <f>VLOOKUP(A652,[3]Sheet2!$A:$F,6,FALSE)</f>
        <v>0</v>
      </c>
      <c r="G652" s="22" t="s">
        <v>1603</v>
      </c>
      <c r="H652" s="22" t="s">
        <v>86</v>
      </c>
      <c r="I652" s="22" t="s">
        <v>25</v>
      </c>
      <c r="J652" s="22" t="s">
        <v>42</v>
      </c>
      <c r="K652" s="29" t="s">
        <v>238</v>
      </c>
      <c r="L652" s="29" t="s">
        <v>28</v>
      </c>
      <c r="P652" s="30">
        <v>45803</v>
      </c>
      <c r="Q652" s="30">
        <v>45803</v>
      </c>
      <c r="R652" s="22" t="s">
        <v>29</v>
      </c>
      <c r="S652" s="29" t="s">
        <v>30</v>
      </c>
      <c r="T652" s="22" t="s">
        <v>31</v>
      </c>
      <c r="U652" s="22" t="s">
        <v>32</v>
      </c>
      <c r="V652" s="22" t="s">
        <v>33</v>
      </c>
      <c r="W652" s="32" t="s">
        <v>34</v>
      </c>
    </row>
    <row r="653" spans="1:23">
      <c r="A653" s="22" t="s">
        <v>1604</v>
      </c>
      <c r="B653" s="25">
        <f>VLOOKUP(A653,[1]ProjectsResults!$D:$E,2,FALSE)</f>
        <v>10737</v>
      </c>
      <c r="C653" s="22">
        <f>VLOOKUP(A653,[2]Sheet2!$D:$E,2,FALSE)</f>
        <v>10042</v>
      </c>
      <c r="D653" s="22">
        <v>10042</v>
      </c>
      <c r="E653" s="22">
        <f>VLOOKUP(A653,[3]Sheet2!$A:$F,6,FALSE)</f>
        <v>0</v>
      </c>
      <c r="G653" s="22" t="s">
        <v>1605</v>
      </c>
      <c r="H653" s="22" t="s">
        <v>58</v>
      </c>
      <c r="I653" s="22" t="s">
        <v>25</v>
      </c>
      <c r="J653" s="29" t="s">
        <v>47</v>
      </c>
      <c r="K653" s="22" t="s">
        <v>48</v>
      </c>
      <c r="L653" s="29" t="s">
        <v>28</v>
      </c>
      <c r="P653" s="30">
        <v>45757</v>
      </c>
      <c r="Q653" s="30">
        <v>45757</v>
      </c>
      <c r="R653" s="22" t="s">
        <v>29</v>
      </c>
      <c r="S653" s="29" t="s">
        <v>30</v>
      </c>
      <c r="T653" s="22" t="s">
        <v>49</v>
      </c>
      <c r="U653" s="22" t="s">
        <v>32</v>
      </c>
      <c r="V653" s="22" t="s">
        <v>50</v>
      </c>
      <c r="W653" s="32" t="s">
        <v>34</v>
      </c>
    </row>
    <row r="654" spans="1:23">
      <c r="A654" s="22" t="s">
        <v>1606</v>
      </c>
      <c r="B654" s="25">
        <f>VLOOKUP(A654,[1]ProjectsResults!$D:$E,2,FALSE)</f>
        <v>10738</v>
      </c>
      <c r="C654" s="22">
        <f>VLOOKUP(A654,[2]Sheet2!$D:$E,2,FALSE)</f>
        <v>10043</v>
      </c>
      <c r="D654" s="22">
        <v>10043</v>
      </c>
      <c r="E654" s="22">
        <f>VLOOKUP(A654,[3]Sheet2!$A:$F,6,FALSE)</f>
        <v>0</v>
      </c>
      <c r="G654" s="22" t="s">
        <v>1607</v>
      </c>
      <c r="H654" s="22" t="s">
        <v>65</v>
      </c>
      <c r="I654" s="22" t="s">
        <v>25</v>
      </c>
      <c r="J654" s="29" t="s">
        <v>47</v>
      </c>
      <c r="K654" s="22" t="s">
        <v>66</v>
      </c>
      <c r="L654" s="29" t="s">
        <v>28</v>
      </c>
      <c r="P654" s="30">
        <v>45755</v>
      </c>
      <c r="Q654" s="30">
        <v>45755</v>
      </c>
      <c r="R654" s="22" t="s">
        <v>29</v>
      </c>
      <c r="S654" s="29" t="s">
        <v>30</v>
      </c>
      <c r="T654" s="22" t="s">
        <v>49</v>
      </c>
      <c r="U654" s="22" t="s">
        <v>32</v>
      </c>
      <c r="V654" s="22" t="s">
        <v>50</v>
      </c>
      <c r="W654" s="32" t="s">
        <v>34</v>
      </c>
    </row>
    <row r="655" spans="1:23">
      <c r="A655" s="22" t="s">
        <v>1608</v>
      </c>
      <c r="B655" s="25">
        <f>VLOOKUP(A655,[1]ProjectsResults!$D:$E,2,FALSE)</f>
        <v>10739</v>
      </c>
      <c r="C655" s="22">
        <f>VLOOKUP(A655,[2]Sheet2!$D:$E,2,FALSE)</f>
        <v>10044</v>
      </c>
      <c r="D655" s="22">
        <v>10044</v>
      </c>
      <c r="E655" s="22">
        <f>VLOOKUP(A655,[3]Sheet2!$A:$F,6,FALSE)</f>
        <v>0</v>
      </c>
      <c r="G655" s="22" t="s">
        <v>1609</v>
      </c>
      <c r="H655" s="22" t="s">
        <v>393</v>
      </c>
      <c r="I655" s="22" t="s">
        <v>25</v>
      </c>
      <c r="J655" s="22" t="s">
        <v>38</v>
      </c>
      <c r="K655" s="22" t="s">
        <v>38</v>
      </c>
      <c r="L655" s="29" t="s">
        <v>28</v>
      </c>
      <c r="P655" s="30">
        <v>45774</v>
      </c>
      <c r="Q655" s="30">
        <v>45774</v>
      </c>
      <c r="R655" s="22" t="s">
        <v>29</v>
      </c>
      <c r="S655" s="29" t="s">
        <v>30</v>
      </c>
      <c r="T655" s="22" t="s">
        <v>31</v>
      </c>
      <c r="U655" s="22" t="s">
        <v>32</v>
      </c>
      <c r="V655" s="22" t="s">
        <v>33</v>
      </c>
      <c r="W655" s="32" t="s">
        <v>34</v>
      </c>
    </row>
    <row r="656" spans="1:23">
      <c r="A656" s="22" t="s">
        <v>1610</v>
      </c>
      <c r="B656" s="25">
        <f>VLOOKUP(A656,[1]ProjectsResults!$D:$E,2,FALSE)</f>
        <v>10740</v>
      </c>
      <c r="C656" s="22">
        <f>VLOOKUP(A656,[2]Sheet2!$D:$E,2,FALSE)</f>
        <v>10045</v>
      </c>
      <c r="D656" s="22">
        <v>10045</v>
      </c>
      <c r="E656" s="22">
        <f>VLOOKUP(A656,[3]Sheet2!$A:$F,6,FALSE)</f>
        <v>0</v>
      </c>
      <c r="G656" s="22" t="s">
        <v>1611</v>
      </c>
      <c r="H656" s="22" t="s">
        <v>993</v>
      </c>
      <c r="I656" s="22" t="s">
        <v>25</v>
      </c>
      <c r="J656" s="22" t="s">
        <v>38</v>
      </c>
      <c r="K656" s="22" t="s">
        <v>38</v>
      </c>
      <c r="L656" s="29" t="s">
        <v>28</v>
      </c>
      <c r="P656" s="30">
        <v>45772</v>
      </c>
      <c r="Q656" s="30">
        <v>45772</v>
      </c>
      <c r="R656" s="22" t="s">
        <v>29</v>
      </c>
      <c r="S656" s="29" t="s">
        <v>30</v>
      </c>
      <c r="T656" s="22" t="s">
        <v>31</v>
      </c>
      <c r="U656" s="22" t="s">
        <v>32</v>
      </c>
      <c r="V656" s="22" t="s">
        <v>33</v>
      </c>
      <c r="W656" s="32" t="s">
        <v>34</v>
      </c>
    </row>
    <row r="657" spans="1:23">
      <c r="A657" s="22" t="s">
        <v>1612</v>
      </c>
      <c r="B657" s="25">
        <f>VLOOKUP(A657,[1]ProjectsResults!$D:$E,2,FALSE)</f>
        <v>10741</v>
      </c>
      <c r="C657" s="22">
        <f>VLOOKUP(A657,[2]Sheet2!$D:$E,2,FALSE)</f>
        <v>10046</v>
      </c>
      <c r="D657" s="22">
        <v>10046</v>
      </c>
      <c r="E657" s="22">
        <f>VLOOKUP(A657,[3]Sheet2!$A:$F,6,FALSE)</f>
        <v>0</v>
      </c>
      <c r="G657" s="22" t="s">
        <v>1613</v>
      </c>
      <c r="H657" s="22" t="s">
        <v>86</v>
      </c>
      <c r="I657" s="22" t="s">
        <v>25</v>
      </c>
      <c r="J657" s="22" t="s">
        <v>42</v>
      </c>
      <c r="K657" s="29" t="s">
        <v>238</v>
      </c>
      <c r="L657" s="29" t="s">
        <v>28</v>
      </c>
      <c r="P657" s="30">
        <v>45756</v>
      </c>
      <c r="Q657" s="30">
        <v>45756</v>
      </c>
      <c r="R657" s="22" t="s">
        <v>29</v>
      </c>
      <c r="S657" s="29" t="s">
        <v>30</v>
      </c>
      <c r="T657" s="22" t="s">
        <v>31</v>
      </c>
      <c r="U657" s="22" t="s">
        <v>32</v>
      </c>
      <c r="V657" s="22" t="s">
        <v>33</v>
      </c>
      <c r="W657" s="32" t="s">
        <v>34</v>
      </c>
    </row>
    <row r="658" spans="1:23">
      <c r="A658" s="22" t="s">
        <v>1614</v>
      </c>
      <c r="B658" s="25">
        <f>VLOOKUP(A658,[1]ProjectsResults!$D:$E,2,FALSE)</f>
        <v>10742</v>
      </c>
      <c r="C658" s="22">
        <f>VLOOKUP(A658,[2]Sheet2!$D:$E,2,FALSE)</f>
        <v>10047</v>
      </c>
      <c r="D658" s="22">
        <v>10047</v>
      </c>
      <c r="E658" s="22">
        <f>VLOOKUP(A658,[3]Sheet2!$A:$F,6,FALSE)</f>
        <v>0</v>
      </c>
      <c r="G658" s="22" t="s">
        <v>1615</v>
      </c>
      <c r="H658" s="22" t="s">
        <v>105</v>
      </c>
      <c r="I658" s="22" t="s">
        <v>25</v>
      </c>
      <c r="J658" s="22" t="s">
        <v>42</v>
      </c>
      <c r="K658" s="22" t="s">
        <v>43</v>
      </c>
      <c r="L658" s="29" t="s">
        <v>28</v>
      </c>
      <c r="P658" s="30">
        <v>45765</v>
      </c>
      <c r="Q658" s="30">
        <v>45765</v>
      </c>
      <c r="R658" s="22" t="s">
        <v>29</v>
      </c>
      <c r="S658" s="29" t="s">
        <v>30</v>
      </c>
      <c r="T658" s="22" t="s">
        <v>31</v>
      </c>
      <c r="U658" s="22" t="s">
        <v>32</v>
      </c>
      <c r="V658" s="22" t="s">
        <v>33</v>
      </c>
      <c r="W658" s="32" t="s">
        <v>34</v>
      </c>
    </row>
  </sheetData>
  <autoFilter xmlns:etc="http://www.wps.cn/officeDocument/2017/etCustomData" ref="A1:W658" etc:filterBottomFollowUsedRange="0">
    <extLst/>
  </autoFilter>
  <conditionalFormatting sqref="A$1:E$1048576">
    <cfRule type="duplicateValues" dxfId="0" priority="1"/>
  </conditionalFormatting>
  <dataValidations count="3">
    <dataValidation type="list" allowBlank="1" showInputMessage="1" showErrorMessage="1" sqref="L1:L658">
      <formula1>"Awarded, Not Awarded"</formula1>
    </dataValidation>
    <dataValidation type="list" allowBlank="1" showInputMessage="1" showErrorMessage="1" sqref="O1:O530">
      <formula1>"Forward,Backward"</formula1>
    </dataValidation>
    <dataValidation type="list" allowBlank="1" showInputMessage="1" showErrorMessage="1" sqref="R1:R658">
      <formula1>"Charge-Based,Fixed Bid Milestone,Fixed Bid Interval,Time and Materials"</formula1>
    </dataValidation>
  </dataValidations>
  <hyperlinks>
    <hyperlink ref="W3" r:id="rId1" display="salesinvoice@shobizhavas.com"/>
    <hyperlink ref="W4:W530" r:id="rId1" display="salesinvoice@shobizhavas.com"/>
    <hyperlink ref="W531" r:id="rId1" display="salesinvoice@shobizhavas.com"/>
    <hyperlink ref="W532:W624" r:id="rId1" display="salesinvoice@shobizhavas.com"/>
    <hyperlink ref="W625" r:id="rId1" display="salesinvoice@shobizhavas.com"/>
    <hyperlink ref="W626:W647" r:id="rId1" display="salesinvoice@shobizhavas.com"/>
    <hyperlink ref="W648:W658" r:id="rId1" display="salesinvoice@shobizhavas.com"/>
    <hyperlink ref="W30" r:id="rId1" display="salesinvoice@shobizhavas.com"/>
    <hyperlink ref="W2" r:id="rId1" display="salesinvoice@shobizhavas.com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topLeftCell="C1" workbookViewId="0">
      <selection activeCell="H3" sqref="H3"/>
    </sheetView>
  </sheetViews>
  <sheetFormatPr defaultColWidth="8.72727272727273" defaultRowHeight="14.5"/>
  <cols>
    <col min="1" max="1" width="8.72727272727273" style="1"/>
    <col min="2" max="2" width="52.3636363636364" style="1" customWidth="1"/>
    <col min="3" max="3" width="46.4545454545455" style="1" customWidth="1"/>
    <col min="4" max="4" width="17.6363636363636" style="1" customWidth="1"/>
    <col min="5" max="6" width="18" style="1" customWidth="1"/>
    <col min="7" max="7" width="20.4545454545455" style="1" customWidth="1"/>
    <col min="8" max="8" width="17" style="1" customWidth="1"/>
    <col min="9" max="16384" width="8.72727272727273" style="1"/>
  </cols>
  <sheetData>
    <row r="1" ht="116" spans="1:16">
      <c r="A1" s="2" t="s">
        <v>1616</v>
      </c>
      <c r="B1" s="1" t="s">
        <v>1617</v>
      </c>
      <c r="D1" s="3" t="s">
        <v>1618</v>
      </c>
      <c r="E1" s="3" t="s">
        <v>1619</v>
      </c>
      <c r="F1" s="3"/>
      <c r="G1" s="4" t="s">
        <v>1620</v>
      </c>
      <c r="H1" s="4" t="s">
        <v>1621</v>
      </c>
      <c r="I1" s="4" t="s">
        <v>1622</v>
      </c>
      <c r="J1" s="4" t="s">
        <v>1623</v>
      </c>
      <c r="K1" s="4" t="s">
        <v>1624</v>
      </c>
      <c r="L1" s="4" t="s">
        <v>1625</v>
      </c>
      <c r="M1" s="4" t="s">
        <v>1626</v>
      </c>
      <c r="N1" s="4" t="s">
        <v>1627</v>
      </c>
      <c r="O1" s="4" t="s">
        <v>1628</v>
      </c>
      <c r="P1" s="20" t="s">
        <v>1629</v>
      </c>
    </row>
    <row r="2" ht="87" spans="1:8">
      <c r="A2" s="5" t="s">
        <v>1630</v>
      </c>
      <c r="B2" s="1" t="s">
        <v>1631</v>
      </c>
      <c r="D2" s="6" t="s">
        <v>1632</v>
      </c>
      <c r="E2" s="6" t="s">
        <v>1633</v>
      </c>
      <c r="F2" s="6"/>
      <c r="G2" s="6" t="s">
        <v>1634</v>
      </c>
      <c r="H2" s="6" t="s">
        <v>1635</v>
      </c>
    </row>
    <row r="3" ht="43.5" spans="1:10">
      <c r="A3" s="7" t="s">
        <v>1636</v>
      </c>
      <c r="B3" s="1" t="s">
        <v>1637</v>
      </c>
      <c r="C3" s="1" t="s">
        <v>1638</v>
      </c>
      <c r="D3" s="6" t="s">
        <v>1639</v>
      </c>
      <c r="E3" s="6" t="s">
        <v>1640</v>
      </c>
      <c r="F3" s="6"/>
      <c r="G3" s="6" t="s">
        <v>1641</v>
      </c>
      <c r="H3" s="8" t="s">
        <v>1642</v>
      </c>
      <c r="I3" s="6" t="s">
        <v>1643</v>
      </c>
      <c r="J3" s="6" t="s">
        <v>1644</v>
      </c>
    </row>
    <row r="4" ht="29" spans="1:2">
      <c r="A4" s="9" t="s">
        <v>1645</v>
      </c>
      <c r="B4" s="6" t="s">
        <v>1646</v>
      </c>
    </row>
    <row r="5" spans="1:2">
      <c r="A5" s="10" t="s">
        <v>1647</v>
      </c>
      <c r="B5" s="6" t="s">
        <v>1648</v>
      </c>
    </row>
    <row r="6" ht="29" spans="1:2">
      <c r="A6" s="11" t="s">
        <v>1649</v>
      </c>
      <c r="B6" s="6" t="s">
        <v>1650</v>
      </c>
    </row>
    <row r="7" ht="29" spans="1:2">
      <c r="A7" s="12" t="s">
        <v>1651</v>
      </c>
      <c r="B7" s="6" t="s">
        <v>1652</v>
      </c>
    </row>
    <row r="8" ht="29" spans="1:2">
      <c r="A8" s="13" t="s">
        <v>1653</v>
      </c>
      <c r="B8" s="1" t="s">
        <v>1654</v>
      </c>
    </row>
    <row r="23" ht="29" spans="5:8">
      <c r="E23" s="1" t="s">
        <v>1655</v>
      </c>
      <c r="G23" s="1" t="s">
        <v>1655</v>
      </c>
      <c r="H23" s="1" t="s">
        <v>1656</v>
      </c>
    </row>
    <row r="24" ht="15" spans="4:8">
      <c r="D24" s="14" t="s">
        <v>1657</v>
      </c>
      <c r="E24" s="15" t="s">
        <v>8</v>
      </c>
      <c r="F24" s="15" t="s">
        <v>8</v>
      </c>
      <c r="G24" s="16" t="s">
        <v>9</v>
      </c>
      <c r="H24" s="16" t="s">
        <v>9</v>
      </c>
    </row>
    <row r="25" spans="4:8">
      <c r="D25" t="s">
        <v>1658</v>
      </c>
      <c r="E25" s="17"/>
      <c r="F25" s="17"/>
      <c r="G25" s="17" t="s">
        <v>1633</v>
      </c>
      <c r="H25" s="17" t="s">
        <v>205</v>
      </c>
    </row>
    <row r="26" spans="4:8">
      <c r="D26" t="s">
        <v>1659</v>
      </c>
      <c r="E26" s="17"/>
      <c r="F26" s="17"/>
      <c r="G26" s="17" t="s">
        <v>1635</v>
      </c>
      <c r="H26" s="17" t="s">
        <v>1660</v>
      </c>
    </row>
    <row r="27" spans="4:8">
      <c r="D27" s="18" t="s">
        <v>1661</v>
      </c>
      <c r="E27" s="18" t="s">
        <v>1662</v>
      </c>
      <c r="F27" s="18" t="s">
        <v>1663</v>
      </c>
      <c r="G27" s="18" t="s">
        <v>1664</v>
      </c>
      <c r="H27" s="18" t="s">
        <v>1663</v>
      </c>
    </row>
    <row r="28" spans="4:6">
      <c r="D28" s="19" t="s">
        <v>1665</v>
      </c>
      <c r="E28" s="18" t="s">
        <v>1662</v>
      </c>
      <c r="F28" s="18" t="s">
        <v>1663</v>
      </c>
    </row>
  </sheetData>
  <conditionalFormatting sqref="D28">
    <cfRule type="duplicateValues" dxfId="0" priority="1"/>
  </conditionalFormatting>
  <conditionalFormatting sqref="D24:D27">
    <cfRule type="duplicateValues" dxfId="0" priority="2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2" sqref="A12"/>
    </sheetView>
  </sheetViews>
  <sheetFormatPr defaultColWidth="9" defaultRowHeight="14.5"/>
  <cols>
    <col min="1" max="1" width="27.9090909090909" customWidth="1"/>
  </cols>
  <sheetData>
    <row r="1" spans="1:1">
      <c r="A1" t="s">
        <v>18</v>
      </c>
    </row>
    <row r="2" spans="1:1">
      <c r="A2" t="s">
        <v>31</v>
      </c>
    </row>
    <row r="3" spans="1:1">
      <c r="A3" t="s">
        <v>49</v>
      </c>
    </row>
    <row r="4" spans="1:1">
      <c r="A4" t="s">
        <v>74</v>
      </c>
    </row>
    <row r="6" spans="1:1">
      <c r="A6" t="s">
        <v>19</v>
      </c>
    </row>
    <row r="7" spans="1:1">
      <c r="A7" t="s">
        <v>32</v>
      </c>
    </row>
    <row r="8" spans="1:1">
      <c r="A8" t="s">
        <v>211</v>
      </c>
    </row>
    <row r="10" spans="1:1">
      <c r="A10" t="s">
        <v>20</v>
      </c>
    </row>
    <row r="11" spans="1:1">
      <c r="A11" t="s">
        <v>33</v>
      </c>
    </row>
    <row r="12" spans="1:1">
      <c r="A12" t="s">
        <v>50</v>
      </c>
    </row>
    <row r="13" spans="1:1">
      <c r="A13" t="s">
        <v>75</v>
      </c>
    </row>
    <row r="14" spans="1:1">
      <c r="A14" t="s">
        <v>117</v>
      </c>
    </row>
  </sheetData>
  <conditionalFormatting sqref="A1:A4">
    <cfRule type="duplicateValues" dxfId="0" priority="3"/>
  </conditionalFormatting>
  <conditionalFormatting sqref="A6:A8">
    <cfRule type="duplicateValues" dxfId="0" priority="2"/>
  </conditionalFormatting>
  <conditionalFormatting sqref="A10:A14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queries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ShailyKushwaha</dc:creator>
  <cp:lastModifiedBy>KalyaniChaudhari</cp:lastModifiedBy>
  <dcterms:created xsi:type="dcterms:W3CDTF">2025-03-11T06:20:00Z</dcterms:created>
  <dcterms:modified xsi:type="dcterms:W3CDTF">2025-05-02T18:03:40Z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5CB85ADF68EB41248EDDFB96D1553C3B_13</vt:lpwstr>
  </property>
  <property fmtid="{D5CDD505-2E9C-101B-9397-08002B2CF9AE}" pid="3" name="KSOProductBuildVer">
    <vt:lpwstr>1033-12.2.0.20795</vt:lpwstr>
  </property>
</Properties>
</file>